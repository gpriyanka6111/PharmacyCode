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Missed Refill - Revenue Recovery" sheetId="9" state="visible" r:id="rId9"/>
    <sheet name="Summary" sheetId="10" state="visible" r:id="rId10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'Missed Refill - Revenue Recovery'!$A$2:$V$220</definedName>
    <definedName name="_xlnm.Print_Titles" localSheetId="8">'Missed Refill - Revenue Recovery'!$1:$2</definedName>
    <definedName name="_xlnm._FilterDatabase" localSheetId="9" hidden="1">'Summary'!$A$3:$K$7</definedName>
    <definedName name="_xlnm.Print_Titles" localSheetId="9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gh (h)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-1</v>
      </c>
      <c r="AH4" s="17" t="n">
        <v>5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3408</v>
      </c>
      <c r="BB4" s="17" t="n">
        <v>0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-36</v>
      </c>
      <c r="AB5" s="17" t="n">
        <v>20</v>
      </c>
      <c r="AC5" s="17" t="n">
        <v>6</v>
      </c>
      <c r="AD5" s="17" t="n">
        <v>-2</v>
      </c>
      <c r="AE5" s="17" t="n">
        <v>28</v>
      </c>
      <c r="AF5" s="17" t="n">
        <v>28</v>
      </c>
      <c r="AG5" s="17" t="n">
        <v>28</v>
      </c>
      <c r="AH5" s="17" t="n">
        <v>24</v>
      </c>
      <c r="AI5" s="17" t="n">
        <v>28</v>
      </c>
      <c r="AJ5" s="18" t="n">
        <v>28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-2</v>
      </c>
      <c r="AH7" s="17" t="n">
        <v>10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2</v>
      </c>
      <c r="AD8" s="17" t="n">
        <v>9</v>
      </c>
      <c r="AE8" s="17" t="n">
        <v>9</v>
      </c>
      <c r="AF8" s="17" t="n">
        <v>9</v>
      </c>
      <c r="AG8" s="17" t="n">
        <v>6</v>
      </c>
      <c r="AH8" s="17" t="n">
        <v>9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-1</v>
      </c>
      <c r="AH9" s="17" t="n">
        <v>4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0.5</v>
      </c>
      <c r="AD10" s="17" t="n">
        <v>1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76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29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1</v>
      </c>
      <c r="AD11" s="17" t="n">
        <v>5</v>
      </c>
      <c r="AE11" s="17" t="n">
        <v>6</v>
      </c>
      <c r="AF11" s="17" t="n">
        <v>6</v>
      </c>
      <c r="AG11" s="17" t="n">
        <v>1</v>
      </c>
      <c r="AH11" s="17" t="n">
        <v>6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2</v>
      </c>
      <c r="AD13" s="17" t="n">
        <v>6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1</v>
      </c>
      <c r="AD15" s="17" t="n">
        <v>4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-2</v>
      </c>
      <c r="AD18" s="17" t="n">
        <v>85.40000000000001</v>
      </c>
      <c r="AE18" s="17" t="n">
        <v>89</v>
      </c>
      <c r="AF18" s="17" t="n">
        <v>89</v>
      </c>
      <c r="AG18" s="17" t="n">
        <v>86.2</v>
      </c>
      <c r="AH18" s="17" t="n">
        <v>89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-10</v>
      </c>
      <c r="AB19" s="17" t="n">
        <v>9</v>
      </c>
      <c r="AC19" s="17" t="n">
        <v>7</v>
      </c>
      <c r="AD19" s="17" t="n">
        <v>6</v>
      </c>
      <c r="AE19" s="17" t="n">
        <v>9</v>
      </c>
      <c r="AF19" s="17" t="n">
        <v>6</v>
      </c>
      <c r="AG19" s="17" t="n">
        <v>3</v>
      </c>
      <c r="AH19" s="17" t="n">
        <v>9</v>
      </c>
      <c r="AI19" s="17" t="n">
        <v>9</v>
      </c>
      <c r="AJ19" s="18" t="n">
        <v>4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17</v>
      </c>
      <c r="AC21" s="17" t="n">
        <v>-5</v>
      </c>
      <c r="AD21" s="17" t="n">
        <v>15</v>
      </c>
      <c r="AE21" s="17" t="n">
        <v>18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396</v>
      </c>
      <c r="AW21" s="17" t="n">
        <v>9108</v>
      </c>
      <c r="AX21" s="17" t="n">
        <v>1188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-13</v>
      </c>
      <c r="BG21" s="17" t="n">
        <v>-364</v>
      </c>
      <c r="BH21" s="17" t="n">
        <v>-100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11</v>
      </c>
      <c r="AD22" s="17" t="n">
        <v>15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-9</v>
      </c>
      <c r="AB23" s="17" t="n">
        <v>19</v>
      </c>
      <c r="AC23" s="17" t="n">
        <v>7</v>
      </c>
      <c r="AD23" s="17" t="n">
        <v>16</v>
      </c>
      <c r="AE23" s="17" t="n">
        <v>19</v>
      </c>
      <c r="AF23" s="17" t="n">
        <v>18</v>
      </c>
      <c r="AG23" s="17" t="n">
        <v>13</v>
      </c>
      <c r="AH23" s="17" t="n">
        <v>13</v>
      </c>
      <c r="AI23" s="17" t="n">
        <v>19</v>
      </c>
      <c r="AJ23" s="18" t="n">
        <v>19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-17</v>
      </c>
      <c r="AB24" s="17" t="n">
        <v>23</v>
      </c>
      <c r="AC24" s="17" t="n">
        <v>-5</v>
      </c>
      <c r="AD24" s="17" t="n">
        <v>17</v>
      </c>
      <c r="AE24" s="17" t="n">
        <v>23</v>
      </c>
      <c r="AF24" s="17" t="n">
        <v>19</v>
      </c>
      <c r="AG24" s="17" t="n">
        <v>23</v>
      </c>
      <c r="AH24" s="17" t="n">
        <v>21</v>
      </c>
      <c r="AI24" s="17" t="n">
        <v>23</v>
      </c>
      <c r="AJ24" s="18" t="n">
        <v>23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-2</v>
      </c>
      <c r="AD25" s="17" t="n">
        <v>28</v>
      </c>
      <c r="AE25" s="17" t="n">
        <v>40</v>
      </c>
      <c r="AF25" s="17" t="n">
        <v>34</v>
      </c>
      <c r="AG25" s="17" t="n">
        <v>40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-1</v>
      </c>
      <c r="AD27" s="17" t="n">
        <v>2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93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175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0.4</v>
      </c>
      <c r="AD32" s="17" t="n">
        <v>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0</v>
      </c>
      <c r="AD35" s="17" t="n">
        <v>2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0</v>
      </c>
      <c r="AD36" s="17" t="n">
        <v>4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0</v>
      </c>
      <c r="AH38" s="17" t="n">
        <v>3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1.5</v>
      </c>
      <c r="AH39" s="17" t="n">
        <v>3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-27</v>
      </c>
      <c r="AB41" s="17" t="n">
        <v>66</v>
      </c>
      <c r="AC41" s="17" t="n">
        <v>39</v>
      </c>
      <c r="AD41" s="17" t="n">
        <v>54</v>
      </c>
      <c r="AE41" s="17" t="n">
        <v>66</v>
      </c>
      <c r="AF41" s="17" t="n">
        <v>66</v>
      </c>
      <c r="AG41" s="17" t="n">
        <v>30</v>
      </c>
      <c r="AH41" s="17" t="n">
        <v>48</v>
      </c>
      <c r="AI41" s="17" t="n">
        <v>66</v>
      </c>
      <c r="AJ41" s="18" t="n">
        <v>66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-2</v>
      </c>
      <c r="AD42" s="17" t="n">
        <v>3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0</v>
      </c>
      <c r="AD45" s="17" t="n">
        <v>4</v>
      </c>
      <c r="AE45" s="17" t="n">
        <v>4</v>
      </c>
      <c r="AF45" s="17" t="n">
        <v>3</v>
      </c>
      <c r="AG45" s="17" t="n">
        <v>4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8</v>
      </c>
      <c r="AD47" s="17" t="n">
        <v>38</v>
      </c>
      <c r="AE47" s="17" t="n">
        <v>40</v>
      </c>
      <c r="AF47" s="17" t="n">
        <v>40</v>
      </c>
      <c r="AG47" s="17" t="n">
        <v>31</v>
      </c>
      <c r="AH47" s="17" t="n">
        <v>40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-1</v>
      </c>
      <c r="AD48" s="17" t="n">
        <v>135</v>
      </c>
      <c r="AE48" s="17" t="n">
        <v>147</v>
      </c>
      <c r="AF48" s="17" t="n">
        <v>137</v>
      </c>
      <c r="AG48" s="17" t="n">
        <v>130</v>
      </c>
      <c r="AH48" s="17" t="n">
        <v>147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-3</v>
      </c>
      <c r="AD52" s="17" t="n">
        <v>3</v>
      </c>
      <c r="AE52" s="17" t="n">
        <v>3</v>
      </c>
      <c r="AF52" s="17" t="n">
        <v>3</v>
      </c>
      <c r="AG52" s="17" t="n">
        <v>2</v>
      </c>
      <c r="AH52" s="17" t="n">
        <v>3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-33</v>
      </c>
      <c r="AB53" s="17" t="n">
        <v>103</v>
      </c>
      <c r="AC53" s="17" t="n">
        <v>15</v>
      </c>
      <c r="AD53" s="17" t="n">
        <v>91</v>
      </c>
      <c r="AE53" s="17" t="n">
        <v>103</v>
      </c>
      <c r="AF53" s="17" t="n">
        <v>83</v>
      </c>
      <c r="AG53" s="17" t="n">
        <v>89</v>
      </c>
      <c r="AH53" s="17" t="n">
        <v>101</v>
      </c>
      <c r="AI53" s="17" t="n">
        <v>103</v>
      </c>
      <c r="AJ53" s="18" t="n">
        <v>103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-1</v>
      </c>
      <c r="AD54" s="17" t="n">
        <v>24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-19</v>
      </c>
      <c r="AD55" s="17" t="n">
        <v>10</v>
      </c>
      <c r="AE55" s="17" t="n">
        <v>14</v>
      </c>
      <c r="AF55" s="17" t="n">
        <v>11</v>
      </c>
      <c r="AG55" s="17" t="n">
        <v>14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-4</v>
      </c>
      <c r="AH57" s="17" t="n">
        <v>8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948</v>
      </c>
      <c r="BB57" s="17" t="n">
        <v>0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-11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12</v>
      </c>
      <c r="AD59" s="17" t="n">
        <v>10</v>
      </c>
      <c r="AE59" s="17" t="n">
        <v>18</v>
      </c>
      <c r="AF59" s="17" t="n">
        <v>18</v>
      </c>
      <c r="AG59" s="17" t="n">
        <v>-12</v>
      </c>
      <c r="AH59" s="17" t="n">
        <v>18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-18</v>
      </c>
      <c r="AB60" s="17" t="n">
        <v>16</v>
      </c>
      <c r="AC60" s="17" t="n">
        <v>2</v>
      </c>
      <c r="AD60" s="17" t="n">
        <v>2</v>
      </c>
      <c r="AE60" s="17" t="n">
        <v>16</v>
      </c>
      <c r="AF60" s="17" t="n">
        <v>16</v>
      </c>
      <c r="AG60" s="17" t="n">
        <v>14</v>
      </c>
      <c r="AH60" s="17" t="n">
        <v>16</v>
      </c>
      <c r="AI60" s="17" t="n">
        <v>12</v>
      </c>
      <c r="AJ60" s="18" t="n">
        <v>16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-11</v>
      </c>
      <c r="AB62" s="17" t="n">
        <v>30</v>
      </c>
      <c r="AC62" s="17" t="n">
        <v>-7</v>
      </c>
      <c r="AD62" s="17" t="n">
        <v>30</v>
      </c>
      <c r="AE62" s="17" t="n">
        <v>30</v>
      </c>
      <c r="AF62" s="17" t="n">
        <v>29</v>
      </c>
      <c r="AG62" s="17" t="n">
        <v>30</v>
      </c>
      <c r="AH62" s="17" t="n">
        <v>27</v>
      </c>
      <c r="AI62" s="17" t="n">
        <v>30</v>
      </c>
      <c r="AJ62" s="18" t="n">
        <v>30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2</v>
      </c>
      <c r="AD65" s="17" t="n">
        <v>4</v>
      </c>
      <c r="AE65" s="17" t="n">
        <v>8</v>
      </c>
      <c r="AF65" s="17" t="n">
        <v>8</v>
      </c>
      <c r="AG65" s="17" t="n">
        <v>2</v>
      </c>
      <c r="AH65" s="17" t="n">
        <v>8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0</v>
      </c>
      <c r="AD66" s="17" t="n">
        <v>1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313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-50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2</v>
      </c>
      <c r="AB68" s="17" t="n">
        <v>91</v>
      </c>
      <c r="AC68" s="17" t="n">
        <v>13</v>
      </c>
      <c r="AD68" s="17" t="n">
        <v>88</v>
      </c>
      <c r="AE68" s="17" t="n">
        <v>92</v>
      </c>
      <c r="AF68" s="17" t="n">
        <v>92</v>
      </c>
      <c r="AG68" s="17" t="n">
        <v>86</v>
      </c>
      <c r="AH68" s="17" t="n">
        <v>92</v>
      </c>
      <c r="AI68" s="17" t="n">
        <v>92</v>
      </c>
      <c r="AJ68" s="18" t="n">
        <v>92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-1</v>
      </c>
      <c r="AD70" s="17" t="n">
        <v>11</v>
      </c>
      <c r="AE70" s="17" t="n">
        <v>11</v>
      </c>
      <c r="AF70" s="17" t="n">
        <v>8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0</v>
      </c>
      <c r="AD71" s="17" t="n">
        <v>1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321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-12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4</v>
      </c>
      <c r="AD72" s="17" t="n">
        <v>82</v>
      </c>
      <c r="AE72" s="17" t="n">
        <v>104</v>
      </c>
      <c r="AF72" s="17" t="n">
        <v>92</v>
      </c>
      <c r="AG72" s="17" t="n">
        <v>98</v>
      </c>
      <c r="AH72" s="17" t="n">
        <v>104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7</v>
      </c>
      <c r="AD73" s="17" t="n">
        <v>7</v>
      </c>
      <c r="AE73" s="17" t="n">
        <v>13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-10</v>
      </c>
      <c r="AB74" s="17" t="n">
        <v>58</v>
      </c>
      <c r="AC74" s="17" t="n">
        <v>20</v>
      </c>
      <c r="AD74" s="17" t="n">
        <v>46</v>
      </c>
      <c r="AE74" s="17" t="n">
        <v>60</v>
      </c>
      <c r="AF74" s="17" t="n">
        <v>54</v>
      </c>
      <c r="AG74" s="17" t="n">
        <v>55</v>
      </c>
      <c r="AH74" s="17" t="n">
        <v>60</v>
      </c>
      <c r="AI74" s="17" t="n">
        <v>57</v>
      </c>
      <c r="AJ74" s="18" t="n">
        <v>60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-86</v>
      </c>
      <c r="AB75" s="17" t="n">
        <v>170</v>
      </c>
      <c r="AC75" s="17" t="n">
        <v>16</v>
      </c>
      <c r="AD75" s="17" t="n">
        <v>138</v>
      </c>
      <c r="AE75" s="17" t="n">
        <v>170</v>
      </c>
      <c r="AF75" s="17" t="n">
        <v>159</v>
      </c>
      <c r="AG75" s="17" t="n">
        <v>117</v>
      </c>
      <c r="AH75" s="17" t="n">
        <v>167</v>
      </c>
      <c r="AI75" s="17" t="n">
        <v>167</v>
      </c>
      <c r="AJ75" s="18" t="n">
        <v>170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-92</v>
      </c>
      <c r="AB76" s="17" t="n">
        <v>236</v>
      </c>
      <c r="AC76" s="17" t="n">
        <v>5</v>
      </c>
      <c r="AD76" s="17" t="n">
        <v>214</v>
      </c>
      <c r="AE76" s="17" t="n">
        <v>237</v>
      </c>
      <c r="AF76" s="17" t="n">
        <v>215</v>
      </c>
      <c r="AG76" s="17" t="n">
        <v>189</v>
      </c>
      <c r="AH76" s="17" t="n">
        <v>234</v>
      </c>
      <c r="AI76" s="17" t="n">
        <v>237</v>
      </c>
      <c r="AJ76" s="18" t="n">
        <v>237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2</v>
      </c>
      <c r="AD78" s="17" t="n">
        <v>8</v>
      </c>
      <c r="AE78" s="17" t="n">
        <v>8</v>
      </c>
      <c r="AF78" s="17" t="n">
        <v>8</v>
      </c>
      <c r="AG78" s="17" t="n">
        <v>3</v>
      </c>
      <c r="AH78" s="17" t="n">
        <v>8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-5</v>
      </c>
      <c r="AD79" s="17" t="n">
        <v>43</v>
      </c>
      <c r="AE79" s="17" t="n">
        <v>43</v>
      </c>
      <c r="AF79" s="17" t="n">
        <v>43</v>
      </c>
      <c r="AG79" s="17" t="n">
        <v>40</v>
      </c>
      <c r="AH79" s="17" t="n">
        <v>43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-1.4</v>
      </c>
      <c r="AD82" s="17" t="n">
        <v>54</v>
      </c>
      <c r="AE82" s="17" t="n">
        <v>54</v>
      </c>
      <c r="AF82" s="17" t="n">
        <v>52.2</v>
      </c>
      <c r="AG82" s="17" t="n">
        <v>29.2</v>
      </c>
      <c r="AH82" s="17" t="n">
        <v>54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-40</v>
      </c>
      <c r="AB83" s="17" t="n">
        <v>46</v>
      </c>
      <c r="AC83" s="17" t="n">
        <v>-12</v>
      </c>
      <c r="AD83" s="17" t="n">
        <v>37</v>
      </c>
      <c r="AE83" s="17" t="n">
        <v>47</v>
      </c>
      <c r="AF83" s="17" t="n">
        <v>38</v>
      </c>
      <c r="AG83" s="17" t="n">
        <v>42</v>
      </c>
      <c r="AH83" s="17" t="n">
        <v>44</v>
      </c>
      <c r="AI83" s="17" t="n">
        <v>47</v>
      </c>
      <c r="AJ83" s="18" t="n">
        <v>47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2</v>
      </c>
      <c r="AD84" s="17" t="n">
        <v>30</v>
      </c>
      <c r="AE84" s="17" t="n">
        <v>44</v>
      </c>
      <c r="AF84" s="17" t="n">
        <v>42</v>
      </c>
      <c r="AG84" s="17" t="n">
        <v>27</v>
      </c>
      <c r="AH84" s="17" t="n">
        <v>44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5</v>
      </c>
      <c r="AD85" s="17" t="n">
        <v>23</v>
      </c>
      <c r="AE85" s="17" t="n">
        <v>23</v>
      </c>
      <c r="AF85" s="17" t="n">
        <v>21</v>
      </c>
      <c r="AG85" s="17" t="n">
        <v>2</v>
      </c>
      <c r="AH85" s="17" t="n">
        <v>23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-9</v>
      </c>
      <c r="AB87" s="17" t="n">
        <v>21</v>
      </c>
      <c r="AC87" s="17" t="n">
        <v>-4</v>
      </c>
      <c r="AD87" s="17" t="n">
        <v>20</v>
      </c>
      <c r="AE87" s="17" t="n">
        <v>21</v>
      </c>
      <c r="AF87" s="17" t="n">
        <v>21</v>
      </c>
      <c r="AG87" s="17" t="n">
        <v>21</v>
      </c>
      <c r="AH87" s="17" t="n">
        <v>17</v>
      </c>
      <c r="AI87" s="17" t="n">
        <v>21</v>
      </c>
      <c r="AJ87" s="18" t="n">
        <v>21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-5</v>
      </c>
      <c r="AD88" s="17" t="n">
        <v>8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-7</v>
      </c>
      <c r="AB91" s="17" t="n">
        <v>21</v>
      </c>
      <c r="AC91" s="17" t="n">
        <v>-1</v>
      </c>
      <c r="AD91" s="17" t="n">
        <v>21</v>
      </c>
      <c r="AE91" s="17" t="n">
        <v>21</v>
      </c>
      <c r="AF91" s="17" t="n">
        <v>19</v>
      </c>
      <c r="AG91" s="17" t="n">
        <v>19</v>
      </c>
      <c r="AH91" s="17" t="n">
        <v>19</v>
      </c>
      <c r="AI91" s="17" t="n">
        <v>21</v>
      </c>
      <c r="AJ91" s="18" t="n">
        <v>21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-23</v>
      </c>
      <c r="AD94" s="17" t="n">
        <v>39</v>
      </c>
      <c r="AE94" s="17" t="n">
        <v>41</v>
      </c>
      <c r="AF94" s="17" t="n">
        <v>41</v>
      </c>
      <c r="AG94" s="17" t="n">
        <v>28</v>
      </c>
      <c r="AH94" s="17" t="n">
        <v>41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1</v>
      </c>
      <c r="AD95" s="17" t="n">
        <v>18</v>
      </c>
      <c r="AE95" s="17" t="n">
        <v>20</v>
      </c>
      <c r="AF95" s="17" t="n">
        <v>20</v>
      </c>
      <c r="AG95" s="17" t="n">
        <v>12</v>
      </c>
      <c r="AH95" s="17" t="n">
        <v>20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-5</v>
      </c>
      <c r="AB96" s="17" t="n">
        <v>15</v>
      </c>
      <c r="AC96" s="17" t="n">
        <v>1</v>
      </c>
      <c r="AD96" s="17" t="n">
        <v>12</v>
      </c>
      <c r="AE96" s="17" t="n">
        <v>15</v>
      </c>
      <c r="AF96" s="17" t="n">
        <v>15</v>
      </c>
      <c r="AG96" s="17" t="n">
        <v>15</v>
      </c>
      <c r="AH96" s="17" t="n">
        <v>12</v>
      </c>
      <c r="AI96" s="17" t="n">
        <v>15</v>
      </c>
      <c r="AJ96" s="18" t="n">
        <v>15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</v>
      </c>
      <c r="AD97" s="17" t="n">
        <v>10</v>
      </c>
      <c r="AE97" s="17" t="n">
        <v>10</v>
      </c>
      <c r="AF97" s="17" t="n">
        <v>10</v>
      </c>
      <c r="AG97" s="17" t="n">
        <v>6</v>
      </c>
      <c r="AH97" s="17" t="n">
        <v>10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-5</v>
      </c>
      <c r="AB98" s="17" t="n">
        <v>12</v>
      </c>
      <c r="AC98" s="17" t="n">
        <v>2</v>
      </c>
      <c r="AD98" s="17" t="n">
        <v>9</v>
      </c>
      <c r="AE98" s="17" t="n">
        <v>12</v>
      </c>
      <c r="AF98" s="17" t="n">
        <v>11</v>
      </c>
      <c r="AG98" s="17" t="n">
        <v>10</v>
      </c>
      <c r="AH98" s="17" t="n">
        <v>11</v>
      </c>
      <c r="AI98" s="17" t="n">
        <v>12</v>
      </c>
      <c r="AJ98" s="18" t="n">
        <v>12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8</v>
      </c>
      <c r="AD99" s="17" t="n">
        <v>38</v>
      </c>
      <c r="AE99" s="17" t="n">
        <v>47</v>
      </c>
      <c r="AF99" s="17" t="n">
        <v>46</v>
      </c>
      <c r="AG99" s="17" t="n">
        <v>28</v>
      </c>
      <c r="AH99" s="17" t="n">
        <v>47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7</v>
      </c>
      <c r="AD100" s="17" t="n">
        <v>45</v>
      </c>
      <c r="AE100" s="17" t="n">
        <v>45</v>
      </c>
      <c r="AF100" s="17" t="n">
        <v>41</v>
      </c>
      <c r="AG100" s="17" t="n">
        <v>43</v>
      </c>
      <c r="AH100" s="17" t="n">
        <v>45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-3</v>
      </c>
      <c r="AD103" s="17" t="n">
        <v>21</v>
      </c>
      <c r="AE103" s="17" t="n">
        <v>21</v>
      </c>
      <c r="AF103" s="17" t="n">
        <v>21</v>
      </c>
      <c r="AG103" s="17" t="n">
        <v>15</v>
      </c>
      <c r="AH103" s="17" t="n">
        <v>21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-5</v>
      </c>
      <c r="AD106" s="17" t="n">
        <v>17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1</v>
      </c>
      <c r="AD109" s="17" t="n">
        <v>7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0</v>
      </c>
      <c r="AD110" s="17" t="n">
        <v>9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-8.800000000000001</v>
      </c>
      <c r="AD111" s="17" t="n">
        <v>13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-8</v>
      </c>
      <c r="AD113" s="17" t="n">
        <v>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0</v>
      </c>
      <c r="AD114" s="17" t="n">
        <v>1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621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-31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0</v>
      </c>
      <c r="AD115" s="17" t="n">
        <v>6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1842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-72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6</v>
      </c>
      <c r="AD116" s="17" t="n">
        <v>18</v>
      </c>
      <c r="AE116" s="17" t="n">
        <v>34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-53</v>
      </c>
      <c r="AB118" s="17" t="n">
        <v>123</v>
      </c>
      <c r="AC118" s="17" t="n">
        <v>4</v>
      </c>
      <c r="AD118" s="17" t="n">
        <v>109</v>
      </c>
      <c r="AE118" s="17" t="n">
        <v>123</v>
      </c>
      <c r="AF118" s="17" t="n">
        <v>121</v>
      </c>
      <c r="AG118" s="17" t="n">
        <v>83</v>
      </c>
      <c r="AH118" s="17" t="n">
        <v>123</v>
      </c>
      <c r="AI118" s="17" t="n">
        <v>122</v>
      </c>
      <c r="AJ118" s="18" t="n">
        <v>123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-31</v>
      </c>
      <c r="AB119" s="17" t="n">
        <v>91</v>
      </c>
      <c r="AC119" s="17" t="n">
        <v>3</v>
      </c>
      <c r="AD119" s="17" t="n">
        <v>91</v>
      </c>
      <c r="AE119" s="17" t="n">
        <v>92</v>
      </c>
      <c r="AF119" s="17" t="n">
        <v>85</v>
      </c>
      <c r="AG119" s="17" t="n">
        <v>67</v>
      </c>
      <c r="AH119" s="17" t="n">
        <v>92</v>
      </c>
      <c r="AI119" s="17" t="n">
        <v>92</v>
      </c>
      <c r="AJ119" s="18" t="n">
        <v>92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22</v>
      </c>
      <c r="AD120" s="17" t="n">
        <v>44</v>
      </c>
      <c r="AE120" s="17" t="n">
        <v>61</v>
      </c>
      <c r="AF120" s="17" t="n">
        <v>61</v>
      </c>
      <c r="AG120" s="17" t="n">
        <v>40</v>
      </c>
      <c r="AH120" s="17" t="n">
        <v>61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0</v>
      </c>
      <c r="AD121" s="17" t="n">
        <v>10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3280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-85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1</v>
      </c>
      <c r="AD122" s="17" t="n">
        <v>1</v>
      </c>
      <c r="AE122" s="17" t="n">
        <v>2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-1</v>
      </c>
      <c r="AD129" s="17" t="n">
        <v>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3628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-76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2</v>
      </c>
      <c r="AH131" s="17" t="n">
        <v>5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-2</v>
      </c>
      <c r="AE133" s="17" t="n">
        <v>3</v>
      </c>
      <c r="AF133" s="17" t="n">
        <v>3</v>
      </c>
      <c r="AG133" s="17" t="n">
        <v>-2</v>
      </c>
      <c r="AH133" s="17" t="n">
        <v>3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1065</v>
      </c>
      <c r="AY133" s="17" t="n">
        <v>0</v>
      </c>
      <c r="AZ133" s="17" t="n">
        <v>0</v>
      </c>
      <c r="BA133" s="17" t="n">
        <v>1065</v>
      </c>
      <c r="BB133" s="17" t="n">
        <v>0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-230</v>
      </c>
      <c r="BI133" s="17" t="n">
        <v>0</v>
      </c>
      <c r="BJ133" s="17" t="n">
        <v>0</v>
      </c>
      <c r="BK133" s="17" t="n">
        <v>43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-1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-7</v>
      </c>
      <c r="AB135" s="17" t="n">
        <v>15</v>
      </c>
      <c r="AC135" s="17" t="n">
        <v>-5</v>
      </c>
      <c r="AD135" s="17" t="n">
        <v>15</v>
      </c>
      <c r="AE135" s="17" t="n">
        <v>15</v>
      </c>
      <c r="AF135" s="17" t="n">
        <v>15</v>
      </c>
      <c r="AG135" s="17" t="n">
        <v>15</v>
      </c>
      <c r="AH135" s="17" t="n">
        <v>13</v>
      </c>
      <c r="AI135" s="17" t="n">
        <v>15</v>
      </c>
      <c r="AJ135" s="18" t="n">
        <v>15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-40</v>
      </c>
      <c r="AB136" s="17" t="n">
        <v>224</v>
      </c>
      <c r="AC136" s="17" t="n">
        <v>29</v>
      </c>
      <c r="AD136" s="17" t="n">
        <v>217</v>
      </c>
      <c r="AE136" s="17" t="n">
        <v>224</v>
      </c>
      <c r="AF136" s="17" t="n">
        <v>224</v>
      </c>
      <c r="AG136" s="17" t="n">
        <v>169</v>
      </c>
      <c r="AH136" s="17" t="n">
        <v>217</v>
      </c>
      <c r="AI136" s="17" t="n">
        <v>224</v>
      </c>
      <c r="AJ136" s="18" t="n">
        <v>224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</v>
      </c>
      <c r="AD137" s="17" t="n">
        <v>11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2</v>
      </c>
      <c r="AD139" s="17" t="n">
        <v>4</v>
      </c>
      <c r="AE139" s="17" t="n">
        <v>4</v>
      </c>
      <c r="AF139" s="17" t="n">
        <v>4</v>
      </c>
      <c r="AG139" s="17" t="n">
        <v>2</v>
      </c>
      <c r="AH139" s="17" t="n">
        <v>4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-9</v>
      </c>
      <c r="AD140" s="17" t="n">
        <v>3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3900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-82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-1</v>
      </c>
      <c r="AD141" s="17" t="n">
        <v>8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-1</v>
      </c>
      <c r="AH142" s="17" t="n">
        <v>4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-10</v>
      </c>
      <c r="AB143" s="17" t="n">
        <v>26</v>
      </c>
      <c r="AC143" s="17" t="n">
        <v>6</v>
      </c>
      <c r="AD143" s="17" t="n">
        <v>19</v>
      </c>
      <c r="AE143" s="17" t="n">
        <v>26</v>
      </c>
      <c r="AF143" s="17" t="n">
        <v>23</v>
      </c>
      <c r="AG143" s="17" t="n">
        <v>23</v>
      </c>
      <c r="AH143" s="17" t="n">
        <v>23</v>
      </c>
      <c r="AI143" s="17" t="n">
        <v>26</v>
      </c>
      <c r="AJ143" s="18" t="n">
        <v>26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-18</v>
      </c>
      <c r="AD144" s="17" t="n">
        <v>9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26055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-534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-5</v>
      </c>
      <c r="AD145" s="17" t="n">
        <v>4</v>
      </c>
      <c r="AE145" s="17" t="n">
        <v>13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-2</v>
      </c>
      <c r="AH147" s="17" t="n">
        <v>3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-0.6</v>
      </c>
      <c r="AB149" s="17" t="n">
        <v>1</v>
      </c>
      <c r="AC149" s="17" t="n">
        <v>0.3</v>
      </c>
      <c r="AD149" s="17" t="n">
        <v>0.8</v>
      </c>
      <c r="AE149" s="17" t="n">
        <v>1</v>
      </c>
      <c r="AF149" s="17" t="n">
        <v>0.8</v>
      </c>
      <c r="AG149" s="17" t="n">
        <v>0.7</v>
      </c>
      <c r="AH149" s="17" t="n">
        <v>0.8</v>
      </c>
      <c r="AI149" s="17" t="n">
        <v>1</v>
      </c>
      <c r="AJ149" s="18" t="n">
        <v>1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3354</v>
      </c>
      <c r="AV149" s="17" t="n">
        <v>0</v>
      </c>
      <c r="AW149" s="17" t="n">
        <v>1467</v>
      </c>
      <c r="AX149" s="17" t="n">
        <v>419</v>
      </c>
      <c r="AY149" s="17" t="n">
        <v>0</v>
      </c>
      <c r="AZ149" s="17" t="n">
        <v>419</v>
      </c>
      <c r="BA149" s="17" t="n">
        <v>629</v>
      </c>
      <c r="BB149" s="17" t="n">
        <v>419</v>
      </c>
      <c r="BC149" s="17" t="n">
        <v>0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1</v>
      </c>
      <c r="BI149" s="17" t="n">
        <v>0</v>
      </c>
      <c r="BJ149" s="17" t="n">
        <v>24</v>
      </c>
      <c r="BK149" s="17" t="n">
        <v>5</v>
      </c>
      <c r="BL149" s="17" t="n">
        <v>14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-3</v>
      </c>
      <c r="AH151" s="17" t="n">
        <v>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1932</v>
      </c>
      <c r="BB151" s="17" t="n">
        <v>0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-2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0</v>
      </c>
      <c r="AI153" s="17" t="n">
        <v>2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1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2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-21</v>
      </c>
      <c r="AH155" s="17" t="n">
        <v>30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3</v>
      </c>
      <c r="AD157" s="17" t="n">
        <v>5</v>
      </c>
      <c r="AE157" s="17" t="n">
        <v>5</v>
      </c>
      <c r="AF157" s="17" t="n">
        <v>0</v>
      </c>
      <c r="AG157" s="17" t="n">
        <v>5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2.5</v>
      </c>
      <c r="AD158" s="17" t="n">
        <v>14</v>
      </c>
      <c r="AE158" s="17" t="n">
        <v>14</v>
      </c>
      <c r="AF158" s="17" t="n">
        <v>14</v>
      </c>
      <c r="AG158" s="17" t="n">
        <v>10</v>
      </c>
      <c r="AH158" s="17" t="n">
        <v>14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-1</v>
      </c>
      <c r="AH159" s="17" t="n">
        <v>4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-1.5</v>
      </c>
      <c r="AB161" s="17" t="n">
        <v>18</v>
      </c>
      <c r="AC161" s="17" t="n">
        <v>9</v>
      </c>
      <c r="AD161" s="17" t="n">
        <v>18</v>
      </c>
      <c r="AE161" s="17" t="n">
        <v>18</v>
      </c>
      <c r="AF161" s="17" t="n">
        <v>18</v>
      </c>
      <c r="AG161" s="17" t="n">
        <v>9</v>
      </c>
      <c r="AH161" s="17" t="n">
        <v>18</v>
      </c>
      <c r="AI161" s="17" t="n">
        <v>16.5</v>
      </c>
      <c r="AJ161" s="18" t="n">
        <v>18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0</v>
      </c>
      <c r="AD165" s="17" t="n">
        <v>2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1</v>
      </c>
      <c r="AD166" s="17" t="n">
        <v>3</v>
      </c>
      <c r="AE166" s="17" t="n">
        <v>3</v>
      </c>
      <c r="AF166" s="17" t="n">
        <v>3</v>
      </c>
      <c r="AG166" s="17" t="n">
        <v>2</v>
      </c>
      <c r="AH166" s="17" t="n">
        <v>3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304</v>
      </c>
      <c r="AX166" s="17" t="n">
        <v>0</v>
      </c>
      <c r="AY166" s="17" t="n">
        <v>0</v>
      </c>
      <c r="AZ166" s="17" t="n">
        <v>0</v>
      </c>
      <c r="BA166" s="17" t="n">
        <v>152</v>
      </c>
      <c r="BB166" s="17" t="n">
        <v>0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-29</v>
      </c>
      <c r="BH166" s="17" t="n">
        <v>0</v>
      </c>
      <c r="BI166" s="17" t="n">
        <v>0</v>
      </c>
      <c r="BJ166" s="17" t="n">
        <v>0</v>
      </c>
      <c r="BK166" s="17" t="n">
        <v>1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0</v>
      </c>
      <c r="AD167" s="17" t="n">
        <v>2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</v>
      </c>
      <c r="AD169" s="17" t="n">
        <v>24</v>
      </c>
      <c r="AE169" s="17" t="n">
        <v>30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4</v>
      </c>
      <c r="AD170" s="17" t="n">
        <v>11</v>
      </c>
      <c r="AE170" s="17" t="n">
        <v>17</v>
      </c>
      <c r="AF170" s="17" t="n">
        <v>11</v>
      </c>
      <c r="AG170" s="17" t="n">
        <v>3</v>
      </c>
      <c r="AH170" s="17" t="n">
        <v>17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-2.333</v>
      </c>
      <c r="AD173" s="17" t="n">
        <v>3</v>
      </c>
      <c r="AE173" s="17" t="n">
        <v>3</v>
      </c>
      <c r="AF173" s="17" t="n">
        <v>1</v>
      </c>
      <c r="AG173" s="17" t="n">
        <v>3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-1</v>
      </c>
      <c r="AD175" s="17" t="n">
        <v>5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5</v>
      </c>
      <c r="AD176" s="17" t="n">
        <v>28</v>
      </c>
      <c r="AE176" s="17" t="n">
        <v>28</v>
      </c>
      <c r="AF176" s="17" t="n">
        <v>28</v>
      </c>
      <c r="AG176" s="17" t="n">
        <v>21</v>
      </c>
      <c r="AH176" s="17" t="n">
        <v>28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7</v>
      </c>
      <c r="AD177" s="17" t="n">
        <v>12</v>
      </c>
      <c r="AE177" s="17" t="n">
        <v>12</v>
      </c>
      <c r="AF177" s="17" t="n">
        <v>12</v>
      </c>
      <c r="AG177" s="17" t="n">
        <v>0</v>
      </c>
      <c r="AH177" s="17" t="n">
        <v>12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-1</v>
      </c>
      <c r="AD178" s="17" t="n">
        <v>21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</v>
      </c>
      <c r="AD179" s="17" t="n">
        <v>10</v>
      </c>
      <c r="AE179" s="17" t="n">
        <v>16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14535</v>
      </c>
      <c r="AX179" s="17" t="n">
        <v>5814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-629</v>
      </c>
      <c r="BH179" s="17" t="n">
        <v>-471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-1</v>
      </c>
      <c r="AD180" s="17" t="n">
        <v>3</v>
      </c>
      <c r="AE180" s="17" t="n">
        <v>3</v>
      </c>
      <c r="AF180" s="17" t="n">
        <v>3</v>
      </c>
      <c r="AG180" s="17" t="n">
        <v>2</v>
      </c>
      <c r="AH180" s="17" t="n">
        <v>3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4432</v>
      </c>
      <c r="AX180" s="17" t="n">
        <v>0</v>
      </c>
      <c r="AY180" s="17" t="n">
        <v>0</v>
      </c>
      <c r="AZ180" s="17" t="n">
        <v>0</v>
      </c>
      <c r="BA180" s="17" t="n">
        <v>1108</v>
      </c>
      <c r="BB180" s="17" t="n">
        <v>0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-181</v>
      </c>
      <c r="BH180" s="17" t="n">
        <v>0</v>
      </c>
      <c r="BI180" s="17" t="n">
        <v>0</v>
      </c>
      <c r="BJ180" s="17" t="n">
        <v>0</v>
      </c>
      <c r="BK180" s="17" t="n">
        <v>-7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1.5</v>
      </c>
      <c r="AD182" s="17" t="n">
        <v>33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0</v>
      </c>
      <c r="AD185" s="17" t="n">
        <v>5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3</v>
      </c>
      <c r="AD186" s="17" t="n">
        <v>6</v>
      </c>
      <c r="AE186" s="17" t="n">
        <v>6</v>
      </c>
      <c r="AF186" s="17" t="n">
        <v>6</v>
      </c>
      <c r="AG186" s="17" t="n">
        <v>4</v>
      </c>
      <c r="AH186" s="17" t="n">
        <v>6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165</v>
      </c>
      <c r="AX186" s="17" t="n">
        <v>0</v>
      </c>
      <c r="AY186" s="17" t="n">
        <v>0</v>
      </c>
      <c r="AZ186" s="17" t="n">
        <v>0</v>
      </c>
      <c r="BA186" s="17" t="n">
        <v>110</v>
      </c>
      <c r="BB186" s="17" t="n">
        <v>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-6</v>
      </c>
      <c r="BH186" s="17" t="n">
        <v>0</v>
      </c>
      <c r="BI186" s="17" t="n">
        <v>0</v>
      </c>
      <c r="BJ186" s="17" t="n">
        <v>0</v>
      </c>
      <c r="BK186" s="17" t="n">
        <v>20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0</v>
      </c>
      <c r="AD187" s="17" t="n">
        <v>1</v>
      </c>
      <c r="AE187" s="17" t="n">
        <v>1</v>
      </c>
      <c r="AF187" s="17" t="n">
        <v>1</v>
      </c>
      <c r="AG187" s="17" t="n">
        <v>-1</v>
      </c>
      <c r="AH187" s="17" t="n">
        <v>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548</v>
      </c>
      <c r="AX187" s="17" t="n">
        <v>0</v>
      </c>
      <c r="AY187" s="17" t="n">
        <v>0</v>
      </c>
      <c r="AZ187" s="17" t="n">
        <v>0</v>
      </c>
      <c r="BA187" s="17" t="n">
        <v>1096</v>
      </c>
      <c r="BB187" s="17" t="n">
        <v>0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-51</v>
      </c>
      <c r="BH187" s="17" t="n">
        <v>0</v>
      </c>
      <c r="BI187" s="17" t="n">
        <v>0</v>
      </c>
      <c r="BJ187" s="17" t="n">
        <v>0</v>
      </c>
      <c r="BK187" s="17" t="n">
        <v>8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8</v>
      </c>
      <c r="AD190" s="17" t="n">
        <v>10</v>
      </c>
      <c r="AE190" s="17" t="n">
        <v>10</v>
      </c>
      <c r="AF190" s="17" t="n">
        <v>7</v>
      </c>
      <c r="AG190" s="17" t="n">
        <v>-2</v>
      </c>
      <c r="AH190" s="17" t="n">
        <v>10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-2</v>
      </c>
      <c r="AH191" s="17" t="n">
        <v>5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10857</v>
      </c>
      <c r="BB191" s="17" t="n">
        <v>0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-450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-16</v>
      </c>
      <c r="AB193" s="17" t="n">
        <v>5</v>
      </c>
      <c r="AC193" s="17" t="n">
        <v>-10</v>
      </c>
      <c r="AD193" s="17" t="n">
        <v>5</v>
      </c>
      <c r="AE193" s="17" t="n">
        <v>5</v>
      </c>
      <c r="AF193" s="17" t="n">
        <v>3</v>
      </c>
      <c r="AG193" s="17" t="n">
        <v>5</v>
      </c>
      <c r="AH193" s="17" t="n">
        <v>1</v>
      </c>
      <c r="AI193" s="17" t="n">
        <v>5</v>
      </c>
      <c r="AJ193" s="18" t="n">
        <v>5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5271</v>
      </c>
      <c r="AV193" s="17" t="n">
        <v>0</v>
      </c>
      <c r="AW193" s="17" t="n">
        <v>3765</v>
      </c>
      <c r="AX193" s="17" t="n">
        <v>0</v>
      </c>
      <c r="AY193" s="17" t="n">
        <v>0</v>
      </c>
      <c r="AZ193" s="17" t="n">
        <v>502</v>
      </c>
      <c r="BA193" s="17" t="n">
        <v>0</v>
      </c>
      <c r="BB193" s="17" t="n">
        <v>1004</v>
      </c>
      <c r="BC193" s="17" t="n">
        <v>0</v>
      </c>
      <c r="BD193" s="18" t="n">
        <v>0</v>
      </c>
      <c r="BE193" s="16" t="n">
        <v>19</v>
      </c>
      <c r="BF193" s="17" t="n">
        <v>0</v>
      </c>
      <c r="BG193" s="17" t="n">
        <v>-43</v>
      </c>
      <c r="BH193" s="17" t="n">
        <v>0</v>
      </c>
      <c r="BI193" s="17" t="n">
        <v>0</v>
      </c>
      <c r="BJ193" s="17" t="n">
        <v>-5</v>
      </c>
      <c r="BK193" s="17" t="n">
        <v>0</v>
      </c>
      <c r="BL193" s="17" t="n">
        <v>38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1</v>
      </c>
      <c r="AD194" s="17" t="n">
        <v>3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-2</v>
      </c>
      <c r="AD195" s="17" t="n">
        <v>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0</v>
      </c>
      <c r="AD196" s="17" t="n">
        <v>8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3</v>
      </c>
      <c r="AD198" s="17" t="n">
        <v>6</v>
      </c>
      <c r="AE198" s="17" t="n">
        <v>15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3</v>
      </c>
      <c r="AE199" s="17" t="n">
        <v>6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-12</v>
      </c>
      <c r="AB200" s="17" t="n">
        <v>35</v>
      </c>
      <c r="AC200" s="17" t="n">
        <v>0</v>
      </c>
      <c r="AD200" s="17" t="n">
        <v>26</v>
      </c>
      <c r="AE200" s="17" t="n">
        <v>35</v>
      </c>
      <c r="AF200" s="17" t="n">
        <v>35</v>
      </c>
      <c r="AG200" s="17" t="n">
        <v>35</v>
      </c>
      <c r="AH200" s="17" t="n">
        <v>32</v>
      </c>
      <c r="AI200" s="17" t="n">
        <v>35</v>
      </c>
      <c r="AJ200" s="18" t="n">
        <v>35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0</v>
      </c>
      <c r="AD201" s="17" t="n">
        <v>3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0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1176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-30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-3</v>
      </c>
      <c r="AH204" s="17" t="n">
        <v>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-25</v>
      </c>
      <c r="AB208" s="17" t="n">
        <v>108</v>
      </c>
      <c r="AC208" s="17" t="n">
        <v>28</v>
      </c>
      <c r="AD208" s="17" t="n">
        <v>97</v>
      </c>
      <c r="AE208" s="17" t="n">
        <v>108</v>
      </c>
      <c r="AF208" s="17" t="n">
        <v>91</v>
      </c>
      <c r="AG208" s="17" t="n">
        <v>87</v>
      </c>
      <c r="AH208" s="17" t="n">
        <v>104</v>
      </c>
      <c r="AI208" s="17" t="n">
        <v>108</v>
      </c>
      <c r="AJ208" s="18" t="n">
        <v>108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1</v>
      </c>
      <c r="AD210" s="17" t="n">
        <v>5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-4</v>
      </c>
      <c r="AH211" s="17" t="n">
        <v>7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0</v>
      </c>
      <c r="AI213" s="17" t="n">
        <v>7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0</v>
      </c>
      <c r="AB217" s="17" t="n">
        <v>4</v>
      </c>
      <c r="AC217" s="17" t="n">
        <v>3</v>
      </c>
      <c r="AD217" s="17" t="n">
        <v>4</v>
      </c>
      <c r="AE217" s="17" t="n">
        <v>4</v>
      </c>
      <c r="AF217" s="17" t="n">
        <v>4</v>
      </c>
      <c r="AG217" s="17" t="n">
        <v>4</v>
      </c>
      <c r="AH217" s="17" t="n">
        <v>1</v>
      </c>
      <c r="AI217" s="17" t="n">
        <v>4</v>
      </c>
      <c r="AJ217" s="18" t="n">
        <v>4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1</v>
      </c>
      <c r="AD218" s="17" t="n">
        <v>3</v>
      </c>
      <c r="AE218" s="17" t="n">
        <v>3</v>
      </c>
      <c r="AF218" s="17" t="n">
        <v>3</v>
      </c>
      <c r="AG218" s="17" t="n">
        <v>-1</v>
      </c>
      <c r="AH218" s="17" t="n">
        <v>3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gh (h)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-1</v>
      </c>
      <c r="J3" s="36" t="n">
        <v>5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ARG/HUM_D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20</v>
      </c>
      <c r="E4" s="36" t="n">
        <v>6</v>
      </c>
      <c r="F4" s="36" t="n">
        <v>-2</v>
      </c>
      <c r="G4" s="36" t="n">
        <v>28</v>
      </c>
      <c r="H4" s="36" t="n">
        <v>28</v>
      </c>
      <c r="I4" s="36" t="n">
        <v>28</v>
      </c>
      <c r="J4" s="36" t="n">
        <v>24</v>
      </c>
      <c r="K4" s="36" t="n">
        <v>28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CAREMARK_D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-2</v>
      </c>
      <c r="J5" s="36" t="n">
        <v>10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EXPRESS_D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-1</v>
      </c>
      <c r="J6" s="36" t="n">
        <v>4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FDS_D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-2</v>
      </c>
      <c r="J7" s="36" t="n">
        <v>0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-1</v>
      </c>
      <c r="J8" s="36" t="n">
        <v>0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-1</v>
      </c>
      <c r="J9" s="36" t="n">
        <v>0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OPTUM_D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-2</v>
      </c>
      <c r="F10" s="36" t="n">
        <v>85.40000000000001</v>
      </c>
      <c r="G10" s="36" t="n">
        <v>89</v>
      </c>
      <c r="H10" s="36" t="n">
        <v>89</v>
      </c>
      <c r="I10" s="36" t="n">
        <v>86.2</v>
      </c>
      <c r="J10" s="36" t="n">
        <v>89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PRIMECAPRX_D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-0.1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RELAYHLTH_D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17</v>
      </c>
      <c r="E12" s="36" t="n">
        <v>-5</v>
      </c>
      <c r="F12" s="36" t="n">
        <v>15</v>
      </c>
      <c r="G12" s="36" t="n">
        <v>18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-5</v>
      </c>
      <c r="F13" s="36" t="n">
        <v>17</v>
      </c>
      <c r="G13" s="36" t="n">
        <v>23</v>
      </c>
      <c r="H13" s="36" t="n">
        <v>19</v>
      </c>
      <c r="I13" s="36" t="n">
        <v>23</v>
      </c>
      <c r="J13" s="36" t="n">
        <v>21</v>
      </c>
      <c r="K13" s="36" t="n">
        <v>23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-2</v>
      </c>
      <c r="F14" s="36" t="n">
        <v>28</v>
      </c>
      <c r="G14" s="36" t="n">
        <v>40</v>
      </c>
      <c r="H14" s="36" t="n">
        <v>34</v>
      </c>
      <c r="I14" s="36" t="n">
        <v>40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-6</v>
      </c>
      <c r="F15" s="36" t="n">
        <v>5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-1</v>
      </c>
      <c r="F16" s="36" t="n">
        <v>2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-5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-7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-4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-553</v>
      </c>
      <c r="F20" s="36" t="n">
        <v>-4</v>
      </c>
      <c r="G20" s="36" t="n">
        <v>-8</v>
      </c>
      <c r="H20" s="36" t="n">
        <v>-48</v>
      </c>
      <c r="I20" s="36" t="n">
        <v>-98</v>
      </c>
      <c r="J20" s="36" t="n">
        <v>-20</v>
      </c>
      <c r="K20" s="36" t="n">
        <v>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-1.8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-2</v>
      </c>
      <c r="J22" s="36" t="n">
        <v>0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-2</v>
      </c>
      <c r="F23" s="36" t="n">
        <v>3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-0.6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-1</v>
      </c>
      <c r="J25" s="36" t="n">
        <v>2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-1</v>
      </c>
      <c r="F26" s="36" t="n">
        <v>135</v>
      </c>
      <c r="G26" s="36" t="n">
        <v>147</v>
      </c>
      <c r="H26" s="36" t="n">
        <v>137</v>
      </c>
      <c r="I26" s="36" t="n">
        <v>130</v>
      </c>
      <c r="J26" s="36" t="n">
        <v>147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-2</v>
      </c>
      <c r="J28" s="36" t="n">
        <v>0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-2</v>
      </c>
      <c r="J29" s="36" t="n">
        <v>0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-3</v>
      </c>
      <c r="F30" s="36" t="n">
        <v>3</v>
      </c>
      <c r="G30" s="36" t="n">
        <v>3</v>
      </c>
      <c r="H30" s="36" t="n">
        <v>3</v>
      </c>
      <c r="I30" s="36" t="n">
        <v>2</v>
      </c>
      <c r="J30" s="36" t="n">
        <v>3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-1</v>
      </c>
      <c r="F31" s="36" t="n">
        <v>24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-19</v>
      </c>
      <c r="F32" s="36" t="n">
        <v>10</v>
      </c>
      <c r="G32" s="36" t="n">
        <v>14</v>
      </c>
      <c r="H32" s="36" t="n">
        <v>11</v>
      </c>
      <c r="I32" s="36" t="n">
        <v>14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-1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-4</v>
      </c>
      <c r="J34" s="36" t="n">
        <v>8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12</v>
      </c>
      <c r="F35" s="36" t="n">
        <v>10</v>
      </c>
      <c r="G35" s="36" t="n">
        <v>18</v>
      </c>
      <c r="H35" s="36" t="n">
        <v>18</v>
      </c>
      <c r="I35" s="36" t="n">
        <v>-12</v>
      </c>
      <c r="J35" s="36" t="n">
        <v>18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-0.2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-7</v>
      </c>
      <c r="F37" s="36" t="n">
        <v>30</v>
      </c>
      <c r="G37" s="36" t="n">
        <v>30</v>
      </c>
      <c r="H37" s="36" t="n">
        <v>29</v>
      </c>
      <c r="I37" s="36" t="n">
        <v>30</v>
      </c>
      <c r="J37" s="36" t="n">
        <v>27</v>
      </c>
      <c r="K37" s="36" t="n">
        <v>30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-1</v>
      </c>
      <c r="F38" s="36" t="n">
        <v>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-1</v>
      </c>
      <c r="J39" s="36" t="n">
        <v>0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-7</v>
      </c>
      <c r="F40" s="36" t="n">
        <v>1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-7</v>
      </c>
      <c r="F41" s="36" t="n">
        <v>3</v>
      </c>
      <c r="G41" s="36" t="n">
        <v>3</v>
      </c>
      <c r="H41" s="36" t="n">
        <v>-2</v>
      </c>
      <c r="I41" s="36" t="n">
        <v>0</v>
      </c>
      <c r="J41" s="36" t="n">
        <v>3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-1</v>
      </c>
      <c r="F42" s="36" t="n">
        <v>11</v>
      </c>
      <c r="G42" s="36" t="n">
        <v>11</v>
      </c>
      <c r="H42" s="36" t="n">
        <v>8</v>
      </c>
      <c r="I42" s="36" t="n">
        <v>11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-2</v>
      </c>
      <c r="K43" s="36" t="n">
        <v>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-5</v>
      </c>
      <c r="F44" s="36" t="n">
        <v>43</v>
      </c>
      <c r="G44" s="36" t="n">
        <v>43</v>
      </c>
      <c r="H44" s="36" t="n">
        <v>43</v>
      </c>
      <c r="I44" s="36" t="n">
        <v>40</v>
      </c>
      <c r="J44" s="36" t="n">
        <v>43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-1.4</v>
      </c>
      <c r="F45" s="36" t="n">
        <v>54</v>
      </c>
      <c r="G45" s="36" t="n">
        <v>54</v>
      </c>
      <c r="H45" s="36" t="n">
        <v>52.2</v>
      </c>
      <c r="I45" s="36" t="n">
        <v>29.2</v>
      </c>
      <c r="J45" s="36" t="n">
        <v>54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46</v>
      </c>
      <c r="E46" s="36" t="n">
        <v>-12</v>
      </c>
      <c r="F46" s="36" t="n">
        <v>37</v>
      </c>
      <c r="G46" s="36" t="n">
        <v>47</v>
      </c>
      <c r="H46" s="36" t="n">
        <v>38</v>
      </c>
      <c r="I46" s="36" t="n">
        <v>42</v>
      </c>
      <c r="J46" s="36" t="n">
        <v>44</v>
      </c>
      <c r="K46" s="36" t="n">
        <v>47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-0.8</v>
      </c>
      <c r="J47" s="36" t="n">
        <v>1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-4</v>
      </c>
      <c r="F48" s="36" t="n">
        <v>20</v>
      </c>
      <c r="G48" s="36" t="n">
        <v>21</v>
      </c>
      <c r="H48" s="36" t="n">
        <v>21</v>
      </c>
      <c r="I48" s="36" t="n">
        <v>21</v>
      </c>
      <c r="J48" s="36" t="n">
        <v>17</v>
      </c>
      <c r="K48" s="36" t="n">
        <v>21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-5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-3</v>
      </c>
      <c r="F50" s="36" t="n">
        <v>1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-3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-1</v>
      </c>
      <c r="F52" s="36" t="n">
        <v>21</v>
      </c>
      <c r="G52" s="36" t="n">
        <v>21</v>
      </c>
      <c r="H52" s="36" t="n">
        <v>19</v>
      </c>
      <c r="I52" s="36" t="n">
        <v>19</v>
      </c>
      <c r="J52" s="36" t="n">
        <v>19</v>
      </c>
      <c r="K52" s="36" t="n">
        <v>21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-4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-23</v>
      </c>
      <c r="F54" s="36" t="n">
        <v>39</v>
      </c>
      <c r="G54" s="36" t="n">
        <v>41</v>
      </c>
      <c r="H54" s="36" t="n">
        <v>41</v>
      </c>
      <c r="I54" s="36" t="n">
        <v>28</v>
      </c>
      <c r="J54" s="36" t="n">
        <v>41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-2</v>
      </c>
      <c r="J55" s="36" t="n">
        <v>0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-3</v>
      </c>
      <c r="F56" s="36" t="n">
        <v>-4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-3</v>
      </c>
      <c r="F57" s="36" t="n">
        <v>21</v>
      </c>
      <c r="G57" s="36" t="n">
        <v>21</v>
      </c>
      <c r="H57" s="36" t="n">
        <v>21</v>
      </c>
      <c r="I57" s="36" t="n">
        <v>15</v>
      </c>
      <c r="J57" s="36" t="n">
        <v>21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-1</v>
      </c>
      <c r="J58" s="36" t="n">
        <v>0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-0.7</v>
      </c>
      <c r="F59" s="36" t="n">
        <v>-0.7</v>
      </c>
      <c r="G59" s="36" t="n">
        <v>2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-5</v>
      </c>
      <c r="F60" s="36" t="n">
        <v>17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-3</v>
      </c>
      <c r="F61" s="36" t="n">
        <v>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-3</v>
      </c>
      <c r="F62" s="36" t="n">
        <v>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-8.800000000000001</v>
      </c>
      <c r="F63" s="36" t="n">
        <v>13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-1.4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-8</v>
      </c>
      <c r="F65" s="36" t="n">
        <v>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-1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-0.62</v>
      </c>
      <c r="J67" s="36" t="n">
        <v>0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-1</v>
      </c>
      <c r="K68" s="36" t="n">
        <v>0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-3</v>
      </c>
      <c r="F69" s="36" t="n">
        <v>-1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-0.6</v>
      </c>
      <c r="F70" s="36" t="n">
        <v>-0.1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-0.5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-1</v>
      </c>
      <c r="F72" s="36" t="n">
        <v>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-2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-2</v>
      </c>
      <c r="G74" s="36" t="n">
        <v>3</v>
      </c>
      <c r="H74" s="36" t="n">
        <v>3</v>
      </c>
      <c r="I74" s="36" t="n">
        <v>-2</v>
      </c>
      <c r="J74" s="36" t="n">
        <v>3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-1</v>
      </c>
      <c r="F75" s="36" t="n">
        <v>5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-5</v>
      </c>
      <c r="F76" s="36" t="n">
        <v>15</v>
      </c>
      <c r="G76" s="36" t="n">
        <v>15</v>
      </c>
      <c r="H76" s="36" t="n">
        <v>15</v>
      </c>
      <c r="I76" s="36" t="n">
        <v>15</v>
      </c>
      <c r="J76" s="36" t="n">
        <v>13</v>
      </c>
      <c r="K76" s="36" t="n">
        <v>15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-9</v>
      </c>
      <c r="F77" s="36" t="n">
        <v>3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-1</v>
      </c>
      <c r="F78" s="36" t="n">
        <v>8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-1</v>
      </c>
      <c r="J79" s="36" t="n">
        <v>4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-18</v>
      </c>
      <c r="F80" s="36" t="n">
        <v>9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-5</v>
      </c>
      <c r="F81" s="36" t="n">
        <v>4</v>
      </c>
      <c r="G81" s="36" t="n">
        <v>13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-1</v>
      </c>
      <c r="F82" s="36" t="n">
        <v>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-2</v>
      </c>
      <c r="J83" s="36" t="n">
        <v>3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-2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-1.8</v>
      </c>
      <c r="L84" s="36" t="n">
        <v>0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-2</v>
      </c>
      <c r="J85" s="36" t="n">
        <v>-3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-3</v>
      </c>
      <c r="J86" s="36" t="n">
        <v>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-21</v>
      </c>
      <c r="J87" s="36" t="n">
        <v>30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-11</v>
      </c>
      <c r="J88" s="36" t="n">
        <v>-1</v>
      </c>
      <c r="K88" s="36" t="n">
        <v>0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-4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-2</v>
      </c>
      <c r="F91" s="36" t="n">
        <v>0</v>
      </c>
      <c r="G91" s="36" t="n">
        <v>0</v>
      </c>
      <c r="H91" s="36" t="n">
        <v>0</v>
      </c>
      <c r="I91" s="36" t="n">
        <v>-1</v>
      </c>
      <c r="J91" s="36" t="n">
        <v>0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-8</v>
      </c>
      <c r="F92" s="36" t="n">
        <v>5</v>
      </c>
      <c r="G92" s="36" t="n">
        <v>6</v>
      </c>
      <c r="H92" s="36" t="n">
        <v>6</v>
      </c>
      <c r="I92" s="36" t="n">
        <v>1</v>
      </c>
      <c r="J92" s="36" t="n">
        <v>6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-2.6</v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-2.33</v>
      </c>
      <c r="F94" s="36" t="n">
        <v>3</v>
      </c>
      <c r="G94" s="36" t="n">
        <v>3</v>
      </c>
      <c r="H94" s="36" t="n">
        <v>1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-1</v>
      </c>
      <c r="F96" s="36" t="n">
        <v>21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-1</v>
      </c>
      <c r="F97" s="36" t="n">
        <v>3</v>
      </c>
      <c r="G97" s="36" t="n">
        <v>3</v>
      </c>
      <c r="H97" s="36" t="n">
        <v>3</v>
      </c>
      <c r="I97" s="36" t="n">
        <v>2</v>
      </c>
      <c r="J97" s="36" t="n">
        <v>3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-1.25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-1</v>
      </c>
      <c r="J99" s="36" t="n">
        <v>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8</v>
      </c>
      <c r="F100" s="36" t="n">
        <v>10</v>
      </c>
      <c r="G100" s="36" t="n">
        <v>10</v>
      </c>
      <c r="H100" s="36" t="n">
        <v>7</v>
      </c>
      <c r="I100" s="36" t="n">
        <v>-2</v>
      </c>
      <c r="J100" s="36" t="n">
        <v>10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-2</v>
      </c>
      <c r="J101" s="36" t="n">
        <v>5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-10</v>
      </c>
      <c r="F102" s="36" t="n">
        <v>5</v>
      </c>
      <c r="G102" s="36" t="n">
        <v>5</v>
      </c>
      <c r="H102" s="36" t="n">
        <v>3</v>
      </c>
      <c r="I102" s="36" t="n">
        <v>5</v>
      </c>
      <c r="J102" s="36" t="n">
        <v>1</v>
      </c>
      <c r="K102" s="36" t="n">
        <v>5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-2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-6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-3</v>
      </c>
      <c r="J105" s="36" t="n">
        <v>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-1</v>
      </c>
      <c r="F106" s="36" t="n">
        <v>8</v>
      </c>
      <c r="G106" s="36" t="n">
        <v>8</v>
      </c>
      <c r="H106" s="36" t="n">
        <v>5</v>
      </c>
      <c r="I106" s="36" t="n">
        <v>8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-3</v>
      </c>
      <c r="F107" s="36" t="n">
        <v>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-4</v>
      </c>
      <c r="F108" s="36" t="n">
        <v>2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-1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-4</v>
      </c>
      <c r="J110" s="36" t="n">
        <v>7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-2.4</v>
      </c>
      <c r="F111" s="36" t="n">
        <v>3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-1</v>
      </c>
      <c r="K112" s="36" t="n">
        <v>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1</v>
      </c>
      <c r="F113" s="36" t="n">
        <v>3</v>
      </c>
      <c r="G113" s="36" t="n">
        <v>3</v>
      </c>
      <c r="H113" s="36" t="n">
        <v>3</v>
      </c>
      <c r="I113" s="36" t="n">
        <v>-1</v>
      </c>
      <c r="J113" s="36" t="n">
        <v>3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-4</v>
      </c>
      <c r="F114" s="36" t="n">
        <v>0</v>
      </c>
      <c r="G114" s="36" t="n">
        <v>0</v>
      </c>
      <c r="H114" s="36" t="n">
        <v>0</v>
      </c>
      <c r="I114" s="36" t="n">
        <v>-3</v>
      </c>
      <c r="J114" s="36" t="n">
        <v>0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-6</v>
      </c>
      <c r="F115" s="36" t="n">
        <v>4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gh (h)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2</v>
      </c>
      <c r="F4" s="47" t="n">
        <v>9</v>
      </c>
      <c r="G4" s="47" t="n">
        <v>9</v>
      </c>
      <c r="H4" s="47" t="n">
        <v>9</v>
      </c>
      <c r="I4" s="47" t="n">
        <v>6</v>
      </c>
      <c r="J4" s="47" t="n">
        <v>9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0.5</v>
      </c>
      <c r="F5" s="47" t="n">
        <v>1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1</v>
      </c>
      <c r="F6" s="47" t="n">
        <v>5</v>
      </c>
      <c r="G6" s="47" t="n">
        <v>6</v>
      </c>
      <c r="H6" s="47" t="n">
        <v>6</v>
      </c>
      <c r="I6" s="47" t="n">
        <v>1</v>
      </c>
      <c r="J6" s="47" t="n">
        <v>6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2</v>
      </c>
      <c r="F7" s="47" t="n">
        <v>6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0.8</v>
      </c>
      <c r="F8" s="47" t="n">
        <v>1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1</v>
      </c>
      <c r="F9" s="47" t="n">
        <v>4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9</v>
      </c>
      <c r="E10" s="47" t="n">
        <v>7</v>
      </c>
      <c r="F10" s="47" t="n">
        <v>6</v>
      </c>
      <c r="G10" s="47" t="n">
        <v>9</v>
      </c>
      <c r="H10" s="47" t="n">
        <v>6</v>
      </c>
      <c r="I10" s="47" t="n">
        <v>3</v>
      </c>
      <c r="J10" s="47" t="n">
        <v>9</v>
      </c>
      <c r="K10" s="47" t="n">
        <v>9</v>
      </c>
      <c r="L10" s="47" t="n">
        <v>4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11</v>
      </c>
      <c r="F11" s="47" t="n">
        <v>15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7</v>
      </c>
      <c r="F12" s="47" t="n">
        <v>16</v>
      </c>
      <c r="G12" s="47" t="n">
        <v>19</v>
      </c>
      <c r="H12" s="47" t="n">
        <v>18</v>
      </c>
      <c r="I12" s="47" t="n">
        <v>13</v>
      </c>
      <c r="J12" s="47" t="n">
        <v>13</v>
      </c>
      <c r="K12" s="47" t="n">
        <v>19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0.4</v>
      </c>
      <c r="F13" s="47" t="n">
        <v>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0.3</v>
      </c>
      <c r="F14" s="47" t="n">
        <v>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1.5</v>
      </c>
      <c r="J15" s="47" t="n">
        <v>3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39</v>
      </c>
      <c r="F16" s="47" t="n">
        <v>54</v>
      </c>
      <c r="G16" s="47" t="n">
        <v>66</v>
      </c>
      <c r="H16" s="47" t="n">
        <v>66</v>
      </c>
      <c r="I16" s="47" t="n">
        <v>30</v>
      </c>
      <c r="J16" s="47" t="n">
        <v>48</v>
      </c>
      <c r="K16" s="47" t="n">
        <v>66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8</v>
      </c>
      <c r="F17" s="47" t="n">
        <v>38</v>
      </c>
      <c r="G17" s="47" t="n">
        <v>40</v>
      </c>
      <c r="H17" s="47" t="n">
        <v>40</v>
      </c>
      <c r="I17" s="47" t="n">
        <v>31</v>
      </c>
      <c r="J17" s="47" t="n">
        <v>40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15</v>
      </c>
      <c r="F18" s="47" t="n">
        <v>91</v>
      </c>
      <c r="G18" s="47" t="n">
        <v>103</v>
      </c>
      <c r="H18" s="47" t="n">
        <v>83</v>
      </c>
      <c r="I18" s="47" t="n">
        <v>89</v>
      </c>
      <c r="J18" s="47" t="n">
        <v>101</v>
      </c>
      <c r="K18" s="47" t="n">
        <v>103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2</v>
      </c>
      <c r="F19" s="47" t="n">
        <v>2</v>
      </c>
      <c r="G19" s="47" t="n">
        <v>16</v>
      </c>
      <c r="H19" s="47" t="n">
        <v>16</v>
      </c>
      <c r="I19" s="47" t="n">
        <v>14</v>
      </c>
      <c r="J19" s="47" t="n">
        <v>16</v>
      </c>
      <c r="K19" s="47" t="n">
        <v>12</v>
      </c>
      <c r="L19" s="47" t="n">
        <v>16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2</v>
      </c>
      <c r="F20" s="47" t="n">
        <v>4</v>
      </c>
      <c r="G20" s="47" t="n">
        <v>8</v>
      </c>
      <c r="H20" s="47" t="n">
        <v>8</v>
      </c>
      <c r="I20" s="47" t="n">
        <v>2</v>
      </c>
      <c r="J20" s="47" t="n">
        <v>8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91</v>
      </c>
      <c r="E21" s="47" t="n">
        <v>13</v>
      </c>
      <c r="F21" s="47" t="n">
        <v>88</v>
      </c>
      <c r="G21" s="47" t="n">
        <v>92</v>
      </c>
      <c r="H21" s="47" t="n">
        <v>92</v>
      </c>
      <c r="I21" s="47" t="n">
        <v>86</v>
      </c>
      <c r="J21" s="47" t="n">
        <v>92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4</v>
      </c>
      <c r="F22" s="47" t="n">
        <v>82</v>
      </c>
      <c r="G22" s="47" t="n">
        <v>104</v>
      </c>
      <c r="H22" s="47" t="n">
        <v>92</v>
      </c>
      <c r="I22" s="47" t="n">
        <v>98</v>
      </c>
      <c r="J22" s="47" t="n">
        <v>104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7</v>
      </c>
      <c r="F23" s="47" t="n">
        <v>7</v>
      </c>
      <c r="G23" s="47" t="n">
        <v>13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58</v>
      </c>
      <c r="E24" s="47" t="n">
        <v>20</v>
      </c>
      <c r="F24" s="47" t="n">
        <v>46</v>
      </c>
      <c r="G24" s="47" t="n">
        <v>60</v>
      </c>
      <c r="H24" s="47" t="n">
        <v>54</v>
      </c>
      <c r="I24" s="47" t="n">
        <v>55</v>
      </c>
      <c r="J24" s="47" t="n">
        <v>60</v>
      </c>
      <c r="K24" s="47" t="n">
        <v>57</v>
      </c>
      <c r="L24" s="47" t="n">
        <v>60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16</v>
      </c>
      <c r="F25" s="47" t="n">
        <v>138</v>
      </c>
      <c r="G25" s="47" t="n">
        <v>170</v>
      </c>
      <c r="H25" s="47" t="n">
        <v>159</v>
      </c>
      <c r="I25" s="47" t="n">
        <v>117</v>
      </c>
      <c r="J25" s="47" t="n">
        <v>167</v>
      </c>
      <c r="K25" s="47" t="n">
        <v>167</v>
      </c>
      <c r="L25" s="47" t="n">
        <v>170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236</v>
      </c>
      <c r="E26" s="47" t="n">
        <v>5</v>
      </c>
      <c r="F26" s="47" t="n">
        <v>214</v>
      </c>
      <c r="G26" s="47" t="n">
        <v>237</v>
      </c>
      <c r="H26" s="47" t="n">
        <v>215</v>
      </c>
      <c r="I26" s="47" t="n">
        <v>189</v>
      </c>
      <c r="J26" s="47" t="n">
        <v>234</v>
      </c>
      <c r="K26" s="47" t="n">
        <v>237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2</v>
      </c>
      <c r="F27" s="47" t="n">
        <v>8</v>
      </c>
      <c r="G27" s="47" t="n">
        <v>8</v>
      </c>
      <c r="H27" s="47" t="n">
        <v>8</v>
      </c>
      <c r="I27" s="47" t="n">
        <v>3</v>
      </c>
      <c r="J27" s="47" t="n">
        <v>8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3</v>
      </c>
      <c r="G28" s="47" t="n">
        <v>6</v>
      </c>
      <c r="H28" s="47" t="n">
        <v>6</v>
      </c>
      <c r="I28" s="47" t="n">
        <v>3</v>
      </c>
      <c r="J28" s="47" t="n">
        <v>6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4</v>
      </c>
      <c r="F29" s="47" t="n">
        <v>7</v>
      </c>
      <c r="G29" s="47" t="n">
        <v>8</v>
      </c>
      <c r="H29" s="47" t="n">
        <v>5</v>
      </c>
      <c r="I29" s="47" t="n">
        <v>2</v>
      </c>
      <c r="J29" s="47" t="n">
        <v>7</v>
      </c>
      <c r="K29" s="47" t="n">
        <v>8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2</v>
      </c>
      <c r="F30" s="47" t="n">
        <v>30</v>
      </c>
      <c r="G30" s="47" t="n">
        <v>44</v>
      </c>
      <c r="H30" s="47" t="n">
        <v>42</v>
      </c>
      <c r="I30" s="47" t="n">
        <v>27</v>
      </c>
      <c r="J30" s="47" t="n">
        <v>44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5</v>
      </c>
      <c r="F31" s="47" t="n">
        <v>23</v>
      </c>
      <c r="G31" s="47" t="n">
        <v>23</v>
      </c>
      <c r="H31" s="47" t="n">
        <v>21</v>
      </c>
      <c r="I31" s="47" t="n">
        <v>2</v>
      </c>
      <c r="J31" s="47" t="n">
        <v>23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0.8</v>
      </c>
      <c r="J32" s="47" t="n">
        <v>2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1</v>
      </c>
      <c r="F33" s="47" t="n">
        <v>18</v>
      </c>
      <c r="G33" s="47" t="n">
        <v>20</v>
      </c>
      <c r="H33" s="47" t="n">
        <v>20</v>
      </c>
      <c r="I33" s="47" t="n">
        <v>12</v>
      </c>
      <c r="J33" s="47" t="n">
        <v>20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</v>
      </c>
      <c r="F34" s="47" t="n">
        <v>12</v>
      </c>
      <c r="G34" s="47" t="n">
        <v>15</v>
      </c>
      <c r="H34" s="47" t="n">
        <v>15</v>
      </c>
      <c r="I34" s="47" t="n">
        <v>15</v>
      </c>
      <c r="J34" s="47" t="n">
        <v>12</v>
      </c>
      <c r="K34" s="47" t="n">
        <v>15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</v>
      </c>
      <c r="F35" s="47" t="n">
        <v>10</v>
      </c>
      <c r="G35" s="47" t="n">
        <v>10</v>
      </c>
      <c r="H35" s="47" t="n">
        <v>10</v>
      </c>
      <c r="I35" s="47" t="n">
        <v>6</v>
      </c>
      <c r="J35" s="47" t="n">
        <v>10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2</v>
      </c>
      <c r="F36" s="47" t="n">
        <v>9</v>
      </c>
      <c r="G36" s="47" t="n">
        <v>12</v>
      </c>
      <c r="H36" s="47" t="n">
        <v>11</v>
      </c>
      <c r="I36" s="47" t="n">
        <v>10</v>
      </c>
      <c r="J36" s="47" t="n">
        <v>11</v>
      </c>
      <c r="K36" s="47" t="n">
        <v>12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8</v>
      </c>
      <c r="F37" s="47" t="n">
        <v>38</v>
      </c>
      <c r="G37" s="47" t="n">
        <v>47</v>
      </c>
      <c r="H37" s="47" t="n">
        <v>46</v>
      </c>
      <c r="I37" s="47" t="n">
        <v>28</v>
      </c>
      <c r="J37" s="47" t="n">
        <v>47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7</v>
      </c>
      <c r="F38" s="47" t="n">
        <v>45</v>
      </c>
      <c r="G38" s="47" t="n">
        <v>45</v>
      </c>
      <c r="H38" s="47" t="n">
        <v>41</v>
      </c>
      <c r="I38" s="47" t="n">
        <v>43</v>
      </c>
      <c r="J38" s="47" t="n">
        <v>45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1</v>
      </c>
      <c r="F39" s="47" t="n">
        <v>7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6</v>
      </c>
      <c r="F40" s="47" t="n">
        <v>18</v>
      </c>
      <c r="G40" s="47" t="n">
        <v>34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4</v>
      </c>
      <c r="F41" s="47" t="n">
        <v>109</v>
      </c>
      <c r="G41" s="47" t="n">
        <v>123</v>
      </c>
      <c r="H41" s="47" t="n">
        <v>121</v>
      </c>
      <c r="I41" s="47" t="n">
        <v>83</v>
      </c>
      <c r="J41" s="47" t="n">
        <v>123</v>
      </c>
      <c r="K41" s="47" t="n">
        <v>122</v>
      </c>
      <c r="L41" s="47" t="n">
        <v>123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91</v>
      </c>
      <c r="E42" s="47" t="n">
        <v>3</v>
      </c>
      <c r="F42" s="47" t="n">
        <v>91</v>
      </c>
      <c r="G42" s="47" t="n">
        <v>92</v>
      </c>
      <c r="H42" s="47" t="n">
        <v>85</v>
      </c>
      <c r="I42" s="47" t="n">
        <v>67</v>
      </c>
      <c r="J42" s="47" t="n">
        <v>92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22</v>
      </c>
      <c r="F43" s="47" t="n">
        <v>44</v>
      </c>
      <c r="G43" s="47" t="n">
        <v>61</v>
      </c>
      <c r="H43" s="47" t="n">
        <v>61</v>
      </c>
      <c r="I43" s="47" t="n">
        <v>40</v>
      </c>
      <c r="J43" s="47" t="n">
        <v>61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1</v>
      </c>
      <c r="F44" s="47" t="n">
        <v>1</v>
      </c>
      <c r="G44" s="47" t="n">
        <v>2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2</v>
      </c>
      <c r="J45" s="47" t="n">
        <v>5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29</v>
      </c>
      <c r="F46" s="47" t="n">
        <v>217</v>
      </c>
      <c r="G46" s="47" t="n">
        <v>224</v>
      </c>
      <c r="H46" s="47" t="n">
        <v>224</v>
      </c>
      <c r="I46" s="47" t="n">
        <v>169</v>
      </c>
      <c r="J46" s="47" t="n">
        <v>217</v>
      </c>
      <c r="K46" s="47" t="n">
        <v>224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</v>
      </c>
      <c r="F47" s="47" t="n">
        <v>11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2</v>
      </c>
      <c r="F48" s="47" t="n">
        <v>4</v>
      </c>
      <c r="G48" s="47" t="n">
        <v>4</v>
      </c>
      <c r="H48" s="47" t="n">
        <v>4</v>
      </c>
      <c r="I48" s="47" t="n">
        <v>2</v>
      </c>
      <c r="J48" s="47" t="n">
        <v>4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6</v>
      </c>
      <c r="F49" s="47" t="n">
        <v>19</v>
      </c>
      <c r="G49" s="47" t="n">
        <v>26</v>
      </c>
      <c r="H49" s="47" t="n">
        <v>23</v>
      </c>
      <c r="I49" s="47" t="n">
        <v>23</v>
      </c>
      <c r="J49" s="47" t="n">
        <v>23</v>
      </c>
      <c r="K49" s="47" t="n">
        <v>26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0.3</v>
      </c>
      <c r="F50" s="47" t="n">
        <v>0.8</v>
      </c>
      <c r="G50" s="47" t="n">
        <v>1</v>
      </c>
      <c r="H50" s="47" t="n">
        <v>0.8</v>
      </c>
      <c r="I50" s="47" t="n">
        <v>0.7</v>
      </c>
      <c r="J50" s="47" t="n">
        <v>0.8</v>
      </c>
      <c r="K50" s="47" t="n">
        <v>1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1</v>
      </c>
      <c r="F51" s="47" t="n">
        <v>2</v>
      </c>
      <c r="G51" s="47" t="n">
        <v>2</v>
      </c>
      <c r="H51" s="47" t="n">
        <v>2</v>
      </c>
      <c r="I51" s="47" t="n">
        <v>1</v>
      </c>
      <c r="J51" s="47" t="n">
        <v>2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2.5</v>
      </c>
      <c r="F52" s="47" t="n">
        <v>14</v>
      </c>
      <c r="G52" s="47" t="n">
        <v>14</v>
      </c>
      <c r="H52" s="47" t="n">
        <v>14</v>
      </c>
      <c r="I52" s="47" t="n">
        <v>10</v>
      </c>
      <c r="J52" s="47" t="n">
        <v>14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9</v>
      </c>
      <c r="F53" s="47" t="n">
        <v>18</v>
      </c>
      <c r="G53" s="47" t="n">
        <v>18</v>
      </c>
      <c r="H53" s="47" t="n">
        <v>18</v>
      </c>
      <c r="I53" s="47" t="n">
        <v>9</v>
      </c>
      <c r="J53" s="47" t="n">
        <v>18</v>
      </c>
      <c r="K53" s="47" t="n">
        <v>16.5</v>
      </c>
      <c r="L53" s="47" t="n">
        <v>18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0.67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1</v>
      </c>
      <c r="F55" s="47" t="n">
        <v>3</v>
      </c>
      <c r="G55" s="47" t="n">
        <v>3</v>
      </c>
      <c r="H55" s="47" t="n">
        <v>3</v>
      </c>
      <c r="I55" s="47" t="n">
        <v>2</v>
      </c>
      <c r="J55" s="47" t="n">
        <v>3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</v>
      </c>
      <c r="F56" s="47" t="n">
        <v>24</v>
      </c>
      <c r="G56" s="47" t="n">
        <v>30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4</v>
      </c>
      <c r="F57" s="47" t="n">
        <v>11</v>
      </c>
      <c r="G57" s="47" t="n">
        <v>17</v>
      </c>
      <c r="H57" s="47" t="n">
        <v>11</v>
      </c>
      <c r="I57" s="47" t="n">
        <v>3</v>
      </c>
      <c r="J57" s="47" t="n">
        <v>17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5</v>
      </c>
      <c r="F58" s="47" t="n">
        <v>28</v>
      </c>
      <c r="G58" s="47" t="n">
        <v>28</v>
      </c>
      <c r="H58" s="47" t="n">
        <v>28</v>
      </c>
      <c r="I58" s="47" t="n">
        <v>21</v>
      </c>
      <c r="J58" s="47" t="n">
        <v>28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</v>
      </c>
      <c r="F59" s="47" t="n">
        <v>10</v>
      </c>
      <c r="G59" s="47" t="n">
        <v>16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1.5</v>
      </c>
      <c r="F60" s="47" t="n">
        <v>33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3</v>
      </c>
      <c r="F61" s="47" t="n">
        <v>6</v>
      </c>
      <c r="G61" s="47" t="n">
        <v>6</v>
      </c>
      <c r="H61" s="47" t="n">
        <v>6</v>
      </c>
      <c r="I61" s="47" t="n">
        <v>4</v>
      </c>
      <c r="J61" s="47" t="n">
        <v>6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1</v>
      </c>
      <c r="F62" s="47" t="n">
        <v>3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3</v>
      </c>
      <c r="F63" s="47" t="n">
        <v>6</v>
      </c>
      <c r="G63" s="47" t="n">
        <v>15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3</v>
      </c>
      <c r="G64" s="47" t="n">
        <v>6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28</v>
      </c>
      <c r="F65" s="47" t="n">
        <v>97</v>
      </c>
      <c r="G65" s="47" t="n">
        <v>108</v>
      </c>
      <c r="H65" s="47" t="n">
        <v>91</v>
      </c>
      <c r="I65" s="47" t="n">
        <v>87</v>
      </c>
      <c r="J65" s="47" t="n">
        <v>104</v>
      </c>
      <c r="K65" s="47" t="n">
        <v>108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1</v>
      </c>
      <c r="F66" s="47" t="n">
        <v>5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3</v>
      </c>
      <c r="F67" s="47" t="n">
        <v>4</v>
      </c>
      <c r="G67" s="47" t="n">
        <v>4</v>
      </c>
      <c r="H67" s="47" t="n">
        <v>4</v>
      </c>
      <c r="I67" s="47" t="n">
        <v>4</v>
      </c>
      <c r="J67" s="47" t="n">
        <v>1</v>
      </c>
      <c r="K67" s="47" t="n">
        <v>4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gh (h)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CAREMARK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CAREMARK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CAREMARK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CAREMARK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RELAYHLTH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RELAYHLTH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RELAYHLTH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RELAYHLTH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CAREMARK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EXPRESS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CAREMARK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CAREMARK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EXPRESS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EXPRESS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EXPRESS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EXPRESS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EXPRESS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EXPRESS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EXPRESS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EXPRESS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EXPRESS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EXPRESS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CAREMARK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EXPRESS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EXPRESS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EXPRESS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EXPRESS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EXPRESS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EXPRESS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EXPRESS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EXPRESS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EXPRESS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CAREMARK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CAREMARK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EXPRESS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EXPRESS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CAREMARK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CAREMARK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CAREMARK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CAREMARK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CAREMARK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CAREMARK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CAREMARK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CAREMARK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EXPRESS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CAREMARK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CAREMARK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EXPRESS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EXPRESS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CAREMARK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28" customWidth="1" min="7" max="7"/>
    <col width="13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2" customWidth="1" min="14" max="14"/>
    <col width="14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9" customWidth="1" min="21" max="21"/>
    <col width="28" customWidth="1" min="22" max="22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Therapy Key</t>
        </is>
      </c>
      <c r="H2" s="51" t="inlineStr">
        <is>
          <t>Last Fill Date</t>
        </is>
      </c>
      <c r="I2" s="51" t="inlineStr">
        <is>
          <t>Days Supply</t>
        </is>
      </c>
      <c r="J2" s="51" t="inlineStr">
        <is>
          <t>Refills Left</t>
        </is>
      </c>
      <c r="K2" s="51" t="inlineStr">
        <is>
          <t>Expected Refill Date</t>
        </is>
      </c>
      <c r="L2" s="51" t="inlineStr">
        <is>
          <t>Days Overdue</t>
        </is>
      </c>
      <c r="M2" s="51" t="inlineStr">
        <is>
          <t>Covered by Other Rx</t>
        </is>
      </c>
      <c r="N2" s="51" t="inlineStr">
        <is>
          <t>Covering Rx #</t>
        </is>
      </c>
      <c r="O2" s="51" t="inlineStr">
        <is>
          <t>Covering Fill Date</t>
        </is>
      </c>
      <c r="P2" s="51" t="inlineStr">
        <is>
          <t>Final Action</t>
        </is>
      </c>
      <c r="Q2" s="51" t="inlineStr">
        <is>
          <t>Est Recoverable $</t>
        </is>
      </c>
      <c r="R2" s="51" t="inlineStr">
        <is>
          <t>Rx Status</t>
        </is>
      </c>
      <c r="S2" s="51" t="inlineStr">
        <is>
          <t>Workflow Status</t>
        </is>
      </c>
      <c r="T2" s="51" t="inlineStr">
        <is>
          <t>Processor</t>
        </is>
      </c>
      <c r="U2" s="51" t="inlineStr">
        <is>
          <t>BIN</t>
        </is>
      </c>
      <c r="V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36" t="inlineStr">
        <is>
          <t>_19931105|</t>
        </is>
      </c>
      <c r="H3" s="58" t="n">
        <v>45932</v>
      </c>
      <c r="I3" s="36" t="n">
        <v>28</v>
      </c>
      <c r="J3" s="36" t="n">
        <v>4</v>
      </c>
      <c r="K3" s="58" t="n">
        <v>45960</v>
      </c>
      <c r="L3" s="36" t="n">
        <v>123</v>
      </c>
      <c r="M3" s="36" t="inlineStr">
        <is>
          <t>Yes</t>
        </is>
      </c>
      <c r="N3" s="36" t="inlineStr">
        <is>
          <t>122800</t>
        </is>
      </c>
      <c r="O3" s="58" t="n">
        <v>46077</v>
      </c>
      <c r="P3" s="36" t="inlineStr">
        <is>
          <t>Covered by Other Rx</t>
        </is>
      </c>
      <c r="Q3" s="55" t="n">
        <v>0</v>
      </c>
      <c r="R3" s="36" t="inlineStr">
        <is>
          <t>Paid-Ins</t>
        </is>
      </c>
      <c r="S3" s="36" t="inlineStr">
        <is>
          <t>Picked Up</t>
        </is>
      </c>
      <c r="T3" s="36" t="inlineStr">
        <is>
          <t>NYM</t>
        </is>
      </c>
      <c r="U3" s="36" t="inlineStr">
        <is>
          <t>004740</t>
        </is>
      </c>
      <c r="V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36" t="inlineStr">
        <is>
          <t>_19560215|</t>
        </is>
      </c>
      <c r="H4" s="58" t="n">
        <v>45931</v>
      </c>
      <c r="I4" s="36" t="n">
        <v>30</v>
      </c>
      <c r="J4" s="36" t="n">
        <v>4</v>
      </c>
      <c r="K4" s="58" t="n">
        <v>45961</v>
      </c>
      <c r="L4" s="36" t="n">
        <v>122</v>
      </c>
      <c r="M4" s="36" t="inlineStr">
        <is>
          <t>Yes</t>
        </is>
      </c>
      <c r="N4" s="36" t="inlineStr">
        <is>
          <t>145422</t>
        </is>
      </c>
      <c r="O4" s="58" t="n">
        <v>46083</v>
      </c>
      <c r="P4" s="36" t="inlineStr">
        <is>
          <t>Covered by Other Rx</t>
        </is>
      </c>
      <c r="Q4" s="55" t="n">
        <v>0</v>
      </c>
      <c r="R4" s="36" t="inlineStr">
        <is>
          <t>Paid-Ins</t>
        </is>
      </c>
      <c r="S4" s="36" t="inlineStr">
        <is>
          <t>Picked Up</t>
        </is>
      </c>
      <c r="T4" s="36" t="inlineStr">
        <is>
          <t>CVS</t>
        </is>
      </c>
      <c r="U4" s="36" t="inlineStr">
        <is>
          <t>004336</t>
        </is>
      </c>
      <c r="V4" s="36" t="inlineStr">
        <is>
          <t>Dhrami  Elona</t>
        </is>
      </c>
    </row>
    <row r="5">
      <c r="A5" s="36" t="inlineStr">
        <is>
          <t>121901</t>
        </is>
      </c>
      <c r="B5" s="36" t="inlineStr">
        <is>
          <t>FUENTES  CARMEN</t>
        </is>
      </c>
      <c r="C5" s="58" t="inlineStr">
        <is>
          <t>04-23-1958</t>
        </is>
      </c>
      <c r="D5" s="36" t="n">
        <v/>
      </c>
      <c r="E5" s="36" t="inlineStr">
        <is>
          <t>TRELEGY ELLIPTA 200-62.5-25 MCG/ACT INHALATION AER</t>
        </is>
      </c>
      <c r="F5" s="36" t="inlineStr">
        <is>
          <t>00173089310</t>
        </is>
      </c>
      <c r="G5" s="36" t="inlineStr">
        <is>
          <t>_19580423|</t>
        </is>
      </c>
      <c r="H5" s="58" t="n">
        <v>45932</v>
      </c>
      <c r="I5" s="36" t="n">
        <v>30</v>
      </c>
      <c r="J5" s="36" t="n">
        <v>10</v>
      </c>
      <c r="K5" s="58" t="n">
        <v>45962</v>
      </c>
      <c r="L5" s="36" t="n">
        <v>121</v>
      </c>
      <c r="M5" s="36" t="inlineStr">
        <is>
          <t>Yes</t>
        </is>
      </c>
      <c r="N5" s="36" t="inlineStr">
        <is>
          <t>111478</t>
        </is>
      </c>
      <c r="O5" s="58" t="n">
        <v>46063</v>
      </c>
      <c r="P5" s="36" t="inlineStr">
        <is>
          <t>Covered by Other Rx</t>
        </is>
      </c>
      <c r="Q5" s="55" t="n">
        <v>0</v>
      </c>
      <c r="R5" s="36" t="inlineStr">
        <is>
          <t>Paid-Ins</t>
        </is>
      </c>
      <c r="S5" s="36" t="inlineStr">
        <is>
          <t>Picked Up</t>
        </is>
      </c>
      <c r="T5" s="36" t="inlineStr">
        <is>
          <t>ESI</t>
        </is>
      </c>
      <c r="U5" s="36" t="inlineStr">
        <is>
          <t>610014</t>
        </is>
      </c>
      <c r="V5" s="36" t="inlineStr">
        <is>
          <t>Luyten  Elijah</t>
        </is>
      </c>
    </row>
    <row r="6">
      <c r="A6" s="36" t="inlineStr">
        <is>
          <t>101701</t>
        </is>
      </c>
      <c r="B6" s="36" t="inlineStr">
        <is>
          <t>RIVERA  CARMEN</t>
        </is>
      </c>
      <c r="C6" s="58" t="inlineStr">
        <is>
          <t>03-13-1955</t>
        </is>
      </c>
      <c r="D6" s="36" t="inlineStr">
        <is>
          <t>646-327-1371</t>
        </is>
      </c>
      <c r="E6" s="36" t="inlineStr">
        <is>
          <t>RESTASIS MULTIDOSE 0.05 % OPHTHALMIC EMULSION</t>
        </is>
      </c>
      <c r="F6" s="36" t="inlineStr">
        <is>
          <t>00023530105</t>
        </is>
      </c>
      <c r="G6" s="36" t="inlineStr">
        <is>
          <t>_19550313|</t>
        </is>
      </c>
      <c r="H6" s="58" t="n">
        <v>45934</v>
      </c>
      <c r="I6" s="36" t="n">
        <v>30</v>
      </c>
      <c r="J6" s="36" t="n">
        <v>1</v>
      </c>
      <c r="K6" s="58" t="n">
        <v>45964</v>
      </c>
      <c r="L6" s="36" t="n">
        <v>119</v>
      </c>
      <c r="M6" s="36" t="inlineStr">
        <is>
          <t>Yes</t>
        </is>
      </c>
      <c r="N6" s="36" t="inlineStr">
        <is>
          <t>128752</t>
        </is>
      </c>
      <c r="O6" s="58" t="n">
        <v>46045</v>
      </c>
      <c r="P6" s="36" t="inlineStr">
        <is>
          <t>Covered by Other Rx</t>
        </is>
      </c>
      <c r="Q6" s="55" t="n">
        <v>0</v>
      </c>
      <c r="R6" s="36" t="inlineStr">
        <is>
          <t>Paid-Ins</t>
        </is>
      </c>
      <c r="S6" s="36" t="inlineStr">
        <is>
          <t>Picked Up</t>
        </is>
      </c>
      <c r="T6" s="36" t="inlineStr">
        <is>
          <t>CVS</t>
        </is>
      </c>
      <c r="U6" s="36" t="inlineStr">
        <is>
          <t>004336</t>
        </is>
      </c>
      <c r="V6" s="36" t="inlineStr">
        <is>
          <t>Kelly  James</t>
        </is>
      </c>
    </row>
    <row r="7">
      <c r="A7" s="36" t="inlineStr">
        <is>
          <t>126046</t>
        </is>
      </c>
      <c r="B7" s="36" t="inlineStr">
        <is>
          <t>VALDEZ  CRISTINA</t>
        </is>
      </c>
      <c r="C7" s="58" t="inlineStr">
        <is>
          <t>05-14-1938</t>
        </is>
      </c>
      <c r="D7" s="36" t="inlineStr">
        <is>
          <t>917-396-0489</t>
        </is>
      </c>
      <c r="E7" s="36" t="inlineStr">
        <is>
          <t>MOUNJARO 5 MG/0.5ML PEN-INJECTOR</t>
        </is>
      </c>
      <c r="F7" s="36" t="inlineStr">
        <is>
          <t>00002149580</t>
        </is>
      </c>
      <c r="G7" s="36" t="inlineStr">
        <is>
          <t>_19380514|</t>
        </is>
      </c>
      <c r="H7" s="58" t="n">
        <v>45937</v>
      </c>
      <c r="I7" s="36" t="n">
        <v>28</v>
      </c>
      <c r="J7" s="36" t="n">
        <v>5</v>
      </c>
      <c r="K7" s="58" t="n">
        <v>45965</v>
      </c>
      <c r="L7" s="36" t="n">
        <v>118</v>
      </c>
      <c r="M7" s="36" t="inlineStr">
        <is>
          <t>Yes</t>
        </is>
      </c>
      <c r="N7" s="36" t="inlineStr">
        <is>
          <t>133268</t>
        </is>
      </c>
      <c r="O7" s="58" t="n">
        <v>46077</v>
      </c>
      <c r="P7" s="36" t="inlineStr">
        <is>
          <t>Covered by Other Rx</t>
        </is>
      </c>
      <c r="Q7" s="55" t="n">
        <v>0</v>
      </c>
      <c r="R7" s="36" t="inlineStr">
        <is>
          <t>Paid-Ins</t>
        </is>
      </c>
      <c r="S7" s="36" t="inlineStr">
        <is>
          <t>Picked Up</t>
        </is>
      </c>
      <c r="T7" s="36" t="inlineStr">
        <is>
          <t>CVS</t>
        </is>
      </c>
      <c r="U7" s="36" t="inlineStr">
        <is>
          <t>004336</t>
        </is>
      </c>
      <c r="V7" s="36" t="inlineStr">
        <is>
          <t>Fasciglione  Kimberly</t>
        </is>
      </c>
    </row>
    <row r="8">
      <c r="A8" s="36" t="inlineStr">
        <is>
          <t>83344</t>
        </is>
      </c>
      <c r="B8" s="36" t="inlineStr">
        <is>
          <t>NUNEZVAZQUEZ  MIRELY</t>
        </is>
      </c>
      <c r="C8" s="58" t="inlineStr">
        <is>
          <t>07-08-2000</t>
        </is>
      </c>
      <c r="D8" s="36" t="n">
        <v/>
      </c>
      <c r="E8" s="36" t="inlineStr">
        <is>
          <t>DEXCOM G7 SENSOR</t>
        </is>
      </c>
      <c r="F8" s="36" t="inlineStr">
        <is>
          <t>08627007701</t>
        </is>
      </c>
      <c r="G8" s="36" t="inlineStr">
        <is>
          <t>_20000708|</t>
        </is>
      </c>
      <c r="H8" s="58" t="n">
        <v>45936</v>
      </c>
      <c r="I8" s="36" t="n">
        <v>30</v>
      </c>
      <c r="J8" s="36" t="n">
        <v>5</v>
      </c>
      <c r="K8" s="58" t="n">
        <v>45966</v>
      </c>
      <c r="L8" s="36" t="n">
        <v>117</v>
      </c>
      <c r="M8" s="36" t="inlineStr">
        <is>
          <t>Yes</t>
        </is>
      </c>
      <c r="N8" s="36" t="inlineStr">
        <is>
          <t>129582</t>
        </is>
      </c>
      <c r="O8" s="58" t="n">
        <v>46056</v>
      </c>
      <c r="P8" s="36" t="inlineStr">
        <is>
          <t>Covered by Other Rx</t>
        </is>
      </c>
      <c r="Q8" s="55" t="n">
        <v>0</v>
      </c>
      <c r="R8" s="36" t="inlineStr">
        <is>
          <t>Paid-Ins</t>
        </is>
      </c>
      <c r="S8" s="36" t="inlineStr">
        <is>
          <t>Picked Up</t>
        </is>
      </c>
      <c r="T8" s="36" t="inlineStr">
        <is>
          <t>NYM</t>
        </is>
      </c>
      <c r="U8" s="36" t="inlineStr">
        <is>
          <t>004740</t>
        </is>
      </c>
      <c r="V8" s="36" t="inlineStr">
        <is>
          <t>FRANCES  SYLVAINE</t>
        </is>
      </c>
    </row>
    <row r="9">
      <c r="A9" s="36" t="inlineStr">
        <is>
          <t>122551</t>
        </is>
      </c>
      <c r="B9" s="36" t="inlineStr">
        <is>
          <t>WILLIAMS  LAKEISHA</t>
        </is>
      </c>
      <c r="C9" s="58" t="inlineStr">
        <is>
          <t>01-03-1976</t>
        </is>
      </c>
      <c r="D9" s="36" t="n">
        <v/>
      </c>
      <c r="E9" s="36" t="inlineStr">
        <is>
          <t>ADVAIR DISKUS 250-50MCG/DOSE AEROSOL 60EA</t>
        </is>
      </c>
      <c r="F9" s="36" t="inlineStr">
        <is>
          <t>00173069600</t>
        </is>
      </c>
      <c r="G9" s="36" t="inlineStr">
        <is>
          <t>_19760103|</t>
        </is>
      </c>
      <c r="H9" s="58" t="n">
        <v>45938</v>
      </c>
      <c r="I9" s="36" t="n">
        <v>30</v>
      </c>
      <c r="J9" s="36" t="n">
        <v>1</v>
      </c>
      <c r="K9" s="58" t="n">
        <v>45968</v>
      </c>
      <c r="L9" s="36" t="n">
        <v>115</v>
      </c>
      <c r="M9" s="36" t="inlineStr">
        <is>
          <t>Yes</t>
        </is>
      </c>
      <c r="N9" s="36" t="inlineStr">
        <is>
          <t>141025</t>
        </is>
      </c>
      <c r="O9" s="58" t="n">
        <v>46079</v>
      </c>
      <c r="P9" s="36" t="inlineStr">
        <is>
          <t>Covered by Other Rx</t>
        </is>
      </c>
      <c r="Q9" s="55" t="n">
        <v>0</v>
      </c>
      <c r="R9" s="36" t="inlineStr">
        <is>
          <t>Paid-Ins</t>
        </is>
      </c>
      <c r="S9" s="36" t="inlineStr">
        <is>
          <t>Picked Up</t>
        </is>
      </c>
      <c r="T9" s="36" t="inlineStr">
        <is>
          <t>CVS</t>
        </is>
      </c>
      <c r="U9" s="36" t="inlineStr">
        <is>
          <t>004336</t>
        </is>
      </c>
      <c r="V9" s="36" t="inlineStr">
        <is>
          <t>Cardenas  Deni</t>
        </is>
      </c>
    </row>
    <row r="10">
      <c r="A10" s="36" t="inlineStr">
        <is>
          <t>115719</t>
        </is>
      </c>
      <c r="B10" s="36" t="inlineStr">
        <is>
          <t>TAVERAS  MARIA</t>
        </is>
      </c>
      <c r="C10" s="58" t="inlineStr">
        <is>
          <t>11-25-1948</t>
        </is>
      </c>
      <c r="D10" s="36" t="inlineStr">
        <is>
          <t>646-305-3117</t>
        </is>
      </c>
      <c r="E10" s="36" t="inlineStr">
        <is>
          <t>CONTOUR NEXT TEST  STRIPS</t>
        </is>
      </c>
      <c r="F10" s="36" t="inlineStr">
        <is>
          <t>00193731150</t>
        </is>
      </c>
      <c r="G10" s="36" t="inlineStr">
        <is>
          <t>_19481125|STRIPSONLY</t>
        </is>
      </c>
      <c r="H10" s="58" t="n">
        <v>45943</v>
      </c>
      <c r="I10" s="36" t="n">
        <v>30</v>
      </c>
      <c r="J10" s="36" t="n">
        <v>4</v>
      </c>
      <c r="K10" s="58" t="n">
        <v>45973</v>
      </c>
      <c r="L10" s="36" t="n">
        <v>110</v>
      </c>
      <c r="M10" s="36" t="inlineStr">
        <is>
          <t>Yes</t>
        </is>
      </c>
      <c r="N10" s="36" t="inlineStr">
        <is>
          <t>138425</t>
        </is>
      </c>
      <c r="O10" s="58" t="n">
        <v>46032</v>
      </c>
      <c r="P10" s="36" t="inlineStr">
        <is>
          <t>Covered by Other Rx</t>
        </is>
      </c>
      <c r="Q10" s="55" t="n">
        <v>0</v>
      </c>
      <c r="R10" s="36" t="inlineStr">
        <is>
          <t>Paid-Ins</t>
        </is>
      </c>
      <c r="S10" s="36" t="inlineStr">
        <is>
          <t>Picked Up</t>
        </is>
      </c>
      <c r="T10" s="36" t="inlineStr">
        <is>
          <t>CVS</t>
        </is>
      </c>
      <c r="U10" s="36" t="inlineStr">
        <is>
          <t>004336</t>
        </is>
      </c>
      <c r="V10" s="36" t="inlineStr">
        <is>
          <t>DELACRUZ FERNANDEZ  JOSE</t>
        </is>
      </c>
    </row>
    <row r="11">
      <c r="A11" s="36" t="inlineStr">
        <is>
          <t>127047</t>
        </is>
      </c>
      <c r="B11" s="36" t="inlineStr">
        <is>
          <t>LOPEZ  SANTO</t>
        </is>
      </c>
      <c r="C11" s="58" t="inlineStr">
        <is>
          <t>01-01-1978</t>
        </is>
      </c>
      <c r="D11" s="36" t="inlineStr">
        <is>
          <t>917-774-7038</t>
        </is>
      </c>
      <c r="E11" s="36" t="inlineStr">
        <is>
          <t>LOKELMA 10GM PACK</t>
        </is>
      </c>
      <c r="F11" s="36" t="inlineStr">
        <is>
          <t>00310111030</t>
        </is>
      </c>
      <c r="G11" s="36" t="inlineStr">
        <is>
          <t>_19780101|</t>
        </is>
      </c>
      <c r="H11" s="58" t="n">
        <v>45944</v>
      </c>
      <c r="I11" s="36" t="n">
        <v>30</v>
      </c>
      <c r="J11" s="36" t="n">
        <v>3</v>
      </c>
      <c r="K11" s="58" t="n">
        <v>45974</v>
      </c>
      <c r="L11" s="36" t="n">
        <v>109</v>
      </c>
      <c r="M11" s="36" t="inlineStr">
        <is>
          <t>Yes</t>
        </is>
      </c>
      <c r="N11" s="36" t="inlineStr">
        <is>
          <t>138193</t>
        </is>
      </c>
      <c r="O11" s="58" t="n">
        <v>46030</v>
      </c>
      <c r="P11" s="36" t="inlineStr">
        <is>
          <t>Covered by Other Rx</t>
        </is>
      </c>
      <c r="Q11" s="55" t="n">
        <v>0</v>
      </c>
      <c r="R11" s="36" t="inlineStr">
        <is>
          <t>Transmitted</t>
        </is>
      </c>
      <c r="S11" s="36" t="inlineStr">
        <is>
          <t>Picked Up</t>
        </is>
      </c>
      <c r="T11" s="36" t="inlineStr">
        <is>
          <t>CVS</t>
        </is>
      </c>
      <c r="U11" s="36" t="inlineStr">
        <is>
          <t>004336</t>
        </is>
      </c>
      <c r="V11" s="36" t="inlineStr">
        <is>
          <t>Lin  Edward</t>
        </is>
      </c>
    </row>
    <row r="12">
      <c r="A12" s="36" t="inlineStr">
        <is>
          <t>127715</t>
        </is>
      </c>
      <c r="B12" s="36" t="inlineStr">
        <is>
          <t>PEGUERO HERNANDEZ  FRANCISCO</t>
        </is>
      </c>
      <c r="C12" s="58" t="inlineStr">
        <is>
          <t>12-03-1950</t>
        </is>
      </c>
      <c r="D12" s="36" t="inlineStr">
        <is>
          <t>646-626-2304</t>
        </is>
      </c>
      <c r="E12" s="36" t="inlineStr">
        <is>
          <t>OZEMPIC (2 MG/DOSE) 8 MG/3ML PEN-INJECTOR</t>
        </is>
      </c>
      <c r="F12" s="36" t="inlineStr">
        <is>
          <t>00169477212</t>
        </is>
      </c>
      <c r="G12" s="36" t="inlineStr">
        <is>
          <t>_19501203|</t>
        </is>
      </c>
      <c r="H12" s="58" t="n">
        <v>45947</v>
      </c>
      <c r="I12" s="36" t="n">
        <v>28</v>
      </c>
      <c r="J12" s="36" t="n">
        <v>3</v>
      </c>
      <c r="K12" s="58" t="n">
        <v>45975</v>
      </c>
      <c r="L12" s="36" t="n">
        <v>108</v>
      </c>
      <c r="M12" s="36" t="inlineStr">
        <is>
          <t>Yes</t>
        </is>
      </c>
      <c r="N12" s="36" t="inlineStr">
        <is>
          <t>100110</t>
        </is>
      </c>
      <c r="O12" s="58" t="n">
        <v>46058</v>
      </c>
      <c r="P12" s="36" t="inlineStr">
        <is>
          <t>Covered by Other Rx</t>
        </is>
      </c>
      <c r="Q12" s="55" t="n">
        <v>0</v>
      </c>
      <c r="R12" s="36" t="inlineStr">
        <is>
          <t>Paid-Ins</t>
        </is>
      </c>
      <c r="S12" s="36" t="inlineStr">
        <is>
          <t>Picked Up</t>
        </is>
      </c>
      <c r="T12" s="36" t="inlineStr">
        <is>
          <t>CVS</t>
        </is>
      </c>
      <c r="U12" s="36" t="inlineStr">
        <is>
          <t>004336</t>
        </is>
      </c>
      <c r="V12" s="36" t="inlineStr">
        <is>
          <t>Widlus  Matthew</t>
        </is>
      </c>
    </row>
    <row r="13">
      <c r="A13" s="36" t="inlineStr">
        <is>
          <t>113668</t>
        </is>
      </c>
      <c r="B13" s="36" t="inlineStr">
        <is>
          <t>MOSQUERA  YOLANDA</t>
        </is>
      </c>
      <c r="C13" s="58" t="inlineStr">
        <is>
          <t>02-20-1977</t>
        </is>
      </c>
      <c r="D13" s="36" t="inlineStr">
        <is>
          <t>347-759-7694</t>
        </is>
      </c>
      <c r="E13" s="36" t="inlineStr">
        <is>
          <t>OZEMPIC (1 MG/DOSE) 4MG/3ML INJECTION</t>
        </is>
      </c>
      <c r="F13" s="36" t="inlineStr">
        <is>
          <t>00169413013</t>
        </is>
      </c>
      <c r="G13" s="36" t="inlineStr">
        <is>
          <t>_19770220|</t>
        </is>
      </c>
      <c r="H13" s="58" t="n">
        <v>45950</v>
      </c>
      <c r="I13" s="36" t="n">
        <v>28</v>
      </c>
      <c r="J13" s="36" t="n">
        <v>5</v>
      </c>
      <c r="K13" s="58" t="n">
        <v>45978</v>
      </c>
      <c r="L13" s="36" t="n">
        <v>105</v>
      </c>
      <c r="M13" s="36" t="inlineStr">
        <is>
          <t>Yes</t>
        </is>
      </c>
      <c r="N13" s="36" t="inlineStr">
        <is>
          <t>130922</t>
        </is>
      </c>
      <c r="O13" s="58" t="n">
        <v>46028</v>
      </c>
      <c r="P13" s="36" t="inlineStr">
        <is>
          <t>Covered by Other Rx</t>
        </is>
      </c>
      <c r="Q13" s="55" t="n">
        <v>0</v>
      </c>
      <c r="R13" s="36" t="inlineStr">
        <is>
          <t>Transmitted</t>
        </is>
      </c>
      <c r="S13" s="36" t="inlineStr">
        <is>
          <t>Picked Up</t>
        </is>
      </c>
      <c r="T13" s="36" t="inlineStr">
        <is>
          <t>NYM</t>
        </is>
      </c>
      <c r="U13" s="36" t="inlineStr">
        <is>
          <t>004740</t>
        </is>
      </c>
      <c r="V13" s="36" t="inlineStr">
        <is>
          <t>KREBS  GABRIELA</t>
        </is>
      </c>
    </row>
    <row r="14">
      <c r="A14" s="36" t="inlineStr">
        <is>
          <t>121068</t>
        </is>
      </c>
      <c r="B14" s="36" t="inlineStr">
        <is>
          <t>MENDOZA  ANA</t>
        </is>
      </c>
      <c r="C14" s="58" t="inlineStr">
        <is>
          <t>11-30-1967</t>
        </is>
      </c>
      <c r="D14" s="36" t="inlineStr">
        <is>
          <t>917-561-7233</t>
        </is>
      </c>
      <c r="E14" s="36" t="inlineStr">
        <is>
          <t>MIEBO 1.338 GM/ML OPHTHALMIC SOLUTION</t>
        </is>
      </c>
      <c r="F14" s="36" t="inlineStr">
        <is>
          <t>24208037705</t>
        </is>
      </c>
      <c r="G14" s="36" t="inlineStr">
        <is>
          <t>_19671130|</t>
        </is>
      </c>
      <c r="H14" s="58" t="n">
        <v>45952</v>
      </c>
      <c r="I14" s="36" t="n">
        <v>30</v>
      </c>
      <c r="J14" s="36" t="n">
        <v>3</v>
      </c>
      <c r="K14" s="58" t="n">
        <v>45982</v>
      </c>
      <c r="L14" s="36" t="n">
        <v>101</v>
      </c>
      <c r="M14" s="36" t="inlineStr">
        <is>
          <t>Yes</t>
        </is>
      </c>
      <c r="N14" s="36" t="inlineStr">
        <is>
          <t>144660</t>
        </is>
      </c>
      <c r="O14" s="58" t="n">
        <v>46077</v>
      </c>
      <c r="P14" s="36" t="inlineStr">
        <is>
          <t>Covered by Other Rx</t>
        </is>
      </c>
      <c r="Q14" s="55" t="n">
        <v>0</v>
      </c>
      <c r="R14" s="36" t="inlineStr">
        <is>
          <t>Paid-Ins</t>
        </is>
      </c>
      <c r="S14" s="36" t="inlineStr">
        <is>
          <t>Picked Up</t>
        </is>
      </c>
      <c r="T14" s="36" t="inlineStr">
        <is>
          <t>CVS</t>
        </is>
      </c>
      <c r="U14" s="36" t="inlineStr">
        <is>
          <t>004336</t>
        </is>
      </c>
      <c r="V14" s="36" t="inlineStr">
        <is>
          <t>Elmalem  Valerie</t>
        </is>
      </c>
    </row>
    <row r="15">
      <c r="A15" s="36" t="inlineStr">
        <is>
          <t>128205</t>
        </is>
      </c>
      <c r="B15" s="36" t="inlineStr">
        <is>
          <t>REID  JESSE</t>
        </is>
      </c>
      <c r="C15" s="58" t="inlineStr">
        <is>
          <t>02-14-1991</t>
        </is>
      </c>
      <c r="D15" s="36" t="inlineStr">
        <is>
          <t>929-304-8142</t>
        </is>
      </c>
      <c r="E15" s="36" t="inlineStr">
        <is>
          <t>VRAYLAR 1.5MG CAPSULE</t>
        </is>
      </c>
      <c r="F15" s="36" t="inlineStr">
        <is>
          <t>61874011530</t>
        </is>
      </c>
      <c r="G15" s="36" t="inlineStr">
        <is>
          <t>_19910214|</t>
        </is>
      </c>
      <c r="H15" s="58" t="n">
        <v>45952</v>
      </c>
      <c r="I15" s="36" t="n">
        <v>30</v>
      </c>
      <c r="J15" s="36" t="n">
        <v>1</v>
      </c>
      <c r="K15" s="58" t="n">
        <v>45982</v>
      </c>
      <c r="L15" s="36" t="n">
        <v>101</v>
      </c>
      <c r="M15" s="36" t="inlineStr">
        <is>
          <t>Yes</t>
        </is>
      </c>
      <c r="N15" s="36" t="inlineStr">
        <is>
          <t>142979</t>
        </is>
      </c>
      <c r="O15" s="58" t="n">
        <v>46065</v>
      </c>
      <c r="P15" s="36" t="inlineStr">
        <is>
          <t>Covered by Other Rx</t>
        </is>
      </c>
      <c r="Q15" s="55" t="n">
        <v>0</v>
      </c>
      <c r="R15" s="36" t="inlineStr">
        <is>
          <t>Transmitted</t>
        </is>
      </c>
      <c r="S15" s="36" t="inlineStr">
        <is>
          <t>Picked Up</t>
        </is>
      </c>
      <c r="T15" s="36" t="inlineStr">
        <is>
          <t>NYM</t>
        </is>
      </c>
      <c r="U15" s="36" t="inlineStr">
        <is>
          <t>004740</t>
        </is>
      </c>
      <c r="V15" s="36" t="inlineStr">
        <is>
          <t>Herron  Abigail</t>
        </is>
      </c>
    </row>
    <row r="16">
      <c r="A16" s="36" t="inlineStr">
        <is>
          <t>128242</t>
        </is>
      </c>
      <c r="B16" s="36" t="inlineStr">
        <is>
          <t>MENDOZA  ANA</t>
        </is>
      </c>
      <c r="C16" s="58" t="inlineStr">
        <is>
          <t>11-30-1967</t>
        </is>
      </c>
      <c r="D16" s="36" t="inlineStr">
        <is>
          <t>917-561-7233</t>
        </is>
      </c>
      <c r="E16" s="36" t="inlineStr">
        <is>
          <t xml:space="preserve">RESTASIS 0.05% EMULSION </t>
        </is>
      </c>
      <c r="F16" s="36" t="inlineStr">
        <is>
          <t>00023916360</t>
        </is>
      </c>
      <c r="G16" s="36" t="inlineStr">
        <is>
          <t>_19671130|</t>
        </is>
      </c>
      <c r="H16" s="58" t="n">
        <v>45952</v>
      </c>
      <c r="I16" s="36" t="n">
        <v>30</v>
      </c>
      <c r="J16" s="36" t="n">
        <v>4</v>
      </c>
      <c r="K16" s="58" t="n">
        <v>45982</v>
      </c>
      <c r="L16" s="36" t="n">
        <v>101</v>
      </c>
      <c r="M16" s="36" t="inlineStr">
        <is>
          <t>Yes</t>
        </is>
      </c>
      <c r="N16" s="36" t="inlineStr">
        <is>
          <t>144660</t>
        </is>
      </c>
      <c r="O16" s="58" t="n">
        <v>46077</v>
      </c>
      <c r="P16" s="36" t="inlineStr">
        <is>
          <t>Covered by Other Rx</t>
        </is>
      </c>
      <c r="Q16" s="55" t="n">
        <v>0</v>
      </c>
      <c r="R16" s="36" t="inlineStr">
        <is>
          <t>Paid-Ins</t>
        </is>
      </c>
      <c r="S16" s="36" t="inlineStr">
        <is>
          <t>Picked Up</t>
        </is>
      </c>
      <c r="T16" s="36" t="inlineStr">
        <is>
          <t>CVS</t>
        </is>
      </c>
      <c r="U16" s="36" t="inlineStr">
        <is>
          <t>004336</t>
        </is>
      </c>
      <c r="V16" s="36" t="inlineStr">
        <is>
          <t>Elmalem  Valerie</t>
        </is>
      </c>
    </row>
    <row r="17">
      <c r="A17" s="36" t="inlineStr">
        <is>
          <t>129001</t>
        </is>
      </c>
      <c r="B17" s="36" t="inlineStr">
        <is>
          <t>TORRES  JOSE</t>
        </is>
      </c>
      <c r="C17" s="58" t="inlineStr">
        <is>
          <t>04-22-1970</t>
        </is>
      </c>
      <c r="D17" s="36" t="inlineStr">
        <is>
          <t>347-422-3310</t>
        </is>
      </c>
      <c r="E17" s="36" t="inlineStr">
        <is>
          <t>MOUNJARO 2.5 MG/0.5ML PEN-INJECTOR</t>
        </is>
      </c>
      <c r="F17" s="36" t="inlineStr">
        <is>
          <t>00002150680</t>
        </is>
      </c>
      <c r="G17" s="36" t="inlineStr">
        <is>
          <t>_19700422|</t>
        </is>
      </c>
      <c r="H17" s="58" t="n">
        <v>45958</v>
      </c>
      <c r="I17" s="36" t="n">
        <v>28</v>
      </c>
      <c r="J17" s="36" t="n">
        <v>1</v>
      </c>
      <c r="K17" s="58" t="n">
        <v>45986</v>
      </c>
      <c r="L17" s="36" t="n">
        <v>97</v>
      </c>
      <c r="M17" s="36" t="inlineStr">
        <is>
          <t>Yes</t>
        </is>
      </c>
      <c r="N17" s="36" t="inlineStr">
        <is>
          <t>132414</t>
        </is>
      </c>
      <c r="O17" s="58" t="n">
        <v>46066</v>
      </c>
      <c r="P17" s="36" t="inlineStr">
        <is>
          <t>Covered by Other Rx</t>
        </is>
      </c>
      <c r="Q17" s="55" t="n">
        <v>0</v>
      </c>
      <c r="R17" s="36" t="inlineStr">
        <is>
          <t>Transmitted</t>
        </is>
      </c>
      <c r="S17" s="36" t="inlineStr">
        <is>
          <t>Picked Up</t>
        </is>
      </c>
      <c r="T17" s="36" t="inlineStr">
        <is>
          <t>MEDIMPACT</t>
        </is>
      </c>
      <c r="U17" s="36" t="inlineStr">
        <is>
          <t>015574</t>
        </is>
      </c>
      <c r="V17" s="36" t="inlineStr">
        <is>
          <t>SHAH  ANKUR</t>
        </is>
      </c>
    </row>
    <row r="18">
      <c r="A18" s="36" t="inlineStr">
        <is>
          <t>129119</t>
        </is>
      </c>
      <c r="B18" s="36" t="inlineStr">
        <is>
          <t>MATEO BAUTISTA  YOLANDA</t>
        </is>
      </c>
      <c r="C18" s="58" t="inlineStr">
        <is>
          <t>12-14-1949</t>
        </is>
      </c>
      <c r="D18" s="36" t="inlineStr">
        <is>
          <t>212-862-4810</t>
        </is>
      </c>
      <c r="E18" s="36" t="inlineStr">
        <is>
          <t>JANUMET 50-1000MG TABLET</t>
        </is>
      </c>
      <c r="F18" s="36" t="inlineStr">
        <is>
          <t>00006057761</t>
        </is>
      </c>
      <c r="G18" s="36" t="inlineStr">
        <is>
          <t>_19491214|</t>
        </is>
      </c>
      <c r="H18" s="58" t="n">
        <v>45959</v>
      </c>
      <c r="I18" s="36" t="n">
        <v>30</v>
      </c>
      <c r="J18" s="36" t="n">
        <v>2</v>
      </c>
      <c r="K18" s="58" t="n">
        <v>45989</v>
      </c>
      <c r="L18" s="36" t="n">
        <v>94</v>
      </c>
      <c r="M18" s="36" t="inlineStr">
        <is>
          <t>Yes</t>
        </is>
      </c>
      <c r="N18" s="36" t="inlineStr">
        <is>
          <t>143748</t>
        </is>
      </c>
      <c r="O18" s="58" t="n">
        <v>46071</v>
      </c>
      <c r="P18" s="36" t="inlineStr">
        <is>
          <t>Covered by Other Rx</t>
        </is>
      </c>
      <c r="Q18" s="55" t="n">
        <v>0</v>
      </c>
      <c r="R18" s="36" t="inlineStr">
        <is>
          <t>Paid-Ins</t>
        </is>
      </c>
      <c r="S18" s="36" t="inlineStr">
        <is>
          <t>Picked Up</t>
        </is>
      </c>
      <c r="T18" s="36" t="inlineStr">
        <is>
          <t>CVS</t>
        </is>
      </c>
      <c r="U18" s="36" t="inlineStr">
        <is>
          <t>004336</t>
        </is>
      </c>
      <c r="V18" s="36" t="inlineStr">
        <is>
          <t>KREBS  GABRIELA</t>
        </is>
      </c>
    </row>
    <row r="19">
      <c r="A19" s="36" t="inlineStr">
        <is>
          <t>125622</t>
        </is>
      </c>
      <c r="B19" s="36" t="inlineStr">
        <is>
          <t>MCLEOD  CARLOS</t>
        </is>
      </c>
      <c r="C19" s="58" t="inlineStr">
        <is>
          <t>09-30-1977</t>
        </is>
      </c>
      <c r="D19" s="36" t="n">
        <v/>
      </c>
      <c r="E19" s="36" t="inlineStr">
        <is>
          <t>TRELEGY ELLIPTA 100-62.5-25MCG/INH AEROSOL</t>
        </is>
      </c>
      <c r="F19" s="36" t="inlineStr">
        <is>
          <t>00173088710</t>
        </is>
      </c>
      <c r="G19" s="36" t="inlineStr">
        <is>
          <t>_19770930|</t>
        </is>
      </c>
      <c r="H19" s="58" t="n">
        <v>45960</v>
      </c>
      <c r="I19" s="36" t="n">
        <v>30</v>
      </c>
      <c r="J19" s="36" t="n">
        <v>2</v>
      </c>
      <c r="K19" s="58" t="n">
        <v>45990</v>
      </c>
      <c r="L19" s="36" t="n">
        <v>93</v>
      </c>
      <c r="M19" s="36" t="inlineStr">
        <is>
          <t>Yes</t>
        </is>
      </c>
      <c r="N19" s="36" t="inlineStr">
        <is>
          <t>142457</t>
        </is>
      </c>
      <c r="O19" s="58" t="n">
        <v>46062</v>
      </c>
      <c r="P19" s="36" t="inlineStr">
        <is>
          <t>Covered by Other Rx</t>
        </is>
      </c>
      <c r="Q19" s="55" t="n">
        <v>0</v>
      </c>
      <c r="R19" s="36" t="inlineStr">
        <is>
          <t>Transmitted</t>
        </is>
      </c>
      <c r="S19" s="36" t="inlineStr">
        <is>
          <t>Picked Up</t>
        </is>
      </c>
      <c r="T19" s="36" t="inlineStr">
        <is>
          <t>NYM</t>
        </is>
      </c>
      <c r="U19" s="36" t="inlineStr">
        <is>
          <t>004740</t>
        </is>
      </c>
      <c r="V19" s="36" t="inlineStr">
        <is>
          <t>MATHEW  MERIL</t>
        </is>
      </c>
    </row>
    <row r="20">
      <c r="A20" s="36" t="inlineStr">
        <is>
          <t>122294</t>
        </is>
      </c>
      <c r="B20" s="36" t="inlineStr">
        <is>
          <t>ROJAS  JOSE</t>
        </is>
      </c>
      <c r="C20" s="58" t="inlineStr">
        <is>
          <t>08-04-1962</t>
        </is>
      </c>
      <c r="D20" s="36" t="inlineStr">
        <is>
          <t>646-829-7467</t>
        </is>
      </c>
      <c r="E20" s="36" t="inlineStr">
        <is>
          <t>FREESTYLE LIBRE 3 SENSOR</t>
        </is>
      </c>
      <c r="F20" s="36" t="inlineStr">
        <is>
          <t>57599081800</t>
        </is>
      </c>
      <c r="G20" s="36" t="inlineStr">
        <is>
          <t>_19620804|STRIPSONLY</t>
        </is>
      </c>
      <c r="H20" s="58" t="n">
        <v>45964</v>
      </c>
      <c r="I20" s="36" t="n">
        <v>28</v>
      </c>
      <c r="J20" s="36" t="n">
        <v>9</v>
      </c>
      <c r="K20" s="58" t="n">
        <v>45992</v>
      </c>
      <c r="L20" s="36" t="n">
        <v>91</v>
      </c>
      <c r="M20" s="36" t="inlineStr">
        <is>
          <t>Yes</t>
        </is>
      </c>
      <c r="N20" s="36" t="inlineStr">
        <is>
          <t>133447</t>
        </is>
      </c>
      <c r="O20" s="58" t="n">
        <v>46069</v>
      </c>
      <c r="P20" s="36" t="inlineStr">
        <is>
          <t>Covered by Other Rx</t>
        </is>
      </c>
      <c r="Q20" s="55" t="n">
        <v>0</v>
      </c>
      <c r="R20" s="36" t="inlineStr">
        <is>
          <t>Transmitted</t>
        </is>
      </c>
      <c r="S20" s="36" t="inlineStr">
        <is>
          <t>Picked Up</t>
        </is>
      </c>
      <c r="T20" s="36" t="inlineStr">
        <is>
          <t>NYM</t>
        </is>
      </c>
      <c r="U20" s="36" t="inlineStr">
        <is>
          <t>004740</t>
        </is>
      </c>
      <c r="V20" s="36" t="inlineStr">
        <is>
          <t>Rooney  Marguerite</t>
        </is>
      </c>
    </row>
    <row r="21">
      <c r="A21" s="36" t="inlineStr">
        <is>
          <t>125480</t>
        </is>
      </c>
      <c r="B21" s="36" t="inlineStr">
        <is>
          <t>JAVIER NOLBERTO  CARMEN</t>
        </is>
      </c>
      <c r="C21" s="58" t="inlineStr">
        <is>
          <t>08-12-1959</t>
        </is>
      </c>
      <c r="D21" s="36" t="n">
        <v/>
      </c>
      <c r="E21" s="36" t="inlineStr">
        <is>
          <t>TOUJEO SOLOSTAR 300UNIT/ML INJECTION</t>
        </is>
      </c>
      <c r="F21" s="36" t="inlineStr">
        <is>
          <t>00024586903</t>
        </is>
      </c>
      <c r="G21" s="36" t="inlineStr">
        <is>
          <t>_19590812|</t>
        </is>
      </c>
      <c r="H21" s="58" t="n">
        <v>45932</v>
      </c>
      <c r="I21" s="36" t="n">
        <v>60</v>
      </c>
      <c r="J21" s="36" t="n">
        <v>1</v>
      </c>
      <c r="K21" s="58" t="n">
        <v>45992</v>
      </c>
      <c r="L21" s="36" t="n">
        <v>91</v>
      </c>
      <c r="M21" s="36" t="inlineStr">
        <is>
          <t>Yes</t>
        </is>
      </c>
      <c r="N21" s="36" t="inlineStr">
        <is>
          <t>144419</t>
        </is>
      </c>
      <c r="O21" s="58" t="n">
        <v>46076</v>
      </c>
      <c r="P21" s="36" t="inlineStr">
        <is>
          <t>Covered by Other Rx</t>
        </is>
      </c>
      <c r="Q21" s="55" t="n">
        <v>0</v>
      </c>
      <c r="R21" s="36" t="inlineStr">
        <is>
          <t>Paid-Ins</t>
        </is>
      </c>
      <c r="S21" s="36" t="inlineStr">
        <is>
          <t>Picked Up</t>
        </is>
      </c>
      <c r="T21" s="36" t="inlineStr">
        <is>
          <t>NYM</t>
        </is>
      </c>
      <c r="U21" s="36" t="inlineStr">
        <is>
          <t>004740</t>
        </is>
      </c>
      <c r="V21" s="36" t="inlineStr">
        <is>
          <t>COLLADO  GIOSELY</t>
        </is>
      </c>
    </row>
    <row r="22">
      <c r="A22" s="36" t="inlineStr">
        <is>
          <t>111848</t>
        </is>
      </c>
      <c r="B22" s="36" t="inlineStr">
        <is>
          <t>DECASTRO  CAROL</t>
        </is>
      </c>
      <c r="C22" s="58" t="inlineStr">
        <is>
          <t>04-11-1945</t>
        </is>
      </c>
      <c r="D22" s="36" t="inlineStr">
        <is>
          <t>212-283-1548</t>
        </is>
      </c>
      <c r="E22" s="36" t="inlineStr">
        <is>
          <t>XIIDRA 5 % OPHTHALMIC SOLUTION</t>
        </is>
      </c>
      <c r="F22" s="36" t="inlineStr">
        <is>
          <t>24208091112</t>
        </is>
      </c>
      <c r="G22" s="36" t="inlineStr">
        <is>
          <t>_19450411|</t>
        </is>
      </c>
      <c r="H22" s="58" t="n">
        <v>45964</v>
      </c>
      <c r="I22" s="36" t="n">
        <v>30</v>
      </c>
      <c r="J22" s="36" t="n">
        <v>1</v>
      </c>
      <c r="K22" s="58" t="n">
        <v>45994</v>
      </c>
      <c r="L22" s="36" t="n">
        <v>89</v>
      </c>
      <c r="M22" s="36" t="inlineStr">
        <is>
          <t>Yes</t>
        </is>
      </c>
      <c r="N22" s="36" t="inlineStr">
        <is>
          <t>133085</t>
        </is>
      </c>
      <c r="O22" s="58" t="n">
        <v>46076</v>
      </c>
      <c r="P22" s="36" t="inlineStr">
        <is>
          <t>Covered by Other Rx</t>
        </is>
      </c>
      <c r="Q22" s="55" t="n">
        <v>0</v>
      </c>
      <c r="R22" s="36" t="inlineStr">
        <is>
          <t>Transmitted</t>
        </is>
      </c>
      <c r="S22" s="36" t="inlineStr">
        <is>
          <t>Picked Up</t>
        </is>
      </c>
      <c r="T22" s="36" t="inlineStr">
        <is>
          <t>MEDIMPACT</t>
        </is>
      </c>
      <c r="U22" s="36" t="inlineStr">
        <is>
          <t>015574</t>
        </is>
      </c>
      <c r="V22" s="36" t="inlineStr">
        <is>
          <t>DIAMOND  JENNIFER</t>
        </is>
      </c>
    </row>
    <row r="23">
      <c r="A23" s="36" t="inlineStr">
        <is>
          <t>125901</t>
        </is>
      </c>
      <c r="B23" s="36" t="inlineStr">
        <is>
          <t>ROJAS  JOSE</t>
        </is>
      </c>
      <c r="C23" s="58" t="inlineStr">
        <is>
          <t>08-04-1962</t>
        </is>
      </c>
      <c r="D23" s="36" t="inlineStr">
        <is>
          <t>646-829-7467</t>
        </is>
      </c>
      <c r="E23" s="36" t="inlineStr">
        <is>
          <t>LANTUS SOLOSTAR 100UNIT/ML INJECTION</t>
        </is>
      </c>
      <c r="F23" s="36" t="inlineStr">
        <is>
          <t>00088221905</t>
        </is>
      </c>
      <c r="G23" s="36" t="inlineStr">
        <is>
          <t>_19620804|</t>
        </is>
      </c>
      <c r="H23" s="58" t="n">
        <v>45964</v>
      </c>
      <c r="I23" s="36" t="n">
        <v>30</v>
      </c>
      <c r="J23" s="36" t="n">
        <v>4</v>
      </c>
      <c r="K23" s="58" t="n">
        <v>45994</v>
      </c>
      <c r="L23" s="36" t="n">
        <v>89</v>
      </c>
      <c r="M23" s="36" t="inlineStr">
        <is>
          <t>Yes</t>
        </is>
      </c>
      <c r="N23" s="36" t="inlineStr">
        <is>
          <t>133446</t>
        </is>
      </c>
      <c r="O23" s="58" t="n">
        <v>46074</v>
      </c>
      <c r="P23" s="36" t="inlineStr">
        <is>
          <t>Covered by Other Rx</t>
        </is>
      </c>
      <c r="Q23" s="55" t="n">
        <v>0</v>
      </c>
      <c r="R23" s="36" t="inlineStr">
        <is>
          <t>Transmitted</t>
        </is>
      </c>
      <c r="S23" s="36" t="inlineStr">
        <is>
          <t>Picked Up</t>
        </is>
      </c>
      <c r="T23" s="36" t="inlineStr">
        <is>
          <t>NYM</t>
        </is>
      </c>
      <c r="U23" s="36" t="inlineStr">
        <is>
          <t>004740</t>
        </is>
      </c>
      <c r="V23" s="36" t="inlineStr">
        <is>
          <t>Rooney  Marguerite</t>
        </is>
      </c>
    </row>
    <row r="24">
      <c r="A24" s="36" t="inlineStr">
        <is>
          <t>126074</t>
        </is>
      </c>
      <c r="B24" s="36" t="inlineStr">
        <is>
          <t>MENDOZA  LEONOR</t>
        </is>
      </c>
      <c r="C24" s="58" t="inlineStr">
        <is>
          <t>10-26-1958</t>
        </is>
      </c>
      <c r="D24" s="36" t="inlineStr">
        <is>
          <t>347-892-7889</t>
        </is>
      </c>
      <c r="E24" s="36" t="inlineStr">
        <is>
          <t>FLUTICASONE-SALMETEROL 250-50 MCG/ACT INH AEROSOL</t>
        </is>
      </c>
      <c r="F24" s="36" t="inlineStr">
        <is>
          <t>00054032756</t>
        </is>
      </c>
      <c r="G24" s="36" t="inlineStr">
        <is>
          <t>_19581026|</t>
        </is>
      </c>
      <c r="H24" s="58" t="n">
        <v>45965</v>
      </c>
      <c r="I24" s="36" t="n">
        <v>30</v>
      </c>
      <c r="J24" s="36" t="n">
        <v>2</v>
      </c>
      <c r="K24" s="58" t="n">
        <v>45995</v>
      </c>
      <c r="L24" s="36" t="n">
        <v>88</v>
      </c>
      <c r="M24" s="36" t="inlineStr">
        <is>
          <t>Yes</t>
        </is>
      </c>
      <c r="N24" s="36" t="inlineStr">
        <is>
          <t>133291</t>
        </is>
      </c>
      <c r="O24" s="58" t="n">
        <v>46081</v>
      </c>
      <c r="P24" s="36" t="inlineStr">
        <is>
          <t>Covered by Other Rx</t>
        </is>
      </c>
      <c r="Q24" s="55" t="n">
        <v>0</v>
      </c>
      <c r="R24" s="36" t="inlineStr">
        <is>
          <t>Paid-Ins</t>
        </is>
      </c>
      <c r="S24" s="36" t="inlineStr">
        <is>
          <t>Picked Up</t>
        </is>
      </c>
      <c r="T24" s="36" t="inlineStr">
        <is>
          <t>CVS</t>
        </is>
      </c>
      <c r="U24" s="36" t="inlineStr">
        <is>
          <t>004336</t>
        </is>
      </c>
      <c r="V24" s="36" t="inlineStr">
        <is>
          <t>Manubay  Jeanne</t>
        </is>
      </c>
    </row>
    <row r="25">
      <c r="A25" s="36" t="inlineStr">
        <is>
          <t>126297</t>
        </is>
      </c>
      <c r="B25" s="36" t="inlineStr">
        <is>
          <t>RAMOS  TAMA</t>
        </is>
      </c>
      <c r="C25" s="58" t="inlineStr">
        <is>
          <t>08-10-2005</t>
        </is>
      </c>
      <c r="D25" s="36" t="n">
        <v/>
      </c>
      <c r="E25" s="36" t="inlineStr">
        <is>
          <t>ABILIFY 5MG TABLET</t>
        </is>
      </c>
      <c r="F25" s="36" t="inlineStr">
        <is>
          <t>59148000713</t>
        </is>
      </c>
      <c r="G25" s="36" t="inlineStr">
        <is>
          <t>_20050810|</t>
        </is>
      </c>
      <c r="H25" s="58" t="n">
        <v>45966</v>
      </c>
      <c r="I25" s="36" t="n">
        <v>30</v>
      </c>
      <c r="J25" s="36" t="n">
        <v>1</v>
      </c>
      <c r="K25" s="58" t="n">
        <v>45996</v>
      </c>
      <c r="L25" s="36" t="n">
        <v>87</v>
      </c>
      <c r="M25" s="36" t="inlineStr">
        <is>
          <t>Yes</t>
        </is>
      </c>
      <c r="N25" s="36" t="inlineStr">
        <is>
          <t>144533</t>
        </is>
      </c>
      <c r="O25" s="58" t="n">
        <v>46077</v>
      </c>
      <c r="P25" s="36" t="inlineStr">
        <is>
          <t>Covered by Other Rx</t>
        </is>
      </c>
      <c r="Q25" s="55" t="n">
        <v>0</v>
      </c>
      <c r="R25" s="36" t="inlineStr">
        <is>
          <t>Transmitted</t>
        </is>
      </c>
      <c r="S25" s="36" t="inlineStr">
        <is>
          <t>Picked Up</t>
        </is>
      </c>
      <c r="T25" s="36" t="inlineStr">
        <is>
          <t>NYM</t>
        </is>
      </c>
      <c r="U25" s="36" t="inlineStr">
        <is>
          <t>004740</t>
        </is>
      </c>
      <c r="V25" s="36" t="inlineStr">
        <is>
          <t>BULOW  PETER</t>
        </is>
      </c>
    </row>
    <row r="26">
      <c r="A26" s="36" t="inlineStr">
        <is>
          <t>129938</t>
        </is>
      </c>
      <c r="B26" s="36" t="inlineStr">
        <is>
          <t>SANTOS  ANA</t>
        </is>
      </c>
      <c r="C26" s="58" t="inlineStr">
        <is>
          <t>10-28-1956</t>
        </is>
      </c>
      <c r="D26" s="36" t="n">
        <v/>
      </c>
      <c r="E26" s="36" t="inlineStr">
        <is>
          <t>CONTOUR NEXT TEST  STRIPS</t>
        </is>
      </c>
      <c r="F26" s="36" t="inlineStr">
        <is>
          <t>00193731150</t>
        </is>
      </c>
      <c r="G26" s="36" t="inlineStr">
        <is>
          <t>_19561028|STRIPSONLY</t>
        </is>
      </c>
      <c r="H26" s="58" t="n">
        <v>45966</v>
      </c>
      <c r="I26" s="36" t="n">
        <v>30</v>
      </c>
      <c r="J26" s="36" t="n">
        <v>4</v>
      </c>
      <c r="K26" s="58" t="n">
        <v>45996</v>
      </c>
      <c r="L26" s="36" t="n">
        <v>87</v>
      </c>
      <c r="M26" s="36" t="inlineStr">
        <is>
          <t>Yes</t>
        </is>
      </c>
      <c r="N26" s="36" t="inlineStr">
        <is>
          <t>131933</t>
        </is>
      </c>
      <c r="O26" s="58" t="n">
        <v>45981</v>
      </c>
      <c r="P26" s="36" t="inlineStr">
        <is>
          <t>Covered by Other Rx</t>
        </is>
      </c>
      <c r="Q26" s="55" t="n">
        <v>0</v>
      </c>
      <c r="R26" s="36" t="inlineStr">
        <is>
          <t>Transmitted</t>
        </is>
      </c>
      <c r="S26" s="36" t="inlineStr">
        <is>
          <t>Picked Up</t>
        </is>
      </c>
      <c r="T26" s="36" t="inlineStr">
        <is>
          <t>NYM</t>
        </is>
      </c>
      <c r="U26" s="36" t="inlineStr">
        <is>
          <t>004740</t>
        </is>
      </c>
      <c r="V26" s="36" t="inlineStr">
        <is>
          <t>Martinez  Elisa</t>
        </is>
      </c>
    </row>
    <row r="27">
      <c r="A27" s="36" t="inlineStr">
        <is>
          <t>130351</t>
        </is>
      </c>
      <c r="B27" s="36" t="inlineStr">
        <is>
          <t>TORRES  JOSE</t>
        </is>
      </c>
      <c r="C27" s="58" t="inlineStr">
        <is>
          <t>04-22-1970</t>
        </is>
      </c>
      <c r="D27" s="36" t="inlineStr">
        <is>
          <t>347-422-3310</t>
        </is>
      </c>
      <c r="E27" s="36" t="inlineStr">
        <is>
          <t>MOUNJARO 5 MG/0.5ML PEN-INJECTOR</t>
        </is>
      </c>
      <c r="F27" s="36" t="inlineStr">
        <is>
          <t>00002149580</t>
        </is>
      </c>
      <c r="G27" s="36" t="inlineStr">
        <is>
          <t>_19700422|</t>
        </is>
      </c>
      <c r="H27" s="58" t="n">
        <v>45968</v>
      </c>
      <c r="I27" s="36" t="n">
        <v>28</v>
      </c>
      <c r="J27" s="36" t="n">
        <v>5</v>
      </c>
      <c r="K27" s="58" t="n">
        <v>45996</v>
      </c>
      <c r="L27" s="36" t="n">
        <v>87</v>
      </c>
      <c r="M27" s="36" t="inlineStr">
        <is>
          <t>Yes</t>
        </is>
      </c>
      <c r="N27" s="36" t="inlineStr">
        <is>
          <t>132414</t>
        </is>
      </c>
      <c r="O27" s="58" t="n">
        <v>46066</v>
      </c>
      <c r="P27" s="36" t="inlineStr">
        <is>
          <t>Covered by Other Rx</t>
        </is>
      </c>
      <c r="Q27" s="55" t="n">
        <v>0</v>
      </c>
      <c r="R27" s="36" t="inlineStr">
        <is>
          <t>Transmitted</t>
        </is>
      </c>
      <c r="S27" s="36" t="inlineStr">
        <is>
          <t>Picked Up</t>
        </is>
      </c>
      <c r="T27" s="36" t="inlineStr">
        <is>
          <t>MEDIMPACT</t>
        </is>
      </c>
      <c r="U27" s="36" t="inlineStr">
        <is>
          <t>015574</t>
        </is>
      </c>
      <c r="V27" s="36" t="inlineStr">
        <is>
          <t>Serje  Jorge</t>
        </is>
      </c>
    </row>
    <row r="28">
      <c r="A28" s="36" t="inlineStr">
        <is>
          <t>124407</t>
        </is>
      </c>
      <c r="B28" s="36" t="inlineStr">
        <is>
          <t>FLORES  ENRIQUE</t>
        </is>
      </c>
      <c r="C28" s="58" t="inlineStr">
        <is>
          <t>07-15-1951</t>
        </is>
      </c>
      <c r="D28" s="36" t="inlineStr">
        <is>
          <t>929-530-0799</t>
        </is>
      </c>
      <c r="E28" s="36" t="inlineStr">
        <is>
          <t>CONTOUR NEXT TEST  STRIPS</t>
        </is>
      </c>
      <c r="F28" s="36" t="inlineStr">
        <is>
          <t>00193731150</t>
        </is>
      </c>
      <c r="G28" s="36" t="inlineStr">
        <is>
          <t>_19510715|STRIPSONLY</t>
        </is>
      </c>
      <c r="H28" s="58" t="n">
        <v>45972</v>
      </c>
      <c r="I28" s="36" t="n">
        <v>25</v>
      </c>
      <c r="J28" s="36" t="n">
        <v>4</v>
      </c>
      <c r="K28" s="58" t="n">
        <v>45997</v>
      </c>
      <c r="L28" s="36" t="n">
        <v>86</v>
      </c>
      <c r="M28" s="36" t="inlineStr">
        <is>
          <t>Yes</t>
        </is>
      </c>
      <c r="N28" s="36" t="inlineStr">
        <is>
          <t>135652</t>
        </is>
      </c>
      <c r="O28" s="58" t="n">
        <v>46069</v>
      </c>
      <c r="P28" s="36" t="inlineStr">
        <is>
          <t>Covered by Other Rx</t>
        </is>
      </c>
      <c r="Q28" s="55" t="n">
        <v>0</v>
      </c>
      <c r="R28" s="36" t="inlineStr">
        <is>
          <t>Transmitted</t>
        </is>
      </c>
      <c r="S28" s="36" t="inlineStr">
        <is>
          <t>Picked Up</t>
        </is>
      </c>
      <c r="T28" s="36" t="inlineStr">
        <is>
          <t>MEDIMPACT</t>
        </is>
      </c>
      <c r="U28" s="36" t="inlineStr">
        <is>
          <t>015574</t>
        </is>
      </c>
      <c r="V28" s="36" t="inlineStr">
        <is>
          <t>SARGEANT  WALT</t>
        </is>
      </c>
    </row>
    <row r="29">
      <c r="A29" s="36" t="inlineStr">
        <is>
          <t>119870</t>
        </is>
      </c>
      <c r="B29" s="36" t="inlineStr">
        <is>
          <t>CEPEDA  YVONNE</t>
        </is>
      </c>
      <c r="C29" s="58" t="inlineStr">
        <is>
          <t>04-07-1970</t>
        </is>
      </c>
      <c r="D29" s="36" t="inlineStr">
        <is>
          <t>646-600-4602</t>
        </is>
      </c>
      <c r="E29" s="36" t="inlineStr">
        <is>
          <t>WEGOVY 1 MG/0.5ML AUTO-INJECTOR</t>
        </is>
      </c>
      <c r="F29" s="36" t="inlineStr">
        <is>
          <t>00169450114</t>
        </is>
      </c>
      <c r="G29" s="36" t="inlineStr">
        <is>
          <t>_19700407|</t>
        </is>
      </c>
      <c r="H29" s="58" t="n">
        <v>45971</v>
      </c>
      <c r="I29" s="36" t="n">
        <v>28</v>
      </c>
      <c r="J29" s="36" t="n">
        <v>1</v>
      </c>
      <c r="K29" s="58" t="n">
        <v>45999</v>
      </c>
      <c r="L29" s="36" t="n">
        <v>84</v>
      </c>
      <c r="M29" s="36" t="inlineStr">
        <is>
          <t>Yes</t>
        </is>
      </c>
      <c r="N29" s="36" t="inlineStr">
        <is>
          <t>138484</t>
        </is>
      </c>
      <c r="O29" s="58" t="n">
        <v>46062</v>
      </c>
      <c r="P29" s="36" t="inlineStr">
        <is>
          <t>Covered by Other Rx</t>
        </is>
      </c>
      <c r="Q29" s="55" t="n">
        <v>0</v>
      </c>
      <c r="R29" s="36" t="inlineStr">
        <is>
          <t>Paid-Ins</t>
        </is>
      </c>
      <c r="S29" s="36" t="inlineStr">
        <is>
          <t>Picked Up</t>
        </is>
      </c>
      <c r="T29" s="36" t="inlineStr">
        <is>
          <t>CVS</t>
        </is>
      </c>
      <c r="U29" s="36" t="inlineStr">
        <is>
          <t>004336</t>
        </is>
      </c>
      <c r="V29" s="36" t="inlineStr">
        <is>
          <t>Chekol  Hewan</t>
        </is>
      </c>
    </row>
    <row r="30">
      <c r="A30" s="36" t="inlineStr">
        <is>
          <t>130454</t>
        </is>
      </c>
      <c r="B30" s="36" t="inlineStr">
        <is>
          <t>DIAZ  DULCE</t>
        </is>
      </c>
      <c r="C30" s="58" t="inlineStr">
        <is>
          <t>07-02-1959</t>
        </is>
      </c>
      <c r="D30" s="36" t="inlineStr">
        <is>
          <t>646-748-7583</t>
        </is>
      </c>
      <c r="E30" s="36" t="inlineStr">
        <is>
          <t xml:space="preserve">LINZESS 290MCG CAP </t>
        </is>
      </c>
      <c r="F30" s="36" t="inlineStr">
        <is>
          <t>00456120230</t>
        </is>
      </c>
      <c r="G30" s="36" t="inlineStr">
        <is>
          <t>_19590702|</t>
        </is>
      </c>
      <c r="H30" s="58" t="n">
        <v>45971</v>
      </c>
      <c r="I30" s="36" t="n">
        <v>30</v>
      </c>
      <c r="J30" s="36" t="n">
        <v>2</v>
      </c>
      <c r="K30" s="58" t="n">
        <v>46001</v>
      </c>
      <c r="L30" s="36" t="n">
        <v>82</v>
      </c>
      <c r="M30" s="36" t="inlineStr">
        <is>
          <t>Yes</t>
        </is>
      </c>
      <c r="N30" s="36" t="inlineStr">
        <is>
          <t>145342</t>
        </is>
      </c>
      <c r="O30" s="58" t="n">
        <v>46083</v>
      </c>
      <c r="P30" s="36" t="inlineStr">
        <is>
          <t>Covered by Other Rx</t>
        </is>
      </c>
      <c r="Q30" s="55" t="n">
        <v>0</v>
      </c>
      <c r="R30" s="36" t="inlineStr">
        <is>
          <t>Transmitted</t>
        </is>
      </c>
      <c r="S30" s="36" t="inlineStr">
        <is>
          <t>Picked Up</t>
        </is>
      </c>
      <c r="T30" s="36" t="inlineStr">
        <is>
          <t>ESI</t>
        </is>
      </c>
      <c r="U30" s="36" t="inlineStr">
        <is>
          <t>017010</t>
        </is>
      </c>
      <c r="V30" s="36" t="inlineStr">
        <is>
          <t>Cavaliere  Kimberly</t>
        </is>
      </c>
    </row>
    <row r="31">
      <c r="A31" s="36" t="inlineStr">
        <is>
          <t>131371</t>
        </is>
      </c>
      <c r="B31" s="36" t="inlineStr">
        <is>
          <t>ZULUAGA  OSCAR</t>
        </is>
      </c>
      <c r="C31" s="58" t="inlineStr">
        <is>
          <t>12-15-1944</t>
        </is>
      </c>
      <c r="D31" s="36" t="inlineStr">
        <is>
          <t>646-476-9421</t>
        </is>
      </c>
      <c r="E31" s="36" t="inlineStr">
        <is>
          <t>OZEMPIC (0.25 OR 0.5 MG/DOSE) 2 MG/3ML PEN-INJECTOR</t>
        </is>
      </c>
      <c r="F31" s="36" t="inlineStr">
        <is>
          <t>00169418113</t>
        </is>
      </c>
      <c r="G31" s="36" t="inlineStr">
        <is>
          <t>_19441215|</t>
        </is>
      </c>
      <c r="H31" s="58" t="n">
        <v>45978</v>
      </c>
      <c r="I31" s="36" t="n">
        <v>28</v>
      </c>
      <c r="J31" s="36" t="n">
        <v>3</v>
      </c>
      <c r="K31" s="58" t="n">
        <v>46006</v>
      </c>
      <c r="L31" s="36" t="n">
        <v>77</v>
      </c>
      <c r="M31" s="36" t="inlineStr">
        <is>
          <t>Yes</t>
        </is>
      </c>
      <c r="N31" s="36" t="inlineStr">
        <is>
          <t>144964</t>
        </is>
      </c>
      <c r="O31" s="58" t="n">
        <v>46079</v>
      </c>
      <c r="P31" s="36" t="inlineStr">
        <is>
          <t>Covered by Other Rx</t>
        </is>
      </c>
      <c r="Q31" s="55" t="n">
        <v>0</v>
      </c>
      <c r="R31" s="36" t="inlineStr">
        <is>
          <t>Paid-Ins</t>
        </is>
      </c>
      <c r="S31" s="36" t="inlineStr">
        <is>
          <t>Picked Up</t>
        </is>
      </c>
      <c r="T31" s="36" t="inlineStr">
        <is>
          <t>CVS</t>
        </is>
      </c>
      <c r="U31" s="36" t="inlineStr">
        <is>
          <t>004336</t>
        </is>
      </c>
      <c r="V31" s="36" t="inlineStr">
        <is>
          <t>Soane  Caroline</t>
        </is>
      </c>
    </row>
    <row r="32">
      <c r="A32" s="36" t="inlineStr">
        <is>
          <t>94312</t>
        </is>
      </c>
      <c r="B32" s="36" t="inlineStr">
        <is>
          <t>LOZANO  ROSANNA</t>
        </is>
      </c>
      <c r="C32" s="58" t="inlineStr">
        <is>
          <t>12-30-1966</t>
        </is>
      </c>
      <c r="D32" s="36" t="inlineStr">
        <is>
          <t>212-926-9528</t>
        </is>
      </c>
      <c r="E32" s="36" t="inlineStr">
        <is>
          <t>OZEMPIC (2 MG/DOSE) 8 MG/3ML PEN-INJECTOR</t>
        </is>
      </c>
      <c r="F32" s="36" t="inlineStr">
        <is>
          <t>00169477212</t>
        </is>
      </c>
      <c r="G32" s="36" t="inlineStr">
        <is>
          <t>_19661230|</t>
        </is>
      </c>
      <c r="H32" s="58" t="n">
        <v>45978</v>
      </c>
      <c r="I32" s="36" t="n">
        <v>28</v>
      </c>
      <c r="J32" s="36" t="n">
        <v>1</v>
      </c>
      <c r="K32" s="58" t="n">
        <v>46006</v>
      </c>
      <c r="L32" s="36" t="n">
        <v>77</v>
      </c>
      <c r="M32" s="36" t="inlineStr">
        <is>
          <t>Yes</t>
        </is>
      </c>
      <c r="N32" s="36" t="inlineStr">
        <is>
          <t>135073</t>
        </is>
      </c>
      <c r="O32" s="58" t="n">
        <v>46062</v>
      </c>
      <c r="P32" s="36" t="inlineStr">
        <is>
          <t>Covered by Other Rx</t>
        </is>
      </c>
      <c r="Q32" s="55" t="n">
        <v>0</v>
      </c>
      <c r="R32" s="36" t="inlineStr">
        <is>
          <t>Paid-Ins</t>
        </is>
      </c>
      <c r="S32" s="36" t="inlineStr">
        <is>
          <t>Picked Up</t>
        </is>
      </c>
      <c r="T32" s="36" t="inlineStr">
        <is>
          <t>CVS</t>
        </is>
      </c>
      <c r="U32" s="36" t="inlineStr">
        <is>
          <t>004336</t>
        </is>
      </c>
      <c r="V32" s="36" t="inlineStr">
        <is>
          <t>Deutou  Duremelle</t>
        </is>
      </c>
    </row>
    <row r="33">
      <c r="A33" s="36" t="inlineStr">
        <is>
          <t>125659</t>
        </is>
      </c>
      <c r="B33" s="36" t="inlineStr">
        <is>
          <t>PEGUERO  HILARIO</t>
        </is>
      </c>
      <c r="C33" s="58" t="inlineStr">
        <is>
          <t>09-25-1946</t>
        </is>
      </c>
      <c r="D33" s="36" t="n">
        <v/>
      </c>
      <c r="E33" s="36" t="inlineStr">
        <is>
          <t>RHOPRESSA 0.02 % OPHTHALMIC SOLUTION</t>
        </is>
      </c>
      <c r="F33" s="36" t="inlineStr">
        <is>
          <t>70727049725</t>
        </is>
      </c>
      <c r="G33" s="36" t="inlineStr">
        <is>
          <t>_19460925|</t>
        </is>
      </c>
      <c r="H33" s="58" t="n">
        <v>45933</v>
      </c>
      <c r="I33" s="36" t="n">
        <v>75</v>
      </c>
      <c r="J33" s="36" t="n">
        <v>2</v>
      </c>
      <c r="K33" s="58" t="n">
        <v>46008</v>
      </c>
      <c r="L33" s="36" t="n">
        <v>75</v>
      </c>
      <c r="M33" s="36" t="inlineStr">
        <is>
          <t>Yes</t>
        </is>
      </c>
      <c r="N33" s="36" t="inlineStr">
        <is>
          <t>143487</t>
        </is>
      </c>
      <c r="O33" s="58" t="n">
        <v>46069</v>
      </c>
      <c r="P33" s="36" t="inlineStr">
        <is>
          <t>Covered by Other Rx</t>
        </is>
      </c>
      <c r="Q33" s="55" t="n">
        <v>0</v>
      </c>
      <c r="R33" s="36" t="inlineStr">
        <is>
          <t>Paid-Ins</t>
        </is>
      </c>
      <c r="S33" s="36" t="inlineStr">
        <is>
          <t>Picked Up</t>
        </is>
      </c>
      <c r="T33" s="36" t="inlineStr">
        <is>
          <t>CVS</t>
        </is>
      </c>
      <c r="U33" s="36" t="inlineStr">
        <is>
          <t>004336</t>
        </is>
      </c>
      <c r="V33" s="36" t="inlineStr">
        <is>
          <t>COTLIAR  JEREMY M</t>
        </is>
      </c>
    </row>
    <row r="34">
      <c r="A34" s="36" t="inlineStr">
        <is>
          <t>127780</t>
        </is>
      </c>
      <c r="B34" s="36" t="inlineStr">
        <is>
          <t>ARRASCUE  CLORINDA</t>
        </is>
      </c>
      <c r="C34" s="58" t="inlineStr">
        <is>
          <t>02-25-1936</t>
        </is>
      </c>
      <c r="D34" s="36" t="inlineStr">
        <is>
          <t>732-425-9681</t>
        </is>
      </c>
      <c r="E34" s="36" t="inlineStr">
        <is>
          <t>RYBELSUS 7MG TABLET</t>
        </is>
      </c>
      <c r="F34" s="36" t="inlineStr">
        <is>
          <t>00169430730</t>
        </is>
      </c>
      <c r="G34" s="36" t="inlineStr">
        <is>
          <t>_19360225|</t>
        </is>
      </c>
      <c r="H34" s="58" t="n">
        <v>45978</v>
      </c>
      <c r="I34" s="36" t="n">
        <v>30</v>
      </c>
      <c r="J34" s="36" t="n">
        <v>2</v>
      </c>
      <c r="K34" s="58" t="n">
        <v>46008</v>
      </c>
      <c r="L34" s="36" t="n">
        <v>75</v>
      </c>
      <c r="M34" s="36" t="inlineStr">
        <is>
          <t>Yes</t>
        </is>
      </c>
      <c r="N34" s="36" t="inlineStr">
        <is>
          <t>131554</t>
        </is>
      </c>
      <c r="O34" s="58" t="n">
        <v>46062</v>
      </c>
      <c r="P34" s="36" t="inlineStr">
        <is>
          <t>Covered by Other Rx</t>
        </is>
      </c>
      <c r="Q34" s="55" t="n">
        <v>0</v>
      </c>
      <c r="R34" s="36" t="inlineStr">
        <is>
          <t>Transmitted</t>
        </is>
      </c>
      <c r="S34" s="36" t="inlineStr">
        <is>
          <t>Picked Up</t>
        </is>
      </c>
      <c r="T34" s="36" t="inlineStr">
        <is>
          <t>ESI</t>
        </is>
      </c>
      <c r="U34" s="36" t="inlineStr">
        <is>
          <t>017010</t>
        </is>
      </c>
      <c r="V34" s="36" t="inlineStr">
        <is>
          <t>DITONTO  GIANA</t>
        </is>
      </c>
    </row>
    <row r="35">
      <c r="A35" s="36" t="inlineStr">
        <is>
          <t>110726</t>
        </is>
      </c>
      <c r="B35" s="36" t="inlineStr">
        <is>
          <t>TERRY  NORMA</t>
        </is>
      </c>
      <c r="C35" s="58" t="inlineStr">
        <is>
          <t>10-27-1963</t>
        </is>
      </c>
      <c r="D35" s="36" t="inlineStr">
        <is>
          <t>332-877-6207</t>
        </is>
      </c>
      <c r="E35" s="36" t="inlineStr">
        <is>
          <t>SYMBICORT 160-4.5MCG/ACT AEROSOL</t>
        </is>
      </c>
      <c r="F35" s="36" t="inlineStr">
        <is>
          <t>00186037020</t>
        </is>
      </c>
      <c r="G35" s="36" t="inlineStr">
        <is>
          <t>_19631027|</t>
        </is>
      </c>
      <c r="H35" s="58" t="n">
        <v>45979</v>
      </c>
      <c r="I35" s="36" t="n">
        <v>30</v>
      </c>
      <c r="J35" s="36" t="n">
        <v>2</v>
      </c>
      <c r="K35" s="58" t="n">
        <v>46009</v>
      </c>
      <c r="L35" s="36" t="n">
        <v>74</v>
      </c>
      <c r="M35" s="36" t="inlineStr">
        <is>
          <t>Yes</t>
        </is>
      </c>
      <c r="N35" s="36" t="inlineStr">
        <is>
          <t>143257</t>
        </is>
      </c>
      <c r="O35" s="58" t="n">
        <v>46066</v>
      </c>
      <c r="P35" s="36" t="inlineStr">
        <is>
          <t>Covered by Other Rx</t>
        </is>
      </c>
      <c r="Q35" s="55" t="n">
        <v>0</v>
      </c>
      <c r="R35" s="36" t="inlineStr">
        <is>
          <t>Paid-Ins</t>
        </is>
      </c>
      <c r="S35" s="36" t="inlineStr">
        <is>
          <t>Picked Up</t>
        </is>
      </c>
      <c r="T35" s="36" t="inlineStr">
        <is>
          <t>NYM</t>
        </is>
      </c>
      <c r="U35" s="36" t="inlineStr">
        <is>
          <t>004740</t>
        </is>
      </c>
      <c r="V35" s="36" t="inlineStr">
        <is>
          <t>Trivedi  Meera</t>
        </is>
      </c>
    </row>
    <row r="36">
      <c r="A36" s="36" t="inlineStr">
        <is>
          <t>131939</t>
        </is>
      </c>
      <c r="B36" s="36" t="inlineStr">
        <is>
          <t>PERALTA  RAMONA</t>
        </is>
      </c>
      <c r="C36" s="58" t="inlineStr">
        <is>
          <t>09-06-1950</t>
        </is>
      </c>
      <c r="D36" s="36" t="inlineStr">
        <is>
          <t>212-368-2769</t>
        </is>
      </c>
      <c r="E36" s="36" t="inlineStr">
        <is>
          <t>OZEMPIC (1 MG/DOSE) 4MG/3ML INJECTION</t>
        </is>
      </c>
      <c r="F36" s="36" t="inlineStr">
        <is>
          <t>00169413013</t>
        </is>
      </c>
      <c r="G36" s="36" t="inlineStr">
        <is>
          <t>_19500906|</t>
        </is>
      </c>
      <c r="H36" s="58" t="n">
        <v>45981</v>
      </c>
      <c r="I36" s="36" t="n">
        <v>28</v>
      </c>
      <c r="J36" s="36" t="n">
        <v>1</v>
      </c>
      <c r="K36" s="58" t="n">
        <v>46009</v>
      </c>
      <c r="L36" s="36" t="n">
        <v>74</v>
      </c>
      <c r="M36" s="36" t="inlineStr">
        <is>
          <t>Yes</t>
        </is>
      </c>
      <c r="N36" s="36" t="inlineStr">
        <is>
          <t>134003</t>
        </is>
      </c>
      <c r="O36" s="58" t="n">
        <v>46077</v>
      </c>
      <c r="P36" s="36" t="inlineStr">
        <is>
          <t>Covered by Other Rx</t>
        </is>
      </c>
      <c r="Q36" s="55" t="n">
        <v>0</v>
      </c>
      <c r="R36" s="36" t="inlineStr">
        <is>
          <t>Paid-Ins</t>
        </is>
      </c>
      <c r="S36" s="36" t="inlineStr">
        <is>
          <t>Picked Up</t>
        </is>
      </c>
      <c r="T36" s="36" t="inlineStr">
        <is>
          <t>CVS</t>
        </is>
      </c>
      <c r="U36" s="36" t="inlineStr">
        <is>
          <t>004336</t>
        </is>
      </c>
      <c r="V36" s="36" t="inlineStr">
        <is>
          <t>ARRON  MARTIN</t>
        </is>
      </c>
    </row>
    <row r="37">
      <c r="A37" s="36" t="inlineStr">
        <is>
          <t>95768</t>
        </is>
      </c>
      <c r="B37" s="36" t="inlineStr">
        <is>
          <t>GUTIERREZ  JOSEFINA</t>
        </is>
      </c>
      <c r="C37" s="58" t="inlineStr">
        <is>
          <t>03-12-1952</t>
        </is>
      </c>
      <c r="D37" s="36" t="inlineStr">
        <is>
          <t>646-319-3173</t>
        </is>
      </c>
      <c r="E37" s="36" t="inlineStr">
        <is>
          <t>ANORO ELLIPTA 62.5-25MCG/INH AEROSOL 60EA</t>
        </is>
      </c>
      <c r="F37" s="36" t="inlineStr">
        <is>
          <t>00173086910</t>
        </is>
      </c>
      <c r="G37" s="36" t="inlineStr">
        <is>
          <t>_19520312|</t>
        </is>
      </c>
      <c r="H37" s="58" t="n">
        <v>45979</v>
      </c>
      <c r="I37" s="36" t="n">
        <v>30</v>
      </c>
      <c r="J37" s="36" t="n">
        <v>1</v>
      </c>
      <c r="K37" s="58" t="n">
        <v>46009</v>
      </c>
      <c r="L37" s="36" t="n">
        <v>74</v>
      </c>
      <c r="M37" s="36" t="inlineStr">
        <is>
          <t>Yes</t>
        </is>
      </c>
      <c r="N37" s="36" t="inlineStr">
        <is>
          <t>126683</t>
        </is>
      </c>
      <c r="O37" s="58" t="n">
        <v>46022</v>
      </c>
      <c r="P37" s="36" t="inlineStr">
        <is>
          <t>Covered by Other Rx</t>
        </is>
      </c>
      <c r="Q37" s="55" t="n">
        <v>0</v>
      </c>
      <c r="R37" s="36" t="inlineStr">
        <is>
          <t>Paid-Ins</t>
        </is>
      </c>
      <c r="S37" s="36" t="inlineStr">
        <is>
          <t>Picked Up</t>
        </is>
      </c>
      <c r="T37" s="36" t="inlineStr">
        <is>
          <t>CVS</t>
        </is>
      </c>
      <c r="U37" s="36" t="inlineStr">
        <is>
          <t>004336</t>
        </is>
      </c>
      <c r="V37" s="36" t="inlineStr">
        <is>
          <t>Keating  Claire</t>
        </is>
      </c>
    </row>
    <row r="38">
      <c r="A38" s="36" t="inlineStr">
        <is>
          <t>132556</t>
        </is>
      </c>
      <c r="B38" s="36" t="inlineStr">
        <is>
          <t>ROMERO  PABLO</t>
        </is>
      </c>
      <c r="C38" s="58" t="inlineStr">
        <is>
          <t>07-12-1977</t>
        </is>
      </c>
      <c r="D38" s="36" t="inlineStr">
        <is>
          <t>347-604-4417</t>
        </is>
      </c>
      <c r="E38" s="36" t="inlineStr">
        <is>
          <t>OZEMPIC (1 MG/DOSE) 4MG/3ML INJECTION</t>
        </is>
      </c>
      <c r="F38" s="36" t="inlineStr">
        <is>
          <t>00169413013</t>
        </is>
      </c>
      <c r="G38" s="36" t="inlineStr">
        <is>
          <t>_19770712|</t>
        </is>
      </c>
      <c r="H38" s="58" t="n">
        <v>45986</v>
      </c>
      <c r="I38" s="36" t="n">
        <v>28</v>
      </c>
      <c r="J38" s="36" t="n">
        <v>1</v>
      </c>
      <c r="K38" s="58" t="n">
        <v>46014</v>
      </c>
      <c r="L38" s="36" t="n">
        <v>69</v>
      </c>
      <c r="M38" s="36" t="inlineStr">
        <is>
          <t>Yes</t>
        </is>
      </c>
      <c r="N38" s="36" t="inlineStr">
        <is>
          <t>144992</t>
        </is>
      </c>
      <c r="O38" s="58" t="n">
        <v>46079</v>
      </c>
      <c r="P38" s="36" t="inlineStr">
        <is>
          <t>Covered by Other Rx</t>
        </is>
      </c>
      <c r="Q38" s="55" t="n">
        <v>0</v>
      </c>
      <c r="R38" s="36" t="inlineStr">
        <is>
          <t>Paid-Ins</t>
        </is>
      </c>
      <c r="S38" s="36" t="inlineStr">
        <is>
          <t>Picked Up</t>
        </is>
      </c>
      <c r="T38" s="36" t="inlineStr">
        <is>
          <t>CVS</t>
        </is>
      </c>
      <c r="U38" s="36" t="inlineStr">
        <is>
          <t>004336</t>
        </is>
      </c>
      <c r="V38" s="36" t="inlineStr">
        <is>
          <t>Mulpuri  Neha</t>
        </is>
      </c>
    </row>
    <row r="39">
      <c r="A39" s="36" t="inlineStr">
        <is>
          <t>132833</t>
        </is>
      </c>
      <c r="B39" s="36" t="inlineStr">
        <is>
          <t>RUIZ  JACQUELINE</t>
        </is>
      </c>
      <c r="C39" s="58" t="inlineStr">
        <is>
          <t>08-31-1968</t>
        </is>
      </c>
      <c r="D39" s="36" t="inlineStr">
        <is>
          <t>646-321-7114</t>
        </is>
      </c>
      <c r="E39" s="36" t="inlineStr">
        <is>
          <t>MOUNJARO 2.5 MG/0.5ML PEN-INJECTOR</t>
        </is>
      </c>
      <c r="F39" s="36" t="inlineStr">
        <is>
          <t>00002150680</t>
        </is>
      </c>
      <c r="G39" s="36" t="inlineStr">
        <is>
          <t>_19680831|</t>
        </is>
      </c>
      <c r="H39" s="58" t="n">
        <v>45987</v>
      </c>
      <c r="I39" s="36" t="n">
        <v>28</v>
      </c>
      <c r="J39" s="36" t="n">
        <v>1</v>
      </c>
      <c r="K39" s="58" t="n">
        <v>46015</v>
      </c>
      <c r="L39" s="36" t="n">
        <v>68</v>
      </c>
      <c r="M39" s="36" t="inlineStr">
        <is>
          <t>Yes</t>
        </is>
      </c>
      <c r="N39" s="36" t="inlineStr">
        <is>
          <t>143561</t>
        </is>
      </c>
      <c r="O39" s="58" t="n">
        <v>46069</v>
      </c>
      <c r="P39" s="36" t="inlineStr">
        <is>
          <t>Covered by Other Rx</t>
        </is>
      </c>
      <c r="Q39" s="55" t="n">
        <v>0</v>
      </c>
      <c r="R39" s="36" t="inlineStr">
        <is>
          <t>Paid-Ins</t>
        </is>
      </c>
      <c r="S39" s="36" t="inlineStr">
        <is>
          <t>Picked Up</t>
        </is>
      </c>
      <c r="T39" s="36" t="inlineStr">
        <is>
          <t>ESI</t>
        </is>
      </c>
      <c r="U39" s="36" t="inlineStr">
        <is>
          <t>610014</t>
        </is>
      </c>
      <c r="V39" s="36" t="inlineStr">
        <is>
          <t>RAMER  ILANA</t>
        </is>
      </c>
    </row>
    <row r="40">
      <c r="A40" s="36" t="inlineStr">
        <is>
          <t>129186</t>
        </is>
      </c>
      <c r="B40" s="36" t="inlineStr">
        <is>
          <t>ORRALA  JUDITH</t>
        </is>
      </c>
      <c r="C40" s="58" t="inlineStr">
        <is>
          <t>07-29-1960</t>
        </is>
      </c>
      <c r="D40" s="36" t="inlineStr">
        <is>
          <t>347-216-9472</t>
        </is>
      </c>
      <c r="E40" s="36" t="inlineStr">
        <is>
          <t>BASAGLAR KWIKPEN 100UNIT/ML INJECTION</t>
        </is>
      </c>
      <c r="F40" s="36" t="inlineStr">
        <is>
          <t>00002771559</t>
        </is>
      </c>
      <c r="G40" s="36" t="inlineStr">
        <is>
          <t>_19600729|</t>
        </is>
      </c>
      <c r="H40" s="58" t="n">
        <v>45986</v>
      </c>
      <c r="I40" s="36" t="n">
        <v>30</v>
      </c>
      <c r="J40" s="36" t="n">
        <v>1</v>
      </c>
      <c r="K40" s="58" t="n">
        <v>46016</v>
      </c>
      <c r="L40" s="36" t="n">
        <v>67</v>
      </c>
      <c r="M40" s="36" t="inlineStr">
        <is>
          <t>Yes</t>
        </is>
      </c>
      <c r="N40" s="36" t="inlineStr">
        <is>
          <t>135998</t>
        </is>
      </c>
      <c r="O40" s="58" t="n">
        <v>46062</v>
      </c>
      <c r="P40" s="36" t="inlineStr">
        <is>
          <t>Covered by Other Rx</t>
        </is>
      </c>
      <c r="Q40" s="55" t="n">
        <v>0</v>
      </c>
      <c r="R40" s="36" t="inlineStr">
        <is>
          <t>Paid-Ins</t>
        </is>
      </c>
      <c r="S40" s="36" t="inlineStr">
        <is>
          <t>Picked Up</t>
        </is>
      </c>
      <c r="T40" s="36" t="inlineStr">
        <is>
          <t>CVS</t>
        </is>
      </c>
      <c r="U40" s="36" t="inlineStr">
        <is>
          <t>004336</t>
        </is>
      </c>
      <c r="V40" s="36" t="inlineStr">
        <is>
          <t>Balletta  Michael</t>
        </is>
      </c>
    </row>
    <row r="41">
      <c r="A41" s="36" t="inlineStr">
        <is>
          <t>132620</t>
        </is>
      </c>
      <c r="B41" s="36" t="inlineStr">
        <is>
          <t>JOAQUIN VARGAS  GILSITA</t>
        </is>
      </c>
      <c r="C41" s="58" t="inlineStr">
        <is>
          <t>04-30-1957</t>
        </is>
      </c>
      <c r="D41" s="36" t="inlineStr">
        <is>
          <t>212-926-6136</t>
        </is>
      </c>
      <c r="E41" s="36" t="inlineStr">
        <is>
          <t>DAYVIGO 5 MG ORAL TABLET</t>
        </is>
      </c>
      <c r="F41" s="36" t="inlineStr">
        <is>
          <t>62856040530</t>
        </is>
      </c>
      <c r="G41" s="36" t="inlineStr">
        <is>
          <t>_19570430|</t>
        </is>
      </c>
      <c r="H41" s="58" t="n">
        <v>45986</v>
      </c>
      <c r="I41" s="36" t="n">
        <v>30</v>
      </c>
      <c r="J41" s="36" t="n">
        <v>1</v>
      </c>
      <c r="K41" s="58" t="n">
        <v>46016</v>
      </c>
      <c r="L41" s="36" t="n">
        <v>67</v>
      </c>
      <c r="M41" s="36" t="inlineStr">
        <is>
          <t>Yes</t>
        </is>
      </c>
      <c r="N41" s="36" t="inlineStr">
        <is>
          <t>144511</t>
        </is>
      </c>
      <c r="O41" s="58" t="n">
        <v>46077</v>
      </c>
      <c r="P41" s="36" t="inlineStr">
        <is>
          <t>Covered by Other Rx</t>
        </is>
      </c>
      <c r="Q41" s="55" t="n">
        <v>0</v>
      </c>
      <c r="R41" s="36" t="inlineStr">
        <is>
          <t>Paid-Ins</t>
        </is>
      </c>
      <c r="S41" s="36" t="inlineStr">
        <is>
          <t>Picked Up</t>
        </is>
      </c>
      <c r="T41" s="36" t="inlineStr">
        <is>
          <t>CVS</t>
        </is>
      </c>
      <c r="U41" s="36" t="inlineStr">
        <is>
          <t>004336</t>
        </is>
      </c>
      <c r="V41" s="36" t="inlineStr">
        <is>
          <t>KAHANE-PIERRE  SUSAN</t>
        </is>
      </c>
    </row>
    <row r="42">
      <c r="A42" s="36" t="inlineStr">
        <is>
          <t>123921</t>
        </is>
      </c>
      <c r="B42" s="36" t="inlineStr">
        <is>
          <t>PEREAUX  ADALGISA</t>
        </is>
      </c>
      <c r="C42" s="58" t="inlineStr">
        <is>
          <t>11-15-1964</t>
        </is>
      </c>
      <c r="D42" s="36" t="inlineStr">
        <is>
          <t>718-924-6185</t>
        </is>
      </c>
      <c r="E42" s="36" t="inlineStr">
        <is>
          <t>BREZTRI AEROSPHERE 160-9-4.8 MCG/ACT INHALATION AEROSOL</t>
        </is>
      </c>
      <c r="F42" s="36" t="inlineStr">
        <is>
          <t>00310461612</t>
        </is>
      </c>
      <c r="G42" s="36" t="inlineStr">
        <is>
          <t>_19641115|</t>
        </is>
      </c>
      <c r="H42" s="58" t="n">
        <v>45987</v>
      </c>
      <c r="I42" s="36" t="n">
        <v>30</v>
      </c>
      <c r="J42" s="36" t="n">
        <v>1</v>
      </c>
      <c r="K42" s="58" t="n">
        <v>46017</v>
      </c>
      <c r="L42" s="36" t="n">
        <v>66</v>
      </c>
      <c r="M42" s="36" t="inlineStr">
        <is>
          <t>Yes</t>
        </is>
      </c>
      <c r="N42" s="36" t="inlineStr">
        <is>
          <t>139792</t>
        </is>
      </c>
      <c r="O42" s="58" t="n">
        <v>46070</v>
      </c>
      <c r="P42" s="36" t="inlineStr">
        <is>
          <t>Covered by Other Rx</t>
        </is>
      </c>
      <c r="Q42" s="55" t="n">
        <v>0</v>
      </c>
      <c r="R42" s="36" t="inlineStr">
        <is>
          <t>Paid-Ins</t>
        </is>
      </c>
      <c r="S42" s="36" t="inlineStr">
        <is>
          <t>Picked Up</t>
        </is>
      </c>
      <c r="T42" s="36" t="inlineStr">
        <is>
          <t>NYM</t>
        </is>
      </c>
      <c r="U42" s="36" t="inlineStr">
        <is>
          <t>004740</t>
        </is>
      </c>
      <c r="V42" s="36" t="inlineStr">
        <is>
          <t>Ticona  Javier</t>
        </is>
      </c>
    </row>
    <row r="43">
      <c r="A43" s="36" t="inlineStr">
        <is>
          <t>114123</t>
        </is>
      </c>
      <c r="B43" s="36" t="inlineStr">
        <is>
          <t>RAMOS  FRANCISCA</t>
        </is>
      </c>
      <c r="C43" s="58" t="inlineStr">
        <is>
          <t>07-15-1956</t>
        </is>
      </c>
      <c r="D43" s="36" t="inlineStr">
        <is>
          <t>908-357-8830</t>
        </is>
      </c>
      <c r="E43" s="36" t="inlineStr">
        <is>
          <t>NOVOLOG FLEXPEN 100UNIT/ML INJECTION</t>
        </is>
      </c>
      <c r="F43" s="36" t="inlineStr">
        <is>
          <t>00169633910</t>
        </is>
      </c>
      <c r="G43" s="36" t="inlineStr">
        <is>
          <t>_19560715|MFP</t>
        </is>
      </c>
      <c r="H43" s="58" t="n">
        <v>45931</v>
      </c>
      <c r="I43" s="36" t="n">
        <v>90</v>
      </c>
      <c r="J43" s="36" t="n">
        <v>4</v>
      </c>
      <c r="K43" s="58" t="n">
        <v>46021</v>
      </c>
      <c r="L43" s="36" t="n">
        <v>62</v>
      </c>
      <c r="M43" s="36" t="inlineStr">
        <is>
          <t>Yes</t>
        </is>
      </c>
      <c r="N43" s="36" t="inlineStr">
        <is>
          <t>136833</t>
        </is>
      </c>
      <c r="O43" s="58" t="n">
        <v>46020</v>
      </c>
      <c r="P43" s="36" t="inlineStr">
        <is>
          <t>Covered by Other Rx</t>
        </is>
      </c>
      <c r="Q43" s="55" t="n">
        <v>0</v>
      </c>
      <c r="R43" s="36" t="inlineStr">
        <is>
          <t>Paid-Ins</t>
        </is>
      </c>
      <c r="S43" s="36" t="inlineStr">
        <is>
          <t>Picked Up</t>
        </is>
      </c>
      <c r="T43" s="36" t="inlineStr">
        <is>
          <t>CVS</t>
        </is>
      </c>
      <c r="U43" s="36" t="inlineStr">
        <is>
          <t>004336</t>
        </is>
      </c>
      <c r="V43" s="36" t="inlineStr">
        <is>
          <t>Chibas Sandoval  Raul</t>
        </is>
      </c>
    </row>
    <row r="44">
      <c r="A44" s="36" t="inlineStr">
        <is>
          <t>119244</t>
        </is>
      </c>
      <c r="B44" s="36" t="inlineStr">
        <is>
          <t>ALCANTARA  TOMAS</t>
        </is>
      </c>
      <c r="C44" s="58" t="inlineStr">
        <is>
          <t>04-05-1951</t>
        </is>
      </c>
      <c r="D44" s="36" t="inlineStr">
        <is>
          <t>347-780-4756</t>
        </is>
      </c>
      <c r="E44" s="36" t="inlineStr">
        <is>
          <t>OZEMPIC (2 MG/DOSE) 8 MG/3ML PEN-INJECTOR</t>
        </is>
      </c>
      <c r="F44" s="36" t="inlineStr">
        <is>
          <t>00169477212</t>
        </is>
      </c>
      <c r="G44" s="36" t="inlineStr">
        <is>
          <t>_19510405|</t>
        </is>
      </c>
      <c r="H44" s="58" t="n">
        <v>45993</v>
      </c>
      <c r="I44" s="36" t="n">
        <v>28</v>
      </c>
      <c r="J44" s="36" t="n">
        <v>7</v>
      </c>
      <c r="K44" s="58" t="n">
        <v>46021</v>
      </c>
      <c r="L44" s="36" t="n">
        <v>62</v>
      </c>
      <c r="M44" s="36" t="inlineStr">
        <is>
          <t>Yes</t>
        </is>
      </c>
      <c r="N44" s="36" t="inlineStr">
        <is>
          <t>130956</t>
        </is>
      </c>
      <c r="O44" s="58" t="n">
        <v>46060</v>
      </c>
      <c r="P44" s="36" t="inlineStr">
        <is>
          <t>Covered by Other Rx</t>
        </is>
      </c>
      <c r="Q44" s="55" t="n">
        <v>0</v>
      </c>
      <c r="R44" s="36" t="inlineStr">
        <is>
          <t>Paid-Ins</t>
        </is>
      </c>
      <c r="S44" s="36" t="inlineStr">
        <is>
          <t>Picked Up</t>
        </is>
      </c>
      <c r="T44" s="36" t="inlineStr">
        <is>
          <t>ESI</t>
        </is>
      </c>
      <c r="U44" s="36" t="inlineStr">
        <is>
          <t>610014</t>
        </is>
      </c>
      <c r="V44" s="36" t="inlineStr">
        <is>
          <t>MAZORI  ALON</t>
        </is>
      </c>
    </row>
    <row r="45">
      <c r="A45" s="36" t="inlineStr">
        <is>
          <t>125427</t>
        </is>
      </c>
      <c r="B45" s="36" t="inlineStr">
        <is>
          <t>GUZMAN  JOSE</t>
        </is>
      </c>
      <c r="C45" s="58" t="inlineStr">
        <is>
          <t>08-08-1959</t>
        </is>
      </c>
      <c r="D45" s="36" t="inlineStr">
        <is>
          <t>347-271-2649</t>
        </is>
      </c>
      <c r="E45" s="36" t="inlineStr">
        <is>
          <t>CONTOUR NEXT TEST  STRIPS</t>
        </is>
      </c>
      <c r="F45" s="36" t="inlineStr">
        <is>
          <t>00193731150</t>
        </is>
      </c>
      <c r="G45" s="36" t="inlineStr">
        <is>
          <t>_19590808|STRIPSONLY</t>
        </is>
      </c>
      <c r="H45" s="58" t="n">
        <v>45931</v>
      </c>
      <c r="I45" s="36" t="n">
        <v>90</v>
      </c>
      <c r="J45" s="36" t="n">
        <v>1</v>
      </c>
      <c r="K45" s="58" t="n">
        <v>46021</v>
      </c>
      <c r="L45" s="36" t="n">
        <v>62</v>
      </c>
      <c r="M45" s="36" t="inlineStr">
        <is>
          <t>Yes</t>
        </is>
      </c>
      <c r="N45" s="36" t="inlineStr">
        <is>
          <t>136739</t>
        </is>
      </c>
      <c r="O45" s="58" t="n">
        <v>46020</v>
      </c>
      <c r="P45" s="36" t="inlineStr">
        <is>
          <t>Covered by Other Rx</t>
        </is>
      </c>
      <c r="Q45" s="55" t="n">
        <v>0</v>
      </c>
      <c r="R45" s="36" t="inlineStr">
        <is>
          <t>Paid-Ins</t>
        </is>
      </c>
      <c r="S45" s="36" t="inlineStr">
        <is>
          <t>Picked Up</t>
        </is>
      </c>
      <c r="T45" s="36" t="inlineStr">
        <is>
          <t>CVS</t>
        </is>
      </c>
      <c r="U45" s="36" t="inlineStr">
        <is>
          <t>004336</t>
        </is>
      </c>
      <c r="V45" s="36" t="inlineStr">
        <is>
          <t>ROSARIO  FRANCISCO</t>
        </is>
      </c>
    </row>
    <row r="46">
      <c r="A46" s="36" t="inlineStr">
        <is>
          <t>125463</t>
        </is>
      </c>
      <c r="B46" s="36" t="inlineStr">
        <is>
          <t>VALDEZ  CRISTINA</t>
        </is>
      </c>
      <c r="C46" s="58" t="inlineStr">
        <is>
          <t>05-14-1938</t>
        </is>
      </c>
      <c r="D46" s="36" t="inlineStr">
        <is>
          <t>917-396-0489</t>
        </is>
      </c>
      <c r="E46" s="36" t="inlineStr">
        <is>
          <t>CONTOUR NEXT STRIP DME</t>
        </is>
      </c>
      <c r="F46" s="36" t="inlineStr">
        <is>
          <t>00193730850</t>
        </is>
      </c>
      <c r="G46" s="36" t="inlineStr">
        <is>
          <t>_19380514|STRIPSONLY</t>
        </is>
      </c>
      <c r="H46" s="58" t="n">
        <v>45931</v>
      </c>
      <c r="I46" s="36" t="n">
        <v>90</v>
      </c>
      <c r="J46" s="36" t="n">
        <v>3</v>
      </c>
      <c r="K46" s="58" t="n">
        <v>46021</v>
      </c>
      <c r="L46" s="36" t="n">
        <v>62</v>
      </c>
      <c r="M46" s="36" t="inlineStr">
        <is>
          <t>Yes</t>
        </is>
      </c>
      <c r="N46" s="36" t="inlineStr">
        <is>
          <t>132999</t>
        </is>
      </c>
      <c r="O46" s="58" t="n">
        <v>46044</v>
      </c>
      <c r="P46" s="36" t="inlineStr">
        <is>
          <t>Covered by Other Rx</t>
        </is>
      </c>
      <c r="Q46" s="55" t="n">
        <v>0</v>
      </c>
      <c r="R46" s="36" t="inlineStr">
        <is>
          <t>Transmitted</t>
        </is>
      </c>
      <c r="S46" s="36" t="inlineStr">
        <is>
          <t>Picked Up</t>
        </is>
      </c>
      <c r="T46" s="36" t="n">
        <v/>
      </c>
      <c r="U46" s="36" t="inlineStr">
        <is>
          <t>007895</t>
        </is>
      </c>
      <c r="V46" s="36" t="inlineStr">
        <is>
          <t>PEREZ  FIORELLA</t>
        </is>
      </c>
    </row>
    <row r="47">
      <c r="A47" s="36" t="inlineStr">
        <is>
          <t>133241</t>
        </is>
      </c>
      <c r="B47" s="36" t="inlineStr">
        <is>
          <t>CLAUDIO  MARIA</t>
        </is>
      </c>
      <c r="C47" s="58" t="inlineStr">
        <is>
          <t>12-12-1946</t>
        </is>
      </c>
      <c r="D47" s="36" t="n">
        <v/>
      </c>
      <c r="E47" s="36" t="inlineStr">
        <is>
          <t>BUDESONIDE/FORMOTEROL 160 /4.5 MCG (SYMBICORT)</t>
        </is>
      </c>
      <c r="F47" s="36" t="inlineStr">
        <is>
          <t>00310737020</t>
        </is>
      </c>
      <c r="G47" s="36" t="inlineStr">
        <is>
          <t>_19461212|</t>
        </is>
      </c>
      <c r="H47" s="58" t="n">
        <v>45992</v>
      </c>
      <c r="I47" s="36" t="n">
        <v>30</v>
      </c>
      <c r="J47" s="36" t="n">
        <v>3</v>
      </c>
      <c r="K47" s="58" t="n">
        <v>46022</v>
      </c>
      <c r="L47" s="36" t="n">
        <v>61</v>
      </c>
      <c r="M47" s="36" t="inlineStr">
        <is>
          <t>Yes</t>
        </is>
      </c>
      <c r="N47" s="36" t="inlineStr">
        <is>
          <t>136821</t>
        </is>
      </c>
      <c r="O47" s="58" t="n">
        <v>46076</v>
      </c>
      <c r="P47" s="36" t="inlineStr">
        <is>
          <t>Covered by Other Rx</t>
        </is>
      </c>
      <c r="Q47" s="55" t="n">
        <v>0</v>
      </c>
      <c r="R47" s="36" t="inlineStr">
        <is>
          <t>Paid-Ins</t>
        </is>
      </c>
      <c r="S47" s="36" t="inlineStr">
        <is>
          <t>Picked Up</t>
        </is>
      </c>
      <c r="T47" s="36" t="inlineStr">
        <is>
          <t>CVS</t>
        </is>
      </c>
      <c r="U47" s="36" t="inlineStr">
        <is>
          <t>004336</t>
        </is>
      </c>
      <c r="V47" s="36" t="inlineStr">
        <is>
          <t>CORREA  MICHAEL</t>
        </is>
      </c>
    </row>
    <row r="48">
      <c r="A48" s="36" t="inlineStr">
        <is>
          <t>103899</t>
        </is>
      </c>
      <c r="B48" s="36" t="inlineStr">
        <is>
          <t>CRUZ NUNEZ  MANUEL</t>
        </is>
      </c>
      <c r="C48" s="58" t="inlineStr">
        <is>
          <t>11-14-1949</t>
        </is>
      </c>
      <c r="D48" s="36" t="inlineStr">
        <is>
          <t>212-862-1592</t>
        </is>
      </c>
      <c r="E48" s="36" t="inlineStr">
        <is>
          <t>CONTOUR NEXT TEST  STRIPS</t>
        </is>
      </c>
      <c r="F48" s="36" t="inlineStr">
        <is>
          <t>00193731150</t>
        </is>
      </c>
      <c r="G48" s="36" t="inlineStr">
        <is>
          <t>_19491114|STRIPSONLY</t>
        </is>
      </c>
      <c r="H48" s="58" t="n">
        <v>45933</v>
      </c>
      <c r="I48" s="36" t="n">
        <v>90</v>
      </c>
      <c r="J48" s="36" t="n">
        <v>1</v>
      </c>
      <c r="K48" s="58" t="n">
        <v>46023</v>
      </c>
      <c r="L48" s="36" t="n">
        <v>60</v>
      </c>
      <c r="M48" s="36" t="inlineStr">
        <is>
          <t>Yes</t>
        </is>
      </c>
      <c r="N48" s="36" t="inlineStr">
        <is>
          <t>136272</t>
        </is>
      </c>
      <c r="O48" s="58" t="n">
        <v>46017</v>
      </c>
      <c r="P48" s="36" t="inlineStr">
        <is>
          <t>Covered by Other Rx</t>
        </is>
      </c>
      <c r="Q48" s="55" t="n">
        <v>0</v>
      </c>
      <c r="R48" s="36" t="inlineStr">
        <is>
          <t>Paid-Ins</t>
        </is>
      </c>
      <c r="S48" s="36" t="inlineStr">
        <is>
          <t>Picked Up</t>
        </is>
      </c>
      <c r="T48" s="36" t="inlineStr">
        <is>
          <t>CVS</t>
        </is>
      </c>
      <c r="U48" s="36" t="inlineStr">
        <is>
          <t>004336</t>
        </is>
      </c>
      <c r="V48" s="36" t="inlineStr">
        <is>
          <t>PIGNANELLI  EDUARDO</t>
        </is>
      </c>
    </row>
    <row r="49">
      <c r="A49" s="36" t="inlineStr">
        <is>
          <t>119135</t>
        </is>
      </c>
      <c r="B49" s="36" t="inlineStr">
        <is>
          <t>AMODEO  JAMES</t>
        </is>
      </c>
      <c r="C49" s="58" t="inlineStr">
        <is>
          <t>11-22-1962</t>
        </is>
      </c>
      <c r="D49" s="36" t="inlineStr">
        <is>
          <t>917-599-8436</t>
        </is>
      </c>
      <c r="E49" s="36" t="inlineStr">
        <is>
          <t>ZEPBOUND 10 MG/0.5ML AUTO-INJECTOR</t>
        </is>
      </c>
      <c r="F49" s="36" t="inlineStr">
        <is>
          <t>00002247180</t>
        </is>
      </c>
      <c r="G49" s="36" t="inlineStr">
        <is>
          <t>_19621122|</t>
        </is>
      </c>
      <c r="H49" s="58" t="n">
        <v>45995</v>
      </c>
      <c r="I49" s="36" t="n">
        <v>28</v>
      </c>
      <c r="J49" s="36" t="n">
        <v>1</v>
      </c>
      <c r="K49" s="58" t="n">
        <v>46023</v>
      </c>
      <c r="L49" s="36" t="n">
        <v>60</v>
      </c>
      <c r="M49" s="36" t="inlineStr">
        <is>
          <t>Yes</t>
        </is>
      </c>
      <c r="N49" s="36" t="inlineStr">
        <is>
          <t>141942</t>
        </is>
      </c>
      <c r="O49" s="58" t="n">
        <v>46083</v>
      </c>
      <c r="P49" s="36" t="inlineStr">
        <is>
          <t>Covered by Other Rx</t>
        </is>
      </c>
      <c r="Q49" s="55" t="n">
        <v>0</v>
      </c>
      <c r="R49" s="36" t="inlineStr">
        <is>
          <t>Transmitted</t>
        </is>
      </c>
      <c r="S49" s="36" t="inlineStr">
        <is>
          <t>Picked Up</t>
        </is>
      </c>
      <c r="T49" s="36" t="inlineStr">
        <is>
          <t>OPTUM</t>
        </is>
      </c>
      <c r="U49" s="36" t="inlineStr">
        <is>
          <t>610279</t>
        </is>
      </c>
      <c r="V49" s="36" t="inlineStr">
        <is>
          <t>ENGEL  ANELISE</t>
        </is>
      </c>
    </row>
    <row r="50">
      <c r="A50" s="36" t="inlineStr">
        <is>
          <t>129778</t>
        </is>
      </c>
      <c r="B50" s="36" t="inlineStr">
        <is>
          <t>JIMENEZ  FILMA</t>
        </is>
      </c>
      <c r="C50" s="58" t="inlineStr">
        <is>
          <t>06-01-1938</t>
        </is>
      </c>
      <c r="D50" s="36" t="inlineStr">
        <is>
          <t>929-476-3607</t>
        </is>
      </c>
      <c r="E50" s="36" t="inlineStr">
        <is>
          <t xml:space="preserve">JARDIANCE 25MG TAB </t>
        </is>
      </c>
      <c r="F50" s="36" t="inlineStr">
        <is>
          <t>00597015330</t>
        </is>
      </c>
      <c r="G50" s="36" t="inlineStr">
        <is>
          <t>_19380601|MFP</t>
        </is>
      </c>
      <c r="H50" s="58" t="n">
        <v>45993</v>
      </c>
      <c r="I50" s="36" t="n">
        <v>30</v>
      </c>
      <c r="J50" s="36" t="n">
        <v>4</v>
      </c>
      <c r="K50" s="58" t="n">
        <v>46023</v>
      </c>
      <c r="L50" s="36" t="n">
        <v>60</v>
      </c>
      <c r="M50" s="36" t="inlineStr">
        <is>
          <t>Yes</t>
        </is>
      </c>
      <c r="N50" s="36" t="inlineStr">
        <is>
          <t>136806</t>
        </is>
      </c>
      <c r="O50" s="58" t="n">
        <v>46020</v>
      </c>
      <c r="P50" s="36" t="inlineStr">
        <is>
          <t>Covered by Other Rx</t>
        </is>
      </c>
      <c r="Q50" s="55" t="n">
        <v>0</v>
      </c>
      <c r="R50" s="36" t="inlineStr">
        <is>
          <t>Paid-Ins</t>
        </is>
      </c>
      <c r="S50" s="36" t="inlineStr">
        <is>
          <t>Picked Up</t>
        </is>
      </c>
      <c r="T50" s="36" t="inlineStr">
        <is>
          <t>ESI</t>
        </is>
      </c>
      <c r="U50" s="36" t="inlineStr">
        <is>
          <t>017010</t>
        </is>
      </c>
      <c r="V50" s="36" t="inlineStr">
        <is>
          <t>Chen  KuanChang</t>
        </is>
      </c>
    </row>
    <row r="51">
      <c r="A51" s="36" t="inlineStr">
        <is>
          <t>93844</t>
        </is>
      </c>
      <c r="B51" s="36" t="inlineStr">
        <is>
          <t>MENDOZA  LEONOR</t>
        </is>
      </c>
      <c r="C51" s="58" t="inlineStr">
        <is>
          <t>10-26-1958</t>
        </is>
      </c>
      <c r="D51" s="36" t="inlineStr">
        <is>
          <t>347-892-7889</t>
        </is>
      </c>
      <c r="E51" s="36" t="inlineStr">
        <is>
          <t xml:space="preserve">RESTASIS 0.05% EMULSION </t>
        </is>
      </c>
      <c r="F51" s="36" t="inlineStr">
        <is>
          <t>00023916360</t>
        </is>
      </c>
      <c r="G51" s="36" t="inlineStr">
        <is>
          <t>_19581026|</t>
        </is>
      </c>
      <c r="H51" s="58" t="n">
        <v>45993</v>
      </c>
      <c r="I51" s="36" t="n">
        <v>30</v>
      </c>
      <c r="J51" s="36" t="n">
        <v>1</v>
      </c>
      <c r="K51" s="58" t="n">
        <v>46023</v>
      </c>
      <c r="L51" s="36" t="n">
        <v>60</v>
      </c>
      <c r="M51" s="36" t="inlineStr">
        <is>
          <t>Yes</t>
        </is>
      </c>
      <c r="N51" s="36" t="inlineStr">
        <is>
          <t>133291</t>
        </is>
      </c>
      <c r="O51" s="58" t="n">
        <v>46081</v>
      </c>
      <c r="P51" s="36" t="inlineStr">
        <is>
          <t>Covered by Other Rx</t>
        </is>
      </c>
      <c r="Q51" s="55" t="n">
        <v>0</v>
      </c>
      <c r="R51" s="36" t="inlineStr">
        <is>
          <t>Paid-Ins</t>
        </is>
      </c>
      <c r="S51" s="36" t="inlineStr">
        <is>
          <t>Picked Up</t>
        </is>
      </c>
      <c r="T51" s="36" t="inlineStr">
        <is>
          <t>CVS</t>
        </is>
      </c>
      <c r="U51" s="36" t="inlineStr">
        <is>
          <t>004336</t>
        </is>
      </c>
      <c r="V51" s="36" t="inlineStr">
        <is>
          <t>COTLIAR  ARTHUR</t>
        </is>
      </c>
    </row>
    <row r="52">
      <c r="A52" s="36" t="inlineStr">
        <is>
          <t>125777</t>
        </is>
      </c>
      <c r="B52" s="36" t="inlineStr">
        <is>
          <t>PEREZ  FLORENCIA</t>
        </is>
      </c>
      <c r="C52" s="58" t="inlineStr">
        <is>
          <t>05-17-1946</t>
        </is>
      </c>
      <c r="D52" s="36" t="n">
        <v/>
      </c>
      <c r="E52" s="36" t="inlineStr">
        <is>
          <t>SYNJARDY 12.5-1000MG TABLET</t>
        </is>
      </c>
      <c r="F52" s="36" t="inlineStr">
        <is>
          <t>00597016860</t>
        </is>
      </c>
      <c r="G52" s="36" t="inlineStr">
        <is>
          <t>_19460517|</t>
        </is>
      </c>
      <c r="H52" s="58" t="n">
        <v>45934</v>
      </c>
      <c r="I52" s="36" t="n">
        <v>90</v>
      </c>
      <c r="J52" s="36" t="n">
        <v>3</v>
      </c>
      <c r="K52" s="58" t="n">
        <v>46024</v>
      </c>
      <c r="L52" s="36" t="n">
        <v>59</v>
      </c>
      <c r="M52" s="36" t="inlineStr">
        <is>
          <t>Yes</t>
        </is>
      </c>
      <c r="N52" s="36" t="inlineStr">
        <is>
          <t>122360</t>
        </is>
      </c>
      <c r="O52" s="58" t="n">
        <v>46070</v>
      </c>
      <c r="P52" s="36" t="inlineStr">
        <is>
          <t>Covered by Other Rx</t>
        </is>
      </c>
      <c r="Q52" s="55" t="n">
        <v>0</v>
      </c>
      <c r="R52" s="36" t="inlineStr">
        <is>
          <t>Paid-Ins</t>
        </is>
      </c>
      <c r="S52" s="36" t="inlineStr">
        <is>
          <t>Picked Up</t>
        </is>
      </c>
      <c r="T52" s="36" t="inlineStr">
        <is>
          <t>CVS</t>
        </is>
      </c>
      <c r="U52" s="36" t="inlineStr">
        <is>
          <t>004336</t>
        </is>
      </c>
      <c r="V52" s="36" t="inlineStr">
        <is>
          <t>CABRERA  MICHELLE</t>
        </is>
      </c>
    </row>
    <row r="53">
      <c r="A53" s="36" t="inlineStr">
        <is>
          <t>129627</t>
        </is>
      </c>
      <c r="B53" s="36" t="inlineStr">
        <is>
          <t>SUAREZ  HILDELIZA</t>
        </is>
      </c>
      <c r="C53" s="58" t="inlineStr">
        <is>
          <t>12-16-1925</t>
        </is>
      </c>
      <c r="D53" s="36" t="inlineStr">
        <is>
          <t>212-862-3070</t>
        </is>
      </c>
      <c r="E53" s="36" t="inlineStr">
        <is>
          <t xml:space="preserve">ELIQUIS 2.5MG TAB </t>
        </is>
      </c>
      <c r="F53" s="36" t="inlineStr">
        <is>
          <t>00003089321</t>
        </is>
      </c>
      <c r="G53" s="36" t="inlineStr">
        <is>
          <t>_19251216|MFP</t>
        </is>
      </c>
      <c r="H53" s="58" t="n">
        <v>45994</v>
      </c>
      <c r="I53" s="36" t="n">
        <v>30</v>
      </c>
      <c r="J53" s="36" t="n">
        <v>10</v>
      </c>
      <c r="K53" s="58" t="n">
        <v>46024</v>
      </c>
      <c r="L53" s="36" t="n">
        <v>59</v>
      </c>
      <c r="M53" s="36" t="inlineStr">
        <is>
          <t>Yes</t>
        </is>
      </c>
      <c r="N53" s="36" t="inlineStr">
        <is>
          <t>137077</t>
        </is>
      </c>
      <c r="O53" s="58" t="n">
        <v>46022</v>
      </c>
      <c r="P53" s="36" t="inlineStr">
        <is>
          <t>Covered by Other Rx</t>
        </is>
      </c>
      <c r="Q53" s="55" t="n">
        <v>0</v>
      </c>
      <c r="R53" s="36" t="inlineStr">
        <is>
          <t>Paid-Ins</t>
        </is>
      </c>
      <c r="S53" s="36" t="inlineStr">
        <is>
          <t>Picked Up</t>
        </is>
      </c>
      <c r="T53" s="36" t="inlineStr">
        <is>
          <t>CVS</t>
        </is>
      </c>
      <c r="U53" s="36" t="inlineStr">
        <is>
          <t>004336</t>
        </is>
      </c>
      <c r="V53" s="36" t="inlineStr">
        <is>
          <t>France  Stacey</t>
        </is>
      </c>
    </row>
    <row r="54">
      <c r="A54" s="36" t="inlineStr">
        <is>
          <t>130639</t>
        </is>
      </c>
      <c r="B54" s="36" t="inlineStr">
        <is>
          <t>HERNANDEZ  ANA MIRIAM</t>
        </is>
      </c>
      <c r="C54" s="58" t="inlineStr">
        <is>
          <t>05-04-1962</t>
        </is>
      </c>
      <c r="D54" s="36" t="inlineStr">
        <is>
          <t>917-939-3037</t>
        </is>
      </c>
      <c r="E54" s="36" t="inlineStr">
        <is>
          <t>OZEMPIC (1 MG/DOSE) 4MG/3ML INJECTION</t>
        </is>
      </c>
      <c r="F54" s="36" t="inlineStr">
        <is>
          <t>00169413013</t>
        </is>
      </c>
      <c r="G54" s="36" t="inlineStr">
        <is>
          <t>_19620504|</t>
        </is>
      </c>
      <c r="H54" s="58" t="n">
        <v>45996</v>
      </c>
      <c r="I54" s="36" t="n">
        <v>28</v>
      </c>
      <c r="J54" s="36" t="n">
        <v>1</v>
      </c>
      <c r="K54" s="58" t="n">
        <v>46024</v>
      </c>
      <c r="L54" s="36" t="n">
        <v>59</v>
      </c>
      <c r="M54" s="36" t="inlineStr">
        <is>
          <t>Yes</t>
        </is>
      </c>
      <c r="N54" s="36" t="inlineStr">
        <is>
          <t>137653</t>
        </is>
      </c>
      <c r="O54" s="58" t="n">
        <v>46027</v>
      </c>
      <c r="P54" s="36" t="inlineStr">
        <is>
          <t>Covered by Other Rx</t>
        </is>
      </c>
      <c r="Q54" s="55" t="n">
        <v>0</v>
      </c>
      <c r="R54" s="36" t="inlineStr">
        <is>
          <t>Paid-Ins</t>
        </is>
      </c>
      <c r="S54" s="36" t="inlineStr">
        <is>
          <t>Picked Up</t>
        </is>
      </c>
      <c r="T54" s="36" t="inlineStr">
        <is>
          <t>CVS</t>
        </is>
      </c>
      <c r="U54" s="36" t="inlineStr">
        <is>
          <t>004336</t>
        </is>
      </c>
      <c r="V54" s="36" t="inlineStr">
        <is>
          <t>SANTILLAN  YERIKO</t>
        </is>
      </c>
    </row>
    <row r="55">
      <c r="A55" s="36" t="inlineStr">
        <is>
          <t>126587</t>
        </is>
      </c>
      <c r="B55" s="36" t="inlineStr">
        <is>
          <t>ALMONTE  JUAN</t>
        </is>
      </c>
      <c r="C55" s="58" t="inlineStr">
        <is>
          <t>01-14-1958</t>
        </is>
      </c>
      <c r="D55" s="36" t="inlineStr">
        <is>
          <t>646-972-0895</t>
        </is>
      </c>
      <c r="E55" s="36" t="inlineStr">
        <is>
          <t>JANUVIA 25MG TABLET</t>
        </is>
      </c>
      <c r="F55" s="36" t="inlineStr">
        <is>
          <t>00006022131</t>
        </is>
      </c>
      <c r="G55" s="36" t="inlineStr">
        <is>
          <t>_19580114|MFP</t>
        </is>
      </c>
      <c r="H55" s="58" t="n">
        <v>45995</v>
      </c>
      <c r="I55" s="36" t="n">
        <v>30</v>
      </c>
      <c r="J55" s="36" t="n">
        <v>9</v>
      </c>
      <c r="K55" s="58" t="n">
        <v>46025</v>
      </c>
      <c r="L55" s="36" t="n">
        <v>58</v>
      </c>
      <c r="M55" s="36" t="inlineStr">
        <is>
          <t>Yes</t>
        </is>
      </c>
      <c r="N55" s="36" t="inlineStr">
        <is>
          <t>137059</t>
        </is>
      </c>
      <c r="O55" s="58" t="n">
        <v>46022</v>
      </c>
      <c r="P55" s="36" t="inlineStr">
        <is>
          <t>Covered by Other Rx</t>
        </is>
      </c>
      <c r="Q55" s="55" t="n">
        <v>0</v>
      </c>
      <c r="R55" s="36" t="inlineStr">
        <is>
          <t>Paid-Ins</t>
        </is>
      </c>
      <c r="S55" s="36" t="inlineStr">
        <is>
          <t>Picked Up</t>
        </is>
      </c>
      <c r="T55" s="36" t="inlineStr">
        <is>
          <t>CVS</t>
        </is>
      </c>
      <c r="U55" s="36" t="inlineStr">
        <is>
          <t>004336</t>
        </is>
      </c>
      <c r="V55" s="36" t="inlineStr">
        <is>
          <t>Arshad  Haroon</t>
        </is>
      </c>
    </row>
    <row r="56">
      <c r="A56" s="36" t="inlineStr">
        <is>
          <t>119181</t>
        </is>
      </c>
      <c r="B56" s="36" t="inlineStr">
        <is>
          <t>JIMENEZ  FILMA</t>
        </is>
      </c>
      <c r="C56" s="58" t="inlineStr">
        <is>
          <t>06-01-1938</t>
        </is>
      </c>
      <c r="D56" s="36" t="inlineStr">
        <is>
          <t>929-476-3607</t>
        </is>
      </c>
      <c r="E56" s="36" t="inlineStr">
        <is>
          <t>JANUVIA 100MG TAB</t>
        </is>
      </c>
      <c r="F56" s="36" t="inlineStr">
        <is>
          <t>00006027731</t>
        </is>
      </c>
      <c r="G56" s="36" t="inlineStr">
        <is>
          <t>_19380601|MFP</t>
        </is>
      </c>
      <c r="H56" s="58" t="n">
        <v>45996</v>
      </c>
      <c r="I56" s="36" t="n">
        <v>30</v>
      </c>
      <c r="J56" s="36" t="n">
        <v>1</v>
      </c>
      <c r="K56" s="58" t="n">
        <v>46026</v>
      </c>
      <c r="L56" s="36" t="n">
        <v>57</v>
      </c>
      <c r="M56" s="36" t="inlineStr">
        <is>
          <t>Yes</t>
        </is>
      </c>
      <c r="N56" s="36" t="inlineStr">
        <is>
          <t>136806</t>
        </is>
      </c>
      <c r="O56" s="58" t="n">
        <v>46020</v>
      </c>
      <c r="P56" s="36" t="inlineStr">
        <is>
          <t>Covered by Other Rx</t>
        </is>
      </c>
      <c r="Q56" s="55" t="n">
        <v>0</v>
      </c>
      <c r="R56" s="36" t="inlineStr">
        <is>
          <t>Paid-Ins</t>
        </is>
      </c>
      <c r="S56" s="36" t="inlineStr">
        <is>
          <t>Picked Up</t>
        </is>
      </c>
      <c r="T56" s="36" t="inlineStr">
        <is>
          <t>ESI</t>
        </is>
      </c>
      <c r="U56" s="36" t="inlineStr">
        <is>
          <t>017010</t>
        </is>
      </c>
      <c r="V56" s="36" t="inlineStr">
        <is>
          <t>Chen  KuanChang</t>
        </is>
      </c>
    </row>
    <row r="57">
      <c r="A57" s="36" t="inlineStr">
        <is>
          <t>128100</t>
        </is>
      </c>
      <c r="B57" s="36" t="inlineStr">
        <is>
          <t>ROJAS  LOURDES</t>
        </is>
      </c>
      <c r="C57" s="58" t="inlineStr">
        <is>
          <t>07-16-1958</t>
        </is>
      </c>
      <c r="D57" s="36" t="inlineStr">
        <is>
          <t>646-483-6219</t>
        </is>
      </c>
      <c r="E57" s="36" t="inlineStr">
        <is>
          <t>LUMIGAN 0.01% SOLUTION</t>
        </is>
      </c>
      <c r="F57" s="36" t="inlineStr">
        <is>
          <t>00023320508</t>
        </is>
      </c>
      <c r="G57" s="36" t="inlineStr">
        <is>
          <t>_19580716|</t>
        </is>
      </c>
      <c r="H57" s="58" t="n">
        <v>45951</v>
      </c>
      <c r="I57" s="36" t="n">
        <v>75</v>
      </c>
      <c r="J57" s="36" t="n">
        <v>1</v>
      </c>
      <c r="K57" s="58" t="n">
        <v>46026</v>
      </c>
      <c r="L57" s="36" t="n">
        <v>57</v>
      </c>
      <c r="M57" s="36" t="inlineStr">
        <is>
          <t>Yes</t>
        </is>
      </c>
      <c r="N57" s="36" t="inlineStr">
        <is>
          <t>143524</t>
        </is>
      </c>
      <c r="O57" s="58" t="n">
        <v>46069</v>
      </c>
      <c r="P57" s="36" t="inlineStr">
        <is>
          <t>Covered by Other Rx</t>
        </is>
      </c>
      <c r="Q57" s="55" t="n">
        <v>0</v>
      </c>
      <c r="R57" s="36" t="inlineStr">
        <is>
          <t>Paid-Ins</t>
        </is>
      </c>
      <c r="S57" s="36" t="inlineStr">
        <is>
          <t>Picked Up</t>
        </is>
      </c>
      <c r="T57" s="36" t="inlineStr">
        <is>
          <t>CVS</t>
        </is>
      </c>
      <c r="U57" s="36" t="inlineStr">
        <is>
          <t>004336</t>
        </is>
      </c>
      <c r="V57" s="36" t="inlineStr">
        <is>
          <t>DIAMOND  JENNIFER</t>
        </is>
      </c>
    </row>
    <row r="58">
      <c r="A58" s="36" t="inlineStr">
        <is>
          <t>120164</t>
        </is>
      </c>
      <c r="B58" s="36" t="inlineStr">
        <is>
          <t>SOTO VELOZ  ROSA</t>
        </is>
      </c>
      <c r="C58" s="58" t="inlineStr">
        <is>
          <t>09-16-1987</t>
        </is>
      </c>
      <c r="D58" s="36" t="inlineStr">
        <is>
          <t>929-527-0264</t>
        </is>
      </c>
      <c r="E58" s="36" t="inlineStr">
        <is>
          <t>OZEMPIC (0.25 OR 0.5 MG/DOSE) 2 MG/3ML PEN-INJECTOR</t>
        </is>
      </c>
      <c r="F58" s="36" t="inlineStr">
        <is>
          <t>00169418113</t>
        </is>
      </c>
      <c r="G58" s="36" t="inlineStr">
        <is>
          <t>_19870916|</t>
        </is>
      </c>
      <c r="H58" s="58" t="n">
        <v>45999</v>
      </c>
      <c r="I58" s="36" t="n">
        <v>28</v>
      </c>
      <c r="J58" s="36" t="n">
        <v>1</v>
      </c>
      <c r="K58" s="58" t="n">
        <v>46027</v>
      </c>
      <c r="L58" s="36" t="n">
        <v>56</v>
      </c>
      <c r="M58" s="36" t="inlineStr">
        <is>
          <t>Yes</t>
        </is>
      </c>
      <c r="N58" s="36" t="inlineStr">
        <is>
          <t>141180</t>
        </is>
      </c>
      <c r="O58" s="58" t="n">
        <v>46078</v>
      </c>
      <c r="P58" s="36" t="inlineStr">
        <is>
          <t>Covered by Other Rx</t>
        </is>
      </c>
      <c r="Q58" s="55" t="n">
        <v>0</v>
      </c>
      <c r="R58" s="36" t="inlineStr">
        <is>
          <t>Paid-Ins</t>
        </is>
      </c>
      <c r="S58" s="36" t="inlineStr">
        <is>
          <t>Picked Up</t>
        </is>
      </c>
      <c r="T58" s="36" t="inlineStr">
        <is>
          <t>CVS</t>
        </is>
      </c>
      <c r="U58" s="36" t="inlineStr">
        <is>
          <t>004336</t>
        </is>
      </c>
      <c r="V58" s="36" t="inlineStr">
        <is>
          <t>CRUZ  ALCEDO</t>
        </is>
      </c>
    </row>
    <row r="59">
      <c r="A59" s="36" t="inlineStr">
        <is>
          <t>131280</t>
        </is>
      </c>
      <c r="B59" s="36" t="inlineStr">
        <is>
          <t>GARCIA  AMBIORIS</t>
        </is>
      </c>
      <c r="C59" s="58" t="inlineStr">
        <is>
          <t>11-12-1953</t>
        </is>
      </c>
      <c r="D59" s="36" t="inlineStr">
        <is>
          <t>347-755-5914</t>
        </is>
      </c>
      <c r="E59" s="36" t="inlineStr">
        <is>
          <t>MOUNJARO 7.5 MG/0.5ML PEN-INJECTOR</t>
        </is>
      </c>
      <c r="F59" s="36" t="inlineStr">
        <is>
          <t>00002148480</t>
        </is>
      </c>
      <c r="G59" s="36" t="inlineStr">
        <is>
          <t>_19531112|</t>
        </is>
      </c>
      <c r="H59" s="58" t="n">
        <v>46000</v>
      </c>
      <c r="I59" s="36" t="n">
        <v>28</v>
      </c>
      <c r="J59" s="36" t="n">
        <v>1</v>
      </c>
      <c r="K59" s="58" t="n">
        <v>46028</v>
      </c>
      <c r="L59" s="36" t="n">
        <v>55</v>
      </c>
      <c r="M59" s="36" t="inlineStr">
        <is>
          <t>Yes</t>
        </is>
      </c>
      <c r="N59" s="36" t="inlineStr">
        <is>
          <t>140630</t>
        </is>
      </c>
      <c r="O59" s="58" t="n">
        <v>46077</v>
      </c>
      <c r="P59" s="36" t="inlineStr">
        <is>
          <t>Covered by Other Rx</t>
        </is>
      </c>
      <c r="Q59" s="55" t="n">
        <v>0</v>
      </c>
      <c r="R59" s="36" t="inlineStr">
        <is>
          <t>Paid-Ins</t>
        </is>
      </c>
      <c r="S59" s="36" t="inlineStr">
        <is>
          <t>Picked Up</t>
        </is>
      </c>
      <c r="T59" s="36" t="inlineStr">
        <is>
          <t>CVS</t>
        </is>
      </c>
      <c r="U59" s="36" t="inlineStr">
        <is>
          <t>004336</t>
        </is>
      </c>
      <c r="V59" s="36" t="inlineStr">
        <is>
          <t>SANTILLAN  YERIKO</t>
        </is>
      </c>
    </row>
    <row r="60">
      <c r="A60" s="36" t="inlineStr">
        <is>
          <t>128577</t>
        </is>
      </c>
      <c r="B60" s="36" t="inlineStr">
        <is>
          <t>ZULUAGA  OSCAR</t>
        </is>
      </c>
      <c r="C60" s="58" t="inlineStr">
        <is>
          <t>12-15-1944</t>
        </is>
      </c>
      <c r="D60" s="36" t="inlineStr">
        <is>
          <t>646-476-9421</t>
        </is>
      </c>
      <c r="E60" s="36" t="inlineStr">
        <is>
          <t>TOUJEO SOLOSTAR 300UNIT/ML INJECTION</t>
        </is>
      </c>
      <c r="F60" s="36" t="inlineStr">
        <is>
          <t>00024586903</t>
        </is>
      </c>
      <c r="G60" s="36" t="inlineStr">
        <is>
          <t>_19441215|</t>
        </is>
      </c>
      <c r="H60" s="58" t="n">
        <v>45954</v>
      </c>
      <c r="I60" s="36" t="n">
        <v>75</v>
      </c>
      <c r="J60" s="36" t="n">
        <v>5</v>
      </c>
      <c r="K60" s="58" t="n">
        <v>46029</v>
      </c>
      <c r="L60" s="36" t="n">
        <v>54</v>
      </c>
      <c r="M60" s="36" t="inlineStr">
        <is>
          <t>Yes</t>
        </is>
      </c>
      <c r="N60" s="36" t="inlineStr">
        <is>
          <t>144964</t>
        </is>
      </c>
      <c r="O60" s="58" t="n">
        <v>46079</v>
      </c>
      <c r="P60" s="36" t="inlineStr">
        <is>
          <t>Covered by Other Rx</t>
        </is>
      </c>
      <c r="Q60" s="55" t="n">
        <v>0</v>
      </c>
      <c r="R60" s="36" t="inlineStr">
        <is>
          <t>Paid-Ins</t>
        </is>
      </c>
      <c r="S60" s="36" t="inlineStr">
        <is>
          <t>Picked Up</t>
        </is>
      </c>
      <c r="T60" s="36" t="inlineStr">
        <is>
          <t>CVS</t>
        </is>
      </c>
      <c r="U60" s="36" t="inlineStr">
        <is>
          <t>004336</t>
        </is>
      </c>
      <c r="V60" s="36" t="inlineStr">
        <is>
          <t>Thomas-Walker  Cyrus</t>
        </is>
      </c>
    </row>
    <row r="61">
      <c r="A61" s="36" t="inlineStr">
        <is>
          <t>137992</t>
        </is>
      </c>
      <c r="B61" s="36" t="inlineStr">
        <is>
          <t>ALVAREZ  CLARA</t>
        </is>
      </c>
      <c r="C61" s="58" t="inlineStr">
        <is>
          <t>08-15-1964</t>
        </is>
      </c>
      <c r="D61" s="36" t="inlineStr">
        <is>
          <t>929-316-4257</t>
        </is>
      </c>
      <c r="E61" s="36" t="inlineStr">
        <is>
          <t>SHINGRIX 50 MCG/0.5ML IM SUSP RECON</t>
        </is>
      </c>
      <c r="F61" s="36" t="inlineStr">
        <is>
          <t>58160082311</t>
        </is>
      </c>
      <c r="G61" s="36" t="inlineStr">
        <is>
          <t>_19640815|</t>
        </is>
      </c>
      <c r="H61" s="58" t="n">
        <v>46029</v>
      </c>
      <c r="I61" s="36" t="n">
        <v>1</v>
      </c>
      <c r="J61" s="36" t="n">
        <v>1</v>
      </c>
      <c r="K61" s="58" t="n">
        <v>46030</v>
      </c>
      <c r="L61" s="36" t="n">
        <v>53</v>
      </c>
      <c r="M61" s="36" t="inlineStr">
        <is>
          <t>Yes</t>
        </is>
      </c>
      <c r="N61" s="36" t="inlineStr">
        <is>
          <t>108058</t>
        </is>
      </c>
      <c r="O61" s="58" t="n">
        <v>46055</v>
      </c>
      <c r="P61" s="36" t="inlineStr">
        <is>
          <t>Covered by Other Rx</t>
        </is>
      </c>
      <c r="Q61" s="55" t="n">
        <v>0</v>
      </c>
      <c r="R61" s="36" t="inlineStr">
        <is>
          <t>Paid-Ins</t>
        </is>
      </c>
      <c r="S61" s="36" t="inlineStr">
        <is>
          <t>Picked Up</t>
        </is>
      </c>
      <c r="T61" s="36" t="inlineStr">
        <is>
          <t>CVS</t>
        </is>
      </c>
      <c r="U61" s="36" t="inlineStr">
        <is>
          <t>004336</t>
        </is>
      </c>
      <c r="V61" s="36" t="inlineStr">
        <is>
          <t>Arcentales  Jonathan</t>
        </is>
      </c>
    </row>
    <row r="62">
      <c r="A62" s="36" t="inlineStr">
        <is>
          <t>134564</t>
        </is>
      </c>
      <c r="B62" s="36" t="inlineStr">
        <is>
          <t>LOPEZ  ROSANNA</t>
        </is>
      </c>
      <c r="C62" s="58" t="inlineStr">
        <is>
          <t>11-03-1968</t>
        </is>
      </c>
      <c r="D62" s="36" t="inlineStr">
        <is>
          <t>212-368-4273</t>
        </is>
      </c>
      <c r="E62" s="36" t="inlineStr">
        <is>
          <t>ROZEREM 8MG TABLET</t>
        </is>
      </c>
      <c r="F62" s="36" t="inlineStr">
        <is>
          <t>64764080530</t>
        </is>
      </c>
      <c r="G62" s="36" t="inlineStr">
        <is>
          <t>_19681103|</t>
        </is>
      </c>
      <c r="H62" s="58" t="n">
        <v>46001</v>
      </c>
      <c r="I62" s="36" t="n">
        <v>30</v>
      </c>
      <c r="J62" s="36" t="n">
        <v>1</v>
      </c>
      <c r="K62" s="58" t="n">
        <v>46031</v>
      </c>
      <c r="L62" s="36" t="n">
        <v>52</v>
      </c>
      <c r="M62" s="36" t="inlineStr">
        <is>
          <t>Yes</t>
        </is>
      </c>
      <c r="N62" s="36" t="inlineStr">
        <is>
          <t>137813</t>
        </is>
      </c>
      <c r="O62" s="58" t="n">
        <v>46056</v>
      </c>
      <c r="P62" s="36" t="inlineStr">
        <is>
          <t>Covered by Other Rx</t>
        </is>
      </c>
      <c r="Q62" s="55" t="n">
        <v>0</v>
      </c>
      <c r="R62" s="36" t="inlineStr">
        <is>
          <t>Paid-Ins</t>
        </is>
      </c>
      <c r="S62" s="36" t="inlineStr">
        <is>
          <t>Picked Up</t>
        </is>
      </c>
      <c r="T62" s="36" t="inlineStr">
        <is>
          <t>NYM</t>
        </is>
      </c>
      <c r="U62" s="36" t="inlineStr">
        <is>
          <t>004740</t>
        </is>
      </c>
      <c r="V62" s="36" t="inlineStr">
        <is>
          <t>Martinez  Danielline</t>
        </is>
      </c>
    </row>
    <row r="63">
      <c r="A63" s="36" t="inlineStr">
        <is>
          <t>100733</t>
        </is>
      </c>
      <c r="B63" s="36" t="inlineStr">
        <is>
          <t>DEJESUS  RAMSEY</t>
        </is>
      </c>
      <c r="C63" s="58" t="inlineStr">
        <is>
          <t>12-02-1995</t>
        </is>
      </c>
      <c r="D63" s="36" t="inlineStr">
        <is>
          <t>646-852-5399</t>
        </is>
      </c>
      <c r="E63" s="36" t="inlineStr">
        <is>
          <t>DELESTROGEN 20 MG/ML INTRAMUSCULAR OIL</t>
        </is>
      </c>
      <c r="F63" s="36" t="inlineStr">
        <is>
          <t>42023011101</t>
        </is>
      </c>
      <c r="G63" s="36" t="inlineStr">
        <is>
          <t>_19951202|</t>
        </is>
      </c>
      <c r="H63" s="58" t="n">
        <v>46002</v>
      </c>
      <c r="I63" s="36" t="n">
        <v>30</v>
      </c>
      <c r="J63" s="36" t="n">
        <v>8</v>
      </c>
      <c r="K63" s="58" t="n">
        <v>46032</v>
      </c>
      <c r="L63" s="36" t="n">
        <v>51</v>
      </c>
      <c r="M63" s="36" t="inlineStr">
        <is>
          <t>Yes</t>
        </is>
      </c>
      <c r="N63" s="36" t="inlineStr">
        <is>
          <t>136063</t>
        </is>
      </c>
      <c r="O63" s="58" t="n">
        <v>46069</v>
      </c>
      <c r="P63" s="36" t="inlineStr">
        <is>
          <t>Covered by Other Rx</t>
        </is>
      </c>
      <c r="Q63" s="55" t="n">
        <v>0</v>
      </c>
      <c r="R63" s="36" t="inlineStr">
        <is>
          <t>Paid-Ins</t>
        </is>
      </c>
      <c r="S63" s="36" t="inlineStr">
        <is>
          <t>Picked Up</t>
        </is>
      </c>
      <c r="T63" s="36" t="inlineStr">
        <is>
          <t>NYM</t>
        </is>
      </c>
      <c r="U63" s="36" t="inlineStr">
        <is>
          <t>004740</t>
        </is>
      </c>
      <c r="V63" s="36" t="inlineStr">
        <is>
          <t>Singh  Manisha</t>
        </is>
      </c>
    </row>
    <row r="64">
      <c r="A64" s="36" t="inlineStr">
        <is>
          <t>106220</t>
        </is>
      </c>
      <c r="B64" s="36" t="inlineStr">
        <is>
          <t>SOSA  SANDRA</t>
        </is>
      </c>
      <c r="C64" s="58" t="inlineStr">
        <is>
          <t>12-06-1969</t>
        </is>
      </c>
      <c r="D64" s="36" t="inlineStr">
        <is>
          <t>646-702-3356</t>
        </is>
      </c>
      <c r="E64" s="36" t="inlineStr">
        <is>
          <t>LINZESS 145MCG CAPSULE</t>
        </is>
      </c>
      <c r="F64" s="36" t="inlineStr">
        <is>
          <t>00456120130</t>
        </is>
      </c>
      <c r="G64" s="36" t="inlineStr">
        <is>
          <t>_19691206|</t>
        </is>
      </c>
      <c r="H64" s="58" t="n">
        <v>46002</v>
      </c>
      <c r="I64" s="36" t="n">
        <v>30</v>
      </c>
      <c r="J64" s="36" t="n">
        <v>3</v>
      </c>
      <c r="K64" s="58" t="n">
        <v>46032</v>
      </c>
      <c r="L64" s="36" t="n">
        <v>51</v>
      </c>
      <c r="M64" s="36" t="inlineStr">
        <is>
          <t>Yes</t>
        </is>
      </c>
      <c r="N64" s="36" t="inlineStr">
        <is>
          <t>141421</t>
        </is>
      </c>
      <c r="O64" s="58" t="n">
        <v>46055</v>
      </c>
      <c r="P64" s="36" t="inlineStr">
        <is>
          <t>Covered by Other Rx</t>
        </is>
      </c>
      <c r="Q64" s="55" t="n">
        <v>0</v>
      </c>
      <c r="R64" s="36" t="inlineStr">
        <is>
          <t>Paid-Ins</t>
        </is>
      </c>
      <c r="S64" s="36" t="inlineStr">
        <is>
          <t>Picked Up</t>
        </is>
      </c>
      <c r="T64" s="36" t="inlineStr">
        <is>
          <t>NYM</t>
        </is>
      </c>
      <c r="U64" s="36" t="inlineStr">
        <is>
          <t>004740</t>
        </is>
      </c>
      <c r="V64" s="36" t="inlineStr">
        <is>
          <t>MOTSINGER  ARIANNA</t>
        </is>
      </c>
    </row>
    <row r="65">
      <c r="A65" s="36" t="inlineStr">
        <is>
          <t>131113</t>
        </is>
      </c>
      <c r="B65" s="36" t="inlineStr">
        <is>
          <t>MUSSENDEN MENDES  JOSE</t>
        </is>
      </c>
      <c r="C65" s="58" t="inlineStr">
        <is>
          <t>10-28-1950</t>
        </is>
      </c>
      <c r="D65" s="36" t="n">
        <v/>
      </c>
      <c r="E65" s="36" t="inlineStr">
        <is>
          <t>LANTUS SOLOSTAR 100UNIT/ML INJECTION</t>
        </is>
      </c>
      <c r="F65" s="36" t="inlineStr">
        <is>
          <t>00088221905</t>
        </is>
      </c>
      <c r="G65" s="36" t="inlineStr">
        <is>
          <t>_19501028|</t>
        </is>
      </c>
      <c r="H65" s="58" t="n">
        <v>46002</v>
      </c>
      <c r="I65" s="36" t="n">
        <v>30</v>
      </c>
      <c r="J65" s="36" t="n">
        <v>2</v>
      </c>
      <c r="K65" s="58" t="n">
        <v>46032</v>
      </c>
      <c r="L65" s="36" t="n">
        <v>51</v>
      </c>
      <c r="M65" s="36" t="inlineStr">
        <is>
          <t>Yes</t>
        </is>
      </c>
      <c r="N65" s="36" t="inlineStr">
        <is>
          <t>140171</t>
        </is>
      </c>
      <c r="O65" s="58" t="n">
        <v>46072</v>
      </c>
      <c r="P65" s="36" t="inlineStr">
        <is>
          <t>Covered by Other Rx</t>
        </is>
      </c>
      <c r="Q65" s="55" t="n">
        <v>0</v>
      </c>
      <c r="R65" s="36" t="inlineStr">
        <is>
          <t>Paid-Ins</t>
        </is>
      </c>
      <c r="S65" s="36" t="inlineStr">
        <is>
          <t>Picked Up</t>
        </is>
      </c>
      <c r="T65" s="36" t="inlineStr">
        <is>
          <t>CVS</t>
        </is>
      </c>
      <c r="U65" s="36" t="inlineStr">
        <is>
          <t>004336</t>
        </is>
      </c>
      <c r="V65" s="36" t="inlineStr">
        <is>
          <t>DELACRUZ FERNANDEZ  JOSE</t>
        </is>
      </c>
    </row>
    <row r="66">
      <c r="A66" s="36" t="inlineStr">
        <is>
          <t>105152</t>
        </is>
      </c>
      <c r="B66" s="36" t="inlineStr">
        <is>
          <t>VARGAS  VICTOR</t>
        </is>
      </c>
      <c r="C66" s="58" t="inlineStr">
        <is>
          <t>11-14-1944</t>
        </is>
      </c>
      <c r="D66" s="36" t="inlineStr">
        <is>
          <t>646-953-2883</t>
        </is>
      </c>
      <c r="E66" s="36" t="inlineStr">
        <is>
          <t>XARELTO 15MG TAB</t>
        </is>
      </c>
      <c r="F66" s="36" t="inlineStr">
        <is>
          <t>50458057830</t>
        </is>
      </c>
      <c r="G66" s="36" t="inlineStr">
        <is>
          <t>_19441114|MFP</t>
        </is>
      </c>
      <c r="H66" s="58" t="n">
        <v>45943</v>
      </c>
      <c r="I66" s="36" t="n">
        <v>90</v>
      </c>
      <c r="J66" s="36" t="n">
        <v>1</v>
      </c>
      <c r="K66" s="58" t="n">
        <v>46033</v>
      </c>
      <c r="L66" s="36" t="n">
        <v>50</v>
      </c>
      <c r="M66" s="36" t="inlineStr">
        <is>
          <t>Yes</t>
        </is>
      </c>
      <c r="N66" s="36" t="inlineStr">
        <is>
          <t>138293</t>
        </is>
      </c>
      <c r="O66" s="58" t="n">
        <v>46031</v>
      </c>
      <c r="P66" s="36" t="inlineStr">
        <is>
          <t>Covered by Other Rx</t>
        </is>
      </c>
      <c r="Q66" s="55" t="n">
        <v>0</v>
      </c>
      <c r="R66" s="36" t="inlineStr">
        <is>
          <t>Paid-Ins</t>
        </is>
      </c>
      <c r="S66" s="36" t="inlineStr">
        <is>
          <t>Picked Up</t>
        </is>
      </c>
      <c r="T66" s="36" t="inlineStr">
        <is>
          <t>CVS</t>
        </is>
      </c>
      <c r="U66" s="36" t="inlineStr">
        <is>
          <t>004336</t>
        </is>
      </c>
      <c r="V66" s="36" t="inlineStr">
        <is>
          <t>DELACRUZ FERNANDEZ  JOSE</t>
        </is>
      </c>
    </row>
    <row r="67">
      <c r="A67" s="36" t="inlineStr">
        <is>
          <t>126819</t>
        </is>
      </c>
      <c r="B67" s="36" t="inlineStr">
        <is>
          <t>BATISTA  GERALDA</t>
        </is>
      </c>
      <c r="C67" s="58" t="inlineStr">
        <is>
          <t>12-16-1957</t>
        </is>
      </c>
      <c r="D67" s="36" t="inlineStr">
        <is>
          <t>212-864-2454</t>
        </is>
      </c>
      <c r="E67" s="36" t="inlineStr">
        <is>
          <t>NOVOLOG MIX 70/30 FLEXPEN 100 UNIT/ML PEN-INJECTOR</t>
        </is>
      </c>
      <c r="F67" s="36" t="inlineStr">
        <is>
          <t>00169369619</t>
        </is>
      </c>
      <c r="G67" s="36" t="inlineStr">
        <is>
          <t>_19571216|</t>
        </is>
      </c>
      <c r="H67" s="58" t="n">
        <v>45943</v>
      </c>
      <c r="I67" s="36" t="n">
        <v>90</v>
      </c>
      <c r="J67" s="36" t="n">
        <v>1</v>
      </c>
      <c r="K67" s="58" t="n">
        <v>46033</v>
      </c>
      <c r="L67" s="36" t="n">
        <v>50</v>
      </c>
      <c r="M67" s="36" t="inlineStr">
        <is>
          <t>Yes</t>
        </is>
      </c>
      <c r="N67" s="36" t="inlineStr">
        <is>
          <t>144709</t>
        </is>
      </c>
      <c r="O67" s="58" t="n">
        <v>46078</v>
      </c>
      <c r="P67" s="36" t="inlineStr">
        <is>
          <t>Covered by Other Rx</t>
        </is>
      </c>
      <c r="Q67" s="55" t="n">
        <v>0</v>
      </c>
      <c r="R67" s="36" t="inlineStr">
        <is>
          <t>Paid-Ins</t>
        </is>
      </c>
      <c r="S67" s="36" t="inlineStr">
        <is>
          <t>Picked Up</t>
        </is>
      </c>
      <c r="T67" s="36" t="inlineStr">
        <is>
          <t>CVS</t>
        </is>
      </c>
      <c r="U67" s="36" t="inlineStr">
        <is>
          <t>004336</t>
        </is>
      </c>
      <c r="V67" s="36" t="inlineStr">
        <is>
          <t>DE MIGUEL  MARIA</t>
        </is>
      </c>
    </row>
    <row r="68">
      <c r="A68" s="36" t="inlineStr">
        <is>
          <t>126840</t>
        </is>
      </c>
      <c r="B68" s="36" t="inlineStr">
        <is>
          <t>SIRI  JOSE</t>
        </is>
      </c>
      <c r="C68" s="58" t="inlineStr">
        <is>
          <t>09-20-1949</t>
        </is>
      </c>
      <c r="D68" s="36" t="inlineStr">
        <is>
          <t>917-937-6982</t>
        </is>
      </c>
      <c r="E68" s="36" t="inlineStr">
        <is>
          <t>NEXLIZET 180-10MG TABLET</t>
        </is>
      </c>
      <c r="F68" s="36" t="inlineStr">
        <is>
          <t>72426081803</t>
        </is>
      </c>
      <c r="G68" s="36" t="inlineStr">
        <is>
          <t>_19490920|</t>
        </is>
      </c>
      <c r="H68" s="58" t="n">
        <v>45943</v>
      </c>
      <c r="I68" s="36" t="n">
        <v>90</v>
      </c>
      <c r="J68" s="36" t="n">
        <v>1</v>
      </c>
      <c r="K68" s="58" t="n">
        <v>46033</v>
      </c>
      <c r="L68" s="36" t="n">
        <v>50</v>
      </c>
      <c r="M68" s="36" t="inlineStr">
        <is>
          <t>Yes</t>
        </is>
      </c>
      <c r="N68" s="36" t="inlineStr">
        <is>
          <t>139171</t>
        </is>
      </c>
      <c r="O68" s="58" t="n">
        <v>46037</v>
      </c>
      <c r="P68" s="36" t="inlineStr">
        <is>
          <t>Covered by Other Rx</t>
        </is>
      </c>
      <c r="Q68" s="55" t="n">
        <v>0</v>
      </c>
      <c r="R68" s="36" t="inlineStr">
        <is>
          <t>Paid-Ins</t>
        </is>
      </c>
      <c r="S68" s="36" t="inlineStr">
        <is>
          <t>Picked Up</t>
        </is>
      </c>
      <c r="T68" s="36" t="inlineStr">
        <is>
          <t>CVS</t>
        </is>
      </c>
      <c r="U68" s="36" t="inlineStr">
        <is>
          <t>004336</t>
        </is>
      </c>
      <c r="V68" s="36" t="inlineStr">
        <is>
          <t>GUZMAN  ELISCER</t>
        </is>
      </c>
    </row>
    <row r="69">
      <c r="A69" s="36" t="inlineStr">
        <is>
          <t>116384</t>
        </is>
      </c>
      <c r="B69" s="36" t="inlineStr">
        <is>
          <t>MENA  ANA</t>
        </is>
      </c>
      <c r="C69" s="58" t="inlineStr">
        <is>
          <t>04-27-1957</t>
        </is>
      </c>
      <c r="D69" s="36" t="n">
        <v/>
      </c>
      <c r="E69" s="36" t="inlineStr">
        <is>
          <t>TRULICITY 3MG/0.5ML INJECTION</t>
        </is>
      </c>
      <c r="F69" s="36" t="inlineStr">
        <is>
          <t>00002223680</t>
        </is>
      </c>
      <c r="G69" s="36" t="inlineStr">
        <is>
          <t>_19570427|</t>
        </is>
      </c>
      <c r="H69" s="58" t="n">
        <v>45950</v>
      </c>
      <c r="I69" s="36" t="n">
        <v>84</v>
      </c>
      <c r="J69" s="36" t="n">
        <v>1</v>
      </c>
      <c r="K69" s="58" t="n">
        <v>46034</v>
      </c>
      <c r="L69" s="36" t="n">
        <v>49</v>
      </c>
      <c r="M69" s="36" t="inlineStr">
        <is>
          <t>Yes</t>
        </is>
      </c>
      <c r="N69" s="36" t="inlineStr">
        <is>
          <t>134398</t>
        </is>
      </c>
      <c r="O69" s="58" t="n">
        <v>46081</v>
      </c>
      <c r="P69" s="36" t="inlineStr">
        <is>
          <t>Covered by Other Rx</t>
        </is>
      </c>
      <c r="Q69" s="55" t="n">
        <v>0</v>
      </c>
      <c r="R69" s="36" t="inlineStr">
        <is>
          <t>Paid-Ins</t>
        </is>
      </c>
      <c r="S69" s="36" t="inlineStr">
        <is>
          <t>Picked Up</t>
        </is>
      </c>
      <c r="T69" s="36" t="inlineStr">
        <is>
          <t>CVS</t>
        </is>
      </c>
      <c r="U69" s="36" t="inlineStr">
        <is>
          <t>004336</t>
        </is>
      </c>
      <c r="V69" s="36" t="inlineStr">
        <is>
          <t>ESCOBAR  JOSE GONZALO</t>
        </is>
      </c>
    </row>
    <row r="70">
      <c r="A70" s="36" t="inlineStr">
        <is>
          <t>127043</t>
        </is>
      </c>
      <c r="B70" s="36" t="inlineStr">
        <is>
          <t>LOPEZ  SANTO</t>
        </is>
      </c>
      <c r="C70" s="58" t="inlineStr">
        <is>
          <t>01-01-1978</t>
        </is>
      </c>
      <c r="D70" s="36" t="inlineStr">
        <is>
          <t>917-774-7038</t>
        </is>
      </c>
      <c r="E70" s="36" t="inlineStr">
        <is>
          <t>BASAGLAR KWIKPEN 100UNIT/ML INJECTION</t>
        </is>
      </c>
      <c r="F70" s="36" t="inlineStr">
        <is>
          <t>00002771559</t>
        </is>
      </c>
      <c r="G70" s="36" t="inlineStr">
        <is>
          <t>_19780101|</t>
        </is>
      </c>
      <c r="H70" s="58" t="n">
        <v>45944</v>
      </c>
      <c r="I70" s="36" t="n">
        <v>90</v>
      </c>
      <c r="J70" s="36" t="n">
        <v>6</v>
      </c>
      <c r="K70" s="58" t="n">
        <v>46034</v>
      </c>
      <c r="L70" s="36" t="n">
        <v>49</v>
      </c>
      <c r="M70" s="36" t="inlineStr">
        <is>
          <t>Yes</t>
        </is>
      </c>
      <c r="N70" s="36" t="inlineStr">
        <is>
          <t>138193</t>
        </is>
      </c>
      <c r="O70" s="58" t="n">
        <v>46030</v>
      </c>
      <c r="P70" s="36" t="inlineStr">
        <is>
          <t>Covered by Other Rx</t>
        </is>
      </c>
      <c r="Q70" s="55" t="n">
        <v>0</v>
      </c>
      <c r="R70" s="36" t="inlineStr">
        <is>
          <t>Transmitted</t>
        </is>
      </c>
      <c r="S70" s="36" t="inlineStr">
        <is>
          <t>Picked Up</t>
        </is>
      </c>
      <c r="T70" s="36" t="inlineStr">
        <is>
          <t>CVS</t>
        </is>
      </c>
      <c r="U70" s="36" t="inlineStr">
        <is>
          <t>004336</t>
        </is>
      </c>
      <c r="V70" s="36" t="inlineStr">
        <is>
          <t>KARAASLAN  LARA</t>
        </is>
      </c>
    </row>
    <row r="71">
      <c r="A71" s="36" t="inlineStr">
        <is>
          <t>131756</t>
        </is>
      </c>
      <c r="B71" s="36" t="inlineStr">
        <is>
          <t>CEPEDA  YVONNE</t>
        </is>
      </c>
      <c r="C71" s="58" t="inlineStr">
        <is>
          <t>04-07-1970</t>
        </is>
      </c>
      <c r="D71" s="36" t="inlineStr">
        <is>
          <t>646-600-4602</t>
        </is>
      </c>
      <c r="E71" s="36" t="inlineStr">
        <is>
          <t>WEGOVY 1.7 MG/0.75ML AUTO-INJECTOR</t>
        </is>
      </c>
      <c r="F71" s="36" t="inlineStr">
        <is>
          <t>00169451714</t>
        </is>
      </c>
      <c r="G71" s="36" t="inlineStr">
        <is>
          <t>_19700407|</t>
        </is>
      </c>
      <c r="H71" s="58" t="n">
        <v>46006</v>
      </c>
      <c r="I71" s="36" t="n">
        <v>28</v>
      </c>
      <c r="J71" s="36" t="n">
        <v>2</v>
      </c>
      <c r="K71" s="58" t="n">
        <v>46034</v>
      </c>
      <c r="L71" s="36" t="n">
        <v>49</v>
      </c>
      <c r="M71" s="36" t="inlineStr">
        <is>
          <t>Yes</t>
        </is>
      </c>
      <c r="N71" s="36" t="inlineStr">
        <is>
          <t>138484</t>
        </is>
      </c>
      <c r="O71" s="58" t="n">
        <v>46062</v>
      </c>
      <c r="P71" s="36" t="inlineStr">
        <is>
          <t>Covered by Other Rx</t>
        </is>
      </c>
      <c r="Q71" s="55" t="n">
        <v>0</v>
      </c>
      <c r="R71" s="36" t="inlineStr">
        <is>
          <t>Paid-Ins</t>
        </is>
      </c>
      <c r="S71" s="36" t="inlineStr">
        <is>
          <t>Picked Up</t>
        </is>
      </c>
      <c r="T71" s="36" t="inlineStr">
        <is>
          <t>CVS</t>
        </is>
      </c>
      <c r="U71" s="36" t="inlineStr">
        <is>
          <t>004336</t>
        </is>
      </c>
      <c r="V71" s="36" t="inlineStr">
        <is>
          <t>Chekol  Hewan</t>
        </is>
      </c>
    </row>
    <row r="72">
      <c r="A72" s="36" t="inlineStr">
        <is>
          <t>127256</t>
        </is>
      </c>
      <c r="B72" s="36" t="inlineStr">
        <is>
          <t>PEGUERO HERNANDEZ  FRANCISCO</t>
        </is>
      </c>
      <c r="C72" s="58" t="inlineStr">
        <is>
          <t>12-03-1950</t>
        </is>
      </c>
      <c r="D72" s="36" t="inlineStr">
        <is>
          <t>646-626-2304</t>
        </is>
      </c>
      <c r="E72" s="36" t="inlineStr">
        <is>
          <t>SYNJARDY XR 12.5-1000 MG TABLET ER</t>
        </is>
      </c>
      <c r="F72" s="36" t="inlineStr">
        <is>
          <t>00597030045</t>
        </is>
      </c>
      <c r="G72" s="36" t="inlineStr">
        <is>
          <t>_19501203|</t>
        </is>
      </c>
      <c r="H72" s="58" t="n">
        <v>45945</v>
      </c>
      <c r="I72" s="36" t="n">
        <v>90</v>
      </c>
      <c r="J72" s="36" t="n">
        <v>3</v>
      </c>
      <c r="K72" s="58" t="n">
        <v>46035</v>
      </c>
      <c r="L72" s="36" t="n">
        <v>48</v>
      </c>
      <c r="M72" s="36" t="inlineStr">
        <is>
          <t>Yes</t>
        </is>
      </c>
      <c r="N72" s="36" t="inlineStr">
        <is>
          <t>100110</t>
        </is>
      </c>
      <c r="O72" s="58" t="n">
        <v>46058</v>
      </c>
      <c r="P72" s="36" t="inlineStr">
        <is>
          <t>Covered by Other Rx</t>
        </is>
      </c>
      <c r="Q72" s="55" t="n">
        <v>0</v>
      </c>
      <c r="R72" s="36" t="inlineStr">
        <is>
          <t>Paid-Ins</t>
        </is>
      </c>
      <c r="S72" s="36" t="inlineStr">
        <is>
          <t>Picked Up</t>
        </is>
      </c>
      <c r="T72" s="36" t="inlineStr">
        <is>
          <t>CVS</t>
        </is>
      </c>
      <c r="U72" s="36" t="inlineStr">
        <is>
          <t>004336</t>
        </is>
      </c>
      <c r="V72" s="36" t="inlineStr">
        <is>
          <t>Widlus  Matthew</t>
        </is>
      </c>
    </row>
    <row r="73">
      <c r="A73" s="36" t="inlineStr">
        <is>
          <t>105675</t>
        </is>
      </c>
      <c r="B73" s="36" t="inlineStr">
        <is>
          <t>MEJIA  DAISY</t>
        </is>
      </c>
      <c r="C73" s="58" t="inlineStr">
        <is>
          <t>07-09-1939</t>
        </is>
      </c>
      <c r="D73" s="36" t="inlineStr">
        <is>
          <t>212-281-3429</t>
        </is>
      </c>
      <c r="E73" s="36" t="inlineStr">
        <is>
          <t xml:space="preserve">JARDIANCE 25MG TAB </t>
        </is>
      </c>
      <c r="F73" s="36" t="inlineStr">
        <is>
          <t>00597015330</t>
        </is>
      </c>
      <c r="G73" s="36" t="inlineStr">
        <is>
          <t>_19390709|MFP</t>
        </is>
      </c>
      <c r="H73" s="58" t="n">
        <v>45947</v>
      </c>
      <c r="I73" s="36" t="n">
        <v>90</v>
      </c>
      <c r="J73" s="36" t="n">
        <v>1</v>
      </c>
      <c r="K73" s="58" t="n">
        <v>46037</v>
      </c>
      <c r="L73" s="36" t="n">
        <v>46</v>
      </c>
      <c r="M73" s="36" t="inlineStr">
        <is>
          <t>Yes</t>
        </is>
      </c>
      <c r="N73" s="36" t="inlineStr">
        <is>
          <t>138860</t>
        </is>
      </c>
      <c r="O73" s="58" t="n">
        <v>46035</v>
      </c>
      <c r="P73" s="36" t="inlineStr">
        <is>
          <t>Covered by Other Rx</t>
        </is>
      </c>
      <c r="Q73" s="55" t="n">
        <v>0</v>
      </c>
      <c r="R73" s="36" t="inlineStr">
        <is>
          <t>Paid-Ins</t>
        </is>
      </c>
      <c r="S73" s="36" t="inlineStr">
        <is>
          <t>Picked Up</t>
        </is>
      </c>
      <c r="T73" s="36" t="inlineStr">
        <is>
          <t>CVS</t>
        </is>
      </c>
      <c r="U73" s="36" t="inlineStr">
        <is>
          <t>004336</t>
        </is>
      </c>
      <c r="V73" s="36" t="inlineStr">
        <is>
          <t>PRIGOLLINI  ALEJANDRO</t>
        </is>
      </c>
    </row>
    <row r="74">
      <c r="A74" s="36" t="inlineStr">
        <is>
          <t>105679</t>
        </is>
      </c>
      <c r="B74" s="36" t="inlineStr">
        <is>
          <t>MUNOZ  SERGIO</t>
        </is>
      </c>
      <c r="C74" s="58" t="inlineStr">
        <is>
          <t>05-06-1957</t>
        </is>
      </c>
      <c r="D74" s="36" t="n">
        <v/>
      </c>
      <c r="E74" s="36" t="inlineStr">
        <is>
          <t xml:space="preserve">JARDIANCE 25MG TAB </t>
        </is>
      </c>
      <c r="F74" s="36" t="inlineStr">
        <is>
          <t>00597015330</t>
        </is>
      </c>
      <c r="G74" s="36" t="inlineStr">
        <is>
          <t>_19570506|MFP</t>
        </is>
      </c>
      <c r="H74" s="58" t="n">
        <v>45947</v>
      </c>
      <c r="I74" s="36" t="n">
        <v>90</v>
      </c>
      <c r="J74" s="36" t="n">
        <v>1</v>
      </c>
      <c r="K74" s="58" t="n">
        <v>46037</v>
      </c>
      <c r="L74" s="36" t="n">
        <v>46</v>
      </c>
      <c r="M74" s="36" t="inlineStr">
        <is>
          <t>Yes</t>
        </is>
      </c>
      <c r="N74" s="36" t="inlineStr">
        <is>
          <t>139194</t>
        </is>
      </c>
      <c r="O74" s="58" t="n">
        <v>46037</v>
      </c>
      <c r="P74" s="36" t="inlineStr">
        <is>
          <t>Covered by Other Rx</t>
        </is>
      </c>
      <c r="Q74" s="55" t="n">
        <v>0</v>
      </c>
      <c r="R74" s="36" t="inlineStr">
        <is>
          <t>Paid-Ins</t>
        </is>
      </c>
      <c r="S74" s="36" t="inlineStr">
        <is>
          <t>Picked Up</t>
        </is>
      </c>
      <c r="T74" s="36" t="inlineStr">
        <is>
          <t>CVS</t>
        </is>
      </c>
      <c r="U74" s="36" t="inlineStr">
        <is>
          <t>004336</t>
        </is>
      </c>
      <c r="V74" s="36" t="inlineStr">
        <is>
          <t>CABRERA  MICHELLE</t>
        </is>
      </c>
    </row>
    <row r="75">
      <c r="A75" s="36" t="inlineStr">
        <is>
          <t>127642</t>
        </is>
      </c>
      <c r="B75" s="36" t="inlineStr">
        <is>
          <t>SARETE  HIPOLITO</t>
        </is>
      </c>
      <c r="C75" s="58" t="inlineStr">
        <is>
          <t>07-07-1941</t>
        </is>
      </c>
      <c r="D75" s="36" t="inlineStr">
        <is>
          <t>212</t>
        </is>
      </c>
      <c r="E75" s="36" t="inlineStr">
        <is>
          <t>FARXIGA 10MG TABLET</t>
        </is>
      </c>
      <c r="F75" s="36" t="inlineStr">
        <is>
          <t>00310621030</t>
        </is>
      </c>
      <c r="G75" s="36" t="inlineStr">
        <is>
          <t>_19410707|MFP</t>
        </is>
      </c>
      <c r="H75" s="58" t="n">
        <v>45947</v>
      </c>
      <c r="I75" s="36" t="n">
        <v>90</v>
      </c>
      <c r="J75" s="36" t="n">
        <v>1</v>
      </c>
      <c r="K75" s="58" t="n">
        <v>46037</v>
      </c>
      <c r="L75" s="36" t="n">
        <v>46</v>
      </c>
      <c r="M75" s="36" t="inlineStr">
        <is>
          <t>Yes</t>
        </is>
      </c>
      <c r="N75" s="36" t="inlineStr">
        <is>
          <t>143033</t>
        </is>
      </c>
      <c r="O75" s="58" t="n">
        <v>46065</v>
      </c>
      <c r="P75" s="36" t="inlineStr">
        <is>
          <t>Covered by Other Rx</t>
        </is>
      </c>
      <c r="Q75" s="55" t="n">
        <v>0</v>
      </c>
      <c r="R75" s="36" t="inlineStr">
        <is>
          <t>Paid-Ins</t>
        </is>
      </c>
      <c r="S75" s="36" t="inlineStr">
        <is>
          <t>Picked Up</t>
        </is>
      </c>
      <c r="T75" s="36" t="inlineStr">
        <is>
          <t>ESI</t>
        </is>
      </c>
      <c r="U75" s="36" t="inlineStr">
        <is>
          <t>610014</t>
        </is>
      </c>
      <c r="V75" s="36" t="inlineStr">
        <is>
          <t>TRIKOUNAKIS  STEVE</t>
        </is>
      </c>
    </row>
    <row r="76">
      <c r="A76" s="36" t="inlineStr">
        <is>
          <t>128379</t>
        </is>
      </c>
      <c r="B76" s="36" t="inlineStr">
        <is>
          <t>GOMEZ  MARIA</t>
        </is>
      </c>
      <c r="C76" s="58" t="inlineStr">
        <is>
          <t>04-23-1948</t>
        </is>
      </c>
      <c r="D76" s="36" t="inlineStr">
        <is>
          <t>212-281-8719</t>
        </is>
      </c>
      <c r="E76" s="36" t="inlineStr">
        <is>
          <t>LINZESS 145MCG CAPSULE</t>
        </is>
      </c>
      <c r="F76" s="36" t="inlineStr">
        <is>
          <t>00456120130</t>
        </is>
      </c>
      <c r="G76" s="36" t="inlineStr">
        <is>
          <t>_19480423|</t>
        </is>
      </c>
      <c r="H76" s="58" t="n">
        <v>46008</v>
      </c>
      <c r="I76" s="36" t="n">
        <v>30</v>
      </c>
      <c r="J76" s="36" t="n">
        <v>3</v>
      </c>
      <c r="K76" s="58" t="n">
        <v>46038</v>
      </c>
      <c r="L76" s="36" t="n">
        <v>45</v>
      </c>
      <c r="M76" s="36" t="inlineStr">
        <is>
          <t>Yes</t>
        </is>
      </c>
      <c r="N76" s="36" t="inlineStr">
        <is>
          <t>138963</t>
        </is>
      </c>
      <c r="O76" s="58" t="n">
        <v>46064</v>
      </c>
      <c r="P76" s="36" t="inlineStr">
        <is>
          <t>Covered by Other Rx</t>
        </is>
      </c>
      <c r="Q76" s="55" t="n">
        <v>0</v>
      </c>
      <c r="R76" s="36" t="inlineStr">
        <is>
          <t>Paid-Ins</t>
        </is>
      </c>
      <c r="S76" s="36" t="inlineStr">
        <is>
          <t>Picked Up</t>
        </is>
      </c>
      <c r="T76" s="36" t="inlineStr">
        <is>
          <t>CVS</t>
        </is>
      </c>
      <c r="U76" s="36" t="inlineStr">
        <is>
          <t>004336</t>
        </is>
      </c>
      <c r="V76" s="36" t="inlineStr">
        <is>
          <t>HARREN  PATRICIA</t>
        </is>
      </c>
    </row>
    <row r="77">
      <c r="A77" s="36" t="inlineStr">
        <is>
          <t>135607</t>
        </is>
      </c>
      <c r="B77" s="36" t="inlineStr">
        <is>
          <t>PAULINO  EUSEBIO</t>
        </is>
      </c>
      <c r="C77" s="58" t="inlineStr">
        <is>
          <t>11-22-1945</t>
        </is>
      </c>
      <c r="D77" s="36" t="inlineStr">
        <is>
          <t>212</t>
        </is>
      </c>
      <c r="E77" s="36" t="inlineStr">
        <is>
          <t>LANTUS SOLOSTAR 100UNIT/ML INJECTION</t>
        </is>
      </c>
      <c r="F77" s="36" t="inlineStr">
        <is>
          <t>00088221905</t>
        </is>
      </c>
      <c r="G77" s="36" t="inlineStr">
        <is>
          <t>_19451122|</t>
        </is>
      </c>
      <c r="H77" s="58" t="n">
        <v>46009</v>
      </c>
      <c r="I77" s="36" t="n">
        <v>30</v>
      </c>
      <c r="J77" s="36" t="n">
        <v>3</v>
      </c>
      <c r="K77" s="58" t="n">
        <v>46039</v>
      </c>
      <c r="L77" s="36" t="n">
        <v>44</v>
      </c>
      <c r="M77" s="36" t="inlineStr">
        <is>
          <t>Yes</t>
        </is>
      </c>
      <c r="N77" s="36" t="inlineStr">
        <is>
          <t>145286</t>
        </is>
      </c>
      <c r="O77" s="58" t="n">
        <v>46081</v>
      </c>
      <c r="P77" s="36" t="inlineStr">
        <is>
          <t>Covered by Other Rx</t>
        </is>
      </c>
      <c r="Q77" s="55" t="n">
        <v>0</v>
      </c>
      <c r="R77" s="36" t="inlineStr">
        <is>
          <t>Paid-Ins</t>
        </is>
      </c>
      <c r="S77" s="36" t="inlineStr">
        <is>
          <t>Picked Up</t>
        </is>
      </c>
      <c r="T77" s="36" t="inlineStr">
        <is>
          <t>CVS</t>
        </is>
      </c>
      <c r="U77" s="36" t="inlineStr">
        <is>
          <t>004336</t>
        </is>
      </c>
      <c r="V77" s="36" t="inlineStr">
        <is>
          <t>DELACRUZ FERNANDEZ  JOSE</t>
        </is>
      </c>
    </row>
    <row r="78">
      <c r="A78" s="36" t="inlineStr">
        <is>
          <t>139506</t>
        </is>
      </c>
      <c r="B78" s="36" t="inlineStr">
        <is>
          <t>ABDO  ABDULRAHMAN</t>
        </is>
      </c>
      <c r="C78" s="58" t="inlineStr">
        <is>
          <t>12-14-2006</t>
        </is>
      </c>
      <c r="D78" s="36" t="inlineStr">
        <is>
          <t>516-494-9931</t>
        </is>
      </c>
      <c r="E78" s="36" t="inlineStr">
        <is>
          <t>FREESTYLE LIBRE 3 READER DEVICE</t>
        </is>
      </c>
      <c r="F78" s="36" t="inlineStr">
        <is>
          <t>57599082000</t>
        </is>
      </c>
      <c r="G78" s="36" t="inlineStr">
        <is>
          <t>_20061214|</t>
        </is>
      </c>
      <c r="H78" s="58" t="n">
        <v>46038</v>
      </c>
      <c r="I78" s="36" t="n">
        <v>1</v>
      </c>
      <c r="J78" s="36" t="n">
        <v>1</v>
      </c>
      <c r="K78" s="58" t="n">
        <v>46039</v>
      </c>
      <c r="L78" s="36" t="n">
        <v>44</v>
      </c>
      <c r="M78" s="36" t="inlineStr">
        <is>
          <t>Yes</t>
        </is>
      </c>
      <c r="N78" s="36" t="inlineStr">
        <is>
          <t>139578</t>
        </is>
      </c>
      <c r="O78" s="58" t="n">
        <v>46041</v>
      </c>
      <c r="P78" s="36" t="inlineStr">
        <is>
          <t>Covered by Other Rx</t>
        </is>
      </c>
      <c r="Q78" s="55" t="n">
        <v>0</v>
      </c>
      <c r="R78" s="36" t="inlineStr">
        <is>
          <t>Paid-Ins</t>
        </is>
      </c>
      <c r="S78" s="36" t="inlineStr">
        <is>
          <t>Picked Up</t>
        </is>
      </c>
      <c r="T78" s="36" t="inlineStr">
        <is>
          <t>NYM</t>
        </is>
      </c>
      <c r="U78" s="36" t="inlineStr">
        <is>
          <t>004740</t>
        </is>
      </c>
      <c r="V78" s="36" t="inlineStr">
        <is>
          <t>LEIBEL  NATASHA</t>
        </is>
      </c>
    </row>
    <row r="79">
      <c r="A79" s="36" t="inlineStr">
        <is>
          <t>106117</t>
        </is>
      </c>
      <c r="B79" s="36" t="inlineStr">
        <is>
          <t>VALDEZ  JOSE</t>
        </is>
      </c>
      <c r="C79" s="58" t="inlineStr">
        <is>
          <t>08-14-1973</t>
        </is>
      </c>
      <c r="D79" s="36" t="inlineStr">
        <is>
          <t>646-804-2648</t>
        </is>
      </c>
      <c r="E79" s="36" t="inlineStr">
        <is>
          <t>LANTUS SOLOSTAR 100UNIT/ML INJECTION</t>
        </is>
      </c>
      <c r="F79" s="36" t="inlineStr">
        <is>
          <t>00088221905</t>
        </is>
      </c>
      <c r="G79" s="36" t="inlineStr">
        <is>
          <t>_19730814|</t>
        </is>
      </c>
      <c r="H79" s="58" t="n">
        <v>45950</v>
      </c>
      <c r="I79" s="36" t="n">
        <v>90</v>
      </c>
      <c r="J79" s="36" t="n">
        <v>1</v>
      </c>
      <c r="K79" s="58" t="n">
        <v>46040</v>
      </c>
      <c r="L79" s="36" t="n">
        <v>43</v>
      </c>
      <c r="M79" s="36" t="inlineStr">
        <is>
          <t>Yes</t>
        </is>
      </c>
      <c r="N79" s="36" t="inlineStr">
        <is>
          <t>138040</t>
        </is>
      </c>
      <c r="O79" s="58" t="n">
        <v>46069</v>
      </c>
      <c r="P79" s="36" t="inlineStr">
        <is>
          <t>Covered by Other Rx</t>
        </is>
      </c>
      <c r="Q79" s="55" t="n">
        <v>0</v>
      </c>
      <c r="R79" s="36" t="inlineStr">
        <is>
          <t>Transmitted</t>
        </is>
      </c>
      <c r="S79" s="36" t="inlineStr">
        <is>
          <t>Picked Up</t>
        </is>
      </c>
      <c r="T79" s="36" t="inlineStr">
        <is>
          <t>NYM</t>
        </is>
      </c>
      <c r="U79" s="36" t="inlineStr">
        <is>
          <t>004740</t>
        </is>
      </c>
      <c r="V79" s="36" t="inlineStr">
        <is>
          <t>SOCRATES  ROEDAN</t>
        </is>
      </c>
    </row>
    <row r="80">
      <c r="A80" s="36" t="inlineStr">
        <is>
          <t>116393</t>
        </is>
      </c>
      <c r="B80" s="36" t="inlineStr">
        <is>
          <t>GERALDINO  GEORGINA</t>
        </is>
      </c>
      <c r="C80" s="58" t="inlineStr">
        <is>
          <t>02-15-1956</t>
        </is>
      </c>
      <c r="D80" s="36" t="inlineStr">
        <is>
          <t>212-862-5750</t>
        </is>
      </c>
      <c r="E80" s="36" t="inlineStr">
        <is>
          <t>BASAGLAR KWIKPEN 100UNIT/ML INJECTION</t>
        </is>
      </c>
      <c r="F80" s="36" t="inlineStr">
        <is>
          <t>00002771559</t>
        </is>
      </c>
      <c r="G80" s="36" t="inlineStr">
        <is>
          <t>_19560215|</t>
        </is>
      </c>
      <c r="H80" s="58" t="n">
        <v>45950</v>
      </c>
      <c r="I80" s="36" t="n">
        <v>90</v>
      </c>
      <c r="J80" s="36" t="n">
        <v>4</v>
      </c>
      <c r="K80" s="58" t="n">
        <v>46040</v>
      </c>
      <c r="L80" s="36" t="n">
        <v>43</v>
      </c>
      <c r="M80" s="36" t="inlineStr">
        <is>
          <t>Yes</t>
        </is>
      </c>
      <c r="N80" s="36" t="inlineStr">
        <is>
          <t>145422</t>
        </is>
      </c>
      <c r="O80" s="58" t="n">
        <v>46083</v>
      </c>
      <c r="P80" s="36" t="inlineStr">
        <is>
          <t>Covered by Other Rx</t>
        </is>
      </c>
      <c r="Q80" s="55" t="n">
        <v>0</v>
      </c>
      <c r="R80" s="36" t="inlineStr">
        <is>
          <t>Paid-Ins</t>
        </is>
      </c>
      <c r="S80" s="36" t="inlineStr">
        <is>
          <t>Picked Up</t>
        </is>
      </c>
      <c r="T80" s="36" t="inlineStr">
        <is>
          <t>CVS</t>
        </is>
      </c>
      <c r="U80" s="36" t="inlineStr">
        <is>
          <t>004336</t>
        </is>
      </c>
      <c r="V80" s="36" t="inlineStr">
        <is>
          <t>CABRERA  MICHELLE</t>
        </is>
      </c>
    </row>
    <row r="81">
      <c r="A81" s="36" t="inlineStr">
        <is>
          <t>127791</t>
        </is>
      </c>
      <c r="B81" s="36" t="inlineStr">
        <is>
          <t>DIAZ  ANA</t>
        </is>
      </c>
      <c r="C81" s="58" t="inlineStr">
        <is>
          <t>07-26-1952</t>
        </is>
      </c>
      <c r="D81" s="36" t="inlineStr">
        <is>
          <t>212-234-6991</t>
        </is>
      </c>
      <c r="E81" s="36" t="inlineStr">
        <is>
          <t>JANUVIA 100MG TAB</t>
        </is>
      </c>
      <c r="F81" s="36" t="inlineStr">
        <is>
          <t>00006027731</t>
        </is>
      </c>
      <c r="G81" s="36" t="inlineStr">
        <is>
          <t>_19520726|MFP</t>
        </is>
      </c>
      <c r="H81" s="58" t="n">
        <v>45950</v>
      </c>
      <c r="I81" s="36" t="n">
        <v>90</v>
      </c>
      <c r="J81" s="36" t="n">
        <v>1</v>
      </c>
      <c r="K81" s="58" t="n">
        <v>46040</v>
      </c>
      <c r="L81" s="36" t="n">
        <v>43</v>
      </c>
      <c r="M81" s="36" t="inlineStr">
        <is>
          <t>Yes</t>
        </is>
      </c>
      <c r="N81" s="36" t="inlineStr">
        <is>
          <t>130931</t>
        </is>
      </c>
      <c r="O81" s="58" t="n">
        <v>46060</v>
      </c>
      <c r="P81" s="36" t="inlineStr">
        <is>
          <t>Covered by Other Rx</t>
        </is>
      </c>
      <c r="Q81" s="55" t="n">
        <v>0</v>
      </c>
      <c r="R81" s="36" t="inlineStr">
        <is>
          <t>Paid-Ins</t>
        </is>
      </c>
      <c r="S81" s="36" t="inlineStr">
        <is>
          <t>Picked Up</t>
        </is>
      </c>
      <c r="T81" s="36" t="inlineStr">
        <is>
          <t>CVS</t>
        </is>
      </c>
      <c r="U81" s="36" t="inlineStr">
        <is>
          <t>004336</t>
        </is>
      </c>
      <c r="V81" s="36" t="inlineStr">
        <is>
          <t>Ferreira Parker  Simone</t>
        </is>
      </c>
    </row>
    <row r="82">
      <c r="A82" s="36" t="inlineStr">
        <is>
          <t>127796</t>
        </is>
      </c>
      <c r="B82" s="36" t="inlineStr">
        <is>
          <t>HERNANDEZ  MINERVA</t>
        </is>
      </c>
      <c r="C82" s="58" t="inlineStr">
        <is>
          <t>07-14-1954</t>
        </is>
      </c>
      <c r="D82" s="36" t="inlineStr">
        <is>
          <t>646-220-8994</t>
        </is>
      </c>
      <c r="E82" s="36" t="inlineStr">
        <is>
          <t xml:space="preserve">RESTASIS 0.05% EMULSION </t>
        </is>
      </c>
      <c r="F82" s="36" t="inlineStr">
        <is>
          <t>00023916360</t>
        </is>
      </c>
      <c r="G82" s="36" t="inlineStr">
        <is>
          <t>_19540714|</t>
        </is>
      </c>
      <c r="H82" s="58" t="n">
        <v>45950</v>
      </c>
      <c r="I82" s="36" t="n">
        <v>90</v>
      </c>
      <c r="J82" s="36" t="n">
        <v>2</v>
      </c>
      <c r="K82" s="58" t="n">
        <v>46040</v>
      </c>
      <c r="L82" s="36" t="n">
        <v>43</v>
      </c>
      <c r="M82" s="36" t="inlineStr">
        <is>
          <t>Yes</t>
        </is>
      </c>
      <c r="N82" s="36" t="inlineStr">
        <is>
          <t>139174</t>
        </is>
      </c>
      <c r="O82" s="58" t="n">
        <v>46037</v>
      </c>
      <c r="P82" s="36" t="inlineStr">
        <is>
          <t>Covered by Other Rx</t>
        </is>
      </c>
      <c r="Q82" s="55" t="n">
        <v>0</v>
      </c>
      <c r="R82" s="36" t="inlineStr">
        <is>
          <t>Paid-Ins</t>
        </is>
      </c>
      <c r="S82" s="36" t="inlineStr">
        <is>
          <t>Picked Up</t>
        </is>
      </c>
      <c r="T82" s="36" t="inlineStr">
        <is>
          <t>CVS</t>
        </is>
      </c>
      <c r="U82" s="36" t="inlineStr">
        <is>
          <t>004336</t>
        </is>
      </c>
      <c r="V82" s="36" t="inlineStr">
        <is>
          <t>Roberts  Arielle</t>
        </is>
      </c>
    </row>
    <row r="83">
      <c r="A83" s="36" t="inlineStr">
        <is>
          <t>127797</t>
        </is>
      </c>
      <c r="B83" s="36" t="inlineStr">
        <is>
          <t>EVANGELISTA  MARISOL</t>
        </is>
      </c>
      <c r="C83" s="58" t="inlineStr">
        <is>
          <t>05-04-1968</t>
        </is>
      </c>
      <c r="D83" s="36" t="inlineStr">
        <is>
          <t>347-668-4609</t>
        </is>
      </c>
      <c r="E83" s="36" t="inlineStr">
        <is>
          <t>CONTOUR NEXT TEST  STRIPS</t>
        </is>
      </c>
      <c r="F83" s="36" t="inlineStr">
        <is>
          <t>00193731150</t>
        </is>
      </c>
      <c r="G83" s="36" t="inlineStr">
        <is>
          <t>_19680504|STRIPSONLY</t>
        </is>
      </c>
      <c r="H83" s="58" t="n">
        <v>45950</v>
      </c>
      <c r="I83" s="36" t="n">
        <v>90</v>
      </c>
      <c r="J83" s="36" t="n">
        <v>3</v>
      </c>
      <c r="K83" s="58" t="n">
        <v>46040</v>
      </c>
      <c r="L83" s="36" t="n">
        <v>43</v>
      </c>
      <c r="M83" s="36" t="inlineStr">
        <is>
          <t>Yes</t>
        </is>
      </c>
      <c r="N83" s="36" t="inlineStr">
        <is>
          <t>138489</t>
        </is>
      </c>
      <c r="O83" s="58" t="n">
        <v>46034</v>
      </c>
      <c r="P83" s="36" t="inlineStr">
        <is>
          <t>Covered by Other Rx</t>
        </is>
      </c>
      <c r="Q83" s="55" t="n">
        <v>0</v>
      </c>
      <c r="R83" s="36" t="inlineStr">
        <is>
          <t>Paid-Ins</t>
        </is>
      </c>
      <c r="S83" s="36" t="inlineStr">
        <is>
          <t>Picked Up</t>
        </is>
      </c>
      <c r="T83" s="36" t="inlineStr">
        <is>
          <t>CVS</t>
        </is>
      </c>
      <c r="U83" s="36" t="inlineStr">
        <is>
          <t>004336</t>
        </is>
      </c>
      <c r="V83" s="36" t="inlineStr">
        <is>
          <t>DELACRUZ FERNANDEZ  JOSE</t>
        </is>
      </c>
    </row>
    <row r="84">
      <c r="A84" s="36" t="inlineStr">
        <is>
          <t>102793</t>
        </is>
      </c>
      <c r="B84" s="36" t="inlineStr">
        <is>
          <t>JIMENEZ  FILMA</t>
        </is>
      </c>
      <c r="C84" s="58" t="inlineStr">
        <is>
          <t>06-01-1938</t>
        </is>
      </c>
      <c r="D84" s="36" t="inlineStr">
        <is>
          <t>929-476-3607</t>
        </is>
      </c>
      <c r="E84" s="36" t="inlineStr">
        <is>
          <t>CONTOUR NEXT TEST  STRIPS</t>
        </is>
      </c>
      <c r="F84" s="36" t="inlineStr">
        <is>
          <t>00193731150</t>
        </is>
      </c>
      <c r="G84" s="36" t="inlineStr">
        <is>
          <t>_19380601|STRIPSONLY</t>
        </is>
      </c>
      <c r="H84" s="58" t="n">
        <v>45951</v>
      </c>
      <c r="I84" s="36" t="n">
        <v>90</v>
      </c>
      <c r="J84" s="36" t="n">
        <v>1</v>
      </c>
      <c r="K84" s="58" t="n">
        <v>46041</v>
      </c>
      <c r="L84" s="36" t="n">
        <v>42</v>
      </c>
      <c r="M84" s="36" t="inlineStr">
        <is>
          <t>Yes</t>
        </is>
      </c>
      <c r="N84" s="36" t="inlineStr">
        <is>
          <t>139942</t>
        </is>
      </c>
      <c r="O84" s="58" t="n">
        <v>46043</v>
      </c>
      <c r="P84" s="36" t="inlineStr">
        <is>
          <t>Covered by Other Rx</t>
        </is>
      </c>
      <c r="Q84" s="55" t="n">
        <v>0</v>
      </c>
      <c r="R84" s="36" t="inlineStr">
        <is>
          <t>Transmitted</t>
        </is>
      </c>
      <c r="S84" s="36" t="inlineStr">
        <is>
          <t>Picked Up</t>
        </is>
      </c>
      <c r="T84" s="36" t="n">
        <v/>
      </c>
      <c r="U84" s="36" t="inlineStr">
        <is>
          <t>007895</t>
        </is>
      </c>
      <c r="V84" s="36" t="inlineStr">
        <is>
          <t>Chen  KuanChang</t>
        </is>
      </c>
    </row>
    <row r="85">
      <c r="A85" s="36" t="inlineStr">
        <is>
          <t>116368</t>
        </is>
      </c>
      <c r="B85" s="36" t="inlineStr">
        <is>
          <t>FABIAN  HECTOR</t>
        </is>
      </c>
      <c r="C85" s="58" t="inlineStr">
        <is>
          <t>11-28-1968</t>
        </is>
      </c>
      <c r="D85" s="36" t="inlineStr">
        <is>
          <t>646-234-8724</t>
        </is>
      </c>
      <c r="E85" s="36" t="inlineStr">
        <is>
          <t>CONTOUR NEXT TEST  STRIPS</t>
        </is>
      </c>
      <c r="F85" s="36" t="inlineStr">
        <is>
          <t>00193731150</t>
        </is>
      </c>
      <c r="G85" s="36" t="inlineStr">
        <is>
          <t>_19681128|STRIPSONLY</t>
        </is>
      </c>
      <c r="H85" s="58" t="n">
        <v>45951</v>
      </c>
      <c r="I85" s="36" t="n">
        <v>90</v>
      </c>
      <c r="J85" s="36" t="n">
        <v>2</v>
      </c>
      <c r="K85" s="58" t="n">
        <v>46041</v>
      </c>
      <c r="L85" s="36" t="n">
        <v>42</v>
      </c>
      <c r="M85" s="36" t="inlineStr">
        <is>
          <t>Yes</t>
        </is>
      </c>
      <c r="N85" s="36" t="inlineStr">
        <is>
          <t>139586</t>
        </is>
      </c>
      <c r="O85" s="58" t="n">
        <v>46041</v>
      </c>
      <c r="P85" s="36" t="inlineStr">
        <is>
          <t>Covered by Other Rx</t>
        </is>
      </c>
      <c r="Q85" s="55" t="n">
        <v>0</v>
      </c>
      <c r="R85" s="36" t="inlineStr">
        <is>
          <t>Paid-Ins</t>
        </is>
      </c>
      <c r="S85" s="36" t="inlineStr">
        <is>
          <t>Picked Up</t>
        </is>
      </c>
      <c r="T85" s="36" t="inlineStr">
        <is>
          <t>CVS</t>
        </is>
      </c>
      <c r="U85" s="36" t="inlineStr">
        <is>
          <t>004336</t>
        </is>
      </c>
      <c r="V85" s="36" t="inlineStr">
        <is>
          <t>Salas-Spiegel  Jacqueline</t>
        </is>
      </c>
    </row>
    <row r="86">
      <c r="A86" s="36" t="inlineStr">
        <is>
          <t>117691</t>
        </is>
      </c>
      <c r="B86" s="36" t="inlineStr">
        <is>
          <t>JOAQUIN VARGAS  JOHN</t>
        </is>
      </c>
      <c r="C86" s="58" t="inlineStr">
        <is>
          <t>01-12-1961</t>
        </is>
      </c>
      <c r="D86" s="36" t="inlineStr">
        <is>
          <t>347-552-1014</t>
        </is>
      </c>
      <c r="E86" s="36" t="inlineStr">
        <is>
          <t>OZEMPIC (1 MG/DOSE) 4MG/3ML INJECTION</t>
        </is>
      </c>
      <c r="F86" s="36" t="inlineStr">
        <is>
          <t>00169413013</t>
        </is>
      </c>
      <c r="G86" s="36" t="inlineStr">
        <is>
          <t>_19610112|</t>
        </is>
      </c>
      <c r="H86" s="58" t="n">
        <v>45957</v>
      </c>
      <c r="I86" s="36" t="n">
        <v>84</v>
      </c>
      <c r="J86" s="36" t="n">
        <v>1</v>
      </c>
      <c r="K86" s="58" t="n">
        <v>46041</v>
      </c>
      <c r="L86" s="36" t="n">
        <v>42</v>
      </c>
      <c r="M86" s="36" t="inlineStr">
        <is>
          <t>Yes</t>
        </is>
      </c>
      <c r="N86" s="36" t="inlineStr">
        <is>
          <t>143062</t>
        </is>
      </c>
      <c r="O86" s="58" t="n">
        <v>46065</v>
      </c>
      <c r="P86" s="36" t="inlineStr">
        <is>
          <t>Covered by Other Rx</t>
        </is>
      </c>
      <c r="Q86" s="55" t="n">
        <v>0</v>
      </c>
      <c r="R86" s="36" t="inlineStr">
        <is>
          <t>Paid-Ins</t>
        </is>
      </c>
      <c r="S86" s="36" t="inlineStr">
        <is>
          <t>Picked Up</t>
        </is>
      </c>
      <c r="T86" s="36" t="inlineStr">
        <is>
          <t>CVS</t>
        </is>
      </c>
      <c r="U86" s="36" t="inlineStr">
        <is>
          <t>004336</t>
        </is>
      </c>
      <c r="V86" s="36" t="inlineStr">
        <is>
          <t>ESCOBAR  JOSE GONZALO</t>
        </is>
      </c>
    </row>
    <row r="87">
      <c r="A87" s="36" t="inlineStr">
        <is>
          <t>128103</t>
        </is>
      </c>
      <c r="B87" s="36" t="inlineStr">
        <is>
          <t>EVANGELISTA BEATO  FELIPE</t>
        </is>
      </c>
      <c r="C87" s="58" t="inlineStr">
        <is>
          <t>02-08-1939</t>
        </is>
      </c>
      <c r="D87" s="36" t="inlineStr">
        <is>
          <t>347-668-4609</t>
        </is>
      </c>
      <c r="E87" s="36" t="inlineStr">
        <is>
          <t>FARXIGA 10MG TABLET</t>
        </is>
      </c>
      <c r="F87" s="36" t="inlineStr">
        <is>
          <t>00310621030</t>
        </is>
      </c>
      <c r="G87" s="36" t="inlineStr">
        <is>
          <t>_19390208|MFP</t>
        </is>
      </c>
      <c r="H87" s="58" t="n">
        <v>45951</v>
      </c>
      <c r="I87" s="36" t="n">
        <v>90</v>
      </c>
      <c r="J87" s="36" t="n">
        <v>1</v>
      </c>
      <c r="K87" s="58" t="n">
        <v>46041</v>
      </c>
      <c r="L87" s="36" t="n">
        <v>42</v>
      </c>
      <c r="M87" s="36" t="inlineStr">
        <is>
          <t>Yes</t>
        </is>
      </c>
      <c r="N87" s="36" t="inlineStr">
        <is>
          <t>139347</t>
        </is>
      </c>
      <c r="O87" s="58" t="n">
        <v>46038</v>
      </c>
      <c r="P87" s="36" t="inlineStr">
        <is>
          <t>Covered by Other Rx</t>
        </is>
      </c>
      <c r="Q87" s="55" t="n">
        <v>0</v>
      </c>
      <c r="R87" s="36" t="inlineStr">
        <is>
          <t>Transmitted</t>
        </is>
      </c>
      <c r="S87" s="36" t="inlineStr">
        <is>
          <t>Picked Up</t>
        </is>
      </c>
      <c r="T87" s="36" t="inlineStr">
        <is>
          <t>NYM</t>
        </is>
      </c>
      <c r="U87" s="36" t="inlineStr">
        <is>
          <t>004740</t>
        </is>
      </c>
      <c r="V87" s="36" t="inlineStr">
        <is>
          <t>GUZMAN  ELISCER</t>
        </is>
      </c>
    </row>
    <row r="88">
      <c r="A88" s="36" t="inlineStr">
        <is>
          <t>128801</t>
        </is>
      </c>
      <c r="B88" s="36" t="inlineStr">
        <is>
          <t>GONZALEZ  ISMAEL</t>
        </is>
      </c>
      <c r="C88" s="58" t="inlineStr">
        <is>
          <t>02-24-1973</t>
        </is>
      </c>
      <c r="D88" s="36" t="inlineStr">
        <is>
          <t>929-227-0050</t>
        </is>
      </c>
      <c r="E88" s="36" t="inlineStr">
        <is>
          <t>MOUNJARO 7.5 MG/0.5ML PEN-INJECTOR</t>
        </is>
      </c>
      <c r="F88" s="36" t="inlineStr">
        <is>
          <t>00002148480</t>
        </is>
      </c>
      <c r="G88" s="36" t="inlineStr">
        <is>
          <t>_19730224|</t>
        </is>
      </c>
      <c r="H88" s="58" t="n">
        <v>46013</v>
      </c>
      <c r="I88" s="36" t="n">
        <v>28</v>
      </c>
      <c r="J88" s="36" t="n">
        <v>1</v>
      </c>
      <c r="K88" s="58" t="n">
        <v>46041</v>
      </c>
      <c r="L88" s="36" t="n">
        <v>42</v>
      </c>
      <c r="M88" s="36" t="inlineStr">
        <is>
          <t>Yes</t>
        </is>
      </c>
      <c r="N88" s="36" t="inlineStr">
        <is>
          <t>136585</t>
        </is>
      </c>
      <c r="O88" s="58" t="n">
        <v>46045</v>
      </c>
      <c r="P88" s="36" t="inlineStr">
        <is>
          <t>Covered by Other Rx</t>
        </is>
      </c>
      <c r="Q88" s="55" t="n">
        <v>0</v>
      </c>
      <c r="R88" s="36" t="inlineStr">
        <is>
          <t>Paid-Ins</t>
        </is>
      </c>
      <c r="S88" s="36" t="inlineStr">
        <is>
          <t>Picked Up</t>
        </is>
      </c>
      <c r="T88" s="36" t="inlineStr">
        <is>
          <t>CVS</t>
        </is>
      </c>
      <c r="U88" s="36" t="inlineStr">
        <is>
          <t>004336</t>
        </is>
      </c>
      <c r="V88" s="36" t="inlineStr">
        <is>
          <t>Garces  Kelly</t>
        </is>
      </c>
    </row>
    <row r="89">
      <c r="A89" s="36" t="inlineStr">
        <is>
          <t>136233</t>
        </is>
      </c>
      <c r="B89" s="36" t="inlineStr">
        <is>
          <t>SHEPPARD  AMIN</t>
        </is>
      </c>
      <c r="C89" s="58" t="inlineStr">
        <is>
          <t>03-03-1978</t>
        </is>
      </c>
      <c r="D89" s="36" t="inlineStr">
        <is>
          <t>917-907-2610</t>
        </is>
      </c>
      <c r="E89" s="36" t="inlineStr">
        <is>
          <t>OZEMPIC (0.25 OR 0.5 MG/DOSE) 2 MG/3ML PEN-INJECTOR</t>
        </is>
      </c>
      <c r="F89" s="36" t="inlineStr">
        <is>
          <t>00169418113</t>
        </is>
      </c>
      <c r="G89" s="36" t="inlineStr">
        <is>
          <t>_19780303|</t>
        </is>
      </c>
      <c r="H89" s="58" t="n">
        <v>46014</v>
      </c>
      <c r="I89" s="36" t="n">
        <v>28</v>
      </c>
      <c r="J89" s="36" t="n">
        <v>5</v>
      </c>
      <c r="K89" s="58" t="n">
        <v>46042</v>
      </c>
      <c r="L89" s="36" t="n">
        <v>41</v>
      </c>
      <c r="M89" s="36" t="inlineStr">
        <is>
          <t>Yes</t>
        </is>
      </c>
      <c r="N89" s="36" t="inlineStr">
        <is>
          <t>139432</t>
        </is>
      </c>
      <c r="O89" s="58" t="n">
        <v>46063</v>
      </c>
      <c r="P89" s="36" t="inlineStr">
        <is>
          <t>Covered by Other Rx</t>
        </is>
      </c>
      <c r="Q89" s="55" t="n">
        <v>0</v>
      </c>
      <c r="R89" s="36" t="inlineStr">
        <is>
          <t>Paid-Ins</t>
        </is>
      </c>
      <c r="S89" s="36" t="inlineStr">
        <is>
          <t>Picked Up</t>
        </is>
      </c>
      <c r="T89" s="36" t="inlineStr">
        <is>
          <t>CVS</t>
        </is>
      </c>
      <c r="U89" s="36" t="inlineStr">
        <is>
          <t>004336</t>
        </is>
      </c>
      <c r="V89" s="36" t="inlineStr">
        <is>
          <t>Cobbs  Ronald</t>
        </is>
      </c>
    </row>
    <row r="90">
      <c r="A90" s="36" t="inlineStr">
        <is>
          <t>129160</t>
        </is>
      </c>
      <c r="B90" s="36" t="inlineStr">
        <is>
          <t>ABDO  ABDULRAHMAN</t>
        </is>
      </c>
      <c r="C90" s="58" t="inlineStr">
        <is>
          <t>12-14-2006</t>
        </is>
      </c>
      <c r="D90" s="36" t="inlineStr">
        <is>
          <t>516-494-9931</t>
        </is>
      </c>
      <c r="E90" s="36" t="inlineStr">
        <is>
          <t>FREESTYLE LIBRE 3 PLUS SENSOR</t>
        </is>
      </c>
      <c r="F90" s="36" t="inlineStr">
        <is>
          <t>57599084400</t>
        </is>
      </c>
      <c r="G90" s="36" t="inlineStr">
        <is>
          <t>_20061214|</t>
        </is>
      </c>
      <c r="H90" s="58" t="n">
        <v>46015</v>
      </c>
      <c r="I90" s="36" t="n">
        <v>28</v>
      </c>
      <c r="J90" s="36" t="n">
        <v>9</v>
      </c>
      <c r="K90" s="58" t="n">
        <v>46043</v>
      </c>
      <c r="L90" s="36" t="n">
        <v>40</v>
      </c>
      <c r="M90" s="36" t="inlineStr">
        <is>
          <t>Yes</t>
        </is>
      </c>
      <c r="N90" s="36" t="inlineStr">
        <is>
          <t>139578</t>
        </is>
      </c>
      <c r="O90" s="58" t="n">
        <v>46041</v>
      </c>
      <c r="P90" s="36" t="inlineStr">
        <is>
          <t>Covered by Other Rx</t>
        </is>
      </c>
      <c r="Q90" s="55" t="n">
        <v>0</v>
      </c>
      <c r="R90" s="36" t="inlineStr">
        <is>
          <t>Paid-Ins</t>
        </is>
      </c>
      <c r="S90" s="36" t="inlineStr">
        <is>
          <t>Picked Up</t>
        </is>
      </c>
      <c r="T90" s="36" t="inlineStr">
        <is>
          <t>NYM</t>
        </is>
      </c>
      <c r="U90" s="36" t="inlineStr">
        <is>
          <t>004740</t>
        </is>
      </c>
      <c r="V90" s="36" t="inlineStr">
        <is>
          <t>LEIBEL  NATASHA</t>
        </is>
      </c>
    </row>
    <row r="91">
      <c r="A91" s="36" t="inlineStr">
        <is>
          <t>129246</t>
        </is>
      </c>
      <c r="B91" s="36" t="inlineStr">
        <is>
          <t>RODRIGUEZ ALVAREZ  LUIS</t>
        </is>
      </c>
      <c r="C91" s="58" t="inlineStr">
        <is>
          <t>06-26-1956</t>
        </is>
      </c>
      <c r="D91" s="36" t="inlineStr">
        <is>
          <t>917-843-6249</t>
        </is>
      </c>
      <c r="E91" s="36" t="inlineStr">
        <is>
          <t>MOUNJARO 7.5 MG/0.5ML PEN-INJECTOR</t>
        </is>
      </c>
      <c r="F91" s="36" t="inlineStr">
        <is>
          <t>00002148480</t>
        </is>
      </c>
      <c r="G91" s="36" t="inlineStr">
        <is>
          <t>_19560626|</t>
        </is>
      </c>
      <c r="H91" s="58" t="n">
        <v>45960</v>
      </c>
      <c r="I91" s="36" t="n">
        <v>84</v>
      </c>
      <c r="J91" s="36" t="n">
        <v>1</v>
      </c>
      <c r="K91" s="58" t="n">
        <v>46044</v>
      </c>
      <c r="L91" s="36" t="n">
        <v>39</v>
      </c>
      <c r="M91" s="36" t="inlineStr">
        <is>
          <t>Yes</t>
        </is>
      </c>
      <c r="N91" s="36" t="inlineStr">
        <is>
          <t>140101</t>
        </is>
      </c>
      <c r="O91" s="58" t="n">
        <v>46044</v>
      </c>
      <c r="P91" s="36" t="inlineStr">
        <is>
          <t>Covered by Other Rx</t>
        </is>
      </c>
      <c r="Q91" s="55" t="n">
        <v>0</v>
      </c>
      <c r="R91" s="36" t="inlineStr">
        <is>
          <t>Paid-Ins</t>
        </is>
      </c>
      <c r="S91" s="36" t="inlineStr">
        <is>
          <t>Picked Up</t>
        </is>
      </c>
      <c r="T91" s="36" t="inlineStr">
        <is>
          <t>CVS</t>
        </is>
      </c>
      <c r="U91" s="36" t="inlineStr">
        <is>
          <t>004336</t>
        </is>
      </c>
      <c r="V91" s="36" t="inlineStr">
        <is>
          <t>DATT  MONIKA</t>
        </is>
      </c>
    </row>
    <row r="92">
      <c r="A92" s="36" t="inlineStr">
        <is>
          <t>132782</t>
        </is>
      </c>
      <c r="B92" s="36" t="inlineStr">
        <is>
          <t>JUSTO  SHERMIN</t>
        </is>
      </c>
      <c r="C92" s="58" t="inlineStr">
        <is>
          <t>04-04-1982</t>
        </is>
      </c>
      <c r="D92" s="36" t="inlineStr">
        <is>
          <t>212-390-8950</t>
        </is>
      </c>
      <c r="E92" s="36" t="inlineStr">
        <is>
          <t>BUDESONIDE/FORMOTEROL 160 /4.5 MCG (SYMBICORT)</t>
        </is>
      </c>
      <c r="F92" s="36" t="inlineStr">
        <is>
          <t>00310737020</t>
        </is>
      </c>
      <c r="G92" s="36" t="inlineStr">
        <is>
          <t>_19820404|</t>
        </is>
      </c>
      <c r="H92" s="58" t="n">
        <v>46015</v>
      </c>
      <c r="I92" s="36" t="n">
        <v>30</v>
      </c>
      <c r="J92" s="36" t="n">
        <v>1</v>
      </c>
      <c r="K92" s="58" t="n">
        <v>46045</v>
      </c>
      <c r="L92" s="36" t="n">
        <v>38</v>
      </c>
      <c r="M92" s="36" t="inlineStr">
        <is>
          <t>Yes</t>
        </is>
      </c>
      <c r="N92" s="36" t="inlineStr">
        <is>
          <t>138890</t>
        </is>
      </c>
      <c r="O92" s="58" t="n">
        <v>46063</v>
      </c>
      <c r="P92" s="36" t="inlineStr">
        <is>
          <t>Covered by Other Rx</t>
        </is>
      </c>
      <c r="Q92" s="55" t="n">
        <v>0</v>
      </c>
      <c r="R92" s="36" t="inlineStr">
        <is>
          <t>Paid-Ins</t>
        </is>
      </c>
      <c r="S92" s="36" t="inlineStr">
        <is>
          <t>Picked Up</t>
        </is>
      </c>
      <c r="T92" s="36" t="inlineStr">
        <is>
          <t>CVS</t>
        </is>
      </c>
      <c r="U92" s="36" t="inlineStr">
        <is>
          <t>004336</t>
        </is>
      </c>
      <c r="V92" s="36" t="inlineStr">
        <is>
          <t>Vasa  Aastha</t>
        </is>
      </c>
    </row>
    <row r="93">
      <c r="A93" s="36" t="inlineStr">
        <is>
          <t>133025</t>
        </is>
      </c>
      <c r="B93" s="36" t="inlineStr">
        <is>
          <t>MUNOZ ALCANTARA  IVONNE</t>
        </is>
      </c>
      <c r="C93" s="58" t="inlineStr">
        <is>
          <t>09-10-1969</t>
        </is>
      </c>
      <c r="D93" s="36" t="inlineStr">
        <is>
          <t>646-281-8237</t>
        </is>
      </c>
      <c r="E93" s="36" t="inlineStr">
        <is>
          <t>OZEMPIC (0.25 OR 0.5 MG/DOSE) 2 MG/3ML PEN-INJECTOR</t>
        </is>
      </c>
      <c r="F93" s="36" t="inlineStr">
        <is>
          <t>00169418113</t>
        </is>
      </c>
      <c r="G93" s="36" t="inlineStr">
        <is>
          <t>_19690910|</t>
        </is>
      </c>
      <c r="H93" s="58" t="n">
        <v>46017</v>
      </c>
      <c r="I93" s="36" t="n">
        <v>28</v>
      </c>
      <c r="J93" s="36" t="n">
        <v>1</v>
      </c>
      <c r="K93" s="58" t="n">
        <v>46045</v>
      </c>
      <c r="L93" s="36" t="n">
        <v>38</v>
      </c>
      <c r="M93" s="36" t="inlineStr">
        <is>
          <t>Yes</t>
        </is>
      </c>
      <c r="N93" s="36" t="inlineStr">
        <is>
          <t>139274</t>
        </is>
      </c>
      <c r="O93" s="58" t="n">
        <v>46063</v>
      </c>
      <c r="P93" s="36" t="inlineStr">
        <is>
          <t>Covered by Other Rx</t>
        </is>
      </c>
      <c r="Q93" s="55" t="n">
        <v>0</v>
      </c>
      <c r="R93" s="36" t="inlineStr">
        <is>
          <t>Paid-Ins</t>
        </is>
      </c>
      <c r="S93" s="36" t="inlineStr">
        <is>
          <t>Picked Up</t>
        </is>
      </c>
      <c r="T93" s="36" t="inlineStr">
        <is>
          <t>NYM</t>
        </is>
      </c>
      <c r="U93" s="36" t="inlineStr">
        <is>
          <t>004740</t>
        </is>
      </c>
      <c r="V93" s="36" t="inlineStr">
        <is>
          <t>Han  Jisu</t>
        </is>
      </c>
    </row>
    <row r="94">
      <c r="A94" s="36" t="inlineStr">
        <is>
          <t>117174</t>
        </is>
      </c>
      <c r="B94" s="36" t="inlineStr">
        <is>
          <t>JOAQUIN VARGAS  JOHN</t>
        </is>
      </c>
      <c r="C94" s="58" t="inlineStr">
        <is>
          <t>01-12-1961</t>
        </is>
      </c>
      <c r="D94" s="36" t="inlineStr">
        <is>
          <t>347-552-1014</t>
        </is>
      </c>
      <c r="E94" s="36" t="inlineStr">
        <is>
          <t xml:space="preserve">RESTASIS 0.05% EMULSION </t>
        </is>
      </c>
      <c r="F94" s="36" t="inlineStr">
        <is>
          <t>00023916360</t>
        </is>
      </c>
      <c r="G94" s="36" t="inlineStr">
        <is>
          <t>_19610112|</t>
        </is>
      </c>
      <c r="H94" s="58" t="n">
        <v>45957</v>
      </c>
      <c r="I94" s="36" t="n">
        <v>90</v>
      </c>
      <c r="J94" s="36" t="n">
        <v>1</v>
      </c>
      <c r="K94" s="58" t="n">
        <v>46047</v>
      </c>
      <c r="L94" s="36" t="n">
        <v>36</v>
      </c>
      <c r="M94" s="36" t="inlineStr">
        <is>
          <t>Yes</t>
        </is>
      </c>
      <c r="N94" s="36" t="inlineStr">
        <is>
          <t>143062</t>
        </is>
      </c>
      <c r="O94" s="58" t="n">
        <v>46065</v>
      </c>
      <c r="P94" s="36" t="inlineStr">
        <is>
          <t>Covered by Other Rx</t>
        </is>
      </c>
      <c r="Q94" s="55" t="n">
        <v>0</v>
      </c>
      <c r="R94" s="36" t="inlineStr">
        <is>
          <t>Paid-Ins</t>
        </is>
      </c>
      <c r="S94" s="36" t="inlineStr">
        <is>
          <t>Picked Up</t>
        </is>
      </c>
      <c r="T94" s="36" t="inlineStr">
        <is>
          <t>CVS</t>
        </is>
      </c>
      <c r="U94" s="36" t="inlineStr">
        <is>
          <t>004336</t>
        </is>
      </c>
      <c r="V94" s="36" t="inlineStr">
        <is>
          <t>DIAMOND  JENNIFER</t>
        </is>
      </c>
    </row>
    <row r="95">
      <c r="A95" s="36" t="inlineStr">
        <is>
          <t>136709</t>
        </is>
      </c>
      <c r="B95" s="36" t="inlineStr">
        <is>
          <t>SANCHEZ  ANA</t>
        </is>
      </c>
      <c r="C95" s="58" t="inlineStr">
        <is>
          <t>06-04-1960</t>
        </is>
      </c>
      <c r="D95" s="36" t="inlineStr">
        <is>
          <t>347-319-2783</t>
        </is>
      </c>
      <c r="E95" s="36" t="inlineStr">
        <is>
          <t xml:space="preserve">LINZESS 290MCG CAP </t>
        </is>
      </c>
      <c r="F95" s="36" t="inlineStr">
        <is>
          <t>00456120230</t>
        </is>
      </c>
      <c r="G95" s="36" t="inlineStr">
        <is>
          <t>_19600604|</t>
        </is>
      </c>
      <c r="H95" s="58" t="n">
        <v>46017</v>
      </c>
      <c r="I95" s="36" t="n">
        <v>30</v>
      </c>
      <c r="J95" s="36" t="n">
        <v>2</v>
      </c>
      <c r="K95" s="58" t="n">
        <v>46047</v>
      </c>
      <c r="L95" s="36" t="n">
        <v>36</v>
      </c>
      <c r="M95" s="36" t="inlineStr">
        <is>
          <t>Yes</t>
        </is>
      </c>
      <c r="N95" s="36" t="inlineStr">
        <is>
          <t>144517</t>
        </is>
      </c>
      <c r="O95" s="58" t="n">
        <v>46077</v>
      </c>
      <c r="P95" s="36" t="inlineStr">
        <is>
          <t>Covered by Other Rx</t>
        </is>
      </c>
      <c r="Q95" s="55" t="n">
        <v>0</v>
      </c>
      <c r="R95" s="36" t="inlineStr">
        <is>
          <t>Paid-Ins</t>
        </is>
      </c>
      <c r="S95" s="36" t="inlineStr">
        <is>
          <t>Picked Up</t>
        </is>
      </c>
      <c r="T95" s="36" t="inlineStr">
        <is>
          <t>CVS</t>
        </is>
      </c>
      <c r="U95" s="36" t="inlineStr">
        <is>
          <t>004336</t>
        </is>
      </c>
      <c r="V95" s="36" t="inlineStr">
        <is>
          <t>Sanchez-Pena  Jose</t>
        </is>
      </c>
    </row>
    <row r="96">
      <c r="A96" s="36" t="inlineStr">
        <is>
          <t>129588</t>
        </is>
      </c>
      <c r="B96" s="36" t="inlineStr">
        <is>
          <t>ORRALA  JUDITH</t>
        </is>
      </c>
      <c r="C96" s="58" t="inlineStr">
        <is>
          <t>07-29-1960</t>
        </is>
      </c>
      <c r="D96" s="36" t="inlineStr">
        <is>
          <t>347-216-9472</t>
        </is>
      </c>
      <c r="E96" s="36" t="inlineStr">
        <is>
          <t>OZEMPIC (1 MG/DOSE) 4MG/3ML INJECTION</t>
        </is>
      </c>
      <c r="F96" s="36" t="inlineStr">
        <is>
          <t>00169413013</t>
        </is>
      </c>
      <c r="G96" s="36" t="inlineStr">
        <is>
          <t>_19600729|</t>
        </is>
      </c>
      <c r="H96" s="58" t="n">
        <v>45964</v>
      </c>
      <c r="I96" s="36" t="n">
        <v>84</v>
      </c>
      <c r="J96" s="36" t="n">
        <v>1</v>
      </c>
      <c r="K96" s="58" t="n">
        <v>46048</v>
      </c>
      <c r="L96" s="36" t="n">
        <v>35</v>
      </c>
      <c r="M96" s="36" t="inlineStr">
        <is>
          <t>Yes</t>
        </is>
      </c>
      <c r="N96" s="36" t="inlineStr">
        <is>
          <t>135998</t>
        </is>
      </c>
      <c r="O96" s="58" t="n">
        <v>46062</v>
      </c>
      <c r="P96" s="36" t="inlineStr">
        <is>
          <t>Covered by Other Rx</t>
        </is>
      </c>
      <c r="Q96" s="55" t="n">
        <v>0</v>
      </c>
      <c r="R96" s="36" t="inlineStr">
        <is>
          <t>Paid-Ins</t>
        </is>
      </c>
      <c r="S96" s="36" t="inlineStr">
        <is>
          <t>Picked Up</t>
        </is>
      </c>
      <c r="T96" s="36" t="inlineStr">
        <is>
          <t>CVS</t>
        </is>
      </c>
      <c r="U96" s="36" t="inlineStr">
        <is>
          <t>004336</t>
        </is>
      </c>
      <c r="V96" s="36" t="inlineStr">
        <is>
          <t>DREITCER  MONICA</t>
        </is>
      </c>
    </row>
    <row r="97">
      <c r="A97" s="36" t="inlineStr">
        <is>
          <t>131519</t>
        </is>
      </c>
      <c r="B97" s="36" t="inlineStr">
        <is>
          <t>MARTINEZ  BARBARA</t>
        </is>
      </c>
      <c r="C97" s="58" t="inlineStr">
        <is>
          <t>03-31-1958</t>
        </is>
      </c>
      <c r="D97" s="36" t="inlineStr">
        <is>
          <t>646-261-7948</t>
        </is>
      </c>
      <c r="E97" s="36" t="inlineStr">
        <is>
          <t>OZEMPIC (0.25 OR 0.5 MG/DOSE) 2 MG/3ML PEN-INJECTOR</t>
        </is>
      </c>
      <c r="F97" s="36" t="inlineStr">
        <is>
          <t>00169418113</t>
        </is>
      </c>
      <c r="G97" s="36" t="inlineStr">
        <is>
          <t>_19580331|</t>
        </is>
      </c>
      <c r="H97" s="58" t="n">
        <v>46021</v>
      </c>
      <c r="I97" s="36" t="n">
        <v>28</v>
      </c>
      <c r="J97" s="36" t="n">
        <v>4</v>
      </c>
      <c r="K97" s="58" t="n">
        <v>46049</v>
      </c>
      <c r="L97" s="36" t="n">
        <v>34</v>
      </c>
      <c r="M97" s="36" t="inlineStr">
        <is>
          <t>Yes</t>
        </is>
      </c>
      <c r="N97" s="36" t="inlineStr">
        <is>
          <t>143513</t>
        </is>
      </c>
      <c r="O97" s="58" t="n">
        <v>46069</v>
      </c>
      <c r="P97" s="36" t="inlineStr">
        <is>
          <t>Covered by Other Rx</t>
        </is>
      </c>
      <c r="Q97" s="55" t="n">
        <v>0</v>
      </c>
      <c r="R97" s="36" t="inlineStr">
        <is>
          <t>Paid-Ins</t>
        </is>
      </c>
      <c r="S97" s="36" t="inlineStr">
        <is>
          <t>Picked Up</t>
        </is>
      </c>
      <c r="T97" s="36" t="inlineStr">
        <is>
          <t>CVS</t>
        </is>
      </c>
      <c r="U97" s="36" t="inlineStr">
        <is>
          <t>004336</t>
        </is>
      </c>
      <c r="V97" s="36" t="inlineStr">
        <is>
          <t>GERALDINO  LAURA</t>
        </is>
      </c>
    </row>
    <row r="98">
      <c r="A98" s="36" t="inlineStr">
        <is>
          <t>137190</t>
        </is>
      </c>
      <c r="B98" s="36" t="inlineStr">
        <is>
          <t>WATTS  JANIE</t>
        </is>
      </c>
      <c r="C98" s="58" t="inlineStr">
        <is>
          <t>02-25-1948</t>
        </is>
      </c>
      <c r="D98" s="36" t="n">
        <v/>
      </c>
      <c r="E98" s="36" t="inlineStr">
        <is>
          <t>CONTOUR NEXT TEST  STRIPS</t>
        </is>
      </c>
      <c r="F98" s="36" t="inlineStr">
        <is>
          <t>00193731150</t>
        </is>
      </c>
      <c r="G98" s="36" t="inlineStr">
        <is>
          <t>_19480225|STRIPSONLY</t>
        </is>
      </c>
      <c r="H98" s="58" t="n">
        <v>46024</v>
      </c>
      <c r="I98" s="36" t="n">
        <v>25</v>
      </c>
      <c r="J98" s="36" t="n">
        <v>1</v>
      </c>
      <c r="K98" s="58" t="n">
        <v>46049</v>
      </c>
      <c r="L98" s="36" t="n">
        <v>34</v>
      </c>
      <c r="M98" s="36" t="inlineStr">
        <is>
          <t>Yes</t>
        </is>
      </c>
      <c r="N98" s="36" t="inlineStr">
        <is>
          <t>145110</t>
        </is>
      </c>
      <c r="O98" s="58" t="n">
        <v>46080</v>
      </c>
      <c r="P98" s="36" t="inlineStr">
        <is>
          <t>Covered by Other Rx</t>
        </is>
      </c>
      <c r="Q98" s="55" t="n">
        <v>0</v>
      </c>
      <c r="R98" s="36" t="inlineStr">
        <is>
          <t>Paid-Ins</t>
        </is>
      </c>
      <c r="S98" s="36" t="inlineStr">
        <is>
          <t>Picked Up</t>
        </is>
      </c>
      <c r="T98" s="36" t="inlineStr">
        <is>
          <t>CVS</t>
        </is>
      </c>
      <c r="U98" s="36" t="inlineStr">
        <is>
          <t>004336</t>
        </is>
      </c>
      <c r="V98" s="36" t="inlineStr">
        <is>
          <t>Fleig  Lauren</t>
        </is>
      </c>
    </row>
    <row r="99">
      <c r="A99" s="36" t="inlineStr">
        <is>
          <t>112642</t>
        </is>
      </c>
      <c r="B99" s="36" t="inlineStr">
        <is>
          <t>KIM  DANIEL</t>
        </is>
      </c>
      <c r="C99" s="58" t="inlineStr">
        <is>
          <t>08-21-1982</t>
        </is>
      </c>
      <c r="D99" s="36" t="n">
        <v/>
      </c>
      <c r="E99" s="36" t="inlineStr">
        <is>
          <t>OZEMPIC (2 MG/DOSE) 8 MG/3ML PEN-INJECTOR</t>
        </is>
      </c>
      <c r="F99" s="36" t="inlineStr">
        <is>
          <t>00169477212</t>
        </is>
      </c>
      <c r="G99" s="36" t="inlineStr">
        <is>
          <t>_19820821|</t>
        </is>
      </c>
      <c r="H99" s="58" t="n">
        <v>46022</v>
      </c>
      <c r="I99" s="36" t="n">
        <v>28</v>
      </c>
      <c r="J99" s="36" t="n">
        <v>5</v>
      </c>
      <c r="K99" s="58" t="n">
        <v>46050</v>
      </c>
      <c r="L99" s="36" t="n">
        <v>33</v>
      </c>
      <c r="M99" s="36" t="inlineStr">
        <is>
          <t>Yes</t>
        </is>
      </c>
      <c r="N99" s="36" t="inlineStr">
        <is>
          <t>140591</t>
        </is>
      </c>
      <c r="O99" s="58" t="n">
        <v>46076</v>
      </c>
      <c r="P99" s="36" t="inlineStr">
        <is>
          <t>Covered by Other Rx</t>
        </is>
      </c>
      <c r="Q99" s="55" t="n">
        <v>0</v>
      </c>
      <c r="R99" s="36" t="inlineStr">
        <is>
          <t>Paid-Ins</t>
        </is>
      </c>
      <c r="S99" s="36" t="inlineStr">
        <is>
          <t>Picked Up</t>
        </is>
      </c>
      <c r="T99" s="36" t="inlineStr">
        <is>
          <t>ESI</t>
        </is>
      </c>
      <c r="U99" s="36" t="inlineStr">
        <is>
          <t>003858</t>
        </is>
      </c>
      <c r="V99" s="36" t="inlineStr">
        <is>
          <t>JANG  HANGJUN</t>
        </is>
      </c>
    </row>
    <row r="100">
      <c r="A100" s="36" t="inlineStr">
        <is>
          <t>129310</t>
        </is>
      </c>
      <c r="B100" s="36" t="inlineStr">
        <is>
          <t>PENA  YRISNEIDA</t>
        </is>
      </c>
      <c r="C100" s="58" t="inlineStr">
        <is>
          <t>02-16-1967</t>
        </is>
      </c>
      <c r="D100" s="36" t="n">
        <v/>
      </c>
      <c r="E100" s="36" t="inlineStr">
        <is>
          <t>OZEMPIC (0.25 OR 0.5 MG/DOSE) 2 MG/3ML PEN-INJECTOR</t>
        </is>
      </c>
      <c r="F100" s="36" t="inlineStr">
        <is>
          <t>00169418113</t>
        </is>
      </c>
      <c r="G100" s="36" t="inlineStr">
        <is>
          <t>_19670216|</t>
        </is>
      </c>
      <c r="H100" s="58" t="n">
        <v>45960</v>
      </c>
      <c r="I100" s="36" t="n">
        <v>90</v>
      </c>
      <c r="J100" s="36" t="n">
        <v>5</v>
      </c>
      <c r="K100" s="58" t="n">
        <v>46050</v>
      </c>
      <c r="L100" s="36" t="n">
        <v>33</v>
      </c>
      <c r="M100" s="36" t="inlineStr">
        <is>
          <t>Yes</t>
        </is>
      </c>
      <c r="N100" s="36" t="inlineStr">
        <is>
          <t>134418</t>
        </is>
      </c>
      <c r="O100" s="58" t="n">
        <v>46083</v>
      </c>
      <c r="P100" s="36" t="inlineStr">
        <is>
          <t>Covered by Other Rx</t>
        </is>
      </c>
      <c r="Q100" s="55" t="n">
        <v>0</v>
      </c>
      <c r="R100" s="36" t="inlineStr">
        <is>
          <t>Transmitted</t>
        </is>
      </c>
      <c r="S100" s="36" t="inlineStr">
        <is>
          <t>Picked Up</t>
        </is>
      </c>
      <c r="T100" s="36" t="inlineStr">
        <is>
          <t>NYM</t>
        </is>
      </c>
      <c r="U100" s="36" t="inlineStr">
        <is>
          <t>004336</t>
        </is>
      </c>
      <c r="V100" s="36" t="inlineStr">
        <is>
          <t>Arcentales  Jonathan</t>
        </is>
      </c>
    </row>
    <row r="101">
      <c r="A101" s="36" t="inlineStr">
        <is>
          <t>115248</t>
        </is>
      </c>
      <c r="B101" s="36" t="inlineStr">
        <is>
          <t>CHEVRY  DOLLY</t>
        </is>
      </c>
      <c r="C101" s="58" t="inlineStr">
        <is>
          <t>12-03-1970</t>
        </is>
      </c>
      <c r="D101" s="36" t="inlineStr">
        <is>
          <t>917-885-7593</t>
        </is>
      </c>
      <c r="E101" s="36" t="inlineStr">
        <is>
          <t xml:space="preserve">JARDIANCE 10MG TAB </t>
        </is>
      </c>
      <c r="F101" s="36" t="inlineStr">
        <is>
          <t>00597015230</t>
        </is>
      </c>
      <c r="G101" s="36" t="inlineStr">
        <is>
          <t>_19701203|MFP</t>
        </is>
      </c>
      <c r="H101" s="58" t="n">
        <v>46021</v>
      </c>
      <c r="I101" s="36" t="n">
        <v>30</v>
      </c>
      <c r="J101" s="36" t="n">
        <v>5</v>
      </c>
      <c r="K101" s="58" t="n">
        <v>46051</v>
      </c>
      <c r="L101" s="36" t="n">
        <v>32</v>
      </c>
      <c r="M101" s="36" t="inlineStr">
        <is>
          <t>Yes</t>
        </is>
      </c>
      <c r="N101" s="36" t="inlineStr">
        <is>
          <t>140621</t>
        </is>
      </c>
      <c r="O101" s="58" t="n">
        <v>46077</v>
      </c>
      <c r="P101" s="36" t="inlineStr">
        <is>
          <t>Covered by Other Rx</t>
        </is>
      </c>
      <c r="Q101" s="55" t="n">
        <v>0</v>
      </c>
      <c r="R101" s="36" t="inlineStr">
        <is>
          <t>Paid-Ins</t>
        </is>
      </c>
      <c r="S101" s="36" t="inlineStr">
        <is>
          <t>Picked Up</t>
        </is>
      </c>
      <c r="T101" s="36" t="inlineStr">
        <is>
          <t>NYM</t>
        </is>
      </c>
      <c r="U101" s="36" t="inlineStr">
        <is>
          <t>004740</t>
        </is>
      </c>
      <c r="V101" s="36" t="inlineStr">
        <is>
          <t>Robosa  Dean</t>
        </is>
      </c>
    </row>
    <row r="102">
      <c r="A102" s="36" t="inlineStr">
        <is>
          <t>117754</t>
        </is>
      </c>
      <c r="B102" s="36" t="inlineStr">
        <is>
          <t>UBILLA  RAMONA</t>
        </is>
      </c>
      <c r="C102" s="58" t="inlineStr">
        <is>
          <t>04-08-1936</t>
        </is>
      </c>
      <c r="D102" s="36" t="inlineStr">
        <is>
          <t>212-694-3848</t>
        </is>
      </c>
      <c r="E102" s="36" t="inlineStr">
        <is>
          <t>RYBELSUS 7MG TABLET</t>
        </is>
      </c>
      <c r="F102" s="36" t="inlineStr">
        <is>
          <t>00169430730</t>
        </is>
      </c>
      <c r="G102" s="36" t="inlineStr">
        <is>
          <t>_19360408|</t>
        </is>
      </c>
      <c r="H102" s="58" t="n">
        <v>45961</v>
      </c>
      <c r="I102" s="36" t="n">
        <v>90</v>
      </c>
      <c r="J102" s="36" t="n">
        <v>2</v>
      </c>
      <c r="K102" s="58" t="n">
        <v>46051</v>
      </c>
      <c r="L102" s="36" t="n">
        <v>32</v>
      </c>
      <c r="M102" s="36" t="inlineStr">
        <is>
          <t>Yes</t>
        </is>
      </c>
      <c r="N102" s="36" t="inlineStr">
        <is>
          <t>141198</t>
        </is>
      </c>
      <c r="O102" s="58" t="n">
        <v>46052</v>
      </c>
      <c r="P102" s="36" t="inlineStr">
        <is>
          <t>Covered by Other Rx</t>
        </is>
      </c>
      <c r="Q102" s="55" t="n">
        <v>0</v>
      </c>
      <c r="R102" s="36" t="inlineStr">
        <is>
          <t>Paid-Ins</t>
        </is>
      </c>
      <c r="S102" s="36" t="inlineStr">
        <is>
          <t>Picked Up</t>
        </is>
      </c>
      <c r="T102" s="36" t="inlineStr">
        <is>
          <t>CVS</t>
        </is>
      </c>
      <c r="U102" s="36" t="inlineStr">
        <is>
          <t>004336</t>
        </is>
      </c>
      <c r="V102" s="36" t="inlineStr">
        <is>
          <t>BERNSTEIN  ROBERT</t>
        </is>
      </c>
    </row>
    <row r="103">
      <c r="A103" s="36" t="inlineStr">
        <is>
          <t>122594</t>
        </is>
      </c>
      <c r="B103" s="36" t="inlineStr">
        <is>
          <t>GARCIA  ERIDANIA (EZ CAP)</t>
        </is>
      </c>
      <c r="C103" s="58" t="inlineStr">
        <is>
          <t>11-08-1950</t>
        </is>
      </c>
      <c r="D103" s="36" t="inlineStr">
        <is>
          <t>212-926-0449</t>
        </is>
      </c>
      <c r="E103" s="36" t="inlineStr">
        <is>
          <t xml:space="preserve">JARDIANCE 10MG TAB </t>
        </is>
      </c>
      <c r="F103" s="36" t="inlineStr">
        <is>
          <t>00597015230</t>
        </is>
      </c>
      <c r="G103" s="36" t="inlineStr">
        <is>
          <t>_19501108|MFP</t>
        </is>
      </c>
      <c r="H103" s="58" t="n">
        <v>46021</v>
      </c>
      <c r="I103" s="36" t="n">
        <v>30</v>
      </c>
      <c r="J103" s="36" t="n">
        <v>7</v>
      </c>
      <c r="K103" s="58" t="n">
        <v>46051</v>
      </c>
      <c r="L103" s="36" t="n">
        <v>32</v>
      </c>
      <c r="M103" s="36" t="inlineStr">
        <is>
          <t>Yes</t>
        </is>
      </c>
      <c r="N103" s="36" t="inlineStr">
        <is>
          <t>142225</t>
        </is>
      </c>
      <c r="O103" s="58" t="n">
        <v>46059</v>
      </c>
      <c r="P103" s="36" t="inlineStr">
        <is>
          <t>Covered by Other Rx</t>
        </is>
      </c>
      <c r="Q103" s="55" t="n">
        <v>0</v>
      </c>
      <c r="R103" s="36" t="inlineStr">
        <is>
          <t>Paid-Ins</t>
        </is>
      </c>
      <c r="S103" s="36" t="inlineStr">
        <is>
          <t>Picked Up</t>
        </is>
      </c>
      <c r="T103" s="36" t="inlineStr">
        <is>
          <t>ESI</t>
        </is>
      </c>
      <c r="U103" s="36" t="inlineStr">
        <is>
          <t>017010</t>
        </is>
      </c>
      <c r="V103" s="36" t="inlineStr">
        <is>
          <t>TOMEY  MATTHEW</t>
        </is>
      </c>
    </row>
    <row r="104">
      <c r="A104" s="36" t="inlineStr">
        <is>
          <t>126075</t>
        </is>
      </c>
      <c r="B104" s="36" t="inlineStr">
        <is>
          <t>GARCIA  AMBIORIS</t>
        </is>
      </c>
      <c r="C104" s="58" t="inlineStr">
        <is>
          <t>11-12-1953</t>
        </is>
      </c>
      <c r="D104" s="36" t="inlineStr">
        <is>
          <t>347-755-5914</t>
        </is>
      </c>
      <c r="E104" s="36" t="inlineStr">
        <is>
          <t>LOKELMA 5GM PACK</t>
        </is>
      </c>
      <c r="F104" s="36" t="inlineStr">
        <is>
          <t>00310110530</t>
        </is>
      </c>
      <c r="G104" s="36" t="inlineStr">
        <is>
          <t>_19531112|</t>
        </is>
      </c>
      <c r="H104" s="58" t="n">
        <v>46021</v>
      </c>
      <c r="I104" s="36" t="n">
        <v>30</v>
      </c>
      <c r="J104" s="36" t="n">
        <v>2</v>
      </c>
      <c r="K104" s="58" t="n">
        <v>46051</v>
      </c>
      <c r="L104" s="36" t="n">
        <v>32</v>
      </c>
      <c r="M104" s="36" t="inlineStr">
        <is>
          <t>Yes</t>
        </is>
      </c>
      <c r="N104" s="36" t="inlineStr">
        <is>
          <t>140630</t>
        </is>
      </c>
      <c r="O104" s="58" t="n">
        <v>46077</v>
      </c>
      <c r="P104" s="36" t="inlineStr">
        <is>
          <t>Covered by Other Rx</t>
        </is>
      </c>
      <c r="Q104" s="55" t="n">
        <v>0</v>
      </c>
      <c r="R104" s="36" t="inlineStr">
        <is>
          <t>Paid-Ins</t>
        </is>
      </c>
      <c r="S104" s="36" t="inlineStr">
        <is>
          <t>Picked Up</t>
        </is>
      </c>
      <c r="T104" s="36" t="inlineStr">
        <is>
          <t>CVS</t>
        </is>
      </c>
      <c r="U104" s="36" t="inlineStr">
        <is>
          <t>004336</t>
        </is>
      </c>
      <c r="V104" s="36" t="inlineStr">
        <is>
          <t>Pollack-Zollman  Martine</t>
        </is>
      </c>
    </row>
    <row r="105">
      <c r="A105" s="36" t="inlineStr">
        <is>
          <t>129415</t>
        </is>
      </c>
      <c r="B105" s="36" t="inlineStr">
        <is>
          <t>POLANCO  MAXIMO</t>
        </is>
      </c>
      <c r="C105" s="58" t="inlineStr">
        <is>
          <t>10-28-1946</t>
        </is>
      </c>
      <c r="D105" s="36" t="inlineStr">
        <is>
          <t>917-945-0524</t>
        </is>
      </c>
      <c r="E105" s="36" t="inlineStr">
        <is>
          <t xml:space="preserve">TRADJENTA 5MG TAB </t>
        </is>
      </c>
      <c r="F105" s="36" t="inlineStr">
        <is>
          <t>00597014030</t>
        </is>
      </c>
      <c r="G105" s="36" t="inlineStr">
        <is>
          <t>_19461028|</t>
        </is>
      </c>
      <c r="H105" s="58" t="n">
        <v>45961</v>
      </c>
      <c r="I105" s="36" t="n">
        <v>90</v>
      </c>
      <c r="J105" s="36" t="n">
        <v>1</v>
      </c>
      <c r="K105" s="58" t="n">
        <v>46051</v>
      </c>
      <c r="L105" s="36" t="n">
        <v>32</v>
      </c>
      <c r="M105" s="36" t="inlineStr">
        <is>
          <t>Yes</t>
        </is>
      </c>
      <c r="N105" s="36" t="inlineStr">
        <is>
          <t>140475</t>
        </is>
      </c>
      <c r="O105" s="58" t="n">
        <v>46048</v>
      </c>
      <c r="P105" s="36" t="inlineStr">
        <is>
          <t>Covered by Other Rx</t>
        </is>
      </c>
      <c r="Q105" s="55" t="n">
        <v>0</v>
      </c>
      <c r="R105" s="36" t="inlineStr">
        <is>
          <t>Paid-Ins</t>
        </is>
      </c>
      <c r="S105" s="36" t="inlineStr">
        <is>
          <t>Picked Up</t>
        </is>
      </c>
      <c r="T105" s="36" t="inlineStr">
        <is>
          <t>CVS</t>
        </is>
      </c>
      <c r="U105" s="36" t="inlineStr">
        <is>
          <t>004336</t>
        </is>
      </c>
      <c r="V105" s="36" t="inlineStr">
        <is>
          <t>Huynh  Hoang-Long</t>
        </is>
      </c>
    </row>
    <row r="106">
      <c r="A106" s="36" t="inlineStr">
        <is>
          <t>129423</t>
        </is>
      </c>
      <c r="B106" s="36" t="inlineStr">
        <is>
          <t>MORAN  EMERENCIAN</t>
        </is>
      </c>
      <c r="C106" s="58" t="inlineStr">
        <is>
          <t>01-23-1945</t>
        </is>
      </c>
      <c r="D106" s="36" t="inlineStr">
        <is>
          <t>212-283-6970</t>
        </is>
      </c>
      <c r="E106" s="36" t="inlineStr">
        <is>
          <t>FARXIGA 10MG TABLET</t>
        </is>
      </c>
      <c r="F106" s="36" t="inlineStr">
        <is>
          <t>00310621030</t>
        </is>
      </c>
      <c r="G106" s="36" t="inlineStr">
        <is>
          <t>_19450123|MFP</t>
        </is>
      </c>
      <c r="H106" s="58" t="n">
        <v>45961</v>
      </c>
      <c r="I106" s="36" t="n">
        <v>90</v>
      </c>
      <c r="J106" s="36" t="n">
        <v>1</v>
      </c>
      <c r="K106" s="58" t="n">
        <v>46051</v>
      </c>
      <c r="L106" s="36" t="n">
        <v>32</v>
      </c>
      <c r="M106" s="36" t="inlineStr">
        <is>
          <t>Yes</t>
        </is>
      </c>
      <c r="N106" s="36" t="inlineStr">
        <is>
          <t>140180</t>
        </is>
      </c>
      <c r="O106" s="58" t="n">
        <v>46044</v>
      </c>
      <c r="P106" s="36" t="inlineStr">
        <is>
          <t>Covered by Other Rx</t>
        </is>
      </c>
      <c r="Q106" s="55" t="n">
        <v>0</v>
      </c>
      <c r="R106" s="36" t="inlineStr">
        <is>
          <t>Paid-Ins</t>
        </is>
      </c>
      <c r="S106" s="36" t="inlineStr">
        <is>
          <t>Picked Up</t>
        </is>
      </c>
      <c r="T106" s="36" t="inlineStr">
        <is>
          <t>CVS</t>
        </is>
      </c>
      <c r="U106" s="36" t="inlineStr">
        <is>
          <t>004336</t>
        </is>
      </c>
      <c r="V106" s="36" t="inlineStr">
        <is>
          <t>GUZMAN  ELISCER</t>
        </is>
      </c>
    </row>
    <row r="107">
      <c r="A107" s="36" t="inlineStr">
        <is>
          <t>129431</t>
        </is>
      </c>
      <c r="B107" s="36" t="inlineStr">
        <is>
          <t>CANELLO  ROGGER</t>
        </is>
      </c>
      <c r="C107" s="58" t="inlineStr">
        <is>
          <t>03-25-1970</t>
        </is>
      </c>
      <c r="D107" s="36" t="inlineStr">
        <is>
          <t>212</t>
        </is>
      </c>
      <c r="E107" s="36" t="inlineStr">
        <is>
          <t>SYNTHROID 25 MCG ORAL TABLET</t>
        </is>
      </c>
      <c r="F107" s="36" t="inlineStr">
        <is>
          <t>00074434190</t>
        </is>
      </c>
      <c r="G107" s="36" t="inlineStr">
        <is>
          <t>_19700325|</t>
        </is>
      </c>
      <c r="H107" s="58" t="n">
        <v>45961</v>
      </c>
      <c r="I107" s="36" t="n">
        <v>90</v>
      </c>
      <c r="J107" s="36" t="n">
        <v>1</v>
      </c>
      <c r="K107" s="58" t="n">
        <v>46051</v>
      </c>
      <c r="L107" s="36" t="n">
        <v>32</v>
      </c>
      <c r="M107" s="36" t="inlineStr">
        <is>
          <t>Yes</t>
        </is>
      </c>
      <c r="N107" s="36" t="inlineStr">
        <is>
          <t>140028</t>
        </is>
      </c>
      <c r="O107" s="58" t="n">
        <v>46043</v>
      </c>
      <c r="P107" s="36" t="inlineStr">
        <is>
          <t>Covered by Other Rx</t>
        </is>
      </c>
      <c r="Q107" s="55" t="n">
        <v>0</v>
      </c>
      <c r="R107" s="36" t="inlineStr">
        <is>
          <t>Paid-Ins</t>
        </is>
      </c>
      <c r="S107" s="36" t="inlineStr">
        <is>
          <t>Picked Up</t>
        </is>
      </c>
      <c r="T107" s="36" t="inlineStr">
        <is>
          <t>CVS</t>
        </is>
      </c>
      <c r="U107" s="36" t="inlineStr">
        <is>
          <t>004336</t>
        </is>
      </c>
      <c r="V107" s="36" t="inlineStr">
        <is>
          <t>ILYAYEVA  STELLA</t>
        </is>
      </c>
    </row>
    <row r="108">
      <c r="A108" s="36" t="inlineStr">
        <is>
          <t>129433</t>
        </is>
      </c>
      <c r="B108" s="36" t="inlineStr">
        <is>
          <t>CANELLO  ROGGER</t>
        </is>
      </c>
      <c r="C108" s="58" t="inlineStr">
        <is>
          <t>03-25-1970</t>
        </is>
      </c>
      <c r="D108" s="36" t="inlineStr">
        <is>
          <t>212</t>
        </is>
      </c>
      <c r="E108" s="36" t="inlineStr">
        <is>
          <t>OZEMPIC (0.25 OR 0.5 MG/DOSE) 2 MG/3ML PEN-INJECTOR</t>
        </is>
      </c>
      <c r="F108" s="36" t="inlineStr">
        <is>
          <t>00169418113</t>
        </is>
      </c>
      <c r="G108" s="36" t="inlineStr">
        <is>
          <t>_19700325|</t>
        </is>
      </c>
      <c r="H108" s="58" t="n">
        <v>45961</v>
      </c>
      <c r="I108" s="36" t="n">
        <v>90</v>
      </c>
      <c r="J108" s="36" t="n">
        <v>1</v>
      </c>
      <c r="K108" s="58" t="n">
        <v>46051</v>
      </c>
      <c r="L108" s="36" t="n">
        <v>32</v>
      </c>
      <c r="M108" s="36" t="inlineStr">
        <is>
          <t>Yes</t>
        </is>
      </c>
      <c r="N108" s="36" t="inlineStr">
        <is>
          <t>140028</t>
        </is>
      </c>
      <c r="O108" s="58" t="n">
        <v>46043</v>
      </c>
      <c r="P108" s="36" t="inlineStr">
        <is>
          <t>Covered by Other Rx</t>
        </is>
      </c>
      <c r="Q108" s="55" t="n">
        <v>0</v>
      </c>
      <c r="R108" s="36" t="inlineStr">
        <is>
          <t>Paid-Ins</t>
        </is>
      </c>
      <c r="S108" s="36" t="inlineStr">
        <is>
          <t>Picked Up</t>
        </is>
      </c>
      <c r="T108" s="36" t="inlineStr">
        <is>
          <t>CVS</t>
        </is>
      </c>
      <c r="U108" s="36" t="inlineStr">
        <is>
          <t>004336</t>
        </is>
      </c>
      <c r="V108" s="36" t="inlineStr">
        <is>
          <t>ILYAYEVA  STELLA</t>
        </is>
      </c>
    </row>
    <row r="109">
      <c r="A109" s="36" t="inlineStr">
        <is>
          <t>114134</t>
        </is>
      </c>
      <c r="B109" s="36" t="inlineStr">
        <is>
          <t>WATTS  JANIE</t>
        </is>
      </c>
      <c r="C109" s="58" t="inlineStr">
        <is>
          <t>02-25-1948</t>
        </is>
      </c>
      <c r="D109" s="36" t="n">
        <v/>
      </c>
      <c r="E109" s="36" t="inlineStr">
        <is>
          <t>FREESTYLE LIBRE 3 SENSOR</t>
        </is>
      </c>
      <c r="F109" s="36" t="inlineStr">
        <is>
          <t>57599081800</t>
        </is>
      </c>
      <c r="G109" s="36" t="inlineStr">
        <is>
          <t>_19480225|STRIPSONLY</t>
        </is>
      </c>
      <c r="H109" s="58" t="n">
        <v>46024</v>
      </c>
      <c r="I109" s="36" t="n">
        <v>28</v>
      </c>
      <c r="J109" s="36" t="n">
        <v>1</v>
      </c>
      <c r="K109" s="58" t="n">
        <v>46052</v>
      </c>
      <c r="L109" s="36" t="n">
        <v>31</v>
      </c>
      <c r="M109" s="36" t="inlineStr">
        <is>
          <t>Yes</t>
        </is>
      </c>
      <c r="N109" s="36" t="inlineStr">
        <is>
          <t>145110</t>
        </is>
      </c>
      <c r="O109" s="58" t="n">
        <v>46080</v>
      </c>
      <c r="P109" s="36" t="inlineStr">
        <is>
          <t>Covered by Other Rx</t>
        </is>
      </c>
      <c r="Q109" s="55" t="n">
        <v>0</v>
      </c>
      <c r="R109" s="36" t="inlineStr">
        <is>
          <t>Paid-Ins</t>
        </is>
      </c>
      <c r="S109" s="36" t="inlineStr">
        <is>
          <t>Picked Up</t>
        </is>
      </c>
      <c r="T109" s="36" t="inlineStr">
        <is>
          <t>CVS</t>
        </is>
      </c>
      <c r="U109" s="36" t="inlineStr">
        <is>
          <t>004336</t>
        </is>
      </c>
      <c r="V109" s="36" t="inlineStr">
        <is>
          <t>DIAZ  FRANCISCO</t>
        </is>
      </c>
    </row>
    <row r="110">
      <c r="A110" s="36" t="inlineStr">
        <is>
          <t>118313</t>
        </is>
      </c>
      <c r="B110" s="36" t="inlineStr">
        <is>
          <t>PENA  YRISNEIDA</t>
        </is>
      </c>
      <c r="C110" s="58" t="inlineStr">
        <is>
          <t>02-16-1967</t>
        </is>
      </c>
      <c r="D110" s="36" t="n">
        <v/>
      </c>
      <c r="E110" s="36" t="inlineStr">
        <is>
          <t xml:space="preserve">JARDIANCE 10MG TAB </t>
        </is>
      </c>
      <c r="F110" s="36" t="inlineStr">
        <is>
          <t>00597015230</t>
        </is>
      </c>
      <c r="G110" s="36" t="inlineStr">
        <is>
          <t>_19670216|MFP</t>
        </is>
      </c>
      <c r="H110" s="58" t="n">
        <v>45964</v>
      </c>
      <c r="I110" s="36" t="n">
        <v>90</v>
      </c>
      <c r="J110" s="36" t="n">
        <v>2</v>
      </c>
      <c r="K110" s="58" t="n">
        <v>46054</v>
      </c>
      <c r="L110" s="36" t="n">
        <v>29</v>
      </c>
      <c r="M110" s="36" t="inlineStr">
        <is>
          <t>Yes</t>
        </is>
      </c>
      <c r="N110" s="36" t="inlineStr">
        <is>
          <t>140806</t>
        </is>
      </c>
      <c r="O110" s="58" t="n">
        <v>46050</v>
      </c>
      <c r="P110" s="36" t="inlineStr">
        <is>
          <t>Covered by Other Rx</t>
        </is>
      </c>
      <c r="Q110" s="55" t="n">
        <v>0</v>
      </c>
      <c r="R110" s="36" t="inlineStr">
        <is>
          <t>Transmitted</t>
        </is>
      </c>
      <c r="S110" s="36" t="inlineStr">
        <is>
          <t>Picked Up</t>
        </is>
      </c>
      <c r="T110" s="36" t="inlineStr">
        <is>
          <t>NYM</t>
        </is>
      </c>
      <c r="U110" s="36" t="inlineStr">
        <is>
          <t>004740</t>
        </is>
      </c>
      <c r="V110" s="36" t="inlineStr">
        <is>
          <t>Arcentales  Jonathan</t>
        </is>
      </c>
    </row>
    <row r="111">
      <c r="A111" s="36" t="inlineStr">
        <is>
          <t>129647</t>
        </is>
      </c>
      <c r="B111" s="36" t="inlineStr">
        <is>
          <t>PEGUERO HERNANDEZ  FRANCISCO</t>
        </is>
      </c>
      <c r="C111" s="58" t="inlineStr">
        <is>
          <t>12-03-1950</t>
        </is>
      </c>
      <c r="D111" s="36" t="inlineStr">
        <is>
          <t>646-626-2304</t>
        </is>
      </c>
      <c r="E111" s="36" t="inlineStr">
        <is>
          <t xml:space="preserve">ELIQUIS 5MG TAB </t>
        </is>
      </c>
      <c r="F111" s="36" t="inlineStr">
        <is>
          <t>00003089421</t>
        </is>
      </c>
      <c r="G111" s="36" t="inlineStr">
        <is>
          <t>_19501203|MFP</t>
        </is>
      </c>
      <c r="H111" s="58" t="n">
        <v>45964</v>
      </c>
      <c r="I111" s="36" t="n">
        <v>90</v>
      </c>
      <c r="J111" s="36" t="n">
        <v>3</v>
      </c>
      <c r="K111" s="58" t="n">
        <v>46054</v>
      </c>
      <c r="L111" s="36" t="n">
        <v>29</v>
      </c>
      <c r="M111" s="36" t="inlineStr">
        <is>
          <t>Yes</t>
        </is>
      </c>
      <c r="N111" s="36" t="inlineStr">
        <is>
          <t>141828</t>
        </is>
      </c>
      <c r="O111" s="58" t="n">
        <v>46059</v>
      </c>
      <c r="P111" s="36" t="inlineStr">
        <is>
          <t>Covered by Other Rx</t>
        </is>
      </c>
      <c r="Q111" s="55" t="n">
        <v>0</v>
      </c>
      <c r="R111" s="36" t="inlineStr">
        <is>
          <t>Paid-Ins</t>
        </is>
      </c>
      <c r="S111" s="36" t="inlineStr">
        <is>
          <t>Picked Up</t>
        </is>
      </c>
      <c r="T111" s="36" t="inlineStr">
        <is>
          <t>CVS</t>
        </is>
      </c>
      <c r="U111" s="36" t="inlineStr">
        <is>
          <t>004336</t>
        </is>
      </c>
      <c r="V111" s="36" t="inlineStr">
        <is>
          <t>DOMINGUEZ  ABEL</t>
        </is>
      </c>
    </row>
    <row r="112">
      <c r="A112" s="36" t="inlineStr">
        <is>
          <t>107827</t>
        </is>
      </c>
      <c r="B112" s="36" t="inlineStr">
        <is>
          <t>PERALTA  RAMONA</t>
        </is>
      </c>
      <c r="C112" s="58" t="inlineStr">
        <is>
          <t>09-06-1950</t>
        </is>
      </c>
      <c r="D112" s="36" t="inlineStr">
        <is>
          <t>212-368-2769</t>
        </is>
      </c>
      <c r="E112" s="36" t="inlineStr">
        <is>
          <t xml:space="preserve">JARDIANCE 25MG TAB </t>
        </is>
      </c>
      <c r="F112" s="36" t="inlineStr">
        <is>
          <t>00597015330</t>
        </is>
      </c>
      <c r="G112" s="36" t="inlineStr">
        <is>
          <t>_19500906|MFP</t>
        </is>
      </c>
      <c r="H112" s="58" t="n">
        <v>45965</v>
      </c>
      <c r="I112" s="36" t="n">
        <v>90</v>
      </c>
      <c r="J112" s="36" t="n">
        <v>1</v>
      </c>
      <c r="K112" s="58" t="n">
        <v>46055</v>
      </c>
      <c r="L112" s="36" t="n">
        <v>28</v>
      </c>
      <c r="M112" s="36" t="inlineStr">
        <is>
          <t>Yes</t>
        </is>
      </c>
      <c r="N112" s="36" t="inlineStr">
        <is>
          <t>141026</t>
        </is>
      </c>
      <c r="O112" s="58" t="n">
        <v>46051</v>
      </c>
      <c r="P112" s="36" t="inlineStr">
        <is>
          <t>Covered by Other Rx</t>
        </is>
      </c>
      <c r="Q112" s="55" t="n">
        <v>0</v>
      </c>
      <c r="R112" s="36" t="inlineStr">
        <is>
          <t>Paid-Ins</t>
        </is>
      </c>
      <c r="S112" s="36" t="inlineStr">
        <is>
          <t>Picked Up</t>
        </is>
      </c>
      <c r="T112" s="36" t="inlineStr">
        <is>
          <t>CVS</t>
        </is>
      </c>
      <c r="U112" s="36" t="inlineStr">
        <is>
          <t>004336</t>
        </is>
      </c>
      <c r="V112" s="36" t="inlineStr">
        <is>
          <t>ARRON  MARTIN</t>
        </is>
      </c>
    </row>
    <row r="113">
      <c r="A113" s="36" t="inlineStr">
        <is>
          <t>127034</t>
        </is>
      </c>
      <c r="B113" s="36" t="inlineStr">
        <is>
          <t>WILKINS  CHERYL</t>
        </is>
      </c>
      <c r="C113" s="58" t="inlineStr">
        <is>
          <t>12-18-1956</t>
        </is>
      </c>
      <c r="D113" s="36" t="inlineStr">
        <is>
          <t>917-698-8235</t>
        </is>
      </c>
      <c r="E113" s="36" t="inlineStr">
        <is>
          <t>MOUNJARO 10 MG/0.5ML PEN-INJECTOR</t>
        </is>
      </c>
      <c r="F113" s="36" t="inlineStr">
        <is>
          <t>00002147180</t>
        </is>
      </c>
      <c r="G113" s="36" t="inlineStr">
        <is>
          <t>_19561218|</t>
        </is>
      </c>
      <c r="H113" s="58" t="n">
        <v>46027</v>
      </c>
      <c r="I113" s="36" t="n">
        <v>28</v>
      </c>
      <c r="J113" s="36" t="n">
        <v>1</v>
      </c>
      <c r="K113" s="58" t="n">
        <v>46055</v>
      </c>
      <c r="L113" s="36" t="n">
        <v>28</v>
      </c>
      <c r="M113" s="36" t="inlineStr">
        <is>
          <t>Yes</t>
        </is>
      </c>
      <c r="N113" s="36" t="inlineStr">
        <is>
          <t>141395</t>
        </is>
      </c>
      <c r="O113" s="58" t="n">
        <v>46083</v>
      </c>
      <c r="P113" s="36" t="inlineStr">
        <is>
          <t>Covered by Other Rx</t>
        </is>
      </c>
      <c r="Q113" s="55" t="n">
        <v>0</v>
      </c>
      <c r="R113" s="36" t="inlineStr">
        <is>
          <t>Paid-Ins</t>
        </is>
      </c>
      <c r="S113" s="36" t="inlineStr">
        <is>
          <t>Picked Up</t>
        </is>
      </c>
      <c r="T113" s="36" t="inlineStr">
        <is>
          <t>CVS</t>
        </is>
      </c>
      <c r="U113" s="36" t="inlineStr">
        <is>
          <t>610502</t>
        </is>
      </c>
      <c r="V113" s="36" t="inlineStr">
        <is>
          <t>SIU  HENRY</t>
        </is>
      </c>
    </row>
    <row r="114">
      <c r="A114" s="36" t="inlineStr">
        <is>
          <t>128596</t>
        </is>
      </c>
      <c r="B114" s="36" t="inlineStr">
        <is>
          <t>GARCIA  DENNY</t>
        </is>
      </c>
      <c r="C114" s="58" t="inlineStr">
        <is>
          <t>02-25-1980</t>
        </is>
      </c>
      <c r="D114" s="36" t="inlineStr">
        <is>
          <t>917-383-3098</t>
        </is>
      </c>
      <c r="E114" s="36" t="inlineStr">
        <is>
          <t>MOUNJARO 5 MG/0.5ML PEN-INJECTOR</t>
        </is>
      </c>
      <c r="F114" s="36" t="inlineStr">
        <is>
          <t>00002149580</t>
        </is>
      </c>
      <c r="G114" s="36" t="inlineStr">
        <is>
          <t>_19800225|</t>
        </is>
      </c>
      <c r="H114" s="58" t="n">
        <v>46027</v>
      </c>
      <c r="I114" s="36" t="n">
        <v>28</v>
      </c>
      <c r="J114" s="36" t="n">
        <v>8</v>
      </c>
      <c r="K114" s="58" t="n">
        <v>46055</v>
      </c>
      <c r="L114" s="36" t="n">
        <v>28</v>
      </c>
      <c r="M114" s="36" t="inlineStr">
        <is>
          <t>Yes</t>
        </is>
      </c>
      <c r="N114" s="36" t="inlineStr">
        <is>
          <t>139301</t>
        </is>
      </c>
      <c r="O114" s="58" t="n">
        <v>46062</v>
      </c>
      <c r="P114" s="36" t="inlineStr">
        <is>
          <t>Covered by Other Rx</t>
        </is>
      </c>
      <c r="Q114" s="55" t="n">
        <v>0</v>
      </c>
      <c r="R114" s="36" t="inlineStr">
        <is>
          <t>Paid-Ins</t>
        </is>
      </c>
      <c r="S114" s="36" t="inlineStr">
        <is>
          <t>Picked Up</t>
        </is>
      </c>
      <c r="T114" s="36" t="inlineStr">
        <is>
          <t>NYM</t>
        </is>
      </c>
      <c r="U114" s="36" t="inlineStr">
        <is>
          <t>004740</t>
        </is>
      </c>
      <c r="V114" s="36" t="inlineStr">
        <is>
          <t>Arcentales  Jonathan</t>
        </is>
      </c>
    </row>
    <row r="115">
      <c r="A115" s="36" t="inlineStr">
        <is>
          <t>129800</t>
        </is>
      </c>
      <c r="B115" s="36" t="inlineStr">
        <is>
          <t>RODRIGUEZ  ORLANDO</t>
        </is>
      </c>
      <c r="C115" s="58" t="inlineStr">
        <is>
          <t>03-03-1939</t>
        </is>
      </c>
      <c r="D115" s="36" t="inlineStr">
        <is>
          <t>646-315-5013</t>
        </is>
      </c>
      <c r="E115" s="36" t="inlineStr">
        <is>
          <t xml:space="preserve">ELIQUIS 5MG TAB </t>
        </is>
      </c>
      <c r="F115" s="36" t="inlineStr">
        <is>
          <t>00003089421</t>
        </is>
      </c>
      <c r="G115" s="36" t="inlineStr">
        <is>
          <t>_19390303|MFP</t>
        </is>
      </c>
      <c r="H115" s="58" t="n">
        <v>45965</v>
      </c>
      <c r="I115" s="36" t="n">
        <v>90</v>
      </c>
      <c r="J115" s="36" t="n">
        <v>1</v>
      </c>
      <c r="K115" s="58" t="n">
        <v>46055</v>
      </c>
      <c r="L115" s="36" t="n">
        <v>28</v>
      </c>
      <c r="M115" s="36" t="inlineStr">
        <is>
          <t>Yes</t>
        </is>
      </c>
      <c r="N115" s="36" t="inlineStr">
        <is>
          <t>141179</t>
        </is>
      </c>
      <c r="O115" s="58" t="n">
        <v>46052</v>
      </c>
      <c r="P115" s="36" t="inlineStr">
        <is>
          <t>Covered by Other Rx</t>
        </is>
      </c>
      <c r="Q115" s="55" t="n">
        <v>0</v>
      </c>
      <c r="R115" s="36" t="inlineStr">
        <is>
          <t>Paid-Ins</t>
        </is>
      </c>
      <c r="S115" s="36" t="inlineStr">
        <is>
          <t>Picked Up</t>
        </is>
      </c>
      <c r="T115" s="36" t="inlineStr">
        <is>
          <t>CVS</t>
        </is>
      </c>
      <c r="U115" s="36" t="inlineStr">
        <is>
          <t>004336</t>
        </is>
      </c>
      <c r="V115" s="36" t="inlineStr">
        <is>
          <t>CORREA  MICHAEL</t>
        </is>
      </c>
    </row>
    <row r="116">
      <c r="A116" s="36" t="inlineStr">
        <is>
          <t>129811</t>
        </is>
      </c>
      <c r="B116" s="36" t="inlineStr">
        <is>
          <t>UMAR  ZAINAB</t>
        </is>
      </c>
      <c r="C116" s="58" t="inlineStr">
        <is>
          <t>01-11-1960</t>
        </is>
      </c>
      <c r="D116" s="36" t="inlineStr">
        <is>
          <t>212-234-8341</t>
        </is>
      </c>
      <c r="E116" s="36" t="inlineStr">
        <is>
          <t>JANUVIA 100MG TAB</t>
        </is>
      </c>
      <c r="F116" s="36" t="inlineStr">
        <is>
          <t>00006027731</t>
        </is>
      </c>
      <c r="G116" s="36" t="inlineStr">
        <is>
          <t>_19600111|MFP</t>
        </is>
      </c>
      <c r="H116" s="58" t="n">
        <v>45965</v>
      </c>
      <c r="I116" s="36" t="n">
        <v>90</v>
      </c>
      <c r="J116" s="36" t="n">
        <v>1</v>
      </c>
      <c r="K116" s="58" t="n">
        <v>46055</v>
      </c>
      <c r="L116" s="36" t="n">
        <v>28</v>
      </c>
      <c r="M116" s="36" t="inlineStr">
        <is>
          <t>Yes</t>
        </is>
      </c>
      <c r="N116" s="36" t="inlineStr">
        <is>
          <t>141186</t>
        </is>
      </c>
      <c r="O116" s="58" t="n">
        <v>46052</v>
      </c>
      <c r="P116" s="36" t="inlineStr">
        <is>
          <t>Covered by Other Rx</t>
        </is>
      </c>
      <c r="Q116" s="55" t="n">
        <v>0</v>
      </c>
      <c r="R116" s="36" t="inlineStr">
        <is>
          <t>Transmitted</t>
        </is>
      </c>
      <c r="S116" s="36" t="inlineStr">
        <is>
          <t>Picked Up</t>
        </is>
      </c>
      <c r="T116" s="36" t="inlineStr">
        <is>
          <t>MEDIMPACT</t>
        </is>
      </c>
      <c r="U116" s="36" t="inlineStr">
        <is>
          <t>015574</t>
        </is>
      </c>
      <c r="V116" s="36" t="inlineStr">
        <is>
          <t>Md Ziauddin  Fnu</t>
        </is>
      </c>
    </row>
    <row r="117">
      <c r="A117" s="36" t="inlineStr">
        <is>
          <t>129869</t>
        </is>
      </c>
      <c r="B117" s="36" t="inlineStr">
        <is>
          <t>JORGE  BILENA</t>
        </is>
      </c>
      <c r="C117" s="58" t="inlineStr">
        <is>
          <t>09-07-1935</t>
        </is>
      </c>
      <c r="D117" s="36" t="inlineStr">
        <is>
          <t>646-593-5307</t>
        </is>
      </c>
      <c r="E117" s="36" t="inlineStr">
        <is>
          <t>BASAGLAR KWIKPEN 100UNIT/ML INJECTION</t>
        </is>
      </c>
      <c r="F117" s="36" t="inlineStr">
        <is>
          <t>00002771559</t>
        </is>
      </c>
      <c r="G117" s="36" t="inlineStr">
        <is>
          <t>_19350907|</t>
        </is>
      </c>
      <c r="H117" s="58" t="n">
        <v>45965</v>
      </c>
      <c r="I117" s="36" t="n">
        <v>90</v>
      </c>
      <c r="J117" s="36" t="n">
        <v>1</v>
      </c>
      <c r="K117" s="58" t="n">
        <v>46055</v>
      </c>
      <c r="L117" s="36" t="n">
        <v>28</v>
      </c>
      <c r="M117" s="36" t="inlineStr">
        <is>
          <t>Yes</t>
        </is>
      </c>
      <c r="N117" s="36" t="inlineStr">
        <is>
          <t>140981</t>
        </is>
      </c>
      <c r="O117" s="58" t="n">
        <v>46051</v>
      </c>
      <c r="P117" s="36" t="inlineStr">
        <is>
          <t>Covered by Other Rx</t>
        </is>
      </c>
      <c r="Q117" s="55" t="n">
        <v>0</v>
      </c>
      <c r="R117" s="36" t="inlineStr">
        <is>
          <t>Paid-Ins</t>
        </is>
      </c>
      <c r="S117" s="36" t="inlineStr">
        <is>
          <t>Picked Up</t>
        </is>
      </c>
      <c r="T117" s="36" t="inlineStr">
        <is>
          <t>CVS</t>
        </is>
      </c>
      <c r="U117" s="36" t="inlineStr">
        <is>
          <t>004336</t>
        </is>
      </c>
      <c r="V117" s="36" t="inlineStr">
        <is>
          <t>HAQUE JR  MUHAMMAD M</t>
        </is>
      </c>
    </row>
    <row r="118">
      <c r="A118" s="36" t="inlineStr">
        <is>
          <t>132345</t>
        </is>
      </c>
      <c r="B118" s="36" t="inlineStr">
        <is>
          <t>BLANCO  LARRY</t>
        </is>
      </c>
      <c r="C118" s="58" t="inlineStr">
        <is>
          <t>03-02-1964</t>
        </is>
      </c>
      <c r="D118" s="36" t="inlineStr">
        <is>
          <t>212-491-9003</t>
        </is>
      </c>
      <c r="E118" s="36" t="inlineStr">
        <is>
          <t>MOUNJARO 10 MG/0.5ML PEN-INJECTOR</t>
        </is>
      </c>
      <c r="F118" s="36" t="inlineStr">
        <is>
          <t>00002147180</t>
        </is>
      </c>
      <c r="G118" s="36" t="inlineStr">
        <is>
          <t>_19640302|</t>
        </is>
      </c>
      <c r="H118" s="58" t="n">
        <v>46027</v>
      </c>
      <c r="I118" s="36" t="n">
        <v>28</v>
      </c>
      <c r="J118" s="36" t="n">
        <v>2</v>
      </c>
      <c r="K118" s="58" t="n">
        <v>46055</v>
      </c>
      <c r="L118" s="36" t="n">
        <v>28</v>
      </c>
      <c r="M118" s="36" t="inlineStr">
        <is>
          <t>Yes</t>
        </is>
      </c>
      <c r="N118" s="36" t="inlineStr">
        <is>
          <t>141393</t>
        </is>
      </c>
      <c r="O118" s="58" t="n">
        <v>46080</v>
      </c>
      <c r="P118" s="36" t="inlineStr">
        <is>
          <t>Covered by Other Rx</t>
        </is>
      </c>
      <c r="Q118" s="55" t="n">
        <v>0</v>
      </c>
      <c r="R118" s="36" t="inlineStr">
        <is>
          <t>Paid-Ins</t>
        </is>
      </c>
      <c r="S118" s="36" t="inlineStr">
        <is>
          <t>Picked Up</t>
        </is>
      </c>
      <c r="T118" s="36" t="inlineStr">
        <is>
          <t>NYM</t>
        </is>
      </c>
      <c r="U118" s="36" t="inlineStr">
        <is>
          <t>004740</t>
        </is>
      </c>
      <c r="V118" s="36" t="inlineStr">
        <is>
          <t>Fiseha  Neyat</t>
        </is>
      </c>
    </row>
    <row r="119">
      <c r="A119" s="36" t="inlineStr">
        <is>
          <t>137516</t>
        </is>
      </c>
      <c r="B119" s="36" t="inlineStr">
        <is>
          <t>SOTO VELOZ  ROSA</t>
        </is>
      </c>
      <c r="C119" s="58" t="inlineStr">
        <is>
          <t>09-16-1987</t>
        </is>
      </c>
      <c r="D119" s="36" t="inlineStr">
        <is>
          <t>929-527-0264</t>
        </is>
      </c>
      <c r="E119" s="36" t="inlineStr">
        <is>
          <t>OZEMPIC (1 MG/DOSE) 4MG/3ML INJECTION</t>
        </is>
      </c>
      <c r="F119" s="36" t="inlineStr">
        <is>
          <t>00169413013</t>
        </is>
      </c>
      <c r="G119" s="36" t="inlineStr">
        <is>
          <t>_19870916|</t>
        </is>
      </c>
      <c r="H119" s="58" t="n">
        <v>46027</v>
      </c>
      <c r="I119" s="36" t="n">
        <v>28</v>
      </c>
      <c r="J119" s="36" t="n">
        <v>5</v>
      </c>
      <c r="K119" s="58" t="n">
        <v>46055</v>
      </c>
      <c r="L119" s="36" t="n">
        <v>28</v>
      </c>
      <c r="M119" s="36" t="inlineStr">
        <is>
          <t>Yes</t>
        </is>
      </c>
      <c r="N119" s="36" t="inlineStr">
        <is>
          <t>141180</t>
        </is>
      </c>
      <c r="O119" s="58" t="n">
        <v>46078</v>
      </c>
      <c r="P119" s="36" t="inlineStr">
        <is>
          <t>Covered by Other Rx</t>
        </is>
      </c>
      <c r="Q119" s="55" t="n">
        <v>0</v>
      </c>
      <c r="R119" s="36" t="inlineStr">
        <is>
          <t>Paid-Ins</t>
        </is>
      </c>
      <c r="S119" s="36" t="inlineStr">
        <is>
          <t>Picked Up</t>
        </is>
      </c>
      <c r="T119" s="36" t="inlineStr">
        <is>
          <t>CVS</t>
        </is>
      </c>
      <c r="U119" s="36" t="inlineStr">
        <is>
          <t>004336</t>
        </is>
      </c>
      <c r="V119" s="36" t="inlineStr">
        <is>
          <t>CRUZ  ALCEDO</t>
        </is>
      </c>
    </row>
    <row r="120">
      <c r="A120" s="36" t="inlineStr">
        <is>
          <t>97103</t>
        </is>
      </c>
      <c r="B120" s="36" t="inlineStr">
        <is>
          <t>CAMPOS  FRANKLIN</t>
        </is>
      </c>
      <c r="C120" s="58" t="inlineStr">
        <is>
          <t>09-18-1955</t>
        </is>
      </c>
      <c r="D120" s="36" t="inlineStr">
        <is>
          <t>646-250-6945</t>
        </is>
      </c>
      <c r="E120" s="36" t="inlineStr">
        <is>
          <t>FARXIGA 10MG TABLET</t>
        </is>
      </c>
      <c r="F120" s="36" t="inlineStr">
        <is>
          <t>00310621030</t>
        </is>
      </c>
      <c r="G120" s="36" t="inlineStr">
        <is>
          <t>_19550918|MFP</t>
        </is>
      </c>
      <c r="H120" s="58" t="n">
        <v>45965</v>
      </c>
      <c r="I120" s="36" t="n">
        <v>90</v>
      </c>
      <c r="J120" s="36" t="n">
        <v>2</v>
      </c>
      <c r="K120" s="58" t="n">
        <v>46055</v>
      </c>
      <c r="L120" s="36" t="n">
        <v>28</v>
      </c>
      <c r="M120" s="36" t="inlineStr">
        <is>
          <t>Yes</t>
        </is>
      </c>
      <c r="N120" s="36" t="inlineStr">
        <is>
          <t>141159</t>
        </is>
      </c>
      <c r="O120" s="58" t="n">
        <v>46052</v>
      </c>
      <c r="P120" s="36" t="inlineStr">
        <is>
          <t>Covered by Other Rx</t>
        </is>
      </c>
      <c r="Q120" s="55" t="n">
        <v>0</v>
      </c>
      <c r="R120" s="36" t="inlineStr">
        <is>
          <t>Paid-Ins</t>
        </is>
      </c>
      <c r="S120" s="36" t="inlineStr">
        <is>
          <t>Picked Up</t>
        </is>
      </c>
      <c r="T120" s="36" t="inlineStr">
        <is>
          <t>CVS</t>
        </is>
      </c>
      <c r="U120" s="36" t="inlineStr">
        <is>
          <t>004336</t>
        </is>
      </c>
      <c r="V120" s="36" t="inlineStr">
        <is>
          <t>Smith  Steven</t>
        </is>
      </c>
    </row>
    <row r="121">
      <c r="A121" s="36" t="inlineStr">
        <is>
          <t>97108</t>
        </is>
      </c>
      <c r="B121" s="36" t="inlineStr">
        <is>
          <t>CAMPOS  FRANKLIN</t>
        </is>
      </c>
      <c r="C121" s="58" t="inlineStr">
        <is>
          <t>09-18-1955</t>
        </is>
      </c>
      <c r="D121" s="36" t="inlineStr">
        <is>
          <t>646-250-6945</t>
        </is>
      </c>
      <c r="E121" s="36" t="inlineStr">
        <is>
          <t>CONTOUR NEXT TEST  STRIPS</t>
        </is>
      </c>
      <c r="F121" s="36" t="inlineStr">
        <is>
          <t>00193731150</t>
        </is>
      </c>
      <c r="G121" s="36" t="inlineStr">
        <is>
          <t>_19550918|STRIPSONLY</t>
        </is>
      </c>
      <c r="H121" s="58" t="n">
        <v>45965</v>
      </c>
      <c r="I121" s="36" t="n">
        <v>90</v>
      </c>
      <c r="J121" s="36" t="n">
        <v>2</v>
      </c>
      <c r="K121" s="58" t="n">
        <v>46055</v>
      </c>
      <c r="L121" s="36" t="n">
        <v>28</v>
      </c>
      <c r="M121" s="36" t="inlineStr">
        <is>
          <t>Yes</t>
        </is>
      </c>
      <c r="N121" s="36" t="inlineStr">
        <is>
          <t>141161</t>
        </is>
      </c>
      <c r="O121" s="58" t="n">
        <v>46052</v>
      </c>
      <c r="P121" s="36" t="inlineStr">
        <is>
          <t>Covered by Other Rx</t>
        </is>
      </c>
      <c r="Q121" s="55" t="n">
        <v>0</v>
      </c>
      <c r="R121" s="36" t="inlineStr">
        <is>
          <t>Paid-Ins</t>
        </is>
      </c>
      <c r="S121" s="36" t="inlineStr">
        <is>
          <t>Picked Up</t>
        </is>
      </c>
      <c r="T121" s="36" t="inlineStr">
        <is>
          <t>CVS</t>
        </is>
      </c>
      <c r="U121" s="36" t="inlineStr">
        <is>
          <t>004336</t>
        </is>
      </c>
      <c r="V121" s="36" t="inlineStr">
        <is>
          <t>DELMONTE  RAMON</t>
        </is>
      </c>
    </row>
    <row r="122">
      <c r="A122" s="36" t="inlineStr">
        <is>
          <t>107637</t>
        </is>
      </c>
      <c r="B122" s="36" t="inlineStr">
        <is>
          <t>UMAR  ZAINAB</t>
        </is>
      </c>
      <c r="C122" s="58" t="inlineStr">
        <is>
          <t>01-11-1960</t>
        </is>
      </c>
      <c r="D122" s="36" t="inlineStr">
        <is>
          <t>212-234-8341</t>
        </is>
      </c>
      <c r="E122" s="36" t="inlineStr">
        <is>
          <t>CONTOUR NEXT TEST  STRIPS</t>
        </is>
      </c>
      <c r="F122" s="36" t="inlineStr">
        <is>
          <t>00193731150</t>
        </is>
      </c>
      <c r="G122" s="36" t="inlineStr">
        <is>
          <t>_19600111|STRIPSONLY</t>
        </is>
      </c>
      <c r="H122" s="58" t="n">
        <v>45966</v>
      </c>
      <c r="I122" s="36" t="n">
        <v>90</v>
      </c>
      <c r="J122" s="36" t="n">
        <v>10</v>
      </c>
      <c r="K122" s="58" t="n">
        <v>46056</v>
      </c>
      <c r="L122" s="36" t="n">
        <v>27</v>
      </c>
      <c r="M122" s="36" t="inlineStr">
        <is>
          <t>Yes</t>
        </is>
      </c>
      <c r="N122" s="36" t="inlineStr">
        <is>
          <t>141183</t>
        </is>
      </c>
      <c r="O122" s="58" t="n">
        <v>46080</v>
      </c>
      <c r="P122" s="36" t="inlineStr">
        <is>
          <t>Covered by Other Rx</t>
        </is>
      </c>
      <c r="Q122" s="55" t="n">
        <v>0</v>
      </c>
      <c r="R122" s="36" t="inlineStr">
        <is>
          <t>Transmitted</t>
        </is>
      </c>
      <c r="S122" s="36" t="inlineStr">
        <is>
          <t>Picked Up</t>
        </is>
      </c>
      <c r="T122" s="36" t="inlineStr">
        <is>
          <t>MEDIMPACT</t>
        </is>
      </c>
      <c r="U122" s="36" t="inlineStr">
        <is>
          <t>015574</t>
        </is>
      </c>
      <c r="V122" s="36" t="inlineStr">
        <is>
          <t>Md Ziauddin  Fnu</t>
        </is>
      </c>
    </row>
    <row r="123">
      <c r="A123" s="36" t="inlineStr">
        <is>
          <t>129948</t>
        </is>
      </c>
      <c r="B123" s="36" t="inlineStr">
        <is>
          <t>ZANABRIGA  ALBA</t>
        </is>
      </c>
      <c r="C123" s="58" t="inlineStr">
        <is>
          <t>04-22-1974</t>
        </is>
      </c>
      <c r="D123" s="36" t="inlineStr">
        <is>
          <t>212-365-8289</t>
        </is>
      </c>
      <c r="E123" s="36" t="inlineStr">
        <is>
          <t>BASAGLAR KWIKPEN 100UNIT/ML INJECTION</t>
        </is>
      </c>
      <c r="F123" s="36" t="inlineStr">
        <is>
          <t>00002771559</t>
        </is>
      </c>
      <c r="G123" s="36" t="inlineStr">
        <is>
          <t>_19740422|</t>
        </is>
      </c>
      <c r="H123" s="58" t="n">
        <v>45966</v>
      </c>
      <c r="I123" s="36" t="n">
        <v>90</v>
      </c>
      <c r="J123" s="36" t="n">
        <v>1</v>
      </c>
      <c r="K123" s="58" t="n">
        <v>46056</v>
      </c>
      <c r="L123" s="36" t="n">
        <v>27</v>
      </c>
      <c r="M123" s="36" t="inlineStr">
        <is>
          <t>Yes</t>
        </is>
      </c>
      <c r="N123" s="36" t="inlineStr">
        <is>
          <t>132305</t>
        </is>
      </c>
      <c r="O123" s="58" t="n">
        <v>46069</v>
      </c>
      <c r="P123" s="36" t="inlineStr">
        <is>
          <t>Covered by Other Rx</t>
        </is>
      </c>
      <c r="Q123" s="55" t="n">
        <v>0</v>
      </c>
      <c r="R123" s="36" t="inlineStr">
        <is>
          <t>Paid-Ins</t>
        </is>
      </c>
      <c r="S123" s="36" t="inlineStr">
        <is>
          <t>Picked Up</t>
        </is>
      </c>
      <c r="T123" s="36" t="inlineStr">
        <is>
          <t>CVS</t>
        </is>
      </c>
      <c r="U123" s="36" t="inlineStr">
        <is>
          <t>004336</t>
        </is>
      </c>
      <c r="V123" s="36" t="inlineStr">
        <is>
          <t>Kladney  Mathew</t>
        </is>
      </c>
    </row>
    <row r="124">
      <c r="A124" s="36" t="inlineStr">
        <is>
          <t>129949</t>
        </is>
      </c>
      <c r="B124" s="36" t="inlineStr">
        <is>
          <t>VELEZ  CARMEN</t>
        </is>
      </c>
      <c r="C124" s="58" t="inlineStr">
        <is>
          <t>01-14-1953</t>
        </is>
      </c>
      <c r="D124" s="36" t="inlineStr">
        <is>
          <t>646-982-5672</t>
        </is>
      </c>
      <c r="E124" s="36" t="inlineStr">
        <is>
          <t>BASAGLAR KWIKPEN 100UNIT/ML INJECTION</t>
        </is>
      </c>
      <c r="F124" s="36" t="inlineStr">
        <is>
          <t>00002771559</t>
        </is>
      </c>
      <c r="G124" s="36" t="inlineStr">
        <is>
          <t>_19530114|</t>
        </is>
      </c>
      <c r="H124" s="58" t="n">
        <v>45966</v>
      </c>
      <c r="I124" s="36" t="n">
        <v>90</v>
      </c>
      <c r="J124" s="36" t="n">
        <v>2</v>
      </c>
      <c r="K124" s="58" t="n">
        <v>46056</v>
      </c>
      <c r="L124" s="36" t="n">
        <v>27</v>
      </c>
      <c r="M124" s="36" t="inlineStr">
        <is>
          <t>Yes</t>
        </is>
      </c>
      <c r="N124" s="36" t="inlineStr">
        <is>
          <t>95279</t>
        </is>
      </c>
      <c r="O124" s="58" t="n">
        <v>46007</v>
      </c>
      <c r="P124" s="36" t="inlineStr">
        <is>
          <t>Covered by Other Rx</t>
        </is>
      </c>
      <c r="Q124" s="55" t="n">
        <v>0</v>
      </c>
      <c r="R124" s="36" t="inlineStr">
        <is>
          <t>Paid-Ins</t>
        </is>
      </c>
      <c r="S124" s="36" t="inlineStr">
        <is>
          <t>Picked Up</t>
        </is>
      </c>
      <c r="T124" s="36" t="inlineStr">
        <is>
          <t>CVS</t>
        </is>
      </c>
      <c r="U124" s="36" t="inlineStr">
        <is>
          <t>004336</t>
        </is>
      </c>
      <c r="V124" s="36" t="inlineStr">
        <is>
          <t>Filopoulos  Maria</t>
        </is>
      </c>
    </row>
    <row r="125">
      <c r="A125" s="36" t="inlineStr">
        <is>
          <t>137858</t>
        </is>
      </c>
      <c r="B125" s="36" t="inlineStr">
        <is>
          <t>MATEO PAULINO  FRANCISCO</t>
        </is>
      </c>
      <c r="C125" s="58" t="inlineStr">
        <is>
          <t>04-04-1977</t>
        </is>
      </c>
      <c r="D125" s="36" t="inlineStr">
        <is>
          <t>347-248-3673</t>
        </is>
      </c>
      <c r="E125" s="36" t="inlineStr">
        <is>
          <t>OZEMPIC (0.25 OR 0.5 MG/DOSE) 2 MG/3ML PEN-INJECTOR</t>
        </is>
      </c>
      <c r="F125" s="36" t="inlineStr">
        <is>
          <t>00169418113</t>
        </is>
      </c>
      <c r="G125" s="36" t="inlineStr">
        <is>
          <t>_19770404|</t>
        </is>
      </c>
      <c r="H125" s="58" t="n">
        <v>46028</v>
      </c>
      <c r="I125" s="36" t="n">
        <v>28</v>
      </c>
      <c r="J125" s="36" t="n">
        <v>1</v>
      </c>
      <c r="K125" s="58" t="n">
        <v>46056</v>
      </c>
      <c r="L125" s="36" t="n">
        <v>27</v>
      </c>
      <c r="M125" s="36" t="inlineStr">
        <is>
          <t>Yes</t>
        </is>
      </c>
      <c r="N125" s="36" t="inlineStr">
        <is>
          <t>141004</t>
        </is>
      </c>
      <c r="O125" s="58" t="n">
        <v>46077</v>
      </c>
      <c r="P125" s="36" t="inlineStr">
        <is>
          <t>Covered by Other Rx</t>
        </is>
      </c>
      <c r="Q125" s="55" t="n">
        <v>0</v>
      </c>
      <c r="R125" s="36" t="inlineStr">
        <is>
          <t>Paid-Ins</t>
        </is>
      </c>
      <c r="S125" s="36" t="inlineStr">
        <is>
          <t>Picked Up</t>
        </is>
      </c>
      <c r="T125" s="36" t="inlineStr">
        <is>
          <t>NYM</t>
        </is>
      </c>
      <c r="U125" s="36" t="inlineStr">
        <is>
          <t>004740</t>
        </is>
      </c>
      <c r="V125" s="36" t="inlineStr">
        <is>
          <t>GOLDBERG  TAMARA</t>
        </is>
      </c>
    </row>
    <row r="126">
      <c r="A126" s="36" t="inlineStr">
        <is>
          <t>107981</t>
        </is>
      </c>
      <c r="B126" s="36" t="inlineStr">
        <is>
          <t>PIMENTEL  GLADYS</t>
        </is>
      </c>
      <c r="C126" s="58" t="inlineStr">
        <is>
          <t>06-09-1939</t>
        </is>
      </c>
      <c r="D126" s="36" t="inlineStr">
        <is>
          <t>212-690-4990</t>
        </is>
      </c>
      <c r="E126" s="36" t="inlineStr">
        <is>
          <t>BASAGLAR KWIKPEN 100UNIT/ML INJECTION</t>
        </is>
      </c>
      <c r="F126" s="36" t="inlineStr">
        <is>
          <t>00002771559</t>
        </is>
      </c>
      <c r="G126" s="36" t="inlineStr">
        <is>
          <t>_19390609|</t>
        </is>
      </c>
      <c r="H126" s="58" t="n">
        <v>45967</v>
      </c>
      <c r="I126" s="36" t="n">
        <v>90</v>
      </c>
      <c r="J126" s="36" t="n">
        <v>2</v>
      </c>
      <c r="K126" s="58" t="n">
        <v>46057</v>
      </c>
      <c r="L126" s="36" t="n">
        <v>26</v>
      </c>
      <c r="M126" s="36" t="inlineStr">
        <is>
          <t>Yes</t>
        </is>
      </c>
      <c r="N126" s="36" t="inlineStr">
        <is>
          <t>141465</t>
        </is>
      </c>
      <c r="O126" s="58" t="n">
        <v>46055</v>
      </c>
      <c r="P126" s="36" t="inlineStr">
        <is>
          <t>Covered by Other Rx</t>
        </is>
      </c>
      <c r="Q126" s="55" t="n">
        <v>0</v>
      </c>
      <c r="R126" s="36" t="inlineStr">
        <is>
          <t>Paid-Ins</t>
        </is>
      </c>
      <c r="S126" s="36" t="inlineStr">
        <is>
          <t>Picked Up</t>
        </is>
      </c>
      <c r="T126" s="36" t="inlineStr">
        <is>
          <t>CVS</t>
        </is>
      </c>
      <c r="U126" s="36" t="inlineStr">
        <is>
          <t>004336</t>
        </is>
      </c>
      <c r="V126" s="36" t="inlineStr">
        <is>
          <t>Sturla  Erasmo</t>
        </is>
      </c>
    </row>
    <row r="127">
      <c r="A127" s="36" t="inlineStr">
        <is>
          <t>125484</t>
        </is>
      </c>
      <c r="B127" s="36" t="inlineStr">
        <is>
          <t>VARGAS DE PENA  JOSEFINA</t>
        </is>
      </c>
      <c r="C127" s="58" t="inlineStr">
        <is>
          <t>03-21-1958</t>
        </is>
      </c>
      <c r="D127" s="36" t="inlineStr">
        <is>
          <t>646-340-7438</t>
        </is>
      </c>
      <c r="E127" s="36" t="inlineStr">
        <is>
          <t>CONTOUR NEXT TEST  STRIPS</t>
        </is>
      </c>
      <c r="F127" s="36" t="inlineStr">
        <is>
          <t>00193731150</t>
        </is>
      </c>
      <c r="G127" s="36" t="inlineStr">
        <is>
          <t>_19580321|STRIPSONLY</t>
        </is>
      </c>
      <c r="H127" s="58" t="n">
        <v>46027</v>
      </c>
      <c r="I127" s="36" t="n">
        <v>30</v>
      </c>
      <c r="J127" s="36" t="n">
        <v>2</v>
      </c>
      <c r="K127" s="58" t="n">
        <v>46057</v>
      </c>
      <c r="L127" s="36" t="n">
        <v>26</v>
      </c>
      <c r="M127" s="36" t="inlineStr">
        <is>
          <t>Yes</t>
        </is>
      </c>
      <c r="N127" s="36" t="inlineStr">
        <is>
          <t>141461</t>
        </is>
      </c>
      <c r="O127" s="58" t="n">
        <v>46083</v>
      </c>
      <c r="P127" s="36" t="inlineStr">
        <is>
          <t>Covered by Other Rx</t>
        </is>
      </c>
      <c r="Q127" s="55" t="n">
        <v>0</v>
      </c>
      <c r="R127" s="36" t="inlineStr">
        <is>
          <t>Paid-Ins</t>
        </is>
      </c>
      <c r="S127" s="36" t="inlineStr">
        <is>
          <t>Picked Up</t>
        </is>
      </c>
      <c r="T127" s="36" t="inlineStr">
        <is>
          <t>CVS</t>
        </is>
      </c>
      <c r="U127" s="36" t="inlineStr">
        <is>
          <t>004336</t>
        </is>
      </c>
      <c r="V127" s="36" t="inlineStr">
        <is>
          <t>Ferreira Parker  Simone</t>
        </is>
      </c>
    </row>
    <row r="128">
      <c r="A128" s="36" t="inlineStr">
        <is>
          <t>114122</t>
        </is>
      </c>
      <c r="B128" s="36" t="inlineStr">
        <is>
          <t>RAMOS  FRANCISCA</t>
        </is>
      </c>
      <c r="C128" s="58" t="inlineStr">
        <is>
          <t>07-15-1956</t>
        </is>
      </c>
      <c r="D128" s="36" t="inlineStr">
        <is>
          <t>908-357-8830</t>
        </is>
      </c>
      <c r="E128" s="36" t="inlineStr">
        <is>
          <t>TRESIBA FLEXTOUCH 200UNIT/ML INJECTION</t>
        </is>
      </c>
      <c r="F128" s="36" t="inlineStr">
        <is>
          <t>00169255013</t>
        </is>
      </c>
      <c r="G128" s="36" t="inlineStr">
        <is>
          <t>_19560715|</t>
        </is>
      </c>
      <c r="H128" s="58" t="n">
        <v>45983</v>
      </c>
      <c r="I128" s="36" t="n">
        <v>75</v>
      </c>
      <c r="J128" s="36" t="n">
        <v>1</v>
      </c>
      <c r="K128" s="58" t="n">
        <v>46058</v>
      </c>
      <c r="L128" s="36" t="n">
        <v>25</v>
      </c>
      <c r="M128" s="36" t="inlineStr">
        <is>
          <t>Yes</t>
        </is>
      </c>
      <c r="N128" s="36" t="inlineStr">
        <is>
          <t>141815</t>
        </is>
      </c>
      <c r="O128" s="58" t="n">
        <v>46057</v>
      </c>
      <c r="P128" s="36" t="inlineStr">
        <is>
          <t>Covered by Other Rx</t>
        </is>
      </c>
      <c r="Q128" s="55" t="n">
        <v>0</v>
      </c>
      <c r="R128" s="36" t="inlineStr">
        <is>
          <t>Paid-Ins</t>
        </is>
      </c>
      <c r="S128" s="36" t="inlineStr">
        <is>
          <t>Picked Up</t>
        </is>
      </c>
      <c r="T128" s="36" t="inlineStr">
        <is>
          <t>CVS</t>
        </is>
      </c>
      <c r="U128" s="36" t="inlineStr">
        <is>
          <t>004336</t>
        </is>
      </c>
      <c r="V128" s="36" t="inlineStr">
        <is>
          <t>Chibas Sandoval  Raul</t>
        </is>
      </c>
    </row>
    <row r="129">
      <c r="A129" s="36" t="inlineStr">
        <is>
          <t>118815</t>
        </is>
      </c>
      <c r="B129" s="36" t="inlineStr">
        <is>
          <t>ABDO  ABDULRAHMAN</t>
        </is>
      </c>
      <c r="C129" s="58" t="inlineStr">
        <is>
          <t>12-14-2006</t>
        </is>
      </c>
      <c r="D129" s="36" t="inlineStr">
        <is>
          <t>516-494-9931</t>
        </is>
      </c>
      <c r="E129" s="36" t="inlineStr">
        <is>
          <t>BASAGLAR KWIKPEN 100UNIT/ML INJECTION</t>
        </is>
      </c>
      <c r="F129" s="36" t="inlineStr">
        <is>
          <t>00002771559</t>
        </is>
      </c>
      <c r="G129" s="36" t="inlineStr">
        <is>
          <t>_20061214|</t>
        </is>
      </c>
      <c r="H129" s="58" t="n">
        <v>45968</v>
      </c>
      <c r="I129" s="36" t="n">
        <v>90</v>
      </c>
      <c r="J129" s="36" t="n">
        <v>9</v>
      </c>
      <c r="K129" s="58" t="n">
        <v>46058</v>
      </c>
      <c r="L129" s="36" t="n">
        <v>25</v>
      </c>
      <c r="M129" s="36" t="inlineStr">
        <is>
          <t>Yes</t>
        </is>
      </c>
      <c r="N129" s="36" t="inlineStr">
        <is>
          <t>139578</t>
        </is>
      </c>
      <c r="O129" s="58" t="n">
        <v>46041</v>
      </c>
      <c r="P129" s="36" t="inlineStr">
        <is>
          <t>Covered by Other Rx</t>
        </is>
      </c>
      <c r="Q129" s="55" t="n">
        <v>0</v>
      </c>
      <c r="R129" s="36" t="inlineStr">
        <is>
          <t>Paid-Ins</t>
        </is>
      </c>
      <c r="S129" s="36" t="inlineStr">
        <is>
          <t>Picked Up</t>
        </is>
      </c>
      <c r="T129" s="36" t="inlineStr">
        <is>
          <t>NYM</t>
        </is>
      </c>
      <c r="U129" s="36" t="inlineStr">
        <is>
          <t>004740</t>
        </is>
      </c>
      <c r="V129" s="36" t="inlineStr">
        <is>
          <t>LEIBEL  NATASHA</t>
        </is>
      </c>
    </row>
    <row r="130">
      <c r="A130" s="36" t="inlineStr">
        <is>
          <t>130907</t>
        </is>
      </c>
      <c r="B130" s="36" t="inlineStr">
        <is>
          <t>MATEO BAUTISTA  YOLANDA</t>
        </is>
      </c>
      <c r="C130" s="58" t="inlineStr">
        <is>
          <t>12-14-1949</t>
        </is>
      </c>
      <c r="D130" s="36" t="inlineStr">
        <is>
          <t>212-862-4810</t>
        </is>
      </c>
      <c r="E130" s="36" t="inlineStr">
        <is>
          <t>BASAGLAR KWIKPEN 100UNIT/ML INJECTION</t>
        </is>
      </c>
      <c r="F130" s="36" t="inlineStr">
        <is>
          <t>00002771559</t>
        </is>
      </c>
      <c r="G130" s="36" t="inlineStr">
        <is>
          <t>_19491214|</t>
        </is>
      </c>
      <c r="H130" s="58" t="n">
        <v>46028</v>
      </c>
      <c r="I130" s="36" t="n">
        <v>30</v>
      </c>
      <c r="J130" s="36" t="n">
        <v>1</v>
      </c>
      <c r="K130" s="58" t="n">
        <v>46058</v>
      </c>
      <c r="L130" s="36" t="n">
        <v>25</v>
      </c>
      <c r="M130" s="36" t="inlineStr">
        <is>
          <t>Yes</t>
        </is>
      </c>
      <c r="N130" s="36" t="inlineStr">
        <is>
          <t>143748</t>
        </is>
      </c>
      <c r="O130" s="58" t="n">
        <v>46071</v>
      </c>
      <c r="P130" s="36" t="inlineStr">
        <is>
          <t>Covered by Other Rx</t>
        </is>
      </c>
      <c r="Q130" s="55" t="n">
        <v>0</v>
      </c>
      <c r="R130" s="36" t="inlineStr">
        <is>
          <t>Paid-Ins</t>
        </is>
      </c>
      <c r="S130" s="36" t="inlineStr">
        <is>
          <t>Picked Up</t>
        </is>
      </c>
      <c r="T130" s="36" t="inlineStr">
        <is>
          <t>CVS</t>
        </is>
      </c>
      <c r="U130" s="36" t="inlineStr">
        <is>
          <t>004336</t>
        </is>
      </c>
      <c r="V130" s="36" t="inlineStr">
        <is>
          <t>Fabian-Morales  Wellington</t>
        </is>
      </c>
    </row>
    <row r="131">
      <c r="A131" s="36" t="inlineStr">
        <is>
          <t>108745</t>
        </is>
      </c>
      <c r="B131" s="36" t="inlineStr">
        <is>
          <t>PENA DELGADO  ESTELA</t>
        </is>
      </c>
      <c r="C131" s="58" t="inlineStr">
        <is>
          <t>07-14-1948</t>
        </is>
      </c>
      <c r="D131" s="36" t="inlineStr">
        <is>
          <t>646-318-9585</t>
        </is>
      </c>
      <c r="E131" s="36" t="inlineStr">
        <is>
          <t xml:space="preserve">RESTASIS 0.05% EMULSION </t>
        </is>
      </c>
      <c r="F131" s="36" t="inlineStr">
        <is>
          <t>00023916360</t>
        </is>
      </c>
      <c r="G131" s="36" t="inlineStr">
        <is>
          <t>_19480714|</t>
        </is>
      </c>
      <c r="H131" s="58" t="n">
        <v>45971</v>
      </c>
      <c r="I131" s="36" t="n">
        <v>90</v>
      </c>
      <c r="J131" s="36" t="n">
        <v>1</v>
      </c>
      <c r="K131" s="58" t="n">
        <v>46061</v>
      </c>
      <c r="L131" s="36" t="n">
        <v>22</v>
      </c>
      <c r="M131" s="36" t="inlineStr">
        <is>
          <t>Yes</t>
        </is>
      </c>
      <c r="N131" s="36" t="inlineStr">
        <is>
          <t>140672</t>
        </is>
      </c>
      <c r="O131" s="58" t="n">
        <v>46049</v>
      </c>
      <c r="P131" s="36" t="inlineStr">
        <is>
          <t>Covered by Other Rx</t>
        </is>
      </c>
      <c r="Q131" s="55" t="n">
        <v>0</v>
      </c>
      <c r="R131" s="36" t="inlineStr">
        <is>
          <t>Paid-Ins</t>
        </is>
      </c>
      <c r="S131" s="36" t="inlineStr">
        <is>
          <t>Picked Up</t>
        </is>
      </c>
      <c r="T131" s="36" t="inlineStr">
        <is>
          <t>CVS</t>
        </is>
      </c>
      <c r="U131" s="36" t="inlineStr">
        <is>
          <t>004336</t>
        </is>
      </c>
      <c r="V131" s="36" t="inlineStr">
        <is>
          <t>COTLIAR  JEREMY M</t>
        </is>
      </c>
    </row>
    <row r="132">
      <c r="A132" s="36" t="inlineStr">
        <is>
          <t>119192</t>
        </is>
      </c>
      <c r="B132" s="36" t="inlineStr">
        <is>
          <t>UBILLA  RAMONA</t>
        </is>
      </c>
      <c r="C132" s="58" t="inlineStr">
        <is>
          <t>04-08-1936</t>
        </is>
      </c>
      <c r="D132" s="36" t="inlineStr">
        <is>
          <t>212-694-3848</t>
        </is>
      </c>
      <c r="E132" s="36" t="inlineStr">
        <is>
          <t>CONTOUR NEXT TEST  STRIPS</t>
        </is>
      </c>
      <c r="F132" s="36" t="inlineStr">
        <is>
          <t>00193731150</t>
        </is>
      </c>
      <c r="G132" s="36" t="inlineStr">
        <is>
          <t>_19360408|STRIPSONLY</t>
        </is>
      </c>
      <c r="H132" s="58" t="n">
        <v>45971</v>
      </c>
      <c r="I132" s="36" t="n">
        <v>90</v>
      </c>
      <c r="J132" s="36" t="n">
        <v>4</v>
      </c>
      <c r="K132" s="58" t="n">
        <v>46061</v>
      </c>
      <c r="L132" s="36" t="n">
        <v>22</v>
      </c>
      <c r="M132" s="36" t="inlineStr">
        <is>
          <t>Yes</t>
        </is>
      </c>
      <c r="N132" s="36" t="inlineStr">
        <is>
          <t>141194</t>
        </is>
      </c>
      <c r="O132" s="58" t="n">
        <v>46080</v>
      </c>
      <c r="P132" s="36" t="inlineStr">
        <is>
          <t>Covered by Other Rx</t>
        </is>
      </c>
      <c r="Q132" s="55" t="n">
        <v>0</v>
      </c>
      <c r="R132" s="36" t="inlineStr">
        <is>
          <t>Paid-Ins</t>
        </is>
      </c>
      <c r="S132" s="36" t="inlineStr">
        <is>
          <t>Picked Up</t>
        </is>
      </c>
      <c r="T132" s="36" t="inlineStr">
        <is>
          <t>CVS</t>
        </is>
      </c>
      <c r="U132" s="36" t="inlineStr">
        <is>
          <t>004336</t>
        </is>
      </c>
      <c r="V132" s="36" t="inlineStr">
        <is>
          <t>DELACRUZ FERNANDEZ  JOSE</t>
        </is>
      </c>
    </row>
    <row r="133">
      <c r="A133" s="36" t="inlineStr">
        <is>
          <t>130455</t>
        </is>
      </c>
      <c r="B133" s="36" t="inlineStr">
        <is>
          <t>MARTINEZ  CELESTE</t>
        </is>
      </c>
      <c r="C133" s="58" t="inlineStr">
        <is>
          <t>02-19-1945</t>
        </is>
      </c>
      <c r="D133" s="36" t="inlineStr">
        <is>
          <t>212</t>
        </is>
      </c>
      <c r="E133" s="36" t="inlineStr">
        <is>
          <t>XARELTO 15MG TAB</t>
        </is>
      </c>
      <c r="F133" s="36" t="inlineStr">
        <is>
          <t>50458057830</t>
        </is>
      </c>
      <c r="G133" s="36" t="inlineStr">
        <is>
          <t>_19450219|MFP</t>
        </is>
      </c>
      <c r="H133" s="58" t="n">
        <v>45971</v>
      </c>
      <c r="I133" s="36" t="n">
        <v>90</v>
      </c>
      <c r="J133" s="36" t="n">
        <v>1</v>
      </c>
      <c r="K133" s="58" t="n">
        <v>46061</v>
      </c>
      <c r="L133" s="36" t="n">
        <v>22</v>
      </c>
      <c r="M133" s="36" t="inlineStr">
        <is>
          <t>Yes</t>
        </is>
      </c>
      <c r="N133" s="36" t="inlineStr">
        <is>
          <t>141966</t>
        </is>
      </c>
      <c r="O133" s="58" t="n">
        <v>46058</v>
      </c>
      <c r="P133" s="36" t="inlineStr">
        <is>
          <t>Covered by Other Rx</t>
        </is>
      </c>
      <c r="Q133" s="55" t="n">
        <v>0</v>
      </c>
      <c r="R133" s="36" t="inlineStr">
        <is>
          <t>Transmitted</t>
        </is>
      </c>
      <c r="S133" s="36" t="inlineStr">
        <is>
          <t>Picked Up</t>
        </is>
      </c>
      <c r="T133" s="36" t="inlineStr">
        <is>
          <t>ESI</t>
        </is>
      </c>
      <c r="U133" s="36" t="inlineStr">
        <is>
          <t>610014</t>
        </is>
      </c>
      <c r="V133" s="36" t="inlineStr">
        <is>
          <t>Cardenas  Deni</t>
        </is>
      </c>
    </row>
    <row r="134">
      <c r="A134" s="36" t="inlineStr">
        <is>
          <t>119124</t>
        </is>
      </c>
      <c r="B134" s="36" t="inlineStr">
        <is>
          <t>PEREZ  FIORDALIZA</t>
        </is>
      </c>
      <c r="C134" s="58" t="inlineStr">
        <is>
          <t>08-20-1946</t>
        </is>
      </c>
      <c r="D134" s="36" t="n">
        <v/>
      </c>
      <c r="E134" s="36" t="inlineStr">
        <is>
          <t xml:space="preserve">JARDIANCE 25MG TAB </t>
        </is>
      </c>
      <c r="F134" s="36" t="inlineStr">
        <is>
          <t>00597015330</t>
        </is>
      </c>
      <c r="G134" s="36" t="inlineStr">
        <is>
          <t>_19460820|MFP</t>
        </is>
      </c>
      <c r="H134" s="58" t="n">
        <v>45972</v>
      </c>
      <c r="I134" s="36" t="n">
        <v>90</v>
      </c>
      <c r="J134" s="36" t="n">
        <v>2</v>
      </c>
      <c r="K134" s="58" t="n">
        <v>46062</v>
      </c>
      <c r="L134" s="36" t="n">
        <v>21</v>
      </c>
      <c r="M134" s="36" t="inlineStr">
        <is>
          <t>Yes</t>
        </is>
      </c>
      <c r="N134" s="36" t="inlineStr">
        <is>
          <t>142333</t>
        </is>
      </c>
      <c r="O134" s="58" t="n">
        <v>46062</v>
      </c>
      <c r="P134" s="36" t="inlineStr">
        <is>
          <t>Covered by Other Rx</t>
        </is>
      </c>
      <c r="Q134" s="55" t="n">
        <v>0</v>
      </c>
      <c r="R134" s="36" t="inlineStr">
        <is>
          <t>Paid-Ins</t>
        </is>
      </c>
      <c r="S134" s="36" t="inlineStr">
        <is>
          <t>Picked Up</t>
        </is>
      </c>
      <c r="T134" s="36" t="inlineStr">
        <is>
          <t>CVS</t>
        </is>
      </c>
      <c r="U134" s="36" t="inlineStr">
        <is>
          <t>004336</t>
        </is>
      </c>
      <c r="V134" s="36" t="inlineStr">
        <is>
          <t>CABRERA  MICHELLE</t>
        </is>
      </c>
    </row>
    <row r="135">
      <c r="A135" s="36" t="inlineStr">
        <is>
          <t>130629</t>
        </is>
      </c>
      <c r="B135" s="36" t="inlineStr">
        <is>
          <t>MARTE  ROSA</t>
        </is>
      </c>
      <c r="C135" s="58" t="inlineStr">
        <is>
          <t>09-12-1951</t>
        </is>
      </c>
      <c r="D135" s="36" t="inlineStr">
        <is>
          <t>212-690-5738</t>
        </is>
      </c>
      <c r="E135" s="36" t="inlineStr">
        <is>
          <t xml:space="preserve">JARDIANCE 25MG TAB </t>
        </is>
      </c>
      <c r="F135" s="36" t="inlineStr">
        <is>
          <t>00597015330</t>
        </is>
      </c>
      <c r="G135" s="36" t="inlineStr">
        <is>
          <t>_19510912|MFP</t>
        </is>
      </c>
      <c r="H135" s="58" t="n">
        <v>45972</v>
      </c>
      <c r="I135" s="36" t="n">
        <v>90</v>
      </c>
      <c r="J135" s="36" t="n">
        <v>1</v>
      </c>
      <c r="K135" s="58" t="n">
        <v>46062</v>
      </c>
      <c r="L135" s="36" t="n">
        <v>21</v>
      </c>
      <c r="M135" s="36" t="inlineStr">
        <is>
          <t>Yes</t>
        </is>
      </c>
      <c r="N135" s="36" t="inlineStr">
        <is>
          <t>145383</t>
        </is>
      </c>
      <c r="O135" s="58" t="n">
        <v>46083</v>
      </c>
      <c r="P135" s="36" t="inlineStr">
        <is>
          <t>Covered by Other Rx</t>
        </is>
      </c>
      <c r="Q135" s="55" t="n">
        <v>0</v>
      </c>
      <c r="R135" s="36" t="inlineStr">
        <is>
          <t>Paid-Ins</t>
        </is>
      </c>
      <c r="S135" s="36" t="inlineStr">
        <is>
          <t>Picked Up</t>
        </is>
      </c>
      <c r="T135" s="36" t="inlineStr">
        <is>
          <t>CVS</t>
        </is>
      </c>
      <c r="U135" s="36" t="inlineStr">
        <is>
          <t>004336</t>
        </is>
      </c>
      <c r="V135" s="36" t="inlineStr">
        <is>
          <t>PEREZ  MONA</t>
        </is>
      </c>
    </row>
    <row r="136">
      <c r="A136" s="36" t="inlineStr">
        <is>
          <t>138620</t>
        </is>
      </c>
      <c r="B136" s="36" t="inlineStr">
        <is>
          <t>AMODEO  JAMES</t>
        </is>
      </c>
      <c r="C136" s="58" t="inlineStr">
        <is>
          <t>11-22-1962</t>
        </is>
      </c>
      <c r="D136" s="36" t="inlineStr">
        <is>
          <t>917-599-8436</t>
        </is>
      </c>
      <c r="E136" s="36" t="inlineStr">
        <is>
          <t>ZEPBOUND 10 MG/0.5ML AUTO-INJECTOR</t>
        </is>
      </c>
      <c r="F136" s="36" t="inlineStr">
        <is>
          <t>00002247180</t>
        </is>
      </c>
      <c r="G136" s="36" t="inlineStr">
        <is>
          <t>_19621122|</t>
        </is>
      </c>
      <c r="H136" s="58" t="n">
        <v>46034</v>
      </c>
      <c r="I136" s="36" t="n">
        <v>28</v>
      </c>
      <c r="J136" s="36" t="n">
        <v>2</v>
      </c>
      <c r="K136" s="58" t="n">
        <v>46062</v>
      </c>
      <c r="L136" s="36" t="n">
        <v>21</v>
      </c>
      <c r="M136" s="36" t="inlineStr">
        <is>
          <t>Yes</t>
        </is>
      </c>
      <c r="N136" s="36" t="inlineStr">
        <is>
          <t>141942</t>
        </is>
      </c>
      <c r="O136" s="58" t="n">
        <v>46083</v>
      </c>
      <c r="P136" s="36" t="inlineStr">
        <is>
          <t>Covered by Other Rx</t>
        </is>
      </c>
      <c r="Q136" s="55" t="n">
        <v>0</v>
      </c>
      <c r="R136" s="36" t="inlineStr">
        <is>
          <t>Transmitted</t>
        </is>
      </c>
      <c r="S136" s="36" t="inlineStr">
        <is>
          <t>Picked Up</t>
        </is>
      </c>
      <c r="T136" s="36" t="inlineStr">
        <is>
          <t>OPTUM</t>
        </is>
      </c>
      <c r="U136" s="36" t="inlineStr">
        <is>
          <t>610279</t>
        </is>
      </c>
      <c r="V136" s="36" t="inlineStr">
        <is>
          <t>ENGEL  ANELISE</t>
        </is>
      </c>
    </row>
    <row r="137">
      <c r="A137" s="36" t="inlineStr">
        <is>
          <t>131376</t>
        </is>
      </c>
      <c r="B137" s="36" t="inlineStr">
        <is>
          <t>TAVAREZ  JUAN</t>
        </is>
      </c>
      <c r="C137" s="58" t="inlineStr">
        <is>
          <t>08-19-1942</t>
        </is>
      </c>
      <c r="D137" s="36" t="inlineStr">
        <is>
          <t>646-476-9280</t>
        </is>
      </c>
      <c r="E137" s="36" t="inlineStr">
        <is>
          <t>BASAGLAR KWIKPEN 100UNIT/ML INJECTION</t>
        </is>
      </c>
      <c r="F137" s="36" t="inlineStr">
        <is>
          <t>00002771559</t>
        </is>
      </c>
      <c r="G137" s="36" t="inlineStr">
        <is>
          <t>_19420819|</t>
        </is>
      </c>
      <c r="H137" s="58" t="n">
        <v>45978</v>
      </c>
      <c r="I137" s="36" t="n">
        <v>85</v>
      </c>
      <c r="J137" s="36" t="n">
        <v>5</v>
      </c>
      <c r="K137" s="58" t="n">
        <v>46063</v>
      </c>
      <c r="L137" s="36" t="n">
        <v>20</v>
      </c>
      <c r="M137" s="36" t="inlineStr">
        <is>
          <t>Yes</t>
        </is>
      </c>
      <c r="N137" s="36" t="inlineStr">
        <is>
          <t>143051</t>
        </is>
      </c>
      <c r="O137" s="58" t="n">
        <v>46065</v>
      </c>
      <c r="P137" s="36" t="inlineStr">
        <is>
          <t>Covered by Other Rx</t>
        </is>
      </c>
      <c r="Q137" s="55" t="n">
        <v>0</v>
      </c>
      <c r="R137" s="36" t="inlineStr">
        <is>
          <t>Paid-Ins</t>
        </is>
      </c>
      <c r="S137" s="36" t="inlineStr">
        <is>
          <t>Picked Up</t>
        </is>
      </c>
      <c r="T137" s="36" t="inlineStr">
        <is>
          <t>CVS</t>
        </is>
      </c>
      <c r="U137" s="36" t="inlineStr">
        <is>
          <t>004336</t>
        </is>
      </c>
      <c r="V137" s="36" t="inlineStr">
        <is>
          <t>BATISTA HERASME  NATIVIDAD</t>
        </is>
      </c>
    </row>
    <row r="138">
      <c r="A138" s="36" t="inlineStr">
        <is>
          <t>108988</t>
        </is>
      </c>
      <c r="B138" s="36" t="inlineStr">
        <is>
          <t>URENA MOSQUEA  FATIMA</t>
        </is>
      </c>
      <c r="C138" s="58" t="inlineStr">
        <is>
          <t>11-05-1961</t>
        </is>
      </c>
      <c r="D138" s="36" t="inlineStr">
        <is>
          <t>646-797-1803</t>
        </is>
      </c>
      <c r="E138" s="36" t="inlineStr">
        <is>
          <t xml:space="preserve">JARDIANCE 25MG TAB </t>
        </is>
      </c>
      <c r="F138" s="36" t="inlineStr">
        <is>
          <t>00597015330</t>
        </is>
      </c>
      <c r="G138" s="36" t="inlineStr">
        <is>
          <t>_19611105|MFP</t>
        </is>
      </c>
      <c r="H138" s="58" t="n">
        <v>45974</v>
      </c>
      <c r="I138" s="36" t="n">
        <v>90</v>
      </c>
      <c r="J138" s="36" t="n">
        <v>1</v>
      </c>
      <c r="K138" s="58" t="n">
        <v>46064</v>
      </c>
      <c r="L138" s="36" t="n">
        <v>19</v>
      </c>
      <c r="M138" s="36" t="inlineStr">
        <is>
          <t>Yes</t>
        </is>
      </c>
      <c r="N138" s="36" t="inlineStr">
        <is>
          <t>142308</t>
        </is>
      </c>
      <c r="O138" s="58" t="n">
        <v>46062</v>
      </c>
      <c r="P138" s="36" t="inlineStr">
        <is>
          <t>Covered by Other Rx</t>
        </is>
      </c>
      <c r="Q138" s="55" t="n">
        <v>0</v>
      </c>
      <c r="R138" s="36" t="inlineStr">
        <is>
          <t>Paid-Ins</t>
        </is>
      </c>
      <c r="S138" s="36" t="inlineStr">
        <is>
          <t>Picked Up</t>
        </is>
      </c>
      <c r="T138" s="36" t="inlineStr">
        <is>
          <t>NYM</t>
        </is>
      </c>
      <c r="U138" s="36" t="inlineStr">
        <is>
          <t>004740</t>
        </is>
      </c>
      <c r="V138" s="36" t="inlineStr">
        <is>
          <t>CABRERA  MICHELLE</t>
        </is>
      </c>
    </row>
    <row r="139">
      <c r="A139" s="36" t="inlineStr">
        <is>
          <t>131014</t>
        </is>
      </c>
      <c r="B139" s="36" t="inlineStr">
        <is>
          <t>TAVAREZ  MELBA</t>
        </is>
      </c>
      <c r="C139" s="58" t="inlineStr">
        <is>
          <t>07-12-1947</t>
        </is>
      </c>
      <c r="D139" s="36" t="inlineStr">
        <is>
          <t>646-476-9280</t>
        </is>
      </c>
      <c r="E139" s="36" t="inlineStr">
        <is>
          <t>FARXIGA 10MG TABLET</t>
        </is>
      </c>
      <c r="F139" s="36" t="inlineStr">
        <is>
          <t>00310621030</t>
        </is>
      </c>
      <c r="G139" s="36" t="inlineStr">
        <is>
          <t>_19470712|MFP</t>
        </is>
      </c>
      <c r="H139" s="58" t="n">
        <v>45974</v>
      </c>
      <c r="I139" s="36" t="n">
        <v>90</v>
      </c>
      <c r="J139" s="36" t="n">
        <v>1</v>
      </c>
      <c r="K139" s="58" t="n">
        <v>46064</v>
      </c>
      <c r="L139" s="36" t="n">
        <v>19</v>
      </c>
      <c r="M139" s="36" t="inlineStr">
        <is>
          <t>Yes</t>
        </is>
      </c>
      <c r="N139" s="36" t="inlineStr">
        <is>
          <t>142289</t>
        </is>
      </c>
      <c r="O139" s="58" t="n">
        <v>46062</v>
      </c>
      <c r="P139" s="36" t="inlineStr">
        <is>
          <t>Covered by Other Rx</t>
        </is>
      </c>
      <c r="Q139" s="55" t="n">
        <v>0</v>
      </c>
      <c r="R139" s="36" t="inlineStr">
        <is>
          <t>Paid-Ins</t>
        </is>
      </c>
      <c r="S139" s="36" t="inlineStr">
        <is>
          <t>Picked Up</t>
        </is>
      </c>
      <c r="T139" s="36" t="inlineStr">
        <is>
          <t>CVS</t>
        </is>
      </c>
      <c r="U139" s="36" t="inlineStr">
        <is>
          <t>004336</t>
        </is>
      </c>
      <c r="V139" s="36" t="inlineStr">
        <is>
          <t>GUZMAN  ELISCER</t>
        </is>
      </c>
    </row>
    <row r="140">
      <c r="A140" s="36" t="inlineStr">
        <is>
          <t>131361</t>
        </is>
      </c>
      <c r="B140" s="36" t="inlineStr">
        <is>
          <t>FIGUEROA  CARMEN</t>
        </is>
      </c>
      <c r="C140" s="58" t="inlineStr">
        <is>
          <t>04-20-1945</t>
        </is>
      </c>
      <c r="D140" s="36" t="inlineStr">
        <is>
          <t>212-283-0305</t>
        </is>
      </c>
      <c r="E140" s="36" t="inlineStr">
        <is>
          <t>BREZTRI AEROSPHERE 160-9-4.8 MCG/ACT INHALATION AEROSOL</t>
        </is>
      </c>
      <c r="F140" s="36" t="inlineStr">
        <is>
          <t>00310461612</t>
        </is>
      </c>
      <c r="G140" s="36" t="inlineStr">
        <is>
          <t>_19450420|</t>
        </is>
      </c>
      <c r="H140" s="58" t="n">
        <v>46034</v>
      </c>
      <c r="I140" s="36" t="n">
        <v>30</v>
      </c>
      <c r="J140" s="36" t="n">
        <v>1</v>
      </c>
      <c r="K140" s="58" t="n">
        <v>46064</v>
      </c>
      <c r="L140" s="36" t="n">
        <v>19</v>
      </c>
      <c r="M140" s="36" t="inlineStr">
        <is>
          <t>Yes</t>
        </is>
      </c>
      <c r="N140" s="36" t="inlineStr">
        <is>
          <t>142387</t>
        </is>
      </c>
      <c r="O140" s="58" t="n">
        <v>46062</v>
      </c>
      <c r="P140" s="36" t="inlineStr">
        <is>
          <t>Covered by Other Rx</t>
        </is>
      </c>
      <c r="Q140" s="55" t="n">
        <v>0</v>
      </c>
      <c r="R140" s="36" t="inlineStr">
        <is>
          <t>Paid-Ins</t>
        </is>
      </c>
      <c r="S140" s="36" t="inlineStr">
        <is>
          <t>Picked Up</t>
        </is>
      </c>
      <c r="T140" s="36" t="inlineStr">
        <is>
          <t>CVS</t>
        </is>
      </c>
      <c r="U140" s="36" t="inlineStr">
        <is>
          <t>004336</t>
        </is>
      </c>
      <c r="V140" s="36" t="inlineStr">
        <is>
          <t>Fabian-Morales  Wellington</t>
        </is>
      </c>
    </row>
    <row r="141">
      <c r="A141" s="36" t="inlineStr">
        <is>
          <t>138586</t>
        </is>
      </c>
      <c r="B141" s="36" t="inlineStr">
        <is>
          <t>ROSARIO  ANGELA</t>
        </is>
      </c>
      <c r="C141" s="58" t="inlineStr">
        <is>
          <t>10-01-1949</t>
        </is>
      </c>
      <c r="D141" s="36" t="inlineStr">
        <is>
          <t>212-283-1107</t>
        </is>
      </c>
      <c r="E141" s="36" t="inlineStr">
        <is>
          <t>XIIDRA 5 % OPHTHALMIC SOLUTION</t>
        </is>
      </c>
      <c r="F141" s="36" t="inlineStr">
        <is>
          <t>24208091112</t>
        </is>
      </c>
      <c r="G141" s="36" t="inlineStr">
        <is>
          <t>_19491001|</t>
        </is>
      </c>
      <c r="H141" s="58" t="n">
        <v>46034</v>
      </c>
      <c r="I141" s="36" t="n">
        <v>30</v>
      </c>
      <c r="J141" s="36" t="n">
        <v>2</v>
      </c>
      <c r="K141" s="58" t="n">
        <v>46064</v>
      </c>
      <c r="L141" s="36" t="n">
        <v>19</v>
      </c>
      <c r="M141" s="36" t="inlineStr">
        <is>
          <t>Yes</t>
        </is>
      </c>
      <c r="N141" s="36" t="inlineStr">
        <is>
          <t>142493</t>
        </is>
      </c>
      <c r="O141" s="58" t="n">
        <v>46063</v>
      </c>
      <c r="P141" s="36" t="inlineStr">
        <is>
          <t>Covered by Other Rx</t>
        </is>
      </c>
      <c r="Q141" s="55" t="n">
        <v>0</v>
      </c>
      <c r="R141" s="36" t="inlineStr">
        <is>
          <t>Paid-Ins</t>
        </is>
      </c>
      <c r="S141" s="36" t="inlineStr">
        <is>
          <t>Picked Up</t>
        </is>
      </c>
      <c r="T141" s="36" t="inlineStr">
        <is>
          <t>CVS</t>
        </is>
      </c>
      <c r="U141" s="36" t="inlineStr">
        <is>
          <t>004336</t>
        </is>
      </c>
      <c r="V141" s="36" t="inlineStr">
        <is>
          <t>COTLIAR  JEREMY M</t>
        </is>
      </c>
    </row>
    <row r="142">
      <c r="A142" s="36" t="inlineStr">
        <is>
          <t>132084</t>
        </is>
      </c>
      <c r="B142" s="36" t="inlineStr">
        <is>
          <t>IWERIEBOR  RENEE</t>
        </is>
      </c>
      <c r="C142" s="58" t="inlineStr">
        <is>
          <t>02-20-1951</t>
        </is>
      </c>
      <c r="D142" s="36" t="inlineStr">
        <is>
          <t>212-862-7389</t>
        </is>
      </c>
      <c r="E142" s="36" t="inlineStr">
        <is>
          <t>MYRBETRIQ 25MG TABLET</t>
        </is>
      </c>
      <c r="F142" s="36" t="inlineStr">
        <is>
          <t>00469260130</t>
        </is>
      </c>
      <c r="G142" s="36" t="inlineStr">
        <is>
          <t>_19510220|</t>
        </is>
      </c>
      <c r="H142" s="58" t="n">
        <v>46035</v>
      </c>
      <c r="I142" s="36" t="n">
        <v>30</v>
      </c>
      <c r="J142" s="36" t="n">
        <v>9</v>
      </c>
      <c r="K142" s="58" t="n">
        <v>46065</v>
      </c>
      <c r="L142" s="36" t="n">
        <v>18</v>
      </c>
      <c r="M142" s="36" t="inlineStr">
        <is>
          <t>Yes</t>
        </is>
      </c>
      <c r="N142" s="36" t="inlineStr">
        <is>
          <t>142515</t>
        </is>
      </c>
      <c r="O142" s="58" t="n">
        <v>46063</v>
      </c>
      <c r="P142" s="36" t="inlineStr">
        <is>
          <t>Covered by Other Rx</t>
        </is>
      </c>
      <c r="Q142" s="55" t="n">
        <v>0</v>
      </c>
      <c r="R142" s="36" t="inlineStr">
        <is>
          <t>Paid-Ins</t>
        </is>
      </c>
      <c r="S142" s="36" t="inlineStr">
        <is>
          <t>Picked Up</t>
        </is>
      </c>
      <c r="T142" s="36" t="inlineStr">
        <is>
          <t>CVS</t>
        </is>
      </c>
      <c r="U142" s="36" t="inlineStr">
        <is>
          <t>004336</t>
        </is>
      </c>
      <c r="V142" s="36" t="inlineStr">
        <is>
          <t>Dabney  Lisa</t>
        </is>
      </c>
    </row>
    <row r="143">
      <c r="A143" s="36" t="inlineStr">
        <is>
          <t>135058</t>
        </is>
      </c>
      <c r="B143" s="36" t="inlineStr">
        <is>
          <t>FIGUEREO  BRAUDILIA</t>
        </is>
      </c>
      <c r="C143" s="58" t="inlineStr">
        <is>
          <t>12-06-1938</t>
        </is>
      </c>
      <c r="D143" s="36" t="inlineStr">
        <is>
          <t>212-694-6620</t>
        </is>
      </c>
      <c r="E143" s="36" t="inlineStr">
        <is>
          <t>FARXIGA 5MG TABLET</t>
        </is>
      </c>
      <c r="F143" s="36" t="inlineStr">
        <is>
          <t>00310620530</t>
        </is>
      </c>
      <c r="G143" s="36" t="inlineStr">
        <is>
          <t>_19381206|MFP</t>
        </is>
      </c>
      <c r="H143" s="58" t="n">
        <v>46035</v>
      </c>
      <c r="I143" s="36" t="n">
        <v>30</v>
      </c>
      <c r="J143" s="36" t="n">
        <v>2</v>
      </c>
      <c r="K143" s="58" t="n">
        <v>46065</v>
      </c>
      <c r="L143" s="36" t="n">
        <v>18</v>
      </c>
      <c r="M143" s="36" t="inlineStr">
        <is>
          <t>Yes</t>
        </is>
      </c>
      <c r="N143" s="36" t="inlineStr">
        <is>
          <t>137678</t>
        </is>
      </c>
      <c r="O143" s="58" t="n">
        <v>46056</v>
      </c>
      <c r="P143" s="36" t="inlineStr">
        <is>
          <t>Covered by Other Rx</t>
        </is>
      </c>
      <c r="Q143" s="55" t="n">
        <v>0</v>
      </c>
      <c r="R143" s="36" t="inlineStr">
        <is>
          <t>Paid-Ins</t>
        </is>
      </c>
      <c r="S143" s="36" t="inlineStr">
        <is>
          <t>Picked Up</t>
        </is>
      </c>
      <c r="T143" s="36" t="inlineStr">
        <is>
          <t>CVS</t>
        </is>
      </c>
      <c r="U143" s="36" t="inlineStr">
        <is>
          <t>004336</t>
        </is>
      </c>
      <c r="V143" s="36" t="inlineStr">
        <is>
          <t>Anokye  Robert</t>
        </is>
      </c>
    </row>
    <row r="144">
      <c r="A144" s="36" t="inlineStr">
        <is>
          <t>119906</t>
        </is>
      </c>
      <c r="B144" s="36" t="inlineStr">
        <is>
          <t>PLACENCIA  RICARDO</t>
        </is>
      </c>
      <c r="C144" s="58" t="inlineStr">
        <is>
          <t>02-02-1947</t>
        </is>
      </c>
      <c r="D144" s="36" t="inlineStr">
        <is>
          <t>646-938-8984</t>
        </is>
      </c>
      <c r="E144" s="36" t="inlineStr">
        <is>
          <t>FARXIGA 10MG TABLET</t>
        </is>
      </c>
      <c r="F144" s="36" t="inlineStr">
        <is>
          <t>00310621030</t>
        </is>
      </c>
      <c r="G144" s="36" t="inlineStr">
        <is>
          <t>_19470202|MFP</t>
        </is>
      </c>
      <c r="H144" s="58" t="n">
        <v>45976</v>
      </c>
      <c r="I144" s="36" t="n">
        <v>90</v>
      </c>
      <c r="J144" s="36" t="n">
        <v>2</v>
      </c>
      <c r="K144" s="58" t="n">
        <v>46066</v>
      </c>
      <c r="L144" s="36" t="n">
        <v>17</v>
      </c>
      <c r="M144" s="36" t="inlineStr">
        <is>
          <t>Yes</t>
        </is>
      </c>
      <c r="N144" s="36" t="inlineStr">
        <is>
          <t>141516</t>
        </is>
      </c>
      <c r="O144" s="58" t="n">
        <v>46083</v>
      </c>
      <c r="P144" s="36" t="inlineStr">
        <is>
          <t>Covered by Other Rx</t>
        </is>
      </c>
      <c r="Q144" s="55" t="n">
        <v>0</v>
      </c>
      <c r="R144" s="36" t="inlineStr">
        <is>
          <t>Paid-Ins</t>
        </is>
      </c>
      <c r="S144" s="36" t="inlineStr">
        <is>
          <t>Picked Up</t>
        </is>
      </c>
      <c r="T144" s="36" t="inlineStr">
        <is>
          <t>CVS</t>
        </is>
      </c>
      <c r="U144" s="36" t="inlineStr">
        <is>
          <t>004336</t>
        </is>
      </c>
      <c r="V144" s="36" t="inlineStr">
        <is>
          <t>Diaz  Chanelle</t>
        </is>
      </c>
    </row>
    <row r="145">
      <c r="A145" s="36" t="inlineStr">
        <is>
          <t>119995</t>
        </is>
      </c>
      <c r="B145" s="36" t="inlineStr">
        <is>
          <t>SANTOS  ALTAGRACIA</t>
        </is>
      </c>
      <c r="C145" s="58" t="inlineStr">
        <is>
          <t>01-23-1940</t>
        </is>
      </c>
      <c r="D145" s="36" t="inlineStr">
        <is>
          <t>212-862-3286</t>
        </is>
      </c>
      <c r="E145" s="36" t="inlineStr">
        <is>
          <t>CONTOUR NEXT TEST  STRIPS</t>
        </is>
      </c>
      <c r="F145" s="36" t="inlineStr">
        <is>
          <t>00193731150</t>
        </is>
      </c>
      <c r="G145" s="36" t="inlineStr">
        <is>
          <t>_19400123|STRIPSONLY</t>
        </is>
      </c>
      <c r="H145" s="58" t="n">
        <v>45976</v>
      </c>
      <c r="I145" s="36" t="n">
        <v>90</v>
      </c>
      <c r="J145" s="36" t="n">
        <v>2</v>
      </c>
      <c r="K145" s="58" t="n">
        <v>46066</v>
      </c>
      <c r="L145" s="36" t="n">
        <v>17</v>
      </c>
      <c r="M145" s="36" t="inlineStr">
        <is>
          <t>Yes</t>
        </is>
      </c>
      <c r="N145" s="36" t="inlineStr">
        <is>
          <t>142731</t>
        </is>
      </c>
      <c r="O145" s="58" t="n">
        <v>46064</v>
      </c>
      <c r="P145" s="36" t="inlineStr">
        <is>
          <t>Covered by Other Rx</t>
        </is>
      </c>
      <c r="Q145" s="55" t="n">
        <v>0</v>
      </c>
      <c r="R145" s="36" t="inlineStr">
        <is>
          <t>Paid-Ins</t>
        </is>
      </c>
      <c r="S145" s="36" t="inlineStr">
        <is>
          <t>Picked Up</t>
        </is>
      </c>
      <c r="T145" s="36" t="inlineStr">
        <is>
          <t>CVS</t>
        </is>
      </c>
      <c r="U145" s="36" t="inlineStr">
        <is>
          <t>004336</t>
        </is>
      </c>
      <c r="V145" s="36" t="inlineStr">
        <is>
          <t>CABRERA  MICHELLE</t>
        </is>
      </c>
    </row>
    <row r="146">
      <c r="A146" s="36" t="inlineStr">
        <is>
          <t>131314</t>
        </is>
      </c>
      <c r="B146" s="36" t="inlineStr">
        <is>
          <t>TEJADA  SIMEONA</t>
        </is>
      </c>
      <c r="C146" s="58" t="inlineStr">
        <is>
          <t>02-18-1943</t>
        </is>
      </c>
      <c r="D146" s="36" t="inlineStr">
        <is>
          <t>646-329-6262</t>
        </is>
      </c>
      <c r="E146" s="36" t="inlineStr">
        <is>
          <t>JANUVIA 50MG TABLET</t>
        </is>
      </c>
      <c r="F146" s="36" t="inlineStr">
        <is>
          <t>00006011231</t>
        </is>
      </c>
      <c r="G146" s="36" t="inlineStr">
        <is>
          <t>_19430218|MFP</t>
        </is>
      </c>
      <c r="H146" s="58" t="n">
        <v>45976</v>
      </c>
      <c r="I146" s="36" t="n">
        <v>90</v>
      </c>
      <c r="J146" s="36" t="n">
        <v>1</v>
      </c>
      <c r="K146" s="58" t="n">
        <v>46066</v>
      </c>
      <c r="L146" s="36" t="n">
        <v>17</v>
      </c>
      <c r="M146" s="36" t="inlineStr">
        <is>
          <t>Yes</t>
        </is>
      </c>
      <c r="N146" s="36" t="inlineStr">
        <is>
          <t>142710</t>
        </is>
      </c>
      <c r="O146" s="58" t="n">
        <v>46064</v>
      </c>
      <c r="P146" s="36" t="inlineStr">
        <is>
          <t>Covered by Other Rx</t>
        </is>
      </c>
      <c r="Q146" s="55" t="n">
        <v>0</v>
      </c>
      <c r="R146" s="36" t="inlineStr">
        <is>
          <t>Paid-Ins</t>
        </is>
      </c>
      <c r="S146" s="36" t="inlineStr">
        <is>
          <t>Picked Up</t>
        </is>
      </c>
      <c r="T146" s="36" t="inlineStr">
        <is>
          <t>CVS</t>
        </is>
      </c>
      <c r="U146" s="36" t="inlineStr">
        <is>
          <t>004336</t>
        </is>
      </c>
      <c r="V146" s="36" t="inlineStr">
        <is>
          <t>SOCRATES  ROEDAN</t>
        </is>
      </c>
    </row>
    <row r="147">
      <c r="A147" s="36" t="inlineStr">
        <is>
          <t>131323</t>
        </is>
      </c>
      <c r="B147" s="36" t="inlineStr">
        <is>
          <t>PERDOMO DE CARRASCO  LOURDES</t>
        </is>
      </c>
      <c r="C147" s="58" t="inlineStr">
        <is>
          <t>01-02-1963</t>
        </is>
      </c>
      <c r="D147" s="36" t="inlineStr">
        <is>
          <t>646-975-8672</t>
        </is>
      </c>
      <c r="E147" s="36" t="inlineStr">
        <is>
          <t xml:space="preserve">JARDIANCE 10MG TAB </t>
        </is>
      </c>
      <c r="F147" s="36" t="inlineStr">
        <is>
          <t>00597015230</t>
        </is>
      </c>
      <c r="G147" s="36" t="inlineStr">
        <is>
          <t>_19630102|MFP</t>
        </is>
      </c>
      <c r="H147" s="58" t="n">
        <v>45976</v>
      </c>
      <c r="I147" s="36" t="n">
        <v>90</v>
      </c>
      <c r="J147" s="36" t="n">
        <v>1</v>
      </c>
      <c r="K147" s="58" t="n">
        <v>46066</v>
      </c>
      <c r="L147" s="36" t="n">
        <v>17</v>
      </c>
      <c r="M147" s="36" t="inlineStr">
        <is>
          <t>Yes</t>
        </is>
      </c>
      <c r="N147" s="36" t="inlineStr">
        <is>
          <t>142693</t>
        </is>
      </c>
      <c r="O147" s="58" t="n">
        <v>46064</v>
      </c>
      <c r="P147" s="36" t="inlineStr">
        <is>
          <t>Covered by Other Rx</t>
        </is>
      </c>
      <c r="Q147" s="55" t="n">
        <v>0</v>
      </c>
      <c r="R147" s="36" t="inlineStr">
        <is>
          <t>Paid-Ins</t>
        </is>
      </c>
      <c r="S147" s="36" t="inlineStr">
        <is>
          <t>Picked Up</t>
        </is>
      </c>
      <c r="T147" s="36" t="inlineStr">
        <is>
          <t>CVS</t>
        </is>
      </c>
      <c r="U147" s="36" t="inlineStr">
        <is>
          <t>004336</t>
        </is>
      </c>
      <c r="V147" s="36" t="inlineStr">
        <is>
          <t>BATISTA HERASME  NATIVIDAD</t>
        </is>
      </c>
    </row>
    <row r="148">
      <c r="A148" s="36" t="inlineStr">
        <is>
          <t>99395</t>
        </is>
      </c>
      <c r="B148" s="36" t="inlineStr">
        <is>
          <t>REYNOSO  ARIS</t>
        </is>
      </c>
      <c r="C148" s="58" t="inlineStr">
        <is>
          <t>04-24-1937</t>
        </is>
      </c>
      <c r="D148" s="36" t="inlineStr">
        <is>
          <t>973-479-7377</t>
        </is>
      </c>
      <c r="E148" s="36" t="inlineStr">
        <is>
          <t>JANUMET XR 100-1000MG TABLET</t>
        </is>
      </c>
      <c r="F148" s="36" t="inlineStr">
        <is>
          <t>00006008131</t>
        </is>
      </c>
      <c r="G148" s="36" t="inlineStr">
        <is>
          <t>_19370424|</t>
        </is>
      </c>
      <c r="H148" s="58" t="n">
        <v>45976</v>
      </c>
      <c r="I148" s="36" t="n">
        <v>90</v>
      </c>
      <c r="J148" s="36" t="n">
        <v>1</v>
      </c>
      <c r="K148" s="58" t="n">
        <v>46066</v>
      </c>
      <c r="L148" s="36" t="n">
        <v>17</v>
      </c>
      <c r="M148" s="36" t="inlineStr">
        <is>
          <t>Yes</t>
        </is>
      </c>
      <c r="N148" s="36" t="inlineStr">
        <is>
          <t>142690</t>
        </is>
      </c>
      <c r="O148" s="58" t="n">
        <v>46064</v>
      </c>
      <c r="P148" s="36" t="inlineStr">
        <is>
          <t>Covered by Other Rx</t>
        </is>
      </c>
      <c r="Q148" s="55" t="n">
        <v>0</v>
      </c>
      <c r="R148" s="36" t="inlineStr">
        <is>
          <t>Paid-Ins</t>
        </is>
      </c>
      <c r="S148" s="36" t="inlineStr">
        <is>
          <t>Picked Up</t>
        </is>
      </c>
      <c r="T148" s="36" t="inlineStr">
        <is>
          <t>CVS</t>
        </is>
      </c>
      <c r="U148" s="36" t="inlineStr">
        <is>
          <t>610502</t>
        </is>
      </c>
      <c r="V148" s="36" t="inlineStr">
        <is>
          <t>Getsos  John</t>
        </is>
      </c>
    </row>
    <row r="149">
      <c r="A149" s="36" t="inlineStr">
        <is>
          <t>139147</t>
        </is>
      </c>
      <c r="B149" s="36" t="inlineStr">
        <is>
          <t>REID  JESSE</t>
        </is>
      </c>
      <c r="C149" s="58" t="inlineStr">
        <is>
          <t>02-14-1991</t>
        </is>
      </c>
      <c r="D149" s="36" t="inlineStr">
        <is>
          <t>929-304-8142</t>
        </is>
      </c>
      <c r="E149" s="36" t="inlineStr">
        <is>
          <t>VRAYLAR 1.5MG CAPSULE</t>
        </is>
      </c>
      <c r="F149" s="36" t="inlineStr">
        <is>
          <t>61874011530</t>
        </is>
      </c>
      <c r="G149" s="36" t="inlineStr">
        <is>
          <t>_19910214|</t>
        </is>
      </c>
      <c r="H149" s="58" t="n">
        <v>46037</v>
      </c>
      <c r="I149" s="36" t="n">
        <v>30</v>
      </c>
      <c r="J149" s="36" t="n">
        <v>1</v>
      </c>
      <c r="K149" s="58" t="n">
        <v>46067</v>
      </c>
      <c r="L149" s="36" t="n">
        <v>16</v>
      </c>
      <c r="M149" s="36" t="inlineStr">
        <is>
          <t>Yes</t>
        </is>
      </c>
      <c r="N149" s="36" t="inlineStr">
        <is>
          <t>142979</t>
        </is>
      </c>
      <c r="O149" s="58" t="n">
        <v>46065</v>
      </c>
      <c r="P149" s="36" t="inlineStr">
        <is>
          <t>Covered by Other Rx</t>
        </is>
      </c>
      <c r="Q149" s="55" t="n">
        <v>0</v>
      </c>
      <c r="R149" s="36" t="inlineStr">
        <is>
          <t>Paid-Ins</t>
        </is>
      </c>
      <c r="S149" s="36" t="inlineStr">
        <is>
          <t>Picked Up</t>
        </is>
      </c>
      <c r="T149" s="36" t="inlineStr">
        <is>
          <t>NYM</t>
        </is>
      </c>
      <c r="U149" s="36" t="inlineStr">
        <is>
          <t>004740</t>
        </is>
      </c>
      <c r="V149" s="36" t="inlineStr">
        <is>
          <t>Kobeissi  Jamal</t>
        </is>
      </c>
    </row>
    <row r="150">
      <c r="A150" s="36" t="inlineStr">
        <is>
          <t>109461</t>
        </is>
      </c>
      <c r="B150" s="36" t="inlineStr">
        <is>
          <t>MADERA  RAMONA</t>
        </is>
      </c>
      <c r="C150" s="58" t="inlineStr">
        <is>
          <t>09-28-1945</t>
        </is>
      </c>
      <c r="D150" s="36" t="inlineStr">
        <is>
          <t>212-568-0786</t>
        </is>
      </c>
      <c r="E150" s="36" t="inlineStr">
        <is>
          <t>ADVAIR DISKUS 250-50MCG/DOSE AEROSOL 60EA</t>
        </is>
      </c>
      <c r="F150" s="36" t="inlineStr">
        <is>
          <t>00173069600</t>
        </is>
      </c>
      <c r="G150" s="36" t="inlineStr">
        <is>
          <t>_19450928|</t>
        </is>
      </c>
      <c r="H150" s="58" t="n">
        <v>45978</v>
      </c>
      <c r="I150" s="36" t="n">
        <v>90</v>
      </c>
      <c r="J150" s="36" t="n">
        <v>1</v>
      </c>
      <c r="K150" s="58" t="n">
        <v>46068</v>
      </c>
      <c r="L150" s="36" t="n">
        <v>15</v>
      </c>
      <c r="M150" s="36" t="inlineStr">
        <is>
          <t>Yes</t>
        </is>
      </c>
      <c r="N150" s="36" t="inlineStr">
        <is>
          <t>141921</t>
        </is>
      </c>
      <c r="O150" s="58" t="n">
        <v>46057</v>
      </c>
      <c r="P150" s="36" t="inlineStr">
        <is>
          <t>Covered by Other Rx</t>
        </is>
      </c>
      <c r="Q150" s="55" t="n">
        <v>0</v>
      </c>
      <c r="R150" s="36" t="inlineStr">
        <is>
          <t>Paid-Ins</t>
        </is>
      </c>
      <c r="S150" s="36" t="inlineStr">
        <is>
          <t>Picked Up</t>
        </is>
      </c>
      <c r="T150" s="36" t="inlineStr">
        <is>
          <t>CVS</t>
        </is>
      </c>
      <c r="U150" s="36" t="inlineStr">
        <is>
          <t>004336</t>
        </is>
      </c>
      <c r="V150" s="36" t="inlineStr">
        <is>
          <t>CABRERA  MICHELLE</t>
        </is>
      </c>
    </row>
    <row r="151">
      <c r="A151" s="36" t="inlineStr">
        <is>
          <t>128609</t>
        </is>
      </c>
      <c r="B151" s="36" t="inlineStr">
        <is>
          <t>ARIAS  WILFREDO</t>
        </is>
      </c>
      <c r="C151" s="58" t="inlineStr">
        <is>
          <t>04-29-1951</t>
        </is>
      </c>
      <c r="D151" s="36" t="inlineStr">
        <is>
          <t>929-353-3700</t>
        </is>
      </c>
      <c r="E151" s="36" t="inlineStr">
        <is>
          <t>XCOPRI 100 MG ORAL TABLET</t>
        </is>
      </c>
      <c r="F151" s="36" t="inlineStr">
        <is>
          <t>71699010030</t>
        </is>
      </c>
      <c r="G151" s="36" t="inlineStr">
        <is>
          <t>_19510429|</t>
        </is>
      </c>
      <c r="H151" s="58" t="n">
        <v>46038</v>
      </c>
      <c r="I151" s="36" t="n">
        <v>30</v>
      </c>
      <c r="J151" s="36" t="n">
        <v>1</v>
      </c>
      <c r="K151" s="58" t="n">
        <v>46068</v>
      </c>
      <c r="L151" s="36" t="n">
        <v>15</v>
      </c>
      <c r="M151" s="36" t="inlineStr">
        <is>
          <t>Yes</t>
        </is>
      </c>
      <c r="N151" s="36" t="inlineStr">
        <is>
          <t>141390</t>
        </is>
      </c>
      <c r="O151" s="58" t="n">
        <v>46055</v>
      </c>
      <c r="P151" s="36" t="inlineStr">
        <is>
          <t>Covered by Other Rx</t>
        </is>
      </c>
      <c r="Q151" s="55" t="n">
        <v>0</v>
      </c>
      <c r="R151" s="36" t="inlineStr">
        <is>
          <t>Paid-Ins</t>
        </is>
      </c>
      <c r="S151" s="36" t="inlineStr">
        <is>
          <t>Picked Up</t>
        </is>
      </c>
      <c r="T151" s="36" t="inlineStr">
        <is>
          <t>CVS</t>
        </is>
      </c>
      <c r="U151" s="36" t="inlineStr">
        <is>
          <t>004336</t>
        </is>
      </c>
      <c r="V151" s="36" t="inlineStr">
        <is>
          <t>Gisler  Tracey</t>
        </is>
      </c>
    </row>
    <row r="152">
      <c r="A152" s="36" t="inlineStr">
        <is>
          <t>131348</t>
        </is>
      </c>
      <c r="B152" s="36" t="inlineStr">
        <is>
          <t>CORTINAS  MARTHA</t>
        </is>
      </c>
      <c r="C152" s="58" t="inlineStr">
        <is>
          <t>01-21-1947</t>
        </is>
      </c>
      <c r="D152" s="36" t="inlineStr">
        <is>
          <t>212-234-4158</t>
        </is>
      </c>
      <c r="E152" s="36" t="inlineStr">
        <is>
          <t>GEMTESA 75MG TABLET</t>
        </is>
      </c>
      <c r="F152" s="36" t="inlineStr">
        <is>
          <t>73336007530</t>
        </is>
      </c>
      <c r="G152" s="36" t="inlineStr">
        <is>
          <t>_19470121|</t>
        </is>
      </c>
      <c r="H152" s="58" t="n">
        <v>45978</v>
      </c>
      <c r="I152" s="36" t="n">
        <v>90</v>
      </c>
      <c r="J152" s="36" t="n">
        <v>3</v>
      </c>
      <c r="K152" s="58" t="n">
        <v>46068</v>
      </c>
      <c r="L152" s="36" t="n">
        <v>15</v>
      </c>
      <c r="M152" s="36" t="inlineStr">
        <is>
          <t>Yes</t>
        </is>
      </c>
      <c r="N152" s="36" t="inlineStr">
        <is>
          <t>143048</t>
        </is>
      </c>
      <c r="O152" s="58" t="n">
        <v>46065</v>
      </c>
      <c r="P152" s="36" t="inlineStr">
        <is>
          <t>Covered by Other Rx</t>
        </is>
      </c>
      <c r="Q152" s="55" t="n">
        <v>0</v>
      </c>
      <c r="R152" s="36" t="inlineStr">
        <is>
          <t>Paid-Ins</t>
        </is>
      </c>
      <c r="S152" s="36" t="inlineStr">
        <is>
          <t>Picked Up</t>
        </is>
      </c>
      <c r="T152" s="36" t="inlineStr">
        <is>
          <t>CVS</t>
        </is>
      </c>
      <c r="U152" s="36" t="inlineStr">
        <is>
          <t>004336</t>
        </is>
      </c>
      <c r="V152" s="36" t="inlineStr">
        <is>
          <t>BADALATO  GINA</t>
        </is>
      </c>
    </row>
    <row r="153">
      <c r="A153" s="36" t="inlineStr">
        <is>
          <t>131379</t>
        </is>
      </c>
      <c r="B153" s="36" t="inlineStr">
        <is>
          <t>TAVAREZ  JUAN</t>
        </is>
      </c>
      <c r="C153" s="58" t="inlineStr">
        <is>
          <t>08-19-1942</t>
        </is>
      </c>
      <c r="D153" s="36" t="inlineStr">
        <is>
          <t>646-476-9280</t>
        </is>
      </c>
      <c r="E153" s="36" t="inlineStr">
        <is>
          <t>CONTOUR NEXT TEST  STRIPS</t>
        </is>
      </c>
      <c r="F153" s="36" t="inlineStr">
        <is>
          <t>00193731150</t>
        </is>
      </c>
      <c r="G153" s="36" t="inlineStr">
        <is>
          <t>_19420819|STRIPSONLY</t>
        </is>
      </c>
      <c r="H153" s="58" t="n">
        <v>45978</v>
      </c>
      <c r="I153" s="36" t="n">
        <v>90</v>
      </c>
      <c r="J153" s="36" t="n">
        <v>5</v>
      </c>
      <c r="K153" s="58" t="n">
        <v>46068</v>
      </c>
      <c r="L153" s="36" t="n">
        <v>15</v>
      </c>
      <c r="M153" s="36" t="inlineStr">
        <is>
          <t>Yes</t>
        </is>
      </c>
      <c r="N153" s="36" t="inlineStr">
        <is>
          <t>144802</t>
        </is>
      </c>
      <c r="O153" s="58" t="n">
        <v>46078</v>
      </c>
      <c r="P153" s="36" t="inlineStr">
        <is>
          <t>Covered by Other Rx</t>
        </is>
      </c>
      <c r="Q153" s="55" t="n">
        <v>0</v>
      </c>
      <c r="R153" s="36" t="inlineStr">
        <is>
          <t>Paid-Ins</t>
        </is>
      </c>
      <c r="S153" s="36" t="inlineStr">
        <is>
          <t>Picked Up</t>
        </is>
      </c>
      <c r="T153" s="36" t="inlineStr">
        <is>
          <t>CVS</t>
        </is>
      </c>
      <c r="U153" s="36" t="inlineStr">
        <is>
          <t>004336</t>
        </is>
      </c>
      <c r="V153" s="36" t="inlineStr">
        <is>
          <t>BATISTA HERASME  NATIVIDAD</t>
        </is>
      </c>
    </row>
    <row r="154">
      <c r="A154" s="36" t="inlineStr">
        <is>
          <t>131387</t>
        </is>
      </c>
      <c r="B154" s="36" t="inlineStr">
        <is>
          <t>SARETE  HIPOLITO</t>
        </is>
      </c>
      <c r="C154" s="58" t="inlineStr">
        <is>
          <t>07-07-1941</t>
        </is>
      </c>
      <c r="D154" s="36" t="inlineStr">
        <is>
          <t>212</t>
        </is>
      </c>
      <c r="E154" s="36" t="inlineStr">
        <is>
          <t>XARELTO 20MG TAB</t>
        </is>
      </c>
      <c r="F154" s="36" t="inlineStr">
        <is>
          <t>50458057930</t>
        </is>
      </c>
      <c r="G154" s="36" t="inlineStr">
        <is>
          <t>_19410707|MFP</t>
        </is>
      </c>
      <c r="H154" s="58" t="n">
        <v>45978</v>
      </c>
      <c r="I154" s="36" t="n">
        <v>90</v>
      </c>
      <c r="J154" s="36" t="n">
        <v>1</v>
      </c>
      <c r="K154" s="58" t="n">
        <v>46068</v>
      </c>
      <c r="L154" s="36" t="n">
        <v>15</v>
      </c>
      <c r="M154" s="36" t="inlineStr">
        <is>
          <t>Yes</t>
        </is>
      </c>
      <c r="N154" s="36" t="inlineStr">
        <is>
          <t>143033</t>
        </is>
      </c>
      <c r="O154" s="58" t="n">
        <v>46065</v>
      </c>
      <c r="P154" s="36" t="inlineStr">
        <is>
          <t>Covered by Other Rx</t>
        </is>
      </c>
      <c r="Q154" s="55" t="n">
        <v>0</v>
      </c>
      <c r="R154" s="36" t="inlineStr">
        <is>
          <t>Transmitted</t>
        </is>
      </c>
      <c r="S154" s="36" t="inlineStr">
        <is>
          <t>Picked Up</t>
        </is>
      </c>
      <c r="T154" s="36" t="inlineStr">
        <is>
          <t>ESI</t>
        </is>
      </c>
      <c r="U154" s="36" t="inlineStr">
        <is>
          <t>610014</t>
        </is>
      </c>
      <c r="V154" s="36" t="inlineStr">
        <is>
          <t>TRIKOUNAKIS  STEVE</t>
        </is>
      </c>
    </row>
    <row r="155">
      <c r="A155" s="36" t="inlineStr">
        <is>
          <t>133033</t>
        </is>
      </c>
      <c r="B155" s="36" t="inlineStr">
        <is>
          <t>BROWER  KEONI</t>
        </is>
      </c>
      <c r="C155" s="58" t="inlineStr">
        <is>
          <t>06-03-1983</t>
        </is>
      </c>
      <c r="D155" s="36" t="inlineStr">
        <is>
          <t>212-283-2720</t>
        </is>
      </c>
      <c r="E155" s="36" t="inlineStr">
        <is>
          <t>MOUNJARO 12.5 MG/0.5ML PEN-INJECTOR</t>
        </is>
      </c>
      <c r="F155" s="36" t="inlineStr">
        <is>
          <t>00002146080</t>
        </is>
      </c>
      <c r="G155" s="36" t="inlineStr">
        <is>
          <t>_19830603|</t>
        </is>
      </c>
      <c r="H155" s="58" t="n">
        <v>46041</v>
      </c>
      <c r="I155" s="36" t="n">
        <v>28</v>
      </c>
      <c r="J155" s="36" t="n">
        <v>3</v>
      </c>
      <c r="K155" s="58" t="n">
        <v>46069</v>
      </c>
      <c r="L155" s="36" t="n">
        <v>14</v>
      </c>
      <c r="M155" s="36" t="inlineStr">
        <is>
          <t>Yes</t>
        </is>
      </c>
      <c r="N155" s="36" t="inlineStr">
        <is>
          <t>143217</t>
        </is>
      </c>
      <c r="O155" s="58" t="n">
        <v>46066</v>
      </c>
      <c r="P155" s="36" t="inlineStr">
        <is>
          <t>Covered by Other Rx</t>
        </is>
      </c>
      <c r="Q155" s="55" t="n">
        <v>0</v>
      </c>
      <c r="R155" s="36" t="inlineStr">
        <is>
          <t>Transmitted</t>
        </is>
      </c>
      <c r="S155" s="36" t="inlineStr">
        <is>
          <t>Picked Up</t>
        </is>
      </c>
      <c r="T155" s="36" t="inlineStr">
        <is>
          <t>CVS</t>
        </is>
      </c>
      <c r="U155" s="36" t="inlineStr">
        <is>
          <t>004336</t>
        </is>
      </c>
      <c r="V155" s="36" t="inlineStr">
        <is>
          <t>Hold  Robert</t>
        </is>
      </c>
    </row>
    <row r="156">
      <c r="A156" s="36" t="inlineStr">
        <is>
          <t>121995</t>
        </is>
      </c>
      <c r="B156" s="36" t="inlineStr">
        <is>
          <t>ESPINAL  YOLANDA</t>
        </is>
      </c>
      <c r="C156" s="58" t="inlineStr">
        <is>
          <t>09-16-1949</t>
        </is>
      </c>
      <c r="D156" s="36" t="inlineStr">
        <is>
          <t>347-458-0945</t>
        </is>
      </c>
      <c r="E156" s="36" t="inlineStr">
        <is>
          <t>OZEMPIC (1 MG/DOSE) 4MG/3ML INJECTION</t>
        </is>
      </c>
      <c r="F156" s="36" t="inlineStr">
        <is>
          <t>00169413013</t>
        </is>
      </c>
      <c r="G156" s="36" t="inlineStr">
        <is>
          <t>_19490916|</t>
        </is>
      </c>
      <c r="H156" s="58" t="n">
        <v>45986</v>
      </c>
      <c r="I156" s="36" t="n">
        <v>84</v>
      </c>
      <c r="J156" s="36" t="n">
        <v>4</v>
      </c>
      <c r="K156" s="58" t="n">
        <v>46070</v>
      </c>
      <c r="L156" s="36" t="n">
        <v>13</v>
      </c>
      <c r="M156" s="36" t="inlineStr">
        <is>
          <t>Yes</t>
        </is>
      </c>
      <c r="N156" s="36" t="inlineStr">
        <is>
          <t>143486</t>
        </is>
      </c>
      <c r="O156" s="58" t="n">
        <v>46069</v>
      </c>
      <c r="P156" s="36" t="inlineStr">
        <is>
          <t>Covered by Other Rx</t>
        </is>
      </c>
      <c r="Q156" s="55" t="n">
        <v>0</v>
      </c>
      <c r="R156" s="36" t="inlineStr">
        <is>
          <t>Paid-Ins</t>
        </is>
      </c>
      <c r="S156" s="36" t="inlineStr">
        <is>
          <t>Picked Up</t>
        </is>
      </c>
      <c r="T156" s="36" t="inlineStr">
        <is>
          <t>CVS</t>
        </is>
      </c>
      <c r="U156" s="36" t="inlineStr">
        <is>
          <t>004336</t>
        </is>
      </c>
      <c r="V156" s="36" t="inlineStr">
        <is>
          <t>CABRERA  MICHELLE</t>
        </is>
      </c>
    </row>
    <row r="157">
      <c r="A157" s="36" t="inlineStr">
        <is>
          <t>131786</t>
        </is>
      </c>
      <c r="B157" s="36" t="inlineStr">
        <is>
          <t>POLANCO  MAXIMO</t>
        </is>
      </c>
      <c r="C157" s="58" t="inlineStr">
        <is>
          <t>10-28-1946</t>
        </is>
      </c>
      <c r="D157" s="36" t="inlineStr">
        <is>
          <t>917-945-0524</t>
        </is>
      </c>
      <c r="E157" s="36" t="inlineStr">
        <is>
          <t xml:space="preserve">JARDIANCE 10MG TAB </t>
        </is>
      </c>
      <c r="F157" s="36" t="inlineStr">
        <is>
          <t>00597015230</t>
        </is>
      </c>
      <c r="G157" s="36" t="inlineStr">
        <is>
          <t>_19461028|MFP</t>
        </is>
      </c>
      <c r="H157" s="58" t="n">
        <v>45980</v>
      </c>
      <c r="I157" s="36" t="n">
        <v>90</v>
      </c>
      <c r="J157" s="36" t="n">
        <v>3</v>
      </c>
      <c r="K157" s="58" t="n">
        <v>46070</v>
      </c>
      <c r="L157" s="36" t="n">
        <v>13</v>
      </c>
      <c r="M157" s="36" t="inlineStr">
        <is>
          <t>Yes</t>
        </is>
      </c>
      <c r="N157" s="36" t="inlineStr">
        <is>
          <t>139987</t>
        </is>
      </c>
      <c r="O157" s="58" t="n">
        <v>46043</v>
      </c>
      <c r="P157" s="36" t="inlineStr">
        <is>
          <t>Covered by Other Rx</t>
        </is>
      </c>
      <c r="Q157" s="55" t="n">
        <v>0</v>
      </c>
      <c r="R157" s="36" t="inlineStr">
        <is>
          <t>Paid-Ins</t>
        </is>
      </c>
      <c r="S157" s="36" t="inlineStr">
        <is>
          <t>Picked Up</t>
        </is>
      </c>
      <c r="T157" s="36" t="inlineStr">
        <is>
          <t>CVS</t>
        </is>
      </c>
      <c r="U157" s="36" t="inlineStr">
        <is>
          <t>004336</t>
        </is>
      </c>
      <c r="V157" s="36" t="inlineStr">
        <is>
          <t>Cohen  Adi</t>
        </is>
      </c>
    </row>
    <row r="158">
      <c r="A158" s="36" t="inlineStr">
        <is>
          <t>133803</t>
        </is>
      </c>
      <c r="B158" s="36" t="inlineStr">
        <is>
          <t>PEGUERO  HILARIO</t>
        </is>
      </c>
      <c r="C158" s="58" t="inlineStr">
        <is>
          <t>09-25-1946</t>
        </is>
      </c>
      <c r="D158" s="36" t="n">
        <v/>
      </c>
      <c r="E158" s="36" t="inlineStr">
        <is>
          <t>RHOPRESSA 0.02 % OPHTHALMIC SOLUTION</t>
        </is>
      </c>
      <c r="F158" s="36" t="inlineStr">
        <is>
          <t>70727049725</t>
        </is>
      </c>
      <c r="G158" s="36" t="inlineStr">
        <is>
          <t>_19460925|</t>
        </is>
      </c>
      <c r="H158" s="58" t="n">
        <v>45995</v>
      </c>
      <c r="I158" s="36" t="n">
        <v>75</v>
      </c>
      <c r="J158" s="36" t="n">
        <v>2</v>
      </c>
      <c r="K158" s="58" t="n">
        <v>46070</v>
      </c>
      <c r="L158" s="36" t="n">
        <v>13</v>
      </c>
      <c r="M158" s="36" t="inlineStr">
        <is>
          <t>Yes</t>
        </is>
      </c>
      <c r="N158" s="36" t="inlineStr">
        <is>
          <t>143487</t>
        </is>
      </c>
      <c r="O158" s="58" t="n">
        <v>46069</v>
      </c>
      <c r="P158" s="36" t="inlineStr">
        <is>
          <t>Covered by Other Rx</t>
        </is>
      </c>
      <c r="Q158" s="55" t="n">
        <v>0</v>
      </c>
      <c r="R158" s="36" t="inlineStr">
        <is>
          <t>Paid-Ins</t>
        </is>
      </c>
      <c r="S158" s="36" t="inlineStr">
        <is>
          <t>Picked Up</t>
        </is>
      </c>
      <c r="T158" s="36" t="inlineStr">
        <is>
          <t>CVS</t>
        </is>
      </c>
      <c r="U158" s="36" t="inlineStr">
        <is>
          <t>004336</t>
        </is>
      </c>
      <c r="V158" s="36" t="inlineStr">
        <is>
          <t>Cotliar  Arthur</t>
        </is>
      </c>
    </row>
    <row r="159">
      <c r="A159" s="36" t="inlineStr">
        <is>
          <t>109774</t>
        </is>
      </c>
      <c r="B159" s="36" t="inlineStr">
        <is>
          <t>HIDALGO  SONIA</t>
        </is>
      </c>
      <c r="C159" s="58" t="inlineStr">
        <is>
          <t>06-17-1954</t>
        </is>
      </c>
      <c r="D159" s="36" t="inlineStr">
        <is>
          <t>646-837-4598</t>
        </is>
      </c>
      <c r="E159" s="36" t="inlineStr">
        <is>
          <t xml:space="preserve">JARDIANCE 25MG TAB </t>
        </is>
      </c>
      <c r="F159" s="36" t="inlineStr">
        <is>
          <t>00597015330</t>
        </is>
      </c>
      <c r="G159" s="36" t="inlineStr">
        <is>
          <t>_19540617|MFP</t>
        </is>
      </c>
      <c r="H159" s="58" t="n">
        <v>45981</v>
      </c>
      <c r="I159" s="36" t="n">
        <v>90</v>
      </c>
      <c r="J159" s="36" t="n">
        <v>1</v>
      </c>
      <c r="K159" s="58" t="n">
        <v>46071</v>
      </c>
      <c r="L159" s="36" t="n">
        <v>12</v>
      </c>
      <c r="M159" s="36" t="inlineStr">
        <is>
          <t>Yes</t>
        </is>
      </c>
      <c r="N159" s="36" t="inlineStr">
        <is>
          <t>143510</t>
        </is>
      </c>
      <c r="O159" s="58" t="n">
        <v>46069</v>
      </c>
      <c r="P159" s="36" t="inlineStr">
        <is>
          <t>Covered by Other Rx</t>
        </is>
      </c>
      <c r="Q159" s="55" t="n">
        <v>0</v>
      </c>
      <c r="R159" s="36" t="inlineStr">
        <is>
          <t>Paid-Ins</t>
        </is>
      </c>
      <c r="S159" s="36" t="inlineStr">
        <is>
          <t>Picked Up</t>
        </is>
      </c>
      <c r="T159" s="36" t="inlineStr">
        <is>
          <t>CVS</t>
        </is>
      </c>
      <c r="U159" s="36" t="inlineStr">
        <is>
          <t>004336</t>
        </is>
      </c>
      <c r="V159" s="36" t="inlineStr">
        <is>
          <t>Nyabera  Akwe</t>
        </is>
      </c>
    </row>
    <row r="160">
      <c r="A160" s="36" t="inlineStr">
        <is>
          <t>115458</t>
        </is>
      </c>
      <c r="B160" s="36" t="inlineStr">
        <is>
          <t>BUSTAMANTE  MARISSA</t>
        </is>
      </c>
      <c r="C160" s="58" t="inlineStr">
        <is>
          <t>06-02-1968</t>
        </is>
      </c>
      <c r="D160" s="36" t="inlineStr">
        <is>
          <t>347-951-4161</t>
        </is>
      </c>
      <c r="E160" s="36" t="inlineStr">
        <is>
          <t>FREESTYLE LIBRE 3 SENSOR</t>
        </is>
      </c>
      <c r="F160" s="36" t="inlineStr">
        <is>
          <t>57599081800</t>
        </is>
      </c>
      <c r="G160" s="36" t="inlineStr">
        <is>
          <t>_19680602|STRIPSONLY</t>
        </is>
      </c>
      <c r="H160" s="58" t="n">
        <v>46043</v>
      </c>
      <c r="I160" s="36" t="n">
        <v>28</v>
      </c>
      <c r="J160" s="36" t="n">
        <v>5</v>
      </c>
      <c r="K160" s="58" t="n">
        <v>46071</v>
      </c>
      <c r="L160" s="36" t="n">
        <v>12</v>
      </c>
      <c r="M160" s="36" t="inlineStr">
        <is>
          <t>Yes</t>
        </is>
      </c>
      <c r="N160" s="36" t="inlineStr">
        <is>
          <t>144723</t>
        </is>
      </c>
      <c r="O160" s="58" t="n">
        <v>46078</v>
      </c>
      <c r="P160" s="36" t="inlineStr">
        <is>
          <t>Covered by Other Rx</t>
        </is>
      </c>
      <c r="Q160" s="55" t="n">
        <v>0</v>
      </c>
      <c r="R160" s="36" t="inlineStr">
        <is>
          <t>Transmitted</t>
        </is>
      </c>
      <c r="S160" s="36" t="inlineStr">
        <is>
          <t>Picked Up</t>
        </is>
      </c>
      <c r="T160" s="36" t="inlineStr">
        <is>
          <t>ESI</t>
        </is>
      </c>
      <c r="U160" s="36" t="inlineStr">
        <is>
          <t>017010</t>
        </is>
      </c>
      <c r="V160" s="36" t="inlineStr">
        <is>
          <t>Nguyen  James</t>
        </is>
      </c>
    </row>
    <row r="161">
      <c r="A161" s="36" t="inlineStr">
        <is>
          <t>132500</t>
        </is>
      </c>
      <c r="B161" s="36" t="inlineStr">
        <is>
          <t>SORIANO  SANDRA</t>
        </is>
      </c>
      <c r="C161" s="58" t="inlineStr">
        <is>
          <t>09-30-1963</t>
        </is>
      </c>
      <c r="D161" s="36" t="n">
        <v/>
      </c>
      <c r="E161" s="36" t="inlineStr">
        <is>
          <t>SYMBICORT 80-4.5MCG/ACT AEROSOL</t>
        </is>
      </c>
      <c r="F161" s="36" t="inlineStr">
        <is>
          <t>00186037220</t>
        </is>
      </c>
      <c r="G161" s="36" t="inlineStr">
        <is>
          <t>_19630930|</t>
        </is>
      </c>
      <c r="H161" s="58" t="n">
        <v>46041</v>
      </c>
      <c r="I161" s="36" t="n">
        <v>30</v>
      </c>
      <c r="J161" s="36" t="n">
        <v>1</v>
      </c>
      <c r="K161" s="58" t="n">
        <v>46071</v>
      </c>
      <c r="L161" s="36" t="n">
        <v>12</v>
      </c>
      <c r="M161" s="36" t="inlineStr">
        <is>
          <t>Yes</t>
        </is>
      </c>
      <c r="N161" s="36" t="inlineStr">
        <is>
          <t>143419</t>
        </is>
      </c>
      <c r="O161" s="58" t="n">
        <v>46069</v>
      </c>
      <c r="P161" s="36" t="inlineStr">
        <is>
          <t>Covered by Other Rx</t>
        </is>
      </c>
      <c r="Q161" s="55" t="n">
        <v>0</v>
      </c>
      <c r="R161" s="36" t="inlineStr">
        <is>
          <t>Paid-Ins</t>
        </is>
      </c>
      <c r="S161" s="36" t="inlineStr">
        <is>
          <t>Picked Up</t>
        </is>
      </c>
      <c r="T161" s="36" t="inlineStr">
        <is>
          <t>NYM</t>
        </is>
      </c>
      <c r="U161" s="36" t="inlineStr">
        <is>
          <t>004740</t>
        </is>
      </c>
      <c r="V161" s="36" t="inlineStr">
        <is>
          <t>SAHA  TRISHA</t>
        </is>
      </c>
    </row>
    <row r="162">
      <c r="A162" s="36" t="inlineStr">
        <is>
          <t>136013</t>
        </is>
      </c>
      <c r="B162" s="36" t="inlineStr">
        <is>
          <t>BLANCO  LARRY</t>
        </is>
      </c>
      <c r="C162" s="58" t="inlineStr">
        <is>
          <t>03-02-1964</t>
        </is>
      </c>
      <c r="D162" s="36" t="inlineStr">
        <is>
          <t>212-491-9003</t>
        </is>
      </c>
      <c r="E162" s="36" t="inlineStr">
        <is>
          <t>SEGLUROMET 2.5-1000MG TABLET</t>
        </is>
      </c>
      <c r="F162" s="36" t="inlineStr">
        <is>
          <t>00006537303</t>
        </is>
      </c>
      <c r="G162" s="36" t="inlineStr">
        <is>
          <t>_19640302|</t>
        </is>
      </c>
      <c r="H162" s="58" t="n">
        <v>46041</v>
      </c>
      <c r="I162" s="36" t="n">
        <v>30</v>
      </c>
      <c r="J162" s="36" t="n">
        <v>1</v>
      </c>
      <c r="K162" s="58" t="n">
        <v>46071</v>
      </c>
      <c r="L162" s="36" t="n">
        <v>12</v>
      </c>
      <c r="M162" s="36" t="inlineStr">
        <is>
          <t>Yes</t>
        </is>
      </c>
      <c r="N162" s="36" t="inlineStr">
        <is>
          <t>141393</t>
        </is>
      </c>
      <c r="O162" s="58" t="n">
        <v>46080</v>
      </c>
      <c r="P162" s="36" t="inlineStr">
        <is>
          <t>Covered by Other Rx</t>
        </is>
      </c>
      <c r="Q162" s="55" t="n">
        <v>0</v>
      </c>
      <c r="R162" s="36" t="inlineStr">
        <is>
          <t>Paid-Ins</t>
        </is>
      </c>
      <c r="S162" s="36" t="inlineStr">
        <is>
          <t>Picked Up</t>
        </is>
      </c>
      <c r="T162" s="36" t="inlineStr">
        <is>
          <t>NYM</t>
        </is>
      </c>
      <c r="U162" s="36" t="inlineStr">
        <is>
          <t>004740</t>
        </is>
      </c>
      <c r="V162" s="36" t="inlineStr">
        <is>
          <t>CARTER  JAMES</t>
        </is>
      </c>
    </row>
    <row r="163">
      <c r="A163" s="36" t="inlineStr">
        <is>
          <t>139595</t>
        </is>
      </c>
      <c r="B163" s="36" t="inlineStr">
        <is>
          <t>MOISE  MARGARETTE</t>
        </is>
      </c>
      <c r="C163" s="58" t="inlineStr">
        <is>
          <t>09-12-1959</t>
        </is>
      </c>
      <c r="D163" s="36" t="inlineStr">
        <is>
          <t>347-922-1523</t>
        </is>
      </c>
      <c r="E163" s="36" t="inlineStr">
        <is>
          <t>CONTOUR NEXT TEST  STRIPS</t>
        </is>
      </c>
      <c r="F163" s="36" t="inlineStr">
        <is>
          <t>00193731150</t>
        </is>
      </c>
      <c r="G163" s="36" t="inlineStr">
        <is>
          <t>_19590912|STRIPSONLY</t>
        </is>
      </c>
      <c r="H163" s="58" t="n">
        <v>46041</v>
      </c>
      <c r="I163" s="36" t="n">
        <v>30</v>
      </c>
      <c r="J163" s="36" t="n">
        <v>5</v>
      </c>
      <c r="K163" s="58" t="n">
        <v>46071</v>
      </c>
      <c r="L163" s="36" t="n">
        <v>12</v>
      </c>
      <c r="M163" s="36" t="inlineStr">
        <is>
          <t>Yes</t>
        </is>
      </c>
      <c r="N163" s="36" t="inlineStr">
        <is>
          <t>143445</t>
        </is>
      </c>
      <c r="O163" s="58" t="n">
        <v>46069</v>
      </c>
      <c r="P163" s="36" t="inlineStr">
        <is>
          <t>Covered by Other Rx</t>
        </is>
      </c>
      <c r="Q163" s="55" t="n">
        <v>0</v>
      </c>
      <c r="R163" s="36" t="inlineStr">
        <is>
          <t>Paid-Ins</t>
        </is>
      </c>
      <c r="S163" s="36" t="inlineStr">
        <is>
          <t>Picked Up</t>
        </is>
      </c>
      <c r="T163" s="36" t="inlineStr">
        <is>
          <t>CVS</t>
        </is>
      </c>
      <c r="U163" s="36" t="inlineStr">
        <is>
          <t>004336</t>
        </is>
      </c>
      <c r="V163" s="36" t="inlineStr">
        <is>
          <t>FRANCOIS  MAX</t>
        </is>
      </c>
    </row>
    <row r="164">
      <c r="A164" s="36" t="inlineStr">
        <is>
          <t>139931</t>
        </is>
      </c>
      <c r="B164" s="36" t="inlineStr">
        <is>
          <t>CAMPOS  FRANKLIN</t>
        </is>
      </c>
      <c r="C164" s="58" t="inlineStr">
        <is>
          <t>09-18-1955</t>
        </is>
      </c>
      <c r="D164" s="36" t="inlineStr">
        <is>
          <t>646-250-6945</t>
        </is>
      </c>
      <c r="E164" s="36" t="inlineStr">
        <is>
          <t>OZEMPIC (0.25 OR 0.5 MG/DOSE) 2 MG/3ML PEN-INJECTOR</t>
        </is>
      </c>
      <c r="F164" s="36" t="inlineStr">
        <is>
          <t>00169418113</t>
        </is>
      </c>
      <c r="G164" s="36" t="inlineStr">
        <is>
          <t>_19550918|</t>
        </is>
      </c>
      <c r="H164" s="58" t="n">
        <v>46043</v>
      </c>
      <c r="I164" s="36" t="n">
        <v>28</v>
      </c>
      <c r="J164" s="36" t="n">
        <v>5</v>
      </c>
      <c r="K164" s="58" t="n">
        <v>46071</v>
      </c>
      <c r="L164" s="36" t="n">
        <v>12</v>
      </c>
      <c r="M164" s="36" t="inlineStr">
        <is>
          <t>Yes</t>
        </is>
      </c>
      <c r="N164" s="36" t="inlineStr">
        <is>
          <t>136731</t>
        </is>
      </c>
      <c r="O164" s="58" t="n">
        <v>46076</v>
      </c>
      <c r="P164" s="36" t="inlineStr">
        <is>
          <t>Covered by Other Rx</t>
        </is>
      </c>
      <c r="Q164" s="55" t="n">
        <v>0</v>
      </c>
      <c r="R164" s="36" t="inlineStr">
        <is>
          <t>Paid-Ins</t>
        </is>
      </c>
      <c r="S164" s="36" t="inlineStr">
        <is>
          <t>Picked Up</t>
        </is>
      </c>
      <c r="T164" s="36" t="inlineStr">
        <is>
          <t>CVS</t>
        </is>
      </c>
      <c r="U164" s="36" t="inlineStr">
        <is>
          <t>004336</t>
        </is>
      </c>
      <c r="V164" s="36" t="inlineStr">
        <is>
          <t>Smith  Steven</t>
        </is>
      </c>
    </row>
    <row r="165">
      <c r="A165" s="36" t="inlineStr">
        <is>
          <t>132097</t>
        </is>
      </c>
      <c r="B165" s="36" t="inlineStr">
        <is>
          <t>CANTOS  CARLOS</t>
        </is>
      </c>
      <c r="C165" s="58" t="inlineStr">
        <is>
          <t>11-09-1935</t>
        </is>
      </c>
      <c r="D165" s="36" t="inlineStr">
        <is>
          <t>917-721-9643</t>
        </is>
      </c>
      <c r="E165" s="36" t="inlineStr">
        <is>
          <t xml:space="preserve">ELIQUIS 5MG TAB </t>
        </is>
      </c>
      <c r="F165" s="36" t="inlineStr">
        <is>
          <t>00003089421</t>
        </is>
      </c>
      <c r="G165" s="36" t="inlineStr">
        <is>
          <t>_19351109|MFP</t>
        </is>
      </c>
      <c r="H165" s="58" t="n">
        <v>45982</v>
      </c>
      <c r="I165" s="36" t="n">
        <v>90</v>
      </c>
      <c r="J165" s="36" t="n">
        <v>3</v>
      </c>
      <c r="K165" s="58" t="n">
        <v>46072</v>
      </c>
      <c r="L165" s="36" t="n">
        <v>11</v>
      </c>
      <c r="M165" s="36" t="inlineStr">
        <is>
          <t>Yes</t>
        </is>
      </c>
      <c r="N165" s="36" t="inlineStr">
        <is>
          <t>143572</t>
        </is>
      </c>
      <c r="O165" s="58" t="n">
        <v>46070</v>
      </c>
      <c r="P165" s="36" t="inlineStr">
        <is>
          <t>Covered by Other Rx</t>
        </is>
      </c>
      <c r="Q165" s="55" t="n">
        <v>0</v>
      </c>
      <c r="R165" s="36" t="inlineStr">
        <is>
          <t>Paid-Ins</t>
        </is>
      </c>
      <c r="S165" s="36" t="inlineStr">
        <is>
          <t>Picked Up</t>
        </is>
      </c>
      <c r="T165" s="36" t="inlineStr">
        <is>
          <t>CVS</t>
        </is>
      </c>
      <c r="U165" s="36" t="inlineStr">
        <is>
          <t>004336</t>
        </is>
      </c>
      <c r="V165" s="36" t="inlineStr">
        <is>
          <t>SNYDER  DANIEL</t>
        </is>
      </c>
    </row>
    <row r="166">
      <c r="A166" s="36" t="inlineStr">
        <is>
          <t>132111</t>
        </is>
      </c>
      <c r="B166" s="36" t="inlineStr">
        <is>
          <t>GREENE  ELLIOTT</t>
        </is>
      </c>
      <c r="C166" s="58" t="inlineStr">
        <is>
          <t>06-20-1979</t>
        </is>
      </c>
      <c r="D166" s="36" t="inlineStr">
        <is>
          <t>347-547-9843</t>
        </is>
      </c>
      <c r="E166" s="36" t="inlineStr">
        <is>
          <t xml:space="preserve">JARDIANCE 25MG TAB </t>
        </is>
      </c>
      <c r="F166" s="36" t="inlineStr">
        <is>
          <t>00597015330</t>
        </is>
      </c>
      <c r="G166" s="36" t="inlineStr">
        <is>
          <t>_19790620|MFP</t>
        </is>
      </c>
      <c r="H166" s="58" t="n">
        <v>45982</v>
      </c>
      <c r="I166" s="36" t="n">
        <v>90</v>
      </c>
      <c r="J166" s="36" t="n">
        <v>3</v>
      </c>
      <c r="K166" s="58" t="n">
        <v>46072</v>
      </c>
      <c r="L166" s="36" t="n">
        <v>11</v>
      </c>
      <c r="M166" s="36" t="inlineStr">
        <is>
          <t>Yes</t>
        </is>
      </c>
      <c r="N166" s="36" t="inlineStr">
        <is>
          <t>143566</t>
        </is>
      </c>
      <c r="O166" s="58" t="n">
        <v>46070</v>
      </c>
      <c r="P166" s="36" t="inlineStr">
        <is>
          <t>Covered by Other Rx</t>
        </is>
      </c>
      <c r="Q166" s="55" t="n">
        <v>0</v>
      </c>
      <c r="R166" s="36" t="inlineStr">
        <is>
          <t>Paid-Ins</t>
        </is>
      </c>
      <c r="S166" s="36" t="inlineStr">
        <is>
          <t>Picked Up</t>
        </is>
      </c>
      <c r="T166" s="36" t="n">
        <v/>
      </c>
      <c r="U166" s="36" t="inlineStr">
        <is>
          <t>020115</t>
        </is>
      </c>
      <c r="V166" s="36" t="inlineStr">
        <is>
          <t>Anokye  Robert</t>
        </is>
      </c>
    </row>
    <row r="167">
      <c r="A167" s="36" t="inlineStr">
        <is>
          <t>139757</t>
        </is>
      </c>
      <c r="B167" s="36" t="inlineStr">
        <is>
          <t>MENA  ANA</t>
        </is>
      </c>
      <c r="C167" s="58" t="inlineStr">
        <is>
          <t>04-27-1957</t>
        </is>
      </c>
      <c r="D167" s="36" t="n">
        <v/>
      </c>
      <c r="E167" s="36" t="inlineStr">
        <is>
          <t>SYNJARDY 12.5-1000MG TABLET</t>
        </is>
      </c>
      <c r="F167" s="36" t="inlineStr">
        <is>
          <t>00597016860</t>
        </is>
      </c>
      <c r="G167" s="36" t="inlineStr">
        <is>
          <t>_19570427|</t>
        </is>
      </c>
      <c r="H167" s="58" t="n">
        <v>46042</v>
      </c>
      <c r="I167" s="36" t="n">
        <v>30</v>
      </c>
      <c r="J167" s="36" t="n">
        <v>5</v>
      </c>
      <c r="K167" s="58" t="n">
        <v>46072</v>
      </c>
      <c r="L167" s="36" t="n">
        <v>11</v>
      </c>
      <c r="M167" s="36" t="inlineStr">
        <is>
          <t>Yes</t>
        </is>
      </c>
      <c r="N167" s="36" t="inlineStr">
        <is>
          <t>134398</t>
        </is>
      </c>
      <c r="O167" s="58" t="n">
        <v>46081</v>
      </c>
      <c r="P167" s="36" t="inlineStr">
        <is>
          <t>Covered by Other Rx</t>
        </is>
      </c>
      <c r="Q167" s="55" t="n">
        <v>0</v>
      </c>
      <c r="R167" s="36" t="inlineStr">
        <is>
          <t>Paid-Ins</t>
        </is>
      </c>
      <c r="S167" s="36" t="inlineStr">
        <is>
          <t>Picked Up</t>
        </is>
      </c>
      <c r="T167" s="36" t="inlineStr">
        <is>
          <t>CVS</t>
        </is>
      </c>
      <c r="U167" s="36" t="inlineStr">
        <is>
          <t>004336</t>
        </is>
      </c>
      <c r="V167" s="36" t="inlineStr">
        <is>
          <t>ESCOBAR  JOSE GONZALO</t>
        </is>
      </c>
    </row>
    <row r="168">
      <c r="A168" s="36" t="inlineStr">
        <is>
          <t>139882</t>
        </is>
      </c>
      <c r="B168" s="36" t="inlineStr">
        <is>
          <t>DIAZ  ANA</t>
        </is>
      </c>
      <c r="C168" s="58" t="inlineStr">
        <is>
          <t>07-26-1952</t>
        </is>
      </c>
      <c r="D168" s="36" t="inlineStr">
        <is>
          <t>212-234-6991</t>
        </is>
      </c>
      <c r="E168" s="36" t="inlineStr">
        <is>
          <t>GEMTESA 75MG TABLET</t>
        </is>
      </c>
      <c r="F168" s="36" t="inlineStr">
        <is>
          <t>73336007530</t>
        </is>
      </c>
      <c r="G168" s="36" t="inlineStr">
        <is>
          <t>_19520726|</t>
        </is>
      </c>
      <c r="H168" s="58" t="n">
        <v>46042</v>
      </c>
      <c r="I168" s="36" t="n">
        <v>30</v>
      </c>
      <c r="J168" s="36" t="n">
        <v>3</v>
      </c>
      <c r="K168" s="58" t="n">
        <v>46072</v>
      </c>
      <c r="L168" s="36" t="n">
        <v>11</v>
      </c>
      <c r="M168" s="36" t="inlineStr">
        <is>
          <t>Yes</t>
        </is>
      </c>
      <c r="N168" s="36" t="inlineStr">
        <is>
          <t>143569</t>
        </is>
      </c>
      <c r="O168" s="58" t="n">
        <v>46070</v>
      </c>
      <c r="P168" s="36" t="inlineStr">
        <is>
          <t>Covered by Other Rx</t>
        </is>
      </c>
      <c r="Q168" s="55" t="n">
        <v>0</v>
      </c>
      <c r="R168" s="36" t="inlineStr">
        <is>
          <t>Paid-Ins</t>
        </is>
      </c>
      <c r="S168" s="36" t="inlineStr">
        <is>
          <t>Picked Up</t>
        </is>
      </c>
      <c r="T168" s="36" t="inlineStr">
        <is>
          <t>CVS</t>
        </is>
      </c>
      <c r="U168" s="36" t="inlineStr">
        <is>
          <t>004336</t>
        </is>
      </c>
      <c r="V168" s="36" t="inlineStr">
        <is>
          <t>Hermann  Emilia</t>
        </is>
      </c>
    </row>
    <row r="169">
      <c r="A169" s="36" t="inlineStr">
        <is>
          <t>125256</t>
        </is>
      </c>
      <c r="B169" s="36" t="inlineStr">
        <is>
          <t>LEON  CESAR</t>
        </is>
      </c>
      <c r="C169" s="58" t="inlineStr">
        <is>
          <t>10-30-1948</t>
        </is>
      </c>
      <c r="D169" s="36" t="inlineStr">
        <is>
          <t>212</t>
        </is>
      </c>
      <c r="E169" s="36" t="inlineStr">
        <is>
          <t>JULUCA 50-25MG TABLET</t>
        </is>
      </c>
      <c r="F169" s="36" t="inlineStr">
        <is>
          <t>49702024213</t>
        </is>
      </c>
      <c r="G169" s="36" t="inlineStr">
        <is>
          <t>_19481030|</t>
        </is>
      </c>
      <c r="H169" s="58" t="n">
        <v>46043</v>
      </c>
      <c r="I169" s="36" t="n">
        <v>30</v>
      </c>
      <c r="J169" s="36" t="n">
        <v>1</v>
      </c>
      <c r="K169" s="58" t="n">
        <v>46073</v>
      </c>
      <c r="L169" s="36" t="n">
        <v>10</v>
      </c>
      <c r="M169" s="36" t="inlineStr">
        <is>
          <t>Yes</t>
        </is>
      </c>
      <c r="N169" s="36" t="inlineStr">
        <is>
          <t>143750</t>
        </is>
      </c>
      <c r="O169" s="58" t="n">
        <v>46071</v>
      </c>
      <c r="P169" s="36" t="inlineStr">
        <is>
          <t>Covered by Other Rx</t>
        </is>
      </c>
      <c r="Q169" s="55" t="n">
        <v>0</v>
      </c>
      <c r="R169" s="36" t="inlineStr">
        <is>
          <t>Paid-Ins</t>
        </is>
      </c>
      <c r="S169" s="36" t="inlineStr">
        <is>
          <t>Picked Up</t>
        </is>
      </c>
      <c r="T169" s="36" t="inlineStr">
        <is>
          <t>CVS</t>
        </is>
      </c>
      <c r="U169" s="36" t="inlineStr">
        <is>
          <t>004336</t>
        </is>
      </c>
      <c r="V169" s="36" t="inlineStr">
        <is>
          <t>BORREGO  FERNANDO</t>
        </is>
      </c>
    </row>
    <row r="170">
      <c r="A170" s="36" t="inlineStr">
        <is>
          <t>132805</t>
        </is>
      </c>
      <c r="B170" s="36" t="inlineStr">
        <is>
          <t>MATEO BAUTISTA  YOLANDA</t>
        </is>
      </c>
      <c r="C170" s="58" t="inlineStr">
        <is>
          <t>12-14-1949</t>
        </is>
      </c>
      <c r="D170" s="36" t="inlineStr">
        <is>
          <t>212-862-4810</t>
        </is>
      </c>
      <c r="E170" s="36" t="inlineStr">
        <is>
          <t>JANUMET 50-1000MG TABLET</t>
        </is>
      </c>
      <c r="F170" s="36" t="inlineStr">
        <is>
          <t>00006057761</t>
        </is>
      </c>
      <c r="G170" s="36" t="inlineStr">
        <is>
          <t>_19491214|</t>
        </is>
      </c>
      <c r="H170" s="58" t="n">
        <v>46043</v>
      </c>
      <c r="I170" s="36" t="n">
        <v>30</v>
      </c>
      <c r="J170" s="36" t="n">
        <v>1</v>
      </c>
      <c r="K170" s="58" t="n">
        <v>46073</v>
      </c>
      <c r="L170" s="36" t="n">
        <v>10</v>
      </c>
      <c r="M170" s="36" t="inlineStr">
        <is>
          <t>Yes</t>
        </is>
      </c>
      <c r="N170" s="36" t="inlineStr">
        <is>
          <t>143748</t>
        </is>
      </c>
      <c r="O170" s="58" t="n">
        <v>46071</v>
      </c>
      <c r="P170" s="36" t="inlineStr">
        <is>
          <t>Covered by Other Rx</t>
        </is>
      </c>
      <c r="Q170" s="55" t="n">
        <v>0</v>
      </c>
      <c r="R170" s="36" t="inlineStr">
        <is>
          <t>Paid-Ins</t>
        </is>
      </c>
      <c r="S170" s="36" t="inlineStr">
        <is>
          <t>Picked Up</t>
        </is>
      </c>
      <c r="T170" s="36" t="inlineStr">
        <is>
          <t>CVS</t>
        </is>
      </c>
      <c r="U170" s="36" t="inlineStr">
        <is>
          <t>004336</t>
        </is>
      </c>
      <c r="V170" s="36" t="inlineStr">
        <is>
          <t>Fabian-Morales  Wellington</t>
        </is>
      </c>
    </row>
    <row r="171">
      <c r="A171" s="36" t="inlineStr">
        <is>
          <t>110024</t>
        </is>
      </c>
      <c r="B171" s="36" t="inlineStr">
        <is>
          <t>PERALTA  HECTOR</t>
        </is>
      </c>
      <c r="C171" s="58" t="inlineStr">
        <is>
          <t>08-21-1959</t>
        </is>
      </c>
      <c r="D171" s="36" t="inlineStr">
        <is>
          <t>917-806-8450</t>
        </is>
      </c>
      <c r="E171" s="36" t="inlineStr">
        <is>
          <t>JANUMET 50-1000MG TABLET</t>
        </is>
      </c>
      <c r="F171" s="36" t="inlineStr">
        <is>
          <t>00006057761</t>
        </is>
      </c>
      <c r="G171" s="36" t="inlineStr">
        <is>
          <t>_19590821|</t>
        </is>
      </c>
      <c r="H171" s="58" t="n">
        <v>45985</v>
      </c>
      <c r="I171" s="36" t="n">
        <v>90</v>
      </c>
      <c r="J171" s="36" t="n">
        <v>1</v>
      </c>
      <c r="K171" s="58" t="n">
        <v>46075</v>
      </c>
      <c r="L171" s="36" t="n">
        <v>8</v>
      </c>
      <c r="M171" s="36" t="inlineStr">
        <is>
          <t>Yes</t>
        </is>
      </c>
      <c r="N171" s="36" t="inlineStr">
        <is>
          <t>144036</t>
        </is>
      </c>
      <c r="O171" s="58" t="n">
        <v>46072</v>
      </c>
      <c r="P171" s="36" t="inlineStr">
        <is>
          <t>Covered by Other Rx</t>
        </is>
      </c>
      <c r="Q171" s="55" t="n">
        <v>0</v>
      </c>
      <c r="R171" s="36" t="inlineStr">
        <is>
          <t>Paid-Ins</t>
        </is>
      </c>
      <c r="S171" s="36" t="inlineStr">
        <is>
          <t>Picked Up</t>
        </is>
      </c>
      <c r="T171" s="36" t="inlineStr">
        <is>
          <t>CVS</t>
        </is>
      </c>
      <c r="U171" s="36" t="inlineStr">
        <is>
          <t>004336</t>
        </is>
      </c>
      <c r="V171" s="36" t="inlineStr">
        <is>
          <t>CHAVARRIA  NELSON</t>
        </is>
      </c>
    </row>
    <row r="172">
      <c r="A172" s="36" t="inlineStr">
        <is>
          <t>110027</t>
        </is>
      </c>
      <c r="B172" s="36" t="inlineStr">
        <is>
          <t>ROSA  ABILES</t>
        </is>
      </c>
      <c r="C172" s="58" t="inlineStr">
        <is>
          <t>02-16-1951</t>
        </is>
      </c>
      <c r="D172" s="36" t="inlineStr">
        <is>
          <t>917-337-5821</t>
        </is>
      </c>
      <c r="E172" s="36" t="inlineStr">
        <is>
          <t xml:space="preserve">JARDIANCE 25MG TAB </t>
        </is>
      </c>
      <c r="F172" s="36" t="inlineStr">
        <is>
          <t>00597015330</t>
        </is>
      </c>
      <c r="G172" s="36" t="inlineStr">
        <is>
          <t>_19510216|MFP</t>
        </is>
      </c>
      <c r="H172" s="58" t="n">
        <v>45985</v>
      </c>
      <c r="I172" s="36" t="n">
        <v>90</v>
      </c>
      <c r="J172" s="36" t="n">
        <v>1</v>
      </c>
      <c r="K172" s="58" t="n">
        <v>46075</v>
      </c>
      <c r="L172" s="36" t="n">
        <v>8</v>
      </c>
      <c r="M172" s="36" t="inlineStr">
        <is>
          <t>Yes</t>
        </is>
      </c>
      <c r="N172" s="36" t="inlineStr">
        <is>
          <t>143966</t>
        </is>
      </c>
      <c r="O172" s="58" t="n">
        <v>46072</v>
      </c>
      <c r="P172" s="36" t="inlineStr">
        <is>
          <t>Covered by Other Rx</t>
        </is>
      </c>
      <c r="Q172" s="55" t="n">
        <v>0</v>
      </c>
      <c r="R172" s="36" t="inlineStr">
        <is>
          <t>Paid-Ins</t>
        </is>
      </c>
      <c r="S172" s="36" t="inlineStr">
        <is>
          <t>Picked Up</t>
        </is>
      </c>
      <c r="T172" s="36" t="inlineStr">
        <is>
          <t>CVS</t>
        </is>
      </c>
      <c r="U172" s="36" t="inlineStr">
        <is>
          <t>004336</t>
        </is>
      </c>
      <c r="V172" s="36" t="inlineStr">
        <is>
          <t>GUZMAN  RODOLFO</t>
        </is>
      </c>
    </row>
    <row r="173">
      <c r="A173" s="36" t="inlineStr">
        <is>
          <t>110817</t>
        </is>
      </c>
      <c r="B173" s="36" t="inlineStr">
        <is>
          <t>GARCIA  AMBIORIS</t>
        </is>
      </c>
      <c r="C173" s="58" t="inlineStr">
        <is>
          <t>11-12-1953</t>
        </is>
      </c>
      <c r="D173" s="36" t="inlineStr">
        <is>
          <t>347-755-5914</t>
        </is>
      </c>
      <c r="E173" s="36" t="inlineStr">
        <is>
          <t xml:space="preserve">JARDIANCE 25MG TAB </t>
        </is>
      </c>
      <c r="F173" s="36" t="inlineStr">
        <is>
          <t>00597015330</t>
        </is>
      </c>
      <c r="G173" s="36" t="inlineStr">
        <is>
          <t>_19531112|MFP</t>
        </is>
      </c>
      <c r="H173" s="58" t="n">
        <v>45985</v>
      </c>
      <c r="I173" s="36" t="n">
        <v>90</v>
      </c>
      <c r="J173" s="36" t="n">
        <v>1</v>
      </c>
      <c r="K173" s="58" t="n">
        <v>46075</v>
      </c>
      <c r="L173" s="36" t="n">
        <v>8</v>
      </c>
      <c r="M173" s="36" t="inlineStr">
        <is>
          <t>Yes</t>
        </is>
      </c>
      <c r="N173" s="36" t="inlineStr">
        <is>
          <t>143957</t>
        </is>
      </c>
      <c r="O173" s="58" t="n">
        <v>46072</v>
      </c>
      <c r="P173" s="36" t="inlineStr">
        <is>
          <t>Covered by Other Rx</t>
        </is>
      </c>
      <c r="Q173" s="55" t="n">
        <v>0</v>
      </c>
      <c r="R173" s="36" t="inlineStr">
        <is>
          <t>Paid-Ins</t>
        </is>
      </c>
      <c r="S173" s="36" t="inlineStr">
        <is>
          <t>Picked Up</t>
        </is>
      </c>
      <c r="T173" s="36" t="inlineStr">
        <is>
          <t>CVS</t>
        </is>
      </c>
      <c r="U173" s="36" t="inlineStr">
        <is>
          <t>004336</t>
        </is>
      </c>
      <c r="V173" s="36" t="inlineStr">
        <is>
          <t>SANTILLAN  YERIKO</t>
        </is>
      </c>
    </row>
    <row r="174">
      <c r="A174" s="36" t="inlineStr">
        <is>
          <t>132352</t>
        </is>
      </c>
      <c r="B174" s="36" t="inlineStr">
        <is>
          <t>MARIA MORILLO  PEDRO</t>
        </is>
      </c>
      <c r="C174" s="58" t="inlineStr">
        <is>
          <t>08-20-1956</t>
        </is>
      </c>
      <c r="D174" s="36" t="inlineStr">
        <is>
          <t>939-285-7173</t>
        </is>
      </c>
      <c r="E174" s="36" t="inlineStr">
        <is>
          <t>BUDESONIDE/FORMOTEROL 160 /4.5 MCG (SYMBICORT)</t>
        </is>
      </c>
      <c r="F174" s="36" t="inlineStr">
        <is>
          <t>00310737020</t>
        </is>
      </c>
      <c r="G174" s="36" t="inlineStr">
        <is>
          <t>_19560820|</t>
        </is>
      </c>
      <c r="H174" s="58" t="n">
        <v>45985</v>
      </c>
      <c r="I174" s="36" t="n">
        <v>90</v>
      </c>
      <c r="J174" s="36" t="n">
        <v>3</v>
      </c>
      <c r="K174" s="58" t="n">
        <v>46075</v>
      </c>
      <c r="L174" s="36" t="n">
        <v>8</v>
      </c>
      <c r="M174" s="36" t="inlineStr">
        <is>
          <t>Yes</t>
        </is>
      </c>
      <c r="N174" s="36" t="inlineStr">
        <is>
          <t>143997</t>
        </is>
      </c>
      <c r="O174" s="58" t="n">
        <v>46072</v>
      </c>
      <c r="P174" s="36" t="inlineStr">
        <is>
          <t>Covered by Other Rx</t>
        </is>
      </c>
      <c r="Q174" s="55" t="n">
        <v>0</v>
      </c>
      <c r="R174" s="36" t="inlineStr">
        <is>
          <t>Paid-Ins</t>
        </is>
      </c>
      <c r="S174" s="36" t="inlineStr">
        <is>
          <t>Picked Up</t>
        </is>
      </c>
      <c r="T174" s="36" t="inlineStr">
        <is>
          <t>CVS</t>
        </is>
      </c>
      <c r="U174" s="36" t="inlineStr">
        <is>
          <t>004336</t>
        </is>
      </c>
      <c r="V174" s="36" t="inlineStr">
        <is>
          <t>HAQUE JR  MUHAMMAD M</t>
        </is>
      </c>
    </row>
    <row r="175">
      <c r="A175" s="36" t="inlineStr">
        <is>
          <t>99014</t>
        </is>
      </c>
      <c r="B175" s="36" t="inlineStr">
        <is>
          <t>RODRIGUEZ  GUDELIA</t>
        </is>
      </c>
      <c r="C175" s="58" t="inlineStr">
        <is>
          <t>12-29-1945</t>
        </is>
      </c>
      <c r="D175" s="36" t="inlineStr">
        <is>
          <t>646-538-9791</t>
        </is>
      </c>
      <c r="E175" s="36" t="inlineStr">
        <is>
          <t xml:space="preserve">RESTASIS 0.05% EMULSION </t>
        </is>
      </c>
      <c r="F175" s="36" t="inlineStr">
        <is>
          <t>00023916360</t>
        </is>
      </c>
      <c r="G175" s="36" t="inlineStr">
        <is>
          <t>_19451229|</t>
        </is>
      </c>
      <c r="H175" s="58" t="n">
        <v>45985</v>
      </c>
      <c r="I175" s="36" t="n">
        <v>90</v>
      </c>
      <c r="J175" s="36" t="n">
        <v>8</v>
      </c>
      <c r="K175" s="58" t="n">
        <v>46075</v>
      </c>
      <c r="L175" s="36" t="n">
        <v>8</v>
      </c>
      <c r="M175" s="36" t="inlineStr">
        <is>
          <t>Yes</t>
        </is>
      </c>
      <c r="N175" s="36" t="inlineStr">
        <is>
          <t>143939</t>
        </is>
      </c>
      <c r="O175" s="58" t="n">
        <v>46072</v>
      </c>
      <c r="P175" s="36" t="inlineStr">
        <is>
          <t>Covered by Other Rx</t>
        </is>
      </c>
      <c r="Q175" s="55" t="n">
        <v>0</v>
      </c>
      <c r="R175" s="36" t="inlineStr">
        <is>
          <t>Paid-Ins</t>
        </is>
      </c>
      <c r="S175" s="36" t="inlineStr">
        <is>
          <t>Picked Up</t>
        </is>
      </c>
      <c r="T175" s="36" t="inlineStr">
        <is>
          <t>CVS</t>
        </is>
      </c>
      <c r="U175" s="36" t="inlineStr">
        <is>
          <t>004336</t>
        </is>
      </c>
      <c r="V175" s="36" t="inlineStr">
        <is>
          <t>Raymondi  Damaris</t>
        </is>
      </c>
    </row>
    <row r="176">
      <c r="A176" s="36" t="inlineStr">
        <is>
          <t>116152</t>
        </is>
      </c>
      <c r="B176" s="36" t="inlineStr">
        <is>
          <t>LOPEZ  SANTO</t>
        </is>
      </c>
      <c r="C176" s="58" t="inlineStr">
        <is>
          <t>01-01-1978</t>
        </is>
      </c>
      <c r="D176" s="36" t="inlineStr">
        <is>
          <t>917-774-7038</t>
        </is>
      </c>
      <c r="E176" s="36" t="inlineStr">
        <is>
          <t xml:space="preserve">JARDIANCE 10MG TAB </t>
        </is>
      </c>
      <c r="F176" s="36" t="inlineStr">
        <is>
          <t>00597015230</t>
        </is>
      </c>
      <c r="G176" s="36" t="inlineStr">
        <is>
          <t>_19780101|MFP</t>
        </is>
      </c>
      <c r="H176" s="58" t="n">
        <v>45944</v>
      </c>
      <c r="I176" s="36" t="n">
        <v>30</v>
      </c>
      <c r="J176" s="36" t="n">
        <v>5</v>
      </c>
      <c r="K176" s="58" t="n">
        <v>45974</v>
      </c>
      <c r="L176" s="36" t="n">
        <v>109</v>
      </c>
      <c r="M176" s="36" t="inlineStr">
        <is>
          <t>No</t>
        </is>
      </c>
      <c r="N176" s="36" t="inlineStr"/>
      <c r="O176" s="58" t="n"/>
      <c r="P176" s="36" t="inlineStr">
        <is>
          <t>Open - Missed</t>
        </is>
      </c>
      <c r="Q176" s="55" t="n">
        <v>593.4400000000001</v>
      </c>
      <c r="R176" s="36" t="inlineStr">
        <is>
          <t>Paid-Ins</t>
        </is>
      </c>
      <c r="S176" s="36" t="inlineStr">
        <is>
          <t>Picked Up</t>
        </is>
      </c>
      <c r="T176" s="36" t="inlineStr">
        <is>
          <t>CVS</t>
        </is>
      </c>
      <c r="U176" s="36" t="inlineStr">
        <is>
          <t>004336</t>
        </is>
      </c>
      <c r="V176" s="36" t="inlineStr">
        <is>
          <t>Lin  Edward</t>
        </is>
      </c>
    </row>
    <row r="177">
      <c r="A177" s="36" t="inlineStr">
        <is>
          <t>91962</t>
        </is>
      </c>
      <c r="B177" s="36" t="inlineStr">
        <is>
          <t>PEGUERO  JOAQUIN</t>
        </is>
      </c>
      <c r="C177" s="58" t="inlineStr">
        <is>
          <t>11-28-1949</t>
        </is>
      </c>
      <c r="D177" s="36" t="inlineStr">
        <is>
          <t>917-648-8083</t>
        </is>
      </c>
      <c r="E177" s="36" t="inlineStr">
        <is>
          <t xml:space="preserve">JARDIANCE 10MG TAB </t>
        </is>
      </c>
      <c r="F177" s="36" t="inlineStr">
        <is>
          <t>00597015230</t>
        </is>
      </c>
      <c r="G177" s="36" t="inlineStr">
        <is>
          <t>_19491128|MFP</t>
        </is>
      </c>
      <c r="H177" s="58" t="n">
        <v>45952</v>
      </c>
      <c r="I177" s="36" t="n">
        <v>30</v>
      </c>
      <c r="J177" s="36" t="n">
        <v>1</v>
      </c>
      <c r="K177" s="58" t="n">
        <v>45982</v>
      </c>
      <c r="L177" s="36" t="n">
        <v>101</v>
      </c>
      <c r="M177" s="36" t="inlineStr">
        <is>
          <t>No</t>
        </is>
      </c>
      <c r="N177" s="36" t="inlineStr"/>
      <c r="O177" s="58" t="n"/>
      <c r="P177" s="36" t="inlineStr">
        <is>
          <t>Open - Missed</t>
        </is>
      </c>
      <c r="Q177" s="55" t="n">
        <v>593.4400000000001</v>
      </c>
      <c r="R177" s="36" t="inlineStr">
        <is>
          <t>Paid-Ins</t>
        </is>
      </c>
      <c r="S177" s="36" t="inlineStr">
        <is>
          <t>Picked Up</t>
        </is>
      </c>
      <c r="T177" s="36" t="inlineStr">
        <is>
          <t>CVS</t>
        </is>
      </c>
      <c r="U177" s="36" t="inlineStr">
        <is>
          <t>004336</t>
        </is>
      </c>
      <c r="V177" s="36" t="inlineStr">
        <is>
          <t>Kuteyeva  Veronica</t>
        </is>
      </c>
    </row>
    <row r="178">
      <c r="A178" s="36" t="inlineStr">
        <is>
          <t>111563</t>
        </is>
      </c>
      <c r="B178" s="36" t="inlineStr">
        <is>
          <t>BLANCO  KYLIE</t>
        </is>
      </c>
      <c r="C178" s="58" t="inlineStr">
        <is>
          <t>03-13-2015</t>
        </is>
      </c>
      <c r="D178" s="36" t="inlineStr">
        <is>
          <t>646-318-1127</t>
        </is>
      </c>
      <c r="E178" s="36" t="inlineStr">
        <is>
          <t>BUDESONIDE-FORMOTEROL FUMARATE 80-4.5MCG/ACT AEROSOL</t>
        </is>
      </c>
      <c r="F178" s="36" t="inlineStr">
        <is>
          <t>00310737220</t>
        </is>
      </c>
      <c r="G178" s="36" t="inlineStr">
        <is>
          <t>_20150313|</t>
        </is>
      </c>
      <c r="H178" s="58" t="n">
        <v>45960</v>
      </c>
      <c r="I178" s="36" t="n">
        <v>30</v>
      </c>
      <c r="J178" s="36" t="n">
        <v>6</v>
      </c>
      <c r="K178" s="58" t="n">
        <v>45990</v>
      </c>
      <c r="L178" s="36" t="n">
        <v>93</v>
      </c>
      <c r="M178" s="36" t="inlineStr">
        <is>
          <t>No</t>
        </is>
      </c>
      <c r="N178" s="36" t="inlineStr"/>
      <c r="O178" s="58" t="n"/>
      <c r="P178" s="36" t="inlineStr">
        <is>
          <t>Open - Missed</t>
        </is>
      </c>
      <c r="Q178" s="55" t="n">
        <v>201.55</v>
      </c>
      <c r="R178" s="36" t="inlineStr">
        <is>
          <t>Transmitted</t>
        </is>
      </c>
      <c r="S178" s="36" t="inlineStr">
        <is>
          <t>Picked Up</t>
        </is>
      </c>
      <c r="T178" s="36" t="inlineStr">
        <is>
          <t>OPTUM</t>
        </is>
      </c>
      <c r="U178" s="36" t="inlineStr">
        <is>
          <t>610127</t>
        </is>
      </c>
      <c r="V178" s="36" t="inlineStr">
        <is>
          <t>Fuleihan  Ramsay</t>
        </is>
      </c>
    </row>
    <row r="179">
      <c r="A179" s="36" t="inlineStr">
        <is>
          <t>131933</t>
        </is>
      </c>
      <c r="B179" s="36" t="inlineStr">
        <is>
          <t>SANTOS  ANA</t>
        </is>
      </c>
      <c r="C179" s="58" t="inlineStr">
        <is>
          <t>10-28-1956</t>
        </is>
      </c>
      <c r="D179" s="36" t="n">
        <v/>
      </c>
      <c r="E179" s="36" t="inlineStr">
        <is>
          <t>FREESTYLE LIBRE 3 SENSOR</t>
        </is>
      </c>
      <c r="F179" s="36" t="inlineStr">
        <is>
          <t>57599081800</t>
        </is>
      </c>
      <c r="G179" s="36" t="inlineStr">
        <is>
          <t>_19561028|STRIPSONLY</t>
        </is>
      </c>
      <c r="H179" s="58" t="n">
        <v>45981</v>
      </c>
      <c r="I179" s="36" t="n">
        <v>28</v>
      </c>
      <c r="J179" s="36" t="n">
        <v>8</v>
      </c>
      <c r="K179" s="58" t="n">
        <v>46009</v>
      </c>
      <c r="L179" s="36" t="n">
        <v>74</v>
      </c>
      <c r="M179" s="36" t="inlineStr">
        <is>
          <t>No</t>
        </is>
      </c>
      <c r="N179" s="36" t="inlineStr"/>
      <c r="O179" s="58" t="n"/>
      <c r="P179" s="36" t="inlineStr">
        <is>
          <t>Open - Missed</t>
        </is>
      </c>
      <c r="Q179" s="55" t="n">
        <v>144.3</v>
      </c>
      <c r="R179" s="36" t="inlineStr">
        <is>
          <t>Paid-Ins</t>
        </is>
      </c>
      <c r="S179" s="36" t="inlineStr">
        <is>
          <t>Picked Up</t>
        </is>
      </c>
      <c r="T179" s="36" t="inlineStr">
        <is>
          <t>NYM</t>
        </is>
      </c>
      <c r="U179" s="36" t="inlineStr">
        <is>
          <t>004740</t>
        </is>
      </c>
      <c r="V179" s="36" t="inlineStr">
        <is>
          <t>Martinez  Elisa</t>
        </is>
      </c>
    </row>
    <row r="180">
      <c r="A180" s="36" t="inlineStr">
        <is>
          <t>132507</t>
        </is>
      </c>
      <c r="B180" s="36" t="inlineStr">
        <is>
          <t>SANCHEZ  NELSON</t>
        </is>
      </c>
      <c r="C180" s="58" t="inlineStr">
        <is>
          <t>10-15-1964</t>
        </is>
      </c>
      <c r="D180" s="36" t="inlineStr">
        <is>
          <t>332-254-3487</t>
        </is>
      </c>
      <c r="E180" s="36" t="inlineStr">
        <is>
          <t>CONTOUR NEXT TEST  STRIPS</t>
        </is>
      </c>
      <c r="F180" s="36" t="inlineStr">
        <is>
          <t>00193731150</t>
        </is>
      </c>
      <c r="G180" s="36" t="inlineStr">
        <is>
          <t>_19641015|STRIPSONLY</t>
        </is>
      </c>
      <c r="H180" s="58" t="n">
        <v>45985</v>
      </c>
      <c r="I180" s="36" t="n">
        <v>30</v>
      </c>
      <c r="J180" s="36" t="n">
        <v>3</v>
      </c>
      <c r="K180" s="58" t="n">
        <v>46015</v>
      </c>
      <c r="L180" s="36" t="n">
        <v>68</v>
      </c>
      <c r="M180" s="36" t="inlineStr">
        <is>
          <t>No</t>
        </is>
      </c>
      <c r="N180" s="36" t="inlineStr"/>
      <c r="O180" s="58" t="n"/>
      <c r="P180" s="36" t="inlineStr">
        <is>
          <t>Open - Missed</t>
        </is>
      </c>
      <c r="Q180" s="55" t="n">
        <v>103.51</v>
      </c>
      <c r="R180" s="36" t="inlineStr">
        <is>
          <t>Paid-Ins</t>
        </is>
      </c>
      <c r="S180" s="36" t="inlineStr">
        <is>
          <t>Picked Up</t>
        </is>
      </c>
      <c r="T180" s="36" t="inlineStr">
        <is>
          <t>CVS</t>
        </is>
      </c>
      <c r="U180" s="36" t="inlineStr">
        <is>
          <t>004336</t>
        </is>
      </c>
      <c r="V180" s="36" t="inlineStr">
        <is>
          <t>Fabian-Morales  Wellington</t>
        </is>
      </c>
    </row>
    <row r="181">
      <c r="A181" s="36" t="inlineStr">
        <is>
          <t>92433</t>
        </is>
      </c>
      <c r="B181" s="36" t="inlineStr">
        <is>
          <t>PONS  YOLANDA</t>
        </is>
      </c>
      <c r="C181" s="58" t="inlineStr">
        <is>
          <t>12-12-1942</t>
        </is>
      </c>
      <c r="D181" s="36" t="inlineStr">
        <is>
          <t>631-793-0402</t>
        </is>
      </c>
      <c r="E181" s="36" t="inlineStr">
        <is>
          <t>BASAGLAR KWIKPEN 100UNIT/ML INJECTION</t>
        </is>
      </c>
      <c r="F181" s="36" t="inlineStr">
        <is>
          <t>00002771559</t>
        </is>
      </c>
      <c r="G181" s="36" t="inlineStr">
        <is>
          <t>_19421212|</t>
        </is>
      </c>
      <c r="H181" s="58" t="n">
        <v>45932</v>
      </c>
      <c r="I181" s="36" t="n">
        <v>90</v>
      </c>
      <c r="J181" s="36" t="n">
        <v>2</v>
      </c>
      <c r="K181" s="58" t="n">
        <v>46022</v>
      </c>
      <c r="L181" s="36" t="n">
        <v>61</v>
      </c>
      <c r="M181" s="36" t="inlineStr">
        <is>
          <t>No</t>
        </is>
      </c>
      <c r="N181" s="36" t="inlineStr"/>
      <c r="O181" s="58" t="n"/>
      <c r="P181" s="36" t="inlineStr">
        <is>
          <t>Open - Missed</t>
        </is>
      </c>
      <c r="Q181" s="55" t="n">
        <v>728.09</v>
      </c>
      <c r="R181" s="36" t="inlineStr">
        <is>
          <t>Paid-Ins</t>
        </is>
      </c>
      <c r="S181" s="36" t="inlineStr">
        <is>
          <t>Picked Up</t>
        </is>
      </c>
      <c r="T181" s="36" t="inlineStr">
        <is>
          <t>CVS</t>
        </is>
      </c>
      <c r="U181" s="36" t="inlineStr">
        <is>
          <t>004336</t>
        </is>
      </c>
      <c r="V181" s="36" t="inlineStr">
        <is>
          <t>Coskey  Devyn</t>
        </is>
      </c>
    </row>
    <row r="182">
      <c r="A182" s="36" t="inlineStr">
        <is>
          <t>92505</t>
        </is>
      </c>
      <c r="B182" s="36" t="inlineStr">
        <is>
          <t>PONS  YOLANDA</t>
        </is>
      </c>
      <c r="C182" s="58" t="inlineStr">
        <is>
          <t>12-12-1942</t>
        </is>
      </c>
      <c r="D182" s="36" t="inlineStr">
        <is>
          <t>631-793-0402</t>
        </is>
      </c>
      <c r="E182" s="36" t="inlineStr">
        <is>
          <t>CONTOUR NEXT TEST  STRIPS</t>
        </is>
      </c>
      <c r="F182" s="36" t="inlineStr">
        <is>
          <t>00193731150</t>
        </is>
      </c>
      <c r="G182" s="36" t="inlineStr">
        <is>
          <t>_19421212|STRIPSONLY</t>
        </is>
      </c>
      <c r="H182" s="58" t="n">
        <v>45932</v>
      </c>
      <c r="I182" s="36" t="n">
        <v>90</v>
      </c>
      <c r="J182" s="36" t="n">
        <v>4</v>
      </c>
      <c r="K182" s="58" t="n">
        <v>46022</v>
      </c>
      <c r="L182" s="36" t="n">
        <v>61</v>
      </c>
      <c r="M182" s="36" t="inlineStr">
        <is>
          <t>No</t>
        </is>
      </c>
      <c r="N182" s="36" t="inlineStr"/>
      <c r="O182" s="58" t="n"/>
      <c r="P182" s="36" t="inlineStr">
        <is>
          <t>Open - Missed</t>
        </is>
      </c>
      <c r="Q182" s="55" t="n">
        <v>204.26</v>
      </c>
      <c r="R182" s="36" t="inlineStr">
        <is>
          <t>Paid-Ins</t>
        </is>
      </c>
      <c r="S182" s="36" t="inlineStr">
        <is>
          <t>Picked Up</t>
        </is>
      </c>
      <c r="T182" s="36" t="inlineStr">
        <is>
          <t>CVS</t>
        </is>
      </c>
      <c r="U182" s="36" t="inlineStr">
        <is>
          <t>004336</t>
        </is>
      </c>
      <c r="V182" s="36" t="inlineStr">
        <is>
          <t>GUEVARA  IVELISSE</t>
        </is>
      </c>
    </row>
    <row r="183">
      <c r="A183" s="36" t="inlineStr">
        <is>
          <t>103204</t>
        </is>
      </c>
      <c r="B183" s="36" t="inlineStr">
        <is>
          <t>CAPELLAN VARGAS  DOMINGO</t>
        </is>
      </c>
      <c r="C183" s="58" t="inlineStr">
        <is>
          <t>09-20-1970</t>
        </is>
      </c>
      <c r="D183" s="36" t="inlineStr">
        <is>
          <t>347-949-9245</t>
        </is>
      </c>
      <c r="E183" s="36" t="inlineStr">
        <is>
          <t xml:space="preserve">JARDIANCE 25MG TAB </t>
        </is>
      </c>
      <c r="F183" s="36" t="inlineStr">
        <is>
          <t>00597015330</t>
        </is>
      </c>
      <c r="G183" s="36" t="inlineStr">
        <is>
          <t>_19700920|MFP</t>
        </is>
      </c>
      <c r="H183" s="58" t="n">
        <v>45933</v>
      </c>
      <c r="I183" s="36" t="n">
        <v>90</v>
      </c>
      <c r="J183" s="36" t="n">
        <v>1</v>
      </c>
      <c r="K183" s="58" t="n">
        <v>46023</v>
      </c>
      <c r="L183" s="36" t="n">
        <v>60</v>
      </c>
      <c r="M183" s="36" t="inlineStr">
        <is>
          <t>No</t>
        </is>
      </c>
      <c r="N183" s="36" t="inlineStr"/>
      <c r="O183" s="58" t="n"/>
      <c r="P183" s="36" t="inlineStr">
        <is>
          <t>Open - Missed</t>
        </is>
      </c>
      <c r="Q183" s="55" t="n">
        <v>1764.05</v>
      </c>
      <c r="R183" s="36" t="inlineStr">
        <is>
          <t>Paid-Ins</t>
        </is>
      </c>
      <c r="S183" s="36" t="inlineStr">
        <is>
          <t>Picked Up</t>
        </is>
      </c>
      <c r="T183" s="36" t="inlineStr">
        <is>
          <t>CVS</t>
        </is>
      </c>
      <c r="U183" s="36" t="inlineStr">
        <is>
          <t>004336</t>
        </is>
      </c>
      <c r="V183" s="36" t="inlineStr">
        <is>
          <t>Diaz  Chanelle</t>
        </is>
      </c>
    </row>
    <row r="184">
      <c r="A184" s="36" t="inlineStr">
        <is>
          <t>133389</t>
        </is>
      </c>
      <c r="B184" s="36" t="inlineStr">
        <is>
          <t>QUIRIZUMBAY  DAHLIA</t>
        </is>
      </c>
      <c r="C184" s="58" t="inlineStr">
        <is>
          <t>04-11-2012</t>
        </is>
      </c>
      <c r="D184" s="36" t="inlineStr">
        <is>
          <t>631-464-7576</t>
        </is>
      </c>
      <c r="E184" s="36" t="inlineStr">
        <is>
          <t>EPINEPHRINE (JR) 0.15MG/0.3ML INJECTION 2ML</t>
        </is>
      </c>
      <c r="F184" s="36" t="inlineStr">
        <is>
          <t>49502010102</t>
        </is>
      </c>
      <c r="G184" s="36" t="inlineStr">
        <is>
          <t>_20120411|</t>
        </is>
      </c>
      <c r="H184" s="58" t="n">
        <v>45993</v>
      </c>
      <c r="I184" s="36" t="n">
        <v>30</v>
      </c>
      <c r="J184" s="36" t="n">
        <v>4</v>
      </c>
      <c r="K184" s="58" t="n">
        <v>46023</v>
      </c>
      <c r="L184" s="36" t="n">
        <v>60</v>
      </c>
      <c r="M184" s="36" t="inlineStr">
        <is>
          <t>No</t>
        </is>
      </c>
      <c r="N184" s="36" t="inlineStr"/>
      <c r="O184" s="58" t="n"/>
      <c r="P184" s="36" t="inlineStr">
        <is>
          <t>Open - Missed</t>
        </is>
      </c>
      <c r="Q184" s="55" t="n">
        <v>295.01</v>
      </c>
      <c r="R184" s="36" t="inlineStr">
        <is>
          <t>Paid-Ins</t>
        </is>
      </c>
      <c r="S184" s="36" t="inlineStr">
        <is>
          <t>Picked Up</t>
        </is>
      </c>
      <c r="T184" s="36" t="inlineStr">
        <is>
          <t>NYM</t>
        </is>
      </c>
      <c r="U184" s="36" t="inlineStr">
        <is>
          <t>004336</t>
        </is>
      </c>
      <c r="V184" s="36" t="inlineStr">
        <is>
          <t>Lee  Ashley</t>
        </is>
      </c>
    </row>
    <row r="185">
      <c r="A185" s="36" t="inlineStr">
        <is>
          <t>130511</t>
        </is>
      </c>
      <c r="B185" s="36" t="inlineStr">
        <is>
          <t>HENRIQUEZ  MARIA RAMONA</t>
        </is>
      </c>
      <c r="C185" s="58" t="inlineStr">
        <is>
          <t>06-05-1965</t>
        </is>
      </c>
      <c r="D185" s="36" t="inlineStr">
        <is>
          <t>212-491-4125</t>
        </is>
      </c>
      <c r="E185" s="36" t="inlineStr">
        <is>
          <t>OZEMPIC (2 MG/DOSE) 8 MG/3ML PEN-INJECTOR</t>
        </is>
      </c>
      <c r="F185" s="36" t="inlineStr">
        <is>
          <t>00169477212</t>
        </is>
      </c>
      <c r="G185" s="36" t="inlineStr">
        <is>
          <t>_19650605|</t>
        </is>
      </c>
      <c r="H185" s="58" t="n">
        <v>45999</v>
      </c>
      <c r="I185" s="36" t="n">
        <v>28</v>
      </c>
      <c r="J185" s="36" t="n">
        <v>5</v>
      </c>
      <c r="K185" s="58" t="n">
        <v>46027</v>
      </c>
      <c r="L185" s="36" t="n">
        <v>56</v>
      </c>
      <c r="M185" s="36" t="inlineStr">
        <is>
          <t>No</t>
        </is>
      </c>
      <c r="N185" s="36" t="inlineStr"/>
      <c r="O185" s="58" t="n"/>
      <c r="P185" s="36" t="inlineStr">
        <is>
          <t>Open - Missed</t>
        </is>
      </c>
      <c r="Q185" s="55" t="n">
        <v>940.6799999999999</v>
      </c>
      <c r="R185" s="36" t="inlineStr">
        <is>
          <t>Paid-Ins</t>
        </is>
      </c>
      <c r="S185" s="36" t="inlineStr">
        <is>
          <t>Picked Up</t>
        </is>
      </c>
      <c r="T185" s="36" t="inlineStr">
        <is>
          <t>CVS</t>
        </is>
      </c>
      <c r="U185" s="36" t="inlineStr">
        <is>
          <t>004336</t>
        </is>
      </c>
      <c r="V185" s="36" t="inlineStr">
        <is>
          <t>FOX  ARIEH</t>
        </is>
      </c>
    </row>
    <row r="186">
      <c r="A186" s="36" t="inlineStr">
        <is>
          <t>134869</t>
        </is>
      </c>
      <c r="B186" s="36" t="inlineStr">
        <is>
          <t>MEDINA  MIGUELINA</t>
        </is>
      </c>
      <c r="C186" s="58" t="inlineStr">
        <is>
          <t>07-22-1963</t>
        </is>
      </c>
      <c r="D186" s="36" t="inlineStr">
        <is>
          <t>917-445-3914</t>
        </is>
      </c>
      <c r="E186" s="36" t="inlineStr">
        <is>
          <t>CONTOUR NEXT TEST  STRIPS</t>
        </is>
      </c>
      <c r="F186" s="36" t="inlineStr">
        <is>
          <t>00193731150</t>
        </is>
      </c>
      <c r="G186" s="36" t="inlineStr">
        <is>
          <t>_19630722|STRIPSONLY</t>
        </is>
      </c>
      <c r="H186" s="58" t="n">
        <v>46003</v>
      </c>
      <c r="I186" s="36" t="n">
        <v>25</v>
      </c>
      <c r="J186" s="36" t="n">
        <v>2</v>
      </c>
      <c r="K186" s="58" t="n">
        <v>46028</v>
      </c>
      <c r="L186" s="36" t="n">
        <v>55</v>
      </c>
      <c r="M186" s="36" t="inlineStr">
        <is>
          <t>No</t>
        </is>
      </c>
      <c r="N186" s="36" t="inlineStr"/>
      <c r="O186" s="58" t="n"/>
      <c r="P186" s="36" t="inlineStr">
        <is>
          <t>Open - Missed</t>
        </is>
      </c>
      <c r="Q186" s="55" t="n">
        <v>51.48</v>
      </c>
      <c r="R186" s="36" t="inlineStr">
        <is>
          <t>Paid-Ins</t>
        </is>
      </c>
      <c r="S186" s="36" t="inlineStr">
        <is>
          <t>Picked Up</t>
        </is>
      </c>
      <c r="T186" s="36" t="inlineStr">
        <is>
          <t>CVS</t>
        </is>
      </c>
      <c r="U186" s="36" t="inlineStr">
        <is>
          <t>004336</t>
        </is>
      </c>
      <c r="V186" s="36" t="inlineStr">
        <is>
          <t>ZAMAN  REHANA</t>
        </is>
      </c>
    </row>
    <row r="187">
      <c r="A187" s="36" t="inlineStr">
        <is>
          <t>126437</t>
        </is>
      </c>
      <c r="B187" s="36" t="inlineStr">
        <is>
          <t>GRULLON  ANTONIA</t>
        </is>
      </c>
      <c r="C187" s="58" t="inlineStr">
        <is>
          <t>04-10-1937</t>
        </is>
      </c>
      <c r="D187" s="36" t="inlineStr">
        <is>
          <t>347-444-5414</t>
        </is>
      </c>
      <c r="E187" s="36" t="inlineStr">
        <is>
          <t>LINZESS 145MCG CAPSULE</t>
        </is>
      </c>
      <c r="F187" s="36" t="inlineStr">
        <is>
          <t>00456120130</t>
        </is>
      </c>
      <c r="G187" s="36" t="inlineStr">
        <is>
          <t>_19370410|</t>
        </is>
      </c>
      <c r="H187" s="58" t="n">
        <v>45939</v>
      </c>
      <c r="I187" s="36" t="n">
        <v>90</v>
      </c>
      <c r="J187" s="36" t="n">
        <v>1</v>
      </c>
      <c r="K187" s="58" t="n">
        <v>46029</v>
      </c>
      <c r="L187" s="36" t="n">
        <v>54</v>
      </c>
      <c r="M187" s="36" t="inlineStr">
        <is>
          <t>No</t>
        </is>
      </c>
      <c r="N187" s="36" t="inlineStr"/>
      <c r="O187" s="58" t="n"/>
      <c r="P187" s="36" t="inlineStr">
        <is>
          <t>Open - Missed</t>
        </is>
      </c>
      <c r="Q187" s="55" t="n">
        <v>1584.29</v>
      </c>
      <c r="R187" s="36" t="inlineStr">
        <is>
          <t>Paid-Ins</t>
        </is>
      </c>
      <c r="S187" s="36" t="inlineStr">
        <is>
          <t>Picked Up</t>
        </is>
      </c>
      <c r="T187" s="36" t="inlineStr">
        <is>
          <t>CVS</t>
        </is>
      </c>
      <c r="U187" s="36" t="inlineStr">
        <is>
          <t>004336</t>
        </is>
      </c>
      <c r="V187" s="36" t="inlineStr">
        <is>
          <t>ROHLFING  ANNE</t>
        </is>
      </c>
    </row>
    <row r="188">
      <c r="A188" s="36" t="inlineStr">
        <is>
          <t>127101</t>
        </is>
      </c>
      <c r="B188" s="36" t="inlineStr">
        <is>
          <t>SANCHEZ  NELSON</t>
        </is>
      </c>
      <c r="C188" s="58" t="inlineStr">
        <is>
          <t>10-15-1964</t>
        </is>
      </c>
      <c r="D188" s="36" t="inlineStr">
        <is>
          <t>332-254-3487</t>
        </is>
      </c>
      <c r="E188" s="36" t="inlineStr">
        <is>
          <t>FARXIGA 10MG TABLET</t>
        </is>
      </c>
      <c r="F188" s="36" t="inlineStr">
        <is>
          <t>00310621030</t>
        </is>
      </c>
      <c r="G188" s="36" t="inlineStr">
        <is>
          <t>_19641015|MFP</t>
        </is>
      </c>
      <c r="H188" s="58" t="n">
        <v>46000</v>
      </c>
      <c r="I188" s="36" t="n">
        <v>30</v>
      </c>
      <c r="J188" s="36" t="n">
        <v>1</v>
      </c>
      <c r="K188" s="58" t="n">
        <v>46030</v>
      </c>
      <c r="L188" s="36" t="n">
        <v>53</v>
      </c>
      <c r="M188" s="36" t="inlineStr">
        <is>
          <t>No</t>
        </is>
      </c>
      <c r="N188" s="36" t="inlineStr"/>
      <c r="O188" s="58" t="n"/>
      <c r="P188" s="36" t="inlineStr">
        <is>
          <t>Open - Missed</t>
        </is>
      </c>
      <c r="Q188" s="55" t="n">
        <v>565.41</v>
      </c>
      <c r="R188" s="36" t="inlineStr">
        <is>
          <t>Paid-Ins</t>
        </is>
      </c>
      <c r="S188" s="36" t="inlineStr">
        <is>
          <t>Picked Up</t>
        </is>
      </c>
      <c r="T188" s="36" t="inlineStr">
        <is>
          <t>CVS</t>
        </is>
      </c>
      <c r="U188" s="36" t="inlineStr">
        <is>
          <t>004336</t>
        </is>
      </c>
      <c r="V188" s="36" t="inlineStr">
        <is>
          <t>Fabian-Morales  Wellington</t>
        </is>
      </c>
    </row>
    <row r="189">
      <c r="A189" s="36" t="inlineStr">
        <is>
          <t>121569</t>
        </is>
      </c>
      <c r="B189" s="36" t="inlineStr">
        <is>
          <t>PENA  ALEJANDRINA</t>
        </is>
      </c>
      <c r="C189" s="58" t="inlineStr">
        <is>
          <t>06-14-1946</t>
        </is>
      </c>
      <c r="D189" s="36" t="inlineStr">
        <is>
          <t>347-932-9370</t>
        </is>
      </c>
      <c r="E189" s="36" t="inlineStr">
        <is>
          <t>CONTOUR NEXT TEST  STRIPS</t>
        </is>
      </c>
      <c r="F189" s="36" t="inlineStr">
        <is>
          <t>00193731150</t>
        </is>
      </c>
      <c r="G189" s="36" t="inlineStr">
        <is>
          <t>_19460614|STRIPSONLY</t>
        </is>
      </c>
      <c r="H189" s="58" t="n">
        <v>46001</v>
      </c>
      <c r="I189" s="36" t="n">
        <v>30</v>
      </c>
      <c r="J189" s="36" t="n">
        <v>10</v>
      </c>
      <c r="K189" s="58" t="n">
        <v>46031</v>
      </c>
      <c r="L189" s="36" t="n">
        <v>52</v>
      </c>
      <c r="M189" s="36" t="inlineStr">
        <is>
          <t>No</t>
        </is>
      </c>
      <c r="N189" s="36" t="inlineStr"/>
      <c r="O189" s="58" t="n"/>
      <c r="P189" s="36" t="inlineStr">
        <is>
          <t>Open - Missed</t>
        </is>
      </c>
      <c r="Q189" s="55" t="n">
        <v>103.51</v>
      </c>
      <c r="R189" s="36" t="inlineStr">
        <is>
          <t>Paid-Ins</t>
        </is>
      </c>
      <c r="S189" s="36" t="inlineStr">
        <is>
          <t>Picked Up</t>
        </is>
      </c>
      <c r="T189" s="36" t="inlineStr">
        <is>
          <t>CVS</t>
        </is>
      </c>
      <c r="U189" s="36" t="inlineStr">
        <is>
          <t>004336</t>
        </is>
      </c>
      <c r="V189" s="36" t="inlineStr">
        <is>
          <t>MOQUETE  RAMON</t>
        </is>
      </c>
    </row>
    <row r="190">
      <c r="A190" s="36" t="inlineStr">
        <is>
          <t>126836</t>
        </is>
      </c>
      <c r="B190" s="36" t="inlineStr">
        <is>
          <t>RUIZ  SYLVIA</t>
        </is>
      </c>
      <c r="C190" s="58" t="inlineStr">
        <is>
          <t>01-19-1947</t>
        </is>
      </c>
      <c r="D190" s="36" t="inlineStr">
        <is>
          <t>347-349-0713</t>
        </is>
      </c>
      <c r="E190" s="36" t="inlineStr">
        <is>
          <t>CONTOUR NEXT TEST  STRIPS</t>
        </is>
      </c>
      <c r="F190" s="36" t="inlineStr">
        <is>
          <t>00193731150</t>
        </is>
      </c>
      <c r="G190" s="36" t="inlineStr">
        <is>
          <t>_19470119|STRIPSONLY</t>
        </is>
      </c>
      <c r="H190" s="58" t="n">
        <v>45943</v>
      </c>
      <c r="I190" s="36" t="n">
        <v>90</v>
      </c>
      <c r="J190" s="36" t="n">
        <v>1</v>
      </c>
      <c r="K190" s="58" t="n">
        <v>46033</v>
      </c>
      <c r="L190" s="36" t="n">
        <v>50</v>
      </c>
      <c r="M190" s="36" t="inlineStr">
        <is>
          <t>No</t>
        </is>
      </c>
      <c r="N190" s="36" t="inlineStr"/>
      <c r="O190" s="58" t="n"/>
      <c r="P190" s="36" t="inlineStr">
        <is>
          <t>Open - Missed</t>
        </is>
      </c>
      <c r="Q190" s="55" t="n">
        <v>202.15</v>
      </c>
      <c r="R190" s="36" t="inlineStr">
        <is>
          <t>Paid-Ins</t>
        </is>
      </c>
      <c r="S190" s="36" t="inlineStr">
        <is>
          <t>Picked Up</t>
        </is>
      </c>
      <c r="T190" s="36" t="inlineStr">
        <is>
          <t>CVS</t>
        </is>
      </c>
      <c r="U190" s="36" t="inlineStr">
        <is>
          <t>004336</t>
        </is>
      </c>
      <c r="V190" s="36" t="inlineStr">
        <is>
          <t>HAQUE  NAGHMANA</t>
        </is>
      </c>
    </row>
    <row r="191">
      <c r="A191" s="36" t="inlineStr">
        <is>
          <t>127001</t>
        </is>
      </c>
      <c r="B191" s="36" t="inlineStr">
        <is>
          <t>MARTINEZ  MARCOS</t>
        </is>
      </c>
      <c r="C191" s="58" t="inlineStr">
        <is>
          <t>03-26-1967</t>
        </is>
      </c>
      <c r="D191" s="36" t="n">
        <v/>
      </c>
      <c r="E191" s="36" t="inlineStr">
        <is>
          <t xml:space="preserve">JARDIANCE 10MG TAB </t>
        </is>
      </c>
      <c r="F191" s="36" t="inlineStr">
        <is>
          <t>00597015230</t>
        </is>
      </c>
      <c r="G191" s="36" t="inlineStr">
        <is>
          <t>_19670326|MFP</t>
        </is>
      </c>
      <c r="H191" s="58" t="n">
        <v>45944</v>
      </c>
      <c r="I191" s="36" t="n">
        <v>90</v>
      </c>
      <c r="J191" s="36" t="n">
        <v>3</v>
      </c>
      <c r="K191" s="58" t="n">
        <v>46034</v>
      </c>
      <c r="L191" s="36" t="n">
        <v>49</v>
      </c>
      <c r="M191" s="36" t="inlineStr">
        <is>
          <t>No</t>
        </is>
      </c>
      <c r="N191" s="36" t="inlineStr"/>
      <c r="O191" s="58" t="n"/>
      <c r="P191" s="36" t="inlineStr">
        <is>
          <t>Open - Missed</t>
        </is>
      </c>
      <c r="Q191" s="55" t="n">
        <v>1821.7</v>
      </c>
      <c r="R191" s="36" t="inlineStr">
        <is>
          <t>Paid-Ins</t>
        </is>
      </c>
      <c r="S191" s="36" t="inlineStr">
        <is>
          <t>Picked Up</t>
        </is>
      </c>
      <c r="T191" s="36" t="inlineStr">
        <is>
          <t>NYM</t>
        </is>
      </c>
      <c r="U191" s="36" t="inlineStr">
        <is>
          <t>004740</t>
        </is>
      </c>
      <c r="V191" s="36" t="inlineStr">
        <is>
          <t>NAVARRO  CARLOS</t>
        </is>
      </c>
    </row>
    <row r="192">
      <c r="A192" s="36" t="inlineStr">
        <is>
          <t>126302</t>
        </is>
      </c>
      <c r="B192" s="36" t="inlineStr">
        <is>
          <t>VIVAR  MARICELA</t>
        </is>
      </c>
      <c r="C192" s="58" t="inlineStr">
        <is>
          <t>03-03-1985</t>
        </is>
      </c>
      <c r="D192" s="36" t="inlineStr">
        <is>
          <t>347-883-0684</t>
        </is>
      </c>
      <c r="E192" s="36" t="inlineStr">
        <is>
          <t>CONTOUR NEXT TEST  STRIPS</t>
        </is>
      </c>
      <c r="F192" s="36" t="inlineStr">
        <is>
          <t>00193731150</t>
        </is>
      </c>
      <c r="G192" s="36" t="inlineStr">
        <is>
          <t>_19850303|STRIPSONLY</t>
        </is>
      </c>
      <c r="H192" s="58" t="n">
        <v>46009</v>
      </c>
      <c r="I192" s="36" t="n">
        <v>25</v>
      </c>
      <c r="J192" s="36" t="n">
        <v>5</v>
      </c>
      <c r="K192" s="58" t="n">
        <v>46034</v>
      </c>
      <c r="L192" s="36" t="n">
        <v>49</v>
      </c>
      <c r="M192" s="36" t="inlineStr">
        <is>
          <t>No</t>
        </is>
      </c>
      <c r="N192" s="36" t="inlineStr"/>
      <c r="O192" s="58" t="n"/>
      <c r="P192" s="36" t="inlineStr">
        <is>
          <t>Open - Missed</t>
        </is>
      </c>
      <c r="Q192" s="55" t="n">
        <v>102.86</v>
      </c>
      <c r="R192" s="36" t="inlineStr">
        <is>
          <t>Paid-Ins</t>
        </is>
      </c>
      <c r="S192" s="36" t="inlineStr">
        <is>
          <t>Picked Up</t>
        </is>
      </c>
      <c r="T192" s="36" t="inlineStr">
        <is>
          <t>CVS</t>
        </is>
      </c>
      <c r="U192" s="36" t="inlineStr">
        <is>
          <t>004336</t>
        </is>
      </c>
      <c r="V192" s="36" t="inlineStr">
        <is>
          <t>Tumfour  Joyce</t>
        </is>
      </c>
    </row>
    <row r="193">
      <c r="A193" s="36" t="inlineStr">
        <is>
          <t>123571</t>
        </is>
      </c>
      <c r="B193" s="36" t="inlineStr">
        <is>
          <t>BEAULIEU  ANNE</t>
        </is>
      </c>
      <c r="C193" s="58" t="inlineStr">
        <is>
          <t>12-19-1931</t>
        </is>
      </c>
      <c r="D193" s="36" t="inlineStr">
        <is>
          <t>917-207-0626</t>
        </is>
      </c>
      <c r="E193" s="36" t="inlineStr">
        <is>
          <t>CONTOUR NEXT TEST  STRIPS</t>
        </is>
      </c>
      <c r="F193" s="36" t="inlineStr">
        <is>
          <t>00193731150</t>
        </is>
      </c>
      <c r="G193" s="36" t="inlineStr">
        <is>
          <t>_19311219|STRIPSONLY</t>
        </is>
      </c>
      <c r="H193" s="58" t="n">
        <v>46006</v>
      </c>
      <c r="I193" s="36" t="n">
        <v>30</v>
      </c>
      <c r="J193" s="36" t="n">
        <v>10</v>
      </c>
      <c r="K193" s="58" t="n">
        <v>46036</v>
      </c>
      <c r="L193" s="36" t="n">
        <v>47</v>
      </c>
      <c r="M193" s="36" t="inlineStr">
        <is>
          <t>No</t>
        </is>
      </c>
      <c r="N193" s="36" t="inlineStr"/>
      <c r="O193" s="58" t="n"/>
      <c r="P193" s="36" t="inlineStr">
        <is>
          <t>Open - Missed</t>
        </is>
      </c>
      <c r="Q193" s="55" t="n">
        <v>103.51</v>
      </c>
      <c r="R193" s="36" t="inlineStr">
        <is>
          <t>Paid-Ins</t>
        </is>
      </c>
      <c r="S193" s="36" t="inlineStr">
        <is>
          <t>Picked Up</t>
        </is>
      </c>
      <c r="T193" s="36" t="inlineStr">
        <is>
          <t>CVS</t>
        </is>
      </c>
      <c r="U193" s="36" t="inlineStr">
        <is>
          <t>004336</t>
        </is>
      </c>
      <c r="V193" s="36" t="inlineStr">
        <is>
          <t>Guadalupe-Padgett  Ashley</t>
        </is>
      </c>
    </row>
    <row r="194">
      <c r="A194" s="36" t="inlineStr">
        <is>
          <t>132015</t>
        </is>
      </c>
      <c r="B194" s="36" t="inlineStr">
        <is>
          <t>VARGAS DE CABRERA  DANNY Y</t>
        </is>
      </c>
      <c r="C194" s="58" t="inlineStr">
        <is>
          <t>10-20-1964</t>
        </is>
      </c>
      <c r="D194" s="36" t="inlineStr">
        <is>
          <t>212-690-1305</t>
        </is>
      </c>
      <c r="E194" s="36" t="inlineStr">
        <is>
          <t>JANUVIA 50MG TABLET</t>
        </is>
      </c>
      <c r="F194" s="36" t="inlineStr">
        <is>
          <t>00006011231</t>
        </is>
      </c>
      <c r="G194" s="36" t="inlineStr">
        <is>
          <t>_19641020|MFP</t>
        </is>
      </c>
      <c r="H194" s="58" t="n">
        <v>46008</v>
      </c>
      <c r="I194" s="36" t="n">
        <v>30</v>
      </c>
      <c r="J194" s="36" t="n">
        <v>1</v>
      </c>
      <c r="K194" s="58" t="n">
        <v>46038</v>
      </c>
      <c r="L194" s="36" t="n">
        <v>45</v>
      </c>
      <c r="M194" s="36" t="inlineStr">
        <is>
          <t>No</t>
        </is>
      </c>
      <c r="N194" s="36" t="inlineStr"/>
      <c r="O194" s="58" t="n"/>
      <c r="P194" s="36" t="inlineStr">
        <is>
          <t>Open - Missed</t>
        </is>
      </c>
      <c r="Q194" s="55" t="n">
        <v>303.93</v>
      </c>
      <c r="R194" s="36" t="inlineStr">
        <is>
          <t>Paid-Ins</t>
        </is>
      </c>
      <c r="S194" s="36" t="inlineStr">
        <is>
          <t>Picked Up</t>
        </is>
      </c>
      <c r="T194" s="36" t="inlineStr">
        <is>
          <t>ESI</t>
        </is>
      </c>
      <c r="U194" s="36" t="inlineStr">
        <is>
          <t>400023</t>
        </is>
      </c>
      <c r="V194" s="36" t="inlineStr">
        <is>
          <t>Arcentales  Jonathan</t>
        </is>
      </c>
    </row>
    <row r="195">
      <c r="A195" s="36" t="inlineStr">
        <is>
          <t>130042</t>
        </is>
      </c>
      <c r="B195" s="36" t="inlineStr">
        <is>
          <t>RYDER  ELVIRA</t>
        </is>
      </c>
      <c r="C195" s="58" t="inlineStr">
        <is>
          <t>05-03-1949</t>
        </is>
      </c>
      <c r="D195" s="36" t="inlineStr">
        <is>
          <t>347-429-1952</t>
        </is>
      </c>
      <c r="E195" s="36" t="inlineStr">
        <is>
          <t>MOUNJARO 12.5 MG/0.5ML PEN-INJECTOR</t>
        </is>
      </c>
      <c r="F195" s="36" t="inlineStr">
        <is>
          <t>00002146080</t>
        </is>
      </c>
      <c r="G195" s="36" t="inlineStr">
        <is>
          <t>_19490503|</t>
        </is>
      </c>
      <c r="H195" s="58" t="n">
        <v>46017</v>
      </c>
      <c r="I195" s="36" t="n">
        <v>28</v>
      </c>
      <c r="J195" s="36" t="n">
        <v>1</v>
      </c>
      <c r="K195" s="58" t="n">
        <v>46045</v>
      </c>
      <c r="L195" s="36" t="n">
        <v>38</v>
      </c>
      <c r="M195" s="36" t="inlineStr">
        <is>
          <t>No</t>
        </is>
      </c>
      <c r="N195" s="36" t="inlineStr"/>
      <c r="O195" s="58" t="n"/>
      <c r="P195" s="36" t="inlineStr">
        <is>
          <t>Open - Missed</t>
        </is>
      </c>
      <c r="Q195" s="55" t="n">
        <v>1083.32</v>
      </c>
      <c r="R195" s="36" t="inlineStr">
        <is>
          <t>Transmitted</t>
        </is>
      </c>
      <c r="S195" s="36" t="inlineStr">
        <is>
          <t>Picked Up</t>
        </is>
      </c>
      <c r="T195" s="36" t="inlineStr">
        <is>
          <t>OPTUM</t>
        </is>
      </c>
      <c r="U195" s="36" t="inlineStr">
        <is>
          <t>610097</t>
        </is>
      </c>
      <c r="V195" s="36" t="inlineStr">
        <is>
          <t>ROSENBLUM  HANNAH</t>
        </is>
      </c>
    </row>
    <row r="196">
      <c r="A196" s="36" t="inlineStr">
        <is>
          <t>118163</t>
        </is>
      </c>
      <c r="B196" s="36" t="inlineStr">
        <is>
          <t>LARA  RAFAEL</t>
        </is>
      </c>
      <c r="C196" s="58" t="inlineStr">
        <is>
          <t>10-17-1941</t>
        </is>
      </c>
      <c r="D196" s="36" t="inlineStr">
        <is>
          <t>646-261-3157</t>
        </is>
      </c>
      <c r="E196" s="36" t="inlineStr">
        <is>
          <t>MYRBETRIQ 25MG TABLET</t>
        </is>
      </c>
      <c r="F196" s="36" t="inlineStr">
        <is>
          <t>00469260130</t>
        </is>
      </c>
      <c r="G196" s="36" t="inlineStr">
        <is>
          <t>_19411017|</t>
        </is>
      </c>
      <c r="H196" s="58" t="n">
        <v>46015</v>
      </c>
      <c r="I196" s="36" t="n">
        <v>30</v>
      </c>
      <c r="J196" s="36" t="n">
        <v>6</v>
      </c>
      <c r="K196" s="58" t="n">
        <v>46045</v>
      </c>
      <c r="L196" s="36" t="n">
        <v>38</v>
      </c>
      <c r="M196" s="36" t="inlineStr">
        <is>
          <t>No</t>
        </is>
      </c>
      <c r="N196" s="36" t="inlineStr"/>
      <c r="O196" s="58" t="n"/>
      <c r="P196" s="36" t="inlineStr">
        <is>
          <t>Open - Missed</t>
        </is>
      </c>
      <c r="Q196" s="55" t="n">
        <v>411.51</v>
      </c>
      <c r="R196" s="36" t="inlineStr">
        <is>
          <t>Paid-Ins</t>
        </is>
      </c>
      <c r="S196" s="36" t="inlineStr">
        <is>
          <t>Picked Up</t>
        </is>
      </c>
      <c r="T196" s="36" t="inlineStr">
        <is>
          <t>ESI</t>
        </is>
      </c>
      <c r="U196" s="36" t="inlineStr">
        <is>
          <t>610014</t>
        </is>
      </c>
      <c r="V196" s="36" t="inlineStr">
        <is>
          <t>Weiner  David</t>
        </is>
      </c>
    </row>
    <row r="197">
      <c r="A197" s="36" t="inlineStr">
        <is>
          <t>85533</t>
        </is>
      </c>
      <c r="B197" s="36" t="inlineStr">
        <is>
          <t>FRIAS  DULCE</t>
        </is>
      </c>
      <c r="C197" s="58" t="inlineStr">
        <is>
          <t>05-10-1942</t>
        </is>
      </c>
      <c r="D197" s="36" t="inlineStr">
        <is>
          <t>646-348-0771</t>
        </is>
      </c>
      <c r="E197" s="36" t="inlineStr">
        <is>
          <t>CONTOUR NEXT TEST  STRIPS</t>
        </is>
      </c>
      <c r="F197" s="36" t="inlineStr">
        <is>
          <t>00193731150</t>
        </is>
      </c>
      <c r="G197" s="36" t="inlineStr">
        <is>
          <t>_19420510|STRIPSONLY</t>
        </is>
      </c>
      <c r="H197" s="58" t="n">
        <v>45957</v>
      </c>
      <c r="I197" s="36" t="n">
        <v>90</v>
      </c>
      <c r="J197" s="36" t="n">
        <v>2</v>
      </c>
      <c r="K197" s="58" t="n">
        <v>46047</v>
      </c>
      <c r="L197" s="36" t="n">
        <v>36</v>
      </c>
      <c r="M197" s="36" t="inlineStr">
        <is>
          <t>No</t>
        </is>
      </c>
      <c r="N197" s="36" t="inlineStr"/>
      <c r="O197" s="58" t="n"/>
      <c r="P197" s="36" t="inlineStr">
        <is>
          <t>Open - Missed</t>
        </is>
      </c>
      <c r="Q197" s="55" t="n">
        <v>204.26</v>
      </c>
      <c r="R197" s="36" t="inlineStr">
        <is>
          <t>Paid-Ins</t>
        </is>
      </c>
      <c r="S197" s="36" t="inlineStr">
        <is>
          <t>Picked Up</t>
        </is>
      </c>
      <c r="T197" s="36" t="inlineStr">
        <is>
          <t>CVS</t>
        </is>
      </c>
      <c r="U197" s="36" t="inlineStr">
        <is>
          <t>004336</t>
        </is>
      </c>
      <c r="V197" s="36" t="inlineStr">
        <is>
          <t>BATISTA HERASME  NATIVIDAD</t>
        </is>
      </c>
    </row>
    <row r="198">
      <c r="A198" s="36" t="inlineStr">
        <is>
          <t>95258</t>
        </is>
      </c>
      <c r="B198" s="36" t="inlineStr">
        <is>
          <t>NOBOA  BOLIVAR</t>
        </is>
      </c>
      <c r="C198" s="58" t="inlineStr">
        <is>
          <t>04-20-1936</t>
        </is>
      </c>
      <c r="D198" s="36" t="inlineStr">
        <is>
          <t>212-926-1480</t>
        </is>
      </c>
      <c r="E198" s="36" t="inlineStr">
        <is>
          <t>CONTOUR NEXT TEST  STRIPS</t>
        </is>
      </c>
      <c r="F198" s="36" t="inlineStr">
        <is>
          <t>00193731150</t>
        </is>
      </c>
      <c r="G198" s="36" t="inlineStr">
        <is>
          <t>_19360420|STRIPSONLY</t>
        </is>
      </c>
      <c r="H198" s="58" t="n">
        <v>46017</v>
      </c>
      <c r="I198" s="36" t="n">
        <v>30</v>
      </c>
      <c r="J198" s="36" t="n">
        <v>8</v>
      </c>
      <c r="K198" s="58" t="n">
        <v>46047</v>
      </c>
      <c r="L198" s="36" t="n">
        <v>36</v>
      </c>
      <c r="M198" s="36" t="inlineStr">
        <is>
          <t>No</t>
        </is>
      </c>
      <c r="N198" s="36" t="inlineStr"/>
      <c r="O198" s="58" t="n"/>
      <c r="P198" s="36" t="inlineStr">
        <is>
          <t>Open - Missed</t>
        </is>
      </c>
      <c r="Q198" s="55" t="n">
        <v>103.51</v>
      </c>
      <c r="R198" s="36" t="inlineStr">
        <is>
          <t>Paid-Ins</t>
        </is>
      </c>
      <c r="S198" s="36" t="inlineStr">
        <is>
          <t>Picked Up</t>
        </is>
      </c>
      <c r="T198" s="36" t="inlineStr">
        <is>
          <t>CVS</t>
        </is>
      </c>
      <c r="U198" s="36" t="inlineStr">
        <is>
          <t>004336</t>
        </is>
      </c>
      <c r="V198" s="36" t="inlineStr">
        <is>
          <t>Tan  Zimri</t>
        </is>
      </c>
    </row>
    <row r="199">
      <c r="A199" s="36" t="inlineStr">
        <is>
          <t>136739</t>
        </is>
      </c>
      <c r="B199" s="36" t="inlineStr">
        <is>
          <t>GUZMAN  JOSE</t>
        </is>
      </c>
      <c r="C199" s="58" t="inlineStr">
        <is>
          <t>08-08-1959</t>
        </is>
      </c>
      <c r="D199" s="36" t="inlineStr">
        <is>
          <t>347-271-2649</t>
        </is>
      </c>
      <c r="E199" s="36" t="inlineStr">
        <is>
          <t>CONTOUR NEXT TEST  STRIPS</t>
        </is>
      </c>
      <c r="F199" s="36" t="inlineStr">
        <is>
          <t>00193731150</t>
        </is>
      </c>
      <c r="G199" s="36" t="inlineStr">
        <is>
          <t>_19590808|STRIPSONLY</t>
        </is>
      </c>
      <c r="H199" s="58" t="n">
        <v>46020</v>
      </c>
      <c r="I199" s="36" t="n">
        <v>30</v>
      </c>
      <c r="J199" s="36" t="n">
        <v>1</v>
      </c>
      <c r="K199" s="58" t="n">
        <v>46050</v>
      </c>
      <c r="L199" s="36" t="n">
        <v>33</v>
      </c>
      <c r="M199" s="36" t="inlineStr">
        <is>
          <t>No</t>
        </is>
      </c>
      <c r="N199" s="36" t="inlineStr"/>
      <c r="O199" s="58" t="n"/>
      <c r="P199" s="36" t="inlineStr">
        <is>
          <t>Open - Missed</t>
        </is>
      </c>
      <c r="Q199" s="55" t="n">
        <v>103.51</v>
      </c>
      <c r="R199" s="36" t="inlineStr">
        <is>
          <t>Paid-Ins</t>
        </is>
      </c>
      <c r="S199" s="36" t="inlineStr">
        <is>
          <t>Picked Up</t>
        </is>
      </c>
      <c r="T199" s="36" t="inlineStr">
        <is>
          <t>CVS</t>
        </is>
      </c>
      <c r="U199" s="36" t="inlineStr">
        <is>
          <t>004336</t>
        </is>
      </c>
      <c r="V199" s="36" t="inlineStr">
        <is>
          <t>ROSARIO  FRANCISCO</t>
        </is>
      </c>
    </row>
    <row r="200">
      <c r="A200" s="36" t="inlineStr">
        <is>
          <t>117839</t>
        </is>
      </c>
      <c r="B200" s="36" t="inlineStr">
        <is>
          <t>SANTOS  ANA</t>
        </is>
      </c>
      <c r="C200" s="58" t="inlineStr">
        <is>
          <t>10-28-1956</t>
        </is>
      </c>
      <c r="D200" s="36" t="n">
        <v/>
      </c>
      <c r="E200" s="36" t="inlineStr">
        <is>
          <t xml:space="preserve">JARDIANCE 25MG TAB </t>
        </is>
      </c>
      <c r="F200" s="36" t="inlineStr">
        <is>
          <t>00597015330</t>
        </is>
      </c>
      <c r="G200" s="36" t="inlineStr">
        <is>
          <t>_19561028|MFP</t>
        </is>
      </c>
      <c r="H200" s="58" t="n">
        <v>45961</v>
      </c>
      <c r="I200" s="36" t="n">
        <v>90</v>
      </c>
      <c r="J200" s="36" t="n">
        <v>2</v>
      </c>
      <c r="K200" s="58" t="n">
        <v>46051</v>
      </c>
      <c r="L200" s="36" t="n">
        <v>32</v>
      </c>
      <c r="M200" s="36" t="inlineStr">
        <is>
          <t>No</t>
        </is>
      </c>
      <c r="N200" s="36" t="inlineStr"/>
      <c r="O200" s="58" t="n"/>
      <c r="P200" s="36" t="inlineStr">
        <is>
          <t>Open - Missed</t>
        </is>
      </c>
      <c r="Q200" s="55" t="n">
        <v>1821.96</v>
      </c>
      <c r="R200" s="36" t="inlineStr">
        <is>
          <t>Transmitted</t>
        </is>
      </c>
      <c r="S200" s="36" t="inlineStr">
        <is>
          <t>Picked Up</t>
        </is>
      </c>
      <c r="T200" s="36" t="inlineStr">
        <is>
          <t>NYM</t>
        </is>
      </c>
      <c r="U200" s="36" t="inlineStr">
        <is>
          <t>004740</t>
        </is>
      </c>
      <c r="V200" s="36" t="inlineStr">
        <is>
          <t>Martinez  Elisa</t>
        </is>
      </c>
    </row>
    <row r="201">
      <c r="A201" s="36" t="inlineStr">
        <is>
          <t>125767</t>
        </is>
      </c>
      <c r="B201" s="36" t="inlineStr">
        <is>
          <t>VARGAS  LUCINDA</t>
        </is>
      </c>
      <c r="C201" s="58" t="inlineStr">
        <is>
          <t>12-05-1971</t>
        </is>
      </c>
      <c r="D201" s="36" t="inlineStr">
        <is>
          <t>646-634-4891</t>
        </is>
      </c>
      <c r="E201" s="36" t="inlineStr">
        <is>
          <t>LINZESS 72 MCG ORAL CAPSULE</t>
        </is>
      </c>
      <c r="F201" s="36" t="inlineStr">
        <is>
          <t>00456120330</t>
        </is>
      </c>
      <c r="G201" s="36" t="inlineStr">
        <is>
          <t>_19711205|</t>
        </is>
      </c>
      <c r="H201" s="58" t="n">
        <v>46022</v>
      </c>
      <c r="I201" s="36" t="n">
        <v>30</v>
      </c>
      <c r="J201" s="36" t="n">
        <v>2</v>
      </c>
      <c r="K201" s="58" t="n">
        <v>46052</v>
      </c>
      <c r="L201" s="36" t="n">
        <v>31</v>
      </c>
      <c r="M201" s="36" t="inlineStr">
        <is>
          <t>No</t>
        </is>
      </c>
      <c r="N201" s="36" t="inlineStr"/>
      <c r="O201" s="58" t="n"/>
      <c r="P201" s="36" t="inlineStr">
        <is>
          <t>Open - Missed</t>
        </is>
      </c>
      <c r="Q201" s="55" t="n">
        <v>1098.54</v>
      </c>
      <c r="R201" s="36" t="inlineStr">
        <is>
          <t>Paid-Ins</t>
        </is>
      </c>
      <c r="S201" s="36" t="inlineStr">
        <is>
          <t>Picked Up</t>
        </is>
      </c>
      <c r="T201" s="36" t="inlineStr">
        <is>
          <t>NYM</t>
        </is>
      </c>
      <c r="U201" s="36" t="inlineStr">
        <is>
          <t>004740</t>
        </is>
      </c>
      <c r="V201" s="36" t="inlineStr">
        <is>
          <t>PEREZ  MONA</t>
        </is>
      </c>
    </row>
    <row r="202">
      <c r="A202" s="36" t="inlineStr">
        <is>
          <t>134176</t>
        </is>
      </c>
      <c r="B202" s="36" t="inlineStr">
        <is>
          <t>FIELDS  PATRICIA</t>
        </is>
      </c>
      <c r="C202" s="58" t="inlineStr">
        <is>
          <t>04-12-1962</t>
        </is>
      </c>
      <c r="D202" s="36" t="inlineStr">
        <is>
          <t>646-215-1772</t>
        </is>
      </c>
      <c r="E202" s="36" t="inlineStr">
        <is>
          <t>MIEBO 1.338 GM/ML OPHTHALMIC SOLUTION</t>
        </is>
      </c>
      <c r="F202" s="36" t="inlineStr">
        <is>
          <t>24208037705</t>
        </is>
      </c>
      <c r="G202" s="36" t="inlineStr">
        <is>
          <t>_19620412|</t>
        </is>
      </c>
      <c r="H202" s="58" t="n">
        <v>46022</v>
      </c>
      <c r="I202" s="36" t="n">
        <v>30</v>
      </c>
      <c r="J202" s="36" t="n">
        <v>5</v>
      </c>
      <c r="K202" s="58" t="n">
        <v>46052</v>
      </c>
      <c r="L202" s="36" t="n">
        <v>31</v>
      </c>
      <c r="M202" s="36" t="inlineStr">
        <is>
          <t>No</t>
        </is>
      </c>
      <c r="N202" s="36" t="inlineStr"/>
      <c r="O202" s="58" t="n"/>
      <c r="P202" s="36" t="inlineStr">
        <is>
          <t>Open - Missed</t>
        </is>
      </c>
      <c r="Q202" s="55" t="n">
        <v>742.35</v>
      </c>
      <c r="R202" s="36" t="inlineStr">
        <is>
          <t>Paid-Ins</t>
        </is>
      </c>
      <c r="S202" s="36" t="inlineStr">
        <is>
          <t>Picked Up</t>
        </is>
      </c>
      <c r="T202" s="36" t="inlineStr">
        <is>
          <t>ESI</t>
        </is>
      </c>
      <c r="U202" s="36" t="inlineStr">
        <is>
          <t>610014</t>
        </is>
      </c>
      <c r="V202" s="36" t="inlineStr">
        <is>
          <t>HAN  ELAINE</t>
        </is>
      </c>
    </row>
    <row r="203">
      <c r="A203" s="36" t="inlineStr">
        <is>
          <t>122877</t>
        </is>
      </c>
      <c r="B203" s="36" t="inlineStr">
        <is>
          <t>PEREZ  PILAR</t>
        </is>
      </c>
      <c r="C203" s="58" t="inlineStr">
        <is>
          <t>10-14-1940</t>
        </is>
      </c>
      <c r="D203" s="36" t="inlineStr">
        <is>
          <t>917-605-7607</t>
        </is>
      </c>
      <c r="E203" s="36" t="inlineStr">
        <is>
          <t>XIIDRA 5 % OPHTHALMIC SOLUTION</t>
        </is>
      </c>
      <c r="F203" s="36" t="inlineStr">
        <is>
          <t>24208091112</t>
        </is>
      </c>
      <c r="G203" s="36" t="inlineStr">
        <is>
          <t>_19401014|</t>
        </is>
      </c>
      <c r="H203" s="58" t="n">
        <v>46024</v>
      </c>
      <c r="I203" s="36" t="n">
        <v>30</v>
      </c>
      <c r="J203" s="36" t="n">
        <v>2</v>
      </c>
      <c r="K203" s="58" t="n">
        <v>46054</v>
      </c>
      <c r="L203" s="36" t="n">
        <v>29</v>
      </c>
      <c r="M203" s="36" t="inlineStr">
        <is>
          <t>No</t>
        </is>
      </c>
      <c r="N203" s="36" t="inlineStr"/>
      <c r="O203" s="58" t="n"/>
      <c r="P203" s="36" t="inlineStr">
        <is>
          <t>Open - Missed</t>
        </is>
      </c>
      <c r="Q203" s="55" t="n">
        <v>724.1799999999999</v>
      </c>
      <c r="R203" s="36" t="inlineStr">
        <is>
          <t>Transmitted</t>
        </is>
      </c>
      <c r="S203" s="36" t="inlineStr">
        <is>
          <t>Picked Up</t>
        </is>
      </c>
      <c r="T203" s="36" t="inlineStr">
        <is>
          <t>OPTUM</t>
        </is>
      </c>
      <c r="U203" s="36" t="inlineStr">
        <is>
          <t>610011</t>
        </is>
      </c>
      <c r="V203" s="36" t="inlineStr">
        <is>
          <t>Weintraub  Dina</t>
        </is>
      </c>
    </row>
    <row r="204">
      <c r="A204" s="36" t="inlineStr">
        <is>
          <t>114946</t>
        </is>
      </c>
      <c r="B204" s="36" t="inlineStr">
        <is>
          <t>ESPEJO  ALEXANDRINA</t>
        </is>
      </c>
      <c r="C204" s="58" t="inlineStr">
        <is>
          <t>05-27-1956</t>
        </is>
      </c>
      <c r="D204" s="36" t="inlineStr">
        <is>
          <t>347-569-3317</t>
        </is>
      </c>
      <c r="E204" s="36" t="inlineStr">
        <is>
          <t>CONTOUR NEXT TEST  STRIPS</t>
        </is>
      </c>
      <c r="F204" s="36" t="inlineStr">
        <is>
          <t>00193731150</t>
        </is>
      </c>
      <c r="G204" s="36" t="inlineStr">
        <is>
          <t>_19560527|STRIPSONLY</t>
        </is>
      </c>
      <c r="H204" s="58" t="n">
        <v>46024</v>
      </c>
      <c r="I204" s="36" t="n">
        <v>30</v>
      </c>
      <c r="J204" s="36" t="n">
        <v>3</v>
      </c>
      <c r="K204" s="58" t="n">
        <v>46054</v>
      </c>
      <c r="L204" s="36" t="n">
        <v>29</v>
      </c>
      <c r="M204" s="36" t="inlineStr">
        <is>
          <t>No</t>
        </is>
      </c>
      <c r="N204" s="36" t="inlineStr"/>
      <c r="O204" s="58" t="n"/>
      <c r="P204" s="36" t="inlineStr">
        <is>
          <t>Open - Missed</t>
        </is>
      </c>
      <c r="Q204" s="55" t="n">
        <v>104.44</v>
      </c>
      <c r="R204" s="36" t="inlineStr">
        <is>
          <t>Paid-Ins</t>
        </is>
      </c>
      <c r="S204" s="36" t="inlineStr">
        <is>
          <t>Picked Up</t>
        </is>
      </c>
      <c r="T204" s="36" t="inlineStr">
        <is>
          <t>CVS</t>
        </is>
      </c>
      <c r="U204" s="36" t="inlineStr">
        <is>
          <t>004336</t>
        </is>
      </c>
      <c r="V204" s="36" t="inlineStr">
        <is>
          <t>RAMNARINE  JOTIR</t>
        </is>
      </c>
    </row>
    <row r="205">
      <c r="A205" s="36" t="inlineStr">
        <is>
          <t>118743</t>
        </is>
      </c>
      <c r="B205" s="36" t="inlineStr">
        <is>
          <t>VELEZ  CARMEN</t>
        </is>
      </c>
      <c r="C205" s="58" t="inlineStr">
        <is>
          <t>01-14-1953</t>
        </is>
      </c>
      <c r="D205" s="36" t="inlineStr">
        <is>
          <t>646-982-5672</t>
        </is>
      </c>
      <c r="E205" s="36" t="inlineStr">
        <is>
          <t>NOVOLOG FLEXPEN 100UNIT/ML INJECTION</t>
        </is>
      </c>
      <c r="F205" s="36" t="inlineStr">
        <is>
          <t>00169633910</t>
        </is>
      </c>
      <c r="G205" s="36" t="inlineStr">
        <is>
          <t>_19530114|MFP</t>
        </is>
      </c>
      <c r="H205" s="58" t="n">
        <v>45966</v>
      </c>
      <c r="I205" s="36" t="n">
        <v>90</v>
      </c>
      <c r="J205" s="36" t="n">
        <v>1</v>
      </c>
      <c r="K205" s="58" t="n">
        <v>46056</v>
      </c>
      <c r="L205" s="36" t="n">
        <v>27</v>
      </c>
      <c r="M205" s="36" t="inlineStr">
        <is>
          <t>No</t>
        </is>
      </c>
      <c r="N205" s="36" t="inlineStr"/>
      <c r="O205" s="58" t="n"/>
      <c r="P205" s="36" t="inlineStr">
        <is>
          <t>Open - Missed</t>
        </is>
      </c>
      <c r="Q205" s="55" t="n">
        <v>129.59</v>
      </c>
      <c r="R205" s="36" t="inlineStr">
        <is>
          <t>Paid-Ins</t>
        </is>
      </c>
      <c r="S205" s="36" t="inlineStr">
        <is>
          <t>Picked Up</t>
        </is>
      </c>
      <c r="T205" s="36" t="inlineStr">
        <is>
          <t>CVS</t>
        </is>
      </c>
      <c r="U205" s="36" t="inlineStr">
        <is>
          <t>004336</t>
        </is>
      </c>
      <c r="V205" s="36" t="inlineStr">
        <is>
          <t>Filopoulos  Maria</t>
        </is>
      </c>
    </row>
    <row r="206">
      <c r="A206" s="36" t="inlineStr">
        <is>
          <t>109069</t>
        </is>
      </c>
      <c r="B206" s="36" t="inlineStr">
        <is>
          <t>GUICHARDO  ANDREW</t>
        </is>
      </c>
      <c r="C206" s="58" t="inlineStr">
        <is>
          <t>08-09-2009</t>
        </is>
      </c>
      <c r="D206" s="36" t="inlineStr">
        <is>
          <t>646-591-8140</t>
        </is>
      </c>
      <c r="E206" s="36" t="inlineStr">
        <is>
          <t>CONTOUR NEXT TEST  STRIPS</t>
        </is>
      </c>
      <c r="F206" s="36" t="inlineStr">
        <is>
          <t>00193731150</t>
        </is>
      </c>
      <c r="G206" s="36" t="inlineStr">
        <is>
          <t>_20090809|STRIPSONLY</t>
        </is>
      </c>
      <c r="H206" s="58" t="n">
        <v>46028</v>
      </c>
      <c r="I206" s="36" t="n">
        <v>30</v>
      </c>
      <c r="J206" s="36" t="n">
        <v>6</v>
      </c>
      <c r="K206" s="58" t="n">
        <v>46058</v>
      </c>
      <c r="L206" s="36" t="n">
        <v>25</v>
      </c>
      <c r="M206" s="36" t="inlineStr">
        <is>
          <t>No</t>
        </is>
      </c>
      <c r="N206" s="36" t="inlineStr"/>
      <c r="O206" s="58" t="n"/>
      <c r="P206" s="36" t="inlineStr">
        <is>
          <t>Open - Missed</t>
        </is>
      </c>
      <c r="Q206" s="55" t="n">
        <v>360.25</v>
      </c>
      <c r="R206" s="36" t="inlineStr">
        <is>
          <t>Transmitted</t>
        </is>
      </c>
      <c r="S206" s="36" t="inlineStr">
        <is>
          <t>Picked Up</t>
        </is>
      </c>
      <c r="T206" s="36" t="inlineStr">
        <is>
          <t>OPTUM</t>
        </is>
      </c>
      <c r="U206" s="36" t="inlineStr">
        <is>
          <t>610011</t>
        </is>
      </c>
      <c r="V206" s="36" t="inlineStr">
        <is>
          <t>Salce  Arleigh</t>
        </is>
      </c>
    </row>
    <row r="207">
      <c r="A207" s="36" t="inlineStr">
        <is>
          <t>130922</t>
        </is>
      </c>
      <c r="B207" s="36" t="inlineStr">
        <is>
          <t>MOSQUERA  YOLANDA</t>
        </is>
      </c>
      <c r="C207" s="58" t="inlineStr">
        <is>
          <t>02-20-1977</t>
        </is>
      </c>
      <c r="D207" s="36" t="inlineStr">
        <is>
          <t>347-759-7694</t>
        </is>
      </c>
      <c r="E207" s="36" t="inlineStr">
        <is>
          <t>SYMBICORT 160-4.5MCG/ACT AEROSOL</t>
        </is>
      </c>
      <c r="F207" s="36" t="inlineStr">
        <is>
          <t>00186037020</t>
        </is>
      </c>
      <c r="G207" s="36" t="inlineStr">
        <is>
          <t>_19770220|</t>
        </is>
      </c>
      <c r="H207" s="58" t="n">
        <v>46028</v>
      </c>
      <c r="I207" s="36" t="n">
        <v>30</v>
      </c>
      <c r="J207" s="36" t="n">
        <v>3</v>
      </c>
      <c r="K207" s="58" t="n">
        <v>46058</v>
      </c>
      <c r="L207" s="36" t="n">
        <v>25</v>
      </c>
      <c r="M207" s="36" t="inlineStr">
        <is>
          <t>No</t>
        </is>
      </c>
      <c r="N207" s="36" t="inlineStr"/>
      <c r="O207" s="58" t="n"/>
      <c r="P207" s="36" t="inlineStr">
        <is>
          <t>Open - Missed</t>
        </is>
      </c>
      <c r="Q207" s="55" t="n">
        <v>234.87</v>
      </c>
      <c r="R207" s="36" t="inlineStr">
        <is>
          <t>Paid-Ins</t>
        </is>
      </c>
      <c r="S207" s="36" t="inlineStr">
        <is>
          <t>Picked Up</t>
        </is>
      </c>
      <c r="T207" s="36" t="inlineStr">
        <is>
          <t>NYM</t>
        </is>
      </c>
      <c r="U207" s="36" t="inlineStr">
        <is>
          <t>004740</t>
        </is>
      </c>
      <c r="V207" s="36" t="inlineStr">
        <is>
          <t>Diaz  Chanelle</t>
        </is>
      </c>
    </row>
    <row r="208">
      <c r="A208" s="36" t="inlineStr">
        <is>
          <t>125903</t>
        </is>
      </c>
      <c r="B208" s="36" t="inlineStr">
        <is>
          <t>FIGUEREO  BRAUDILIA</t>
        </is>
      </c>
      <c r="C208" s="58" t="inlineStr">
        <is>
          <t>12-06-1938</t>
        </is>
      </c>
      <c r="D208" s="36" t="inlineStr">
        <is>
          <t>212-694-6620</t>
        </is>
      </c>
      <c r="E208" s="36" t="inlineStr">
        <is>
          <t>CONTOUR NEXT TEST  STRIPS</t>
        </is>
      </c>
      <c r="F208" s="36" t="inlineStr">
        <is>
          <t>00193731150</t>
        </is>
      </c>
      <c r="G208" s="36" t="inlineStr">
        <is>
          <t>_19381206|STRIPSONLY</t>
        </is>
      </c>
      <c r="H208" s="58" t="n">
        <v>46008</v>
      </c>
      <c r="I208" s="36" t="n">
        <v>50</v>
      </c>
      <c r="J208" s="36" t="n">
        <v>2</v>
      </c>
      <c r="K208" s="58" t="n">
        <v>46058</v>
      </c>
      <c r="L208" s="36" t="n">
        <v>25</v>
      </c>
      <c r="M208" s="36" t="inlineStr">
        <is>
          <t>No</t>
        </is>
      </c>
      <c r="N208" s="36" t="inlineStr"/>
      <c r="O208" s="58" t="n"/>
      <c r="P208" s="36" t="inlineStr">
        <is>
          <t>Open - Missed</t>
        </is>
      </c>
      <c r="Q208" s="55" t="n">
        <v>103.51</v>
      </c>
      <c r="R208" s="36" t="inlineStr">
        <is>
          <t>Paid-Ins</t>
        </is>
      </c>
      <c r="S208" s="36" t="inlineStr">
        <is>
          <t>Picked Up</t>
        </is>
      </c>
      <c r="T208" s="36" t="inlineStr">
        <is>
          <t>CVS</t>
        </is>
      </c>
      <c r="U208" s="36" t="inlineStr">
        <is>
          <t>004336</t>
        </is>
      </c>
      <c r="V208" s="36" t="inlineStr">
        <is>
          <t>Anokye  Robert</t>
        </is>
      </c>
    </row>
    <row r="209">
      <c r="A209" s="36" t="inlineStr">
        <is>
          <t>138195</t>
        </is>
      </c>
      <c r="B209" s="36" t="inlineStr">
        <is>
          <t>LOPEZ  SANTO</t>
        </is>
      </c>
      <c r="C209" s="58" t="inlineStr">
        <is>
          <t>01-01-1978</t>
        </is>
      </c>
      <c r="D209" s="36" t="inlineStr">
        <is>
          <t>917-774-7038</t>
        </is>
      </c>
      <c r="E209" s="36" t="inlineStr">
        <is>
          <t>CONTOUR NEXT TEST  STRIPS</t>
        </is>
      </c>
      <c r="F209" s="36" t="inlineStr">
        <is>
          <t>00193731150</t>
        </is>
      </c>
      <c r="G209" s="36" t="inlineStr">
        <is>
          <t>_19780101|STRIPSONLY</t>
        </is>
      </c>
      <c r="H209" s="58" t="n">
        <v>46030</v>
      </c>
      <c r="I209" s="36" t="n">
        <v>30</v>
      </c>
      <c r="J209" s="36" t="n">
        <v>5</v>
      </c>
      <c r="K209" s="58" t="n">
        <v>46060</v>
      </c>
      <c r="L209" s="36" t="n">
        <v>23</v>
      </c>
      <c r="M209" s="36" t="inlineStr">
        <is>
          <t>No</t>
        </is>
      </c>
      <c r="N209" s="36" t="inlineStr"/>
      <c r="O209" s="58" t="n"/>
      <c r="P209" s="36" t="inlineStr">
        <is>
          <t>Open - Missed</t>
        </is>
      </c>
      <c r="Q209" s="55" t="n">
        <v>104.44</v>
      </c>
      <c r="R209" s="36" t="inlineStr">
        <is>
          <t>Transmitted</t>
        </is>
      </c>
      <c r="S209" s="36" t="inlineStr">
        <is>
          <t>Picked Up</t>
        </is>
      </c>
      <c r="T209" s="36" t="inlineStr">
        <is>
          <t>CVS</t>
        </is>
      </c>
      <c r="U209" s="36" t="inlineStr">
        <is>
          <t>004336</t>
        </is>
      </c>
      <c r="V209" s="36" t="inlineStr">
        <is>
          <t>CHEUNG  THERESA</t>
        </is>
      </c>
    </row>
    <row r="210">
      <c r="A210" s="36" t="inlineStr">
        <is>
          <t>138425</t>
        </is>
      </c>
      <c r="B210" s="36" t="inlineStr">
        <is>
          <t>TAVERAS  MARIA</t>
        </is>
      </c>
      <c r="C210" s="58" t="inlineStr">
        <is>
          <t>11-25-1948</t>
        </is>
      </c>
      <c r="D210" s="36" t="inlineStr">
        <is>
          <t>646-305-3117</t>
        </is>
      </c>
      <c r="E210" s="36" t="inlineStr">
        <is>
          <t>CONTOUR NEXT TEST  STRIPS</t>
        </is>
      </c>
      <c r="F210" s="36" t="inlineStr">
        <is>
          <t>00193731150</t>
        </is>
      </c>
      <c r="G210" s="36" t="inlineStr">
        <is>
          <t>_19481125|STRIPSONLY</t>
        </is>
      </c>
      <c r="H210" s="58" t="n">
        <v>46032</v>
      </c>
      <c r="I210" s="36" t="n">
        <v>30</v>
      </c>
      <c r="J210" s="36" t="n">
        <v>5</v>
      </c>
      <c r="K210" s="58" t="n">
        <v>46062</v>
      </c>
      <c r="L210" s="36" t="n">
        <v>21</v>
      </c>
      <c r="M210" s="36" t="inlineStr">
        <is>
          <t>No</t>
        </is>
      </c>
      <c r="N210" s="36" t="inlineStr"/>
      <c r="O210" s="58" t="n"/>
      <c r="P210" s="36" t="inlineStr">
        <is>
          <t>Open - Missed</t>
        </is>
      </c>
      <c r="Q210" s="55" t="n">
        <v>104.44</v>
      </c>
      <c r="R210" s="36" t="inlineStr">
        <is>
          <t>Paid-Ins</t>
        </is>
      </c>
      <c r="S210" s="36" t="inlineStr">
        <is>
          <t>Picked Up</t>
        </is>
      </c>
      <c r="T210" s="36" t="inlineStr">
        <is>
          <t>CVS</t>
        </is>
      </c>
      <c r="U210" s="36" t="inlineStr">
        <is>
          <t>004336</t>
        </is>
      </c>
      <c r="V210" s="36" t="inlineStr">
        <is>
          <t>DELACRUZ FERNANDEZ  JOSE</t>
        </is>
      </c>
    </row>
    <row r="211">
      <c r="A211" s="36" t="inlineStr">
        <is>
          <t>138481</t>
        </is>
      </c>
      <c r="B211" s="36" t="inlineStr">
        <is>
          <t>CALVO  KEVIN</t>
        </is>
      </c>
      <c r="C211" s="58" t="inlineStr">
        <is>
          <t>04-04-1994</t>
        </is>
      </c>
      <c r="D211" s="36" t="inlineStr">
        <is>
          <t>201-870-2023</t>
        </is>
      </c>
      <c r="E211" s="36" t="inlineStr">
        <is>
          <t>SYMBICORT 80-4.5MCG/ACT AEROSOL</t>
        </is>
      </c>
      <c r="F211" s="36" t="inlineStr">
        <is>
          <t>00186037220</t>
        </is>
      </c>
      <c r="G211" s="36" t="inlineStr">
        <is>
          <t>_19940404|</t>
        </is>
      </c>
      <c r="H211" s="58" t="n">
        <v>46034</v>
      </c>
      <c r="I211" s="36" t="n">
        <v>30</v>
      </c>
      <c r="J211" s="36" t="n">
        <v>2</v>
      </c>
      <c r="K211" s="58" t="n">
        <v>46064</v>
      </c>
      <c r="L211" s="36" t="n">
        <v>19</v>
      </c>
      <c r="M211" s="36" t="inlineStr">
        <is>
          <t>No</t>
        </is>
      </c>
      <c r="N211" s="36" t="inlineStr"/>
      <c r="O211" s="58" t="n"/>
      <c r="P211" s="36" t="inlineStr">
        <is>
          <t>Open - Missed</t>
        </is>
      </c>
      <c r="Q211" s="55" t="n">
        <v>206.7</v>
      </c>
      <c r="R211" s="36" t="inlineStr">
        <is>
          <t>Paid-Ins</t>
        </is>
      </c>
      <c r="S211" s="36" t="inlineStr">
        <is>
          <t>Picked Up</t>
        </is>
      </c>
      <c r="T211" s="36" t="inlineStr">
        <is>
          <t>NYM</t>
        </is>
      </c>
      <c r="U211" s="36" t="inlineStr">
        <is>
          <t>004740</t>
        </is>
      </c>
      <c r="V211" s="36" t="inlineStr">
        <is>
          <t>Elemam  Abdelrahman</t>
        </is>
      </c>
    </row>
    <row r="212">
      <c r="A212" s="36" t="inlineStr">
        <is>
          <t>119904</t>
        </is>
      </c>
      <c r="B212" s="36" t="inlineStr">
        <is>
          <t>PERALTA  HECTOR</t>
        </is>
      </c>
      <c r="C212" s="58" t="inlineStr">
        <is>
          <t>08-21-1959</t>
        </is>
      </c>
      <c r="D212" s="36" t="inlineStr">
        <is>
          <t>917-806-8450</t>
        </is>
      </c>
      <c r="E212" s="36" t="inlineStr">
        <is>
          <t>FARXIGA 10MG TABLET</t>
        </is>
      </c>
      <c r="F212" s="36" t="inlineStr">
        <is>
          <t>00310621030</t>
        </is>
      </c>
      <c r="G212" s="36" t="inlineStr">
        <is>
          <t>_19590821|MFP</t>
        </is>
      </c>
      <c r="H212" s="58" t="n">
        <v>45976</v>
      </c>
      <c r="I212" s="36" t="n">
        <v>90</v>
      </c>
      <c r="J212" s="36" t="n">
        <v>2</v>
      </c>
      <c r="K212" s="58" t="n">
        <v>46066</v>
      </c>
      <c r="L212" s="36" t="n">
        <v>17</v>
      </c>
      <c r="M212" s="36" t="inlineStr">
        <is>
          <t>No</t>
        </is>
      </c>
      <c r="N212" s="36" t="inlineStr"/>
      <c r="O212" s="58" t="n"/>
      <c r="P212" s="36" t="inlineStr">
        <is>
          <t>Open - Missed</t>
        </is>
      </c>
      <c r="Q212" s="55" t="n">
        <v>1672.87</v>
      </c>
      <c r="R212" s="36" t="inlineStr">
        <is>
          <t>Paid-Ins</t>
        </is>
      </c>
      <c r="S212" s="36" t="inlineStr">
        <is>
          <t>Picked Up</t>
        </is>
      </c>
      <c r="T212" s="36" t="inlineStr">
        <is>
          <t>CVS</t>
        </is>
      </c>
      <c r="U212" s="36" t="inlineStr">
        <is>
          <t>004336</t>
        </is>
      </c>
      <c r="V212" s="36" t="inlineStr">
        <is>
          <t>CHAVARRIA  NELSON</t>
        </is>
      </c>
    </row>
    <row r="213">
      <c r="A213" s="36" t="inlineStr">
        <is>
          <t>139507</t>
        </is>
      </c>
      <c r="B213" s="36" t="inlineStr">
        <is>
          <t>ABDO  ABDULRAHMAN</t>
        </is>
      </c>
      <c r="C213" s="58" t="inlineStr">
        <is>
          <t>12-14-2006</t>
        </is>
      </c>
      <c r="D213" s="36" t="inlineStr">
        <is>
          <t>516-494-9931</t>
        </is>
      </c>
      <c r="E213" s="36" t="inlineStr">
        <is>
          <t>FREESTYLE LIBRE 3 SENSOR</t>
        </is>
      </c>
      <c r="F213" s="36" t="inlineStr">
        <is>
          <t>57599081800</t>
        </is>
      </c>
      <c r="G213" s="36" t="inlineStr">
        <is>
          <t>_20061214|STRIPSONLY</t>
        </is>
      </c>
      <c r="H213" s="58" t="n">
        <v>46038</v>
      </c>
      <c r="I213" s="36" t="n">
        <v>28</v>
      </c>
      <c r="J213" s="36" t="n">
        <v>11</v>
      </c>
      <c r="K213" s="58" t="n">
        <v>46066</v>
      </c>
      <c r="L213" s="36" t="n">
        <v>17</v>
      </c>
      <c r="M213" s="36" t="inlineStr">
        <is>
          <t>No</t>
        </is>
      </c>
      <c r="N213" s="36" t="inlineStr"/>
      <c r="O213" s="58" t="n"/>
      <c r="P213" s="36" t="inlineStr">
        <is>
          <t>Open - Missed</t>
        </is>
      </c>
      <c r="Q213" s="55" t="n">
        <v>144.3</v>
      </c>
      <c r="R213" s="36" t="inlineStr">
        <is>
          <t>Paid-Ins</t>
        </is>
      </c>
      <c r="S213" s="36" t="inlineStr">
        <is>
          <t>Picked Up</t>
        </is>
      </c>
      <c r="T213" s="36" t="inlineStr">
        <is>
          <t>NYM</t>
        </is>
      </c>
      <c r="U213" s="36" t="inlineStr">
        <is>
          <t>004740</t>
        </is>
      </c>
      <c r="V213" s="36" t="inlineStr">
        <is>
          <t>LEIBEL  NATASHA</t>
        </is>
      </c>
    </row>
    <row r="214">
      <c r="A214" s="36" t="inlineStr">
        <is>
          <t>139201</t>
        </is>
      </c>
      <c r="B214" s="36" t="inlineStr">
        <is>
          <t>ESTACIO  ANITA</t>
        </is>
      </c>
      <c r="C214" s="58" t="inlineStr">
        <is>
          <t>08-03-1960</t>
        </is>
      </c>
      <c r="D214" s="36" t="inlineStr">
        <is>
          <t>646-972-2612</t>
        </is>
      </c>
      <c r="E214" s="36" t="inlineStr">
        <is>
          <t>CONTOUR NEXT TEST  STRIPS</t>
        </is>
      </c>
      <c r="F214" s="36" t="inlineStr">
        <is>
          <t>00193731150</t>
        </is>
      </c>
      <c r="G214" s="36" t="inlineStr">
        <is>
          <t>_19600803|STRIPSONLY</t>
        </is>
      </c>
      <c r="H214" s="58" t="n">
        <v>46037</v>
      </c>
      <c r="I214" s="36" t="n">
        <v>30</v>
      </c>
      <c r="J214" s="36" t="n">
        <v>5</v>
      </c>
      <c r="K214" s="58" t="n">
        <v>46067</v>
      </c>
      <c r="L214" s="36" t="n">
        <v>16</v>
      </c>
      <c r="M214" s="36" t="inlineStr">
        <is>
          <t>No</t>
        </is>
      </c>
      <c r="N214" s="36" t="inlineStr"/>
      <c r="O214" s="58" t="n"/>
      <c r="P214" s="36" t="inlineStr">
        <is>
          <t>Open - Missed</t>
        </is>
      </c>
      <c r="Q214" s="55" t="n">
        <v>104.44</v>
      </c>
      <c r="R214" s="36" t="inlineStr">
        <is>
          <t>Paid-Ins</t>
        </is>
      </c>
      <c r="S214" s="36" t="inlineStr">
        <is>
          <t>Picked Up</t>
        </is>
      </c>
      <c r="T214" s="36" t="inlineStr">
        <is>
          <t>CVS</t>
        </is>
      </c>
      <c r="U214" s="36" t="inlineStr">
        <is>
          <t>004336</t>
        </is>
      </c>
      <c r="V214" s="36" t="inlineStr">
        <is>
          <t>KREBS  GABRIELA</t>
        </is>
      </c>
    </row>
    <row r="215">
      <c r="A215" s="36" t="inlineStr">
        <is>
          <t>131764</t>
        </is>
      </c>
      <c r="B215" s="36" t="inlineStr">
        <is>
          <t>CASTILLO  ANA J</t>
        </is>
      </c>
      <c r="C215" s="58" t="inlineStr">
        <is>
          <t>04-20-1943</t>
        </is>
      </c>
      <c r="D215" s="36" t="n">
        <v/>
      </c>
      <c r="E215" s="36" t="inlineStr">
        <is>
          <t>LINZESS 72 MCG ORAL CAPSULE</t>
        </is>
      </c>
      <c r="F215" s="36" t="inlineStr">
        <is>
          <t>00456120330</t>
        </is>
      </c>
      <c r="G215" s="36" t="inlineStr">
        <is>
          <t>_19430420|</t>
        </is>
      </c>
      <c r="H215" s="58" t="n">
        <v>45980</v>
      </c>
      <c r="I215" s="36" t="n">
        <v>90</v>
      </c>
      <c r="J215" s="36" t="n">
        <v>3</v>
      </c>
      <c r="K215" s="58" t="n">
        <v>46070</v>
      </c>
      <c r="L215" s="36" t="n">
        <v>13</v>
      </c>
      <c r="M215" s="36" t="inlineStr">
        <is>
          <t>No</t>
        </is>
      </c>
      <c r="N215" s="36" t="inlineStr"/>
      <c r="O215" s="58" t="n"/>
      <c r="P215" s="36" t="inlineStr">
        <is>
          <t>Open - Missed</t>
        </is>
      </c>
      <c r="Q215" s="55" t="n">
        <v>1584.29</v>
      </c>
      <c r="R215" s="36" t="inlineStr">
        <is>
          <t>Paid-Ins</t>
        </is>
      </c>
      <c r="S215" s="36" t="inlineStr">
        <is>
          <t>Picked Up</t>
        </is>
      </c>
      <c r="T215" s="36" t="inlineStr">
        <is>
          <t>CVS</t>
        </is>
      </c>
      <c r="U215" s="36" t="inlineStr">
        <is>
          <t>004336</t>
        </is>
      </c>
      <c r="V215" s="36" t="inlineStr">
        <is>
          <t>Lin  Kevin</t>
        </is>
      </c>
    </row>
    <row r="216">
      <c r="A216" s="36" t="inlineStr">
        <is>
          <t>139750</t>
        </is>
      </c>
      <c r="B216" s="36" t="inlineStr">
        <is>
          <t>ANDERSON  KRISTAL</t>
        </is>
      </c>
      <c r="C216" s="58" t="inlineStr">
        <is>
          <t>08-10-1997</t>
        </is>
      </c>
      <c r="D216" s="36" t="inlineStr">
        <is>
          <t>410-567-3307</t>
        </is>
      </c>
      <c r="E216" s="36" t="inlineStr">
        <is>
          <t>FLUTICASONE-SALMETEROL 250-50 MCG/ACT INH AEROSOL</t>
        </is>
      </c>
      <c r="F216" s="36" t="inlineStr">
        <is>
          <t>00054032756</t>
        </is>
      </c>
      <c r="G216" s="36" t="inlineStr">
        <is>
          <t>_19970810|</t>
        </is>
      </c>
      <c r="H216" s="58" t="n">
        <v>46042</v>
      </c>
      <c r="I216" s="36" t="n">
        <v>30</v>
      </c>
      <c r="J216" s="36" t="n">
        <v>3</v>
      </c>
      <c r="K216" s="58" t="n">
        <v>46072</v>
      </c>
      <c r="L216" s="36" t="n">
        <v>11</v>
      </c>
      <c r="M216" s="36" t="inlineStr">
        <is>
          <t>No</t>
        </is>
      </c>
      <c r="N216" s="36" t="inlineStr"/>
      <c r="O216" s="58" t="n"/>
      <c r="P216" s="36" t="inlineStr">
        <is>
          <t>Open - Missed</t>
        </is>
      </c>
      <c r="Q216" s="55" t="n">
        <v>80.91</v>
      </c>
      <c r="R216" s="36" t="inlineStr">
        <is>
          <t>Transmitted</t>
        </is>
      </c>
      <c r="S216" s="36" t="inlineStr">
        <is>
          <t>Picked Up</t>
        </is>
      </c>
      <c r="T216" s="36" t="inlineStr">
        <is>
          <t>CVS</t>
        </is>
      </c>
      <c r="U216" s="36" t="inlineStr">
        <is>
          <t>004336</t>
        </is>
      </c>
      <c r="V216" s="36" t="inlineStr">
        <is>
          <t>Chung  Crystal</t>
        </is>
      </c>
    </row>
    <row r="217">
      <c r="A217" s="36" t="inlineStr">
        <is>
          <t>136585</t>
        </is>
      </c>
      <c r="B217" s="36" t="inlineStr">
        <is>
          <t>GONZALEZ  ISMAEL</t>
        </is>
      </c>
      <c r="C217" s="58" t="inlineStr">
        <is>
          <t>02-24-1973</t>
        </is>
      </c>
      <c r="D217" s="36" t="inlineStr">
        <is>
          <t>929-227-0050</t>
        </is>
      </c>
      <c r="E217" s="36" t="inlineStr">
        <is>
          <t>MOUNJARO 10 MG/0.5ML PEN-INJECTOR</t>
        </is>
      </c>
      <c r="F217" s="36" t="inlineStr">
        <is>
          <t>00002147180</t>
        </is>
      </c>
      <c r="G217" s="36" t="inlineStr">
        <is>
          <t>_19730224|</t>
        </is>
      </c>
      <c r="H217" s="58" t="n">
        <v>46045</v>
      </c>
      <c r="I217" s="36" t="n">
        <v>28</v>
      </c>
      <c r="J217" s="36" t="n">
        <v>4</v>
      </c>
      <c r="K217" s="58" t="n">
        <v>46073</v>
      </c>
      <c r="L217" s="36" t="n">
        <v>10</v>
      </c>
      <c r="M217" s="36" t="inlineStr">
        <is>
          <t>No</t>
        </is>
      </c>
      <c r="N217" s="36" t="inlineStr"/>
      <c r="O217" s="58" t="n"/>
      <c r="P217" s="36" t="inlineStr">
        <is>
          <t>Open - Missed</t>
        </is>
      </c>
      <c r="Q217" s="55" t="n">
        <v>1058.09</v>
      </c>
      <c r="R217" s="36" t="inlineStr">
        <is>
          <t>Paid-Ins</t>
        </is>
      </c>
      <c r="S217" s="36" t="inlineStr">
        <is>
          <t>Picked Up</t>
        </is>
      </c>
      <c r="T217" s="36" t="inlineStr">
        <is>
          <t>CVS</t>
        </is>
      </c>
      <c r="U217" s="36" t="inlineStr">
        <is>
          <t>004336</t>
        </is>
      </c>
      <c r="V217" s="36" t="inlineStr">
        <is>
          <t>Garces  Kelly</t>
        </is>
      </c>
    </row>
    <row r="218">
      <c r="A218" s="36" t="inlineStr">
        <is>
          <t>132999</t>
        </is>
      </c>
      <c r="B218" s="36" t="inlineStr">
        <is>
          <t>VALDEZ  CRISTINA</t>
        </is>
      </c>
      <c r="C218" s="58" t="inlineStr">
        <is>
          <t>05-14-1938</t>
        </is>
      </c>
      <c r="D218" s="36" t="inlineStr">
        <is>
          <t>917-396-0489</t>
        </is>
      </c>
      <c r="E218" s="36" t="inlineStr">
        <is>
          <t>CONTOUR NEXT TEST  STRIPS</t>
        </is>
      </c>
      <c r="F218" s="36" t="inlineStr">
        <is>
          <t>00193731150</t>
        </is>
      </c>
      <c r="G218" s="36" t="inlineStr">
        <is>
          <t>_19380514|STRIPSONLY</t>
        </is>
      </c>
      <c r="H218" s="58" t="n">
        <v>46044</v>
      </c>
      <c r="I218" s="36" t="n">
        <v>30</v>
      </c>
      <c r="J218" s="36" t="n">
        <v>9</v>
      </c>
      <c r="K218" s="58" t="n">
        <v>46074</v>
      </c>
      <c r="L218" s="36" t="n">
        <v>9</v>
      </c>
      <c r="M218" s="36" t="inlineStr">
        <is>
          <t>No</t>
        </is>
      </c>
      <c r="N218" s="36" t="inlineStr"/>
      <c r="O218" s="58" t="n"/>
      <c r="P218" s="36" t="inlineStr">
        <is>
          <t>Open - Missed</t>
        </is>
      </c>
      <c r="Q218" s="55" t="n">
        <v>102.46</v>
      </c>
      <c r="R218" s="36" t="inlineStr">
        <is>
          <t>Paid-Ins</t>
        </is>
      </c>
      <c r="S218" s="36" t="inlineStr">
        <is>
          <t>Picked Up</t>
        </is>
      </c>
      <c r="T218" s="36" t="inlineStr">
        <is>
          <t>CVS</t>
        </is>
      </c>
      <c r="U218" s="36" t="inlineStr">
        <is>
          <t>004336</t>
        </is>
      </c>
      <c r="V218" s="36" t="inlineStr">
        <is>
          <t>Ortiz Sarmiento  Erika</t>
        </is>
      </c>
    </row>
    <row r="219">
      <c r="A219" s="36" t="inlineStr">
        <is>
          <t>103554</t>
        </is>
      </c>
      <c r="B219" s="36" t="inlineStr">
        <is>
          <t>REED  TEKELL</t>
        </is>
      </c>
      <c r="C219" s="58" t="inlineStr">
        <is>
          <t>06-01-2000</t>
        </is>
      </c>
      <c r="D219" s="36" t="inlineStr">
        <is>
          <t>347-451-1041</t>
        </is>
      </c>
      <c r="E219" s="36" t="inlineStr">
        <is>
          <t>BIKTARVY 50-200-25MG TABLET</t>
        </is>
      </c>
      <c r="F219" s="36" t="inlineStr">
        <is>
          <t>61958250101</t>
        </is>
      </c>
      <c r="G219" s="36" t="inlineStr">
        <is>
          <t>_20000601|</t>
        </is>
      </c>
      <c r="H219" s="58" t="n">
        <v>46045</v>
      </c>
      <c r="I219" s="36" t="n">
        <v>30</v>
      </c>
      <c r="J219" s="36" t="n">
        <v>1</v>
      </c>
      <c r="K219" s="58" t="n">
        <v>46075</v>
      </c>
      <c r="L219" s="36" t="n">
        <v>8</v>
      </c>
      <c r="M219" s="36" t="inlineStr">
        <is>
          <t>No</t>
        </is>
      </c>
      <c r="N219" s="36" t="inlineStr"/>
      <c r="O219" s="58" t="n"/>
      <c r="P219" s="36" t="inlineStr">
        <is>
          <t>Open - Missed</t>
        </is>
      </c>
      <c r="Q219" s="55" t="n">
        <v>4111.27</v>
      </c>
      <c r="R219" s="36" t="inlineStr">
        <is>
          <t>Transmitted</t>
        </is>
      </c>
      <c r="S219" s="36" t="inlineStr">
        <is>
          <t>Picked Up</t>
        </is>
      </c>
      <c r="T219" s="36" t="inlineStr">
        <is>
          <t>NYM</t>
        </is>
      </c>
      <c r="U219" s="36" t="inlineStr">
        <is>
          <t>004740</t>
        </is>
      </c>
      <c r="V219" s="36" t="inlineStr">
        <is>
          <t>Neu  Natalie</t>
        </is>
      </c>
    </row>
    <row r="220">
      <c r="A220" s="36" t="inlineStr">
        <is>
          <t>132342</t>
        </is>
      </c>
      <c r="B220" s="36" t="inlineStr">
        <is>
          <t>FRIAS  DULCE</t>
        </is>
      </c>
      <c r="C220" s="58" t="inlineStr">
        <is>
          <t>05-10-1942</t>
        </is>
      </c>
      <c r="D220" s="36" t="inlineStr">
        <is>
          <t>646-348-0771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36" t="inlineStr">
        <is>
          <t>_19420510|</t>
        </is>
      </c>
      <c r="H220" s="58" t="n">
        <v>45985</v>
      </c>
      <c r="I220" s="36" t="n">
        <v>90</v>
      </c>
      <c r="J220" s="36" t="n">
        <v>1</v>
      </c>
      <c r="K220" s="58" t="n">
        <v>46075</v>
      </c>
      <c r="L220" s="36" t="n">
        <v>8</v>
      </c>
      <c r="M220" s="36" t="inlineStr">
        <is>
          <t>No</t>
        </is>
      </c>
      <c r="N220" s="36" t="inlineStr"/>
      <c r="O220" s="58" t="n"/>
      <c r="P220" s="36" t="inlineStr">
        <is>
          <t>Open - Missed</t>
        </is>
      </c>
      <c r="Q220" s="55" t="n">
        <v>363.88</v>
      </c>
      <c r="R220" s="36" t="inlineStr">
        <is>
          <t>Paid-Ins</t>
        </is>
      </c>
      <c r="S220" s="36" t="inlineStr">
        <is>
          <t>Picked Up</t>
        </is>
      </c>
      <c r="T220" s="36" t="inlineStr">
        <is>
          <t>CVS</t>
        </is>
      </c>
      <c r="U220" s="36" t="inlineStr">
        <is>
          <t>004336</t>
        </is>
      </c>
      <c r="V220" s="36" t="inlineStr">
        <is>
          <t>ROSARIO  FRANCISCO</t>
        </is>
      </c>
    </row>
    <row r="221">
      <c r="L221" s="29" t="inlineStr">
        <is>
          <t>Total Potential Recovery</t>
        </is>
      </c>
      <c r="Q221" s="59">
        <f>SUBTOTAL(109,Q3:Q221)</f>
        <v/>
      </c>
    </row>
  </sheetData>
  <autoFilter ref="A2:V220"/>
  <mergeCells count="1">
    <mergeCell ref="A1:V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gh for the date range h</t>
        </is>
      </c>
    </row>
    <row r="3">
      <c r="A3" s="61" t="inlineStr">
        <is>
          <t>Metric</t>
        </is>
      </c>
      <c r="B3" s="62" t="inlineStr">
        <is>
          <t>ALL_PBM</t>
        </is>
      </c>
      <c r="C3" s="62" t="inlineStr">
        <is>
          <t>ARG/HUM</t>
        </is>
      </c>
      <c r="D3" s="62" t="inlineStr">
        <is>
          <t>CAREMARK</t>
        </is>
      </c>
      <c r="E3" s="62" t="inlineStr">
        <is>
          <t>EXPRESS</t>
        </is>
      </c>
      <c r="F3" s="62" t="inlineStr">
        <is>
          <t>FDS</t>
        </is>
      </c>
      <c r="G3" s="62" t="inlineStr">
        <is>
          <t>MEDIMP</t>
        </is>
      </c>
      <c r="H3" s="62" t="inlineStr">
        <is>
          <t>NYM</t>
        </is>
      </c>
      <c r="I3" s="62" t="inlineStr">
        <is>
          <t>OPTUM</t>
        </is>
      </c>
      <c r="J3" s="62" t="inlineStr">
        <is>
          <t>PRIMECAPRX</t>
        </is>
      </c>
      <c r="K3" s="62" t="inlineStr">
        <is>
          <t>RELAYHLTH</t>
        </is>
      </c>
    </row>
    <row r="4" ht="28" customHeight="1">
      <c r="A4" s="63" t="inlineStr">
        <is>
          <t>Insurance $(BestRX)</t>
        </is>
      </c>
      <c r="B4" s="64">
        <f>SUM('Processed Data'!AK4:AK220)</f>
        <v/>
      </c>
      <c r="C4" s="64">
        <f>SUM('Processed Data'!AL4:AL220)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Data'!AU4:AU220)</f>
        <v/>
      </c>
      <c r="C5" s="64">
        <f>SUM('Processed Data'!AV4:AV220)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Data'!BE4:BE220)</f>
        <v/>
      </c>
      <c r="C6" s="64">
        <f>SUM('Processed Data'!BF4:BF220)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All'!$R$3:$R$117,MATCH("ALL_PBM_D", 'Needs to be ordered - All'!$Q$3:$Q$117, 0)), 0)</f>
        <v/>
      </c>
      <c r="C7" s="64">
        <f>IFERROR(INDEX('Needs to be ordered - All'!$R$3:$R$117,MATCH("ARG/HUM_D", 'Needs to be ordered - All'!$Q$3:$Q$117, 0)), 0)</f>
        <v/>
      </c>
      <c r="D7" s="64">
        <f>IFERROR(INDEX('Needs to be ordered - All'!$R$3:$R$117,MATCH("CAREMARK_D", 'Needs to be ordered - All'!$Q$3:$Q$117, 0)), 0)</f>
        <v/>
      </c>
      <c r="E7" s="64">
        <f>IFERROR(INDEX('Needs to be ordered - All'!$R$3:$R$117,MATCH("EXPRESS_D", 'Needs to be ordered - All'!$Q$3:$Q$117, 0)), 0)</f>
        <v/>
      </c>
      <c r="F7" s="64">
        <f>IFERROR(INDEX('Needs to be ordered - All'!$R$3:$R$117,MATCH("FDS_D", 'Needs to be ordered - All'!$Q$3:$Q$117, 0)), 0)</f>
        <v/>
      </c>
      <c r="G7" s="64">
        <f>IFERROR(INDEX('Needs to be ordered - All'!$R$3:$R$117,MATCH("MEDIMP_D", 'Needs to be ordered - All'!$Q$3:$Q$117, 0)), 0)</f>
        <v/>
      </c>
      <c r="H7" s="64">
        <f>IFERROR(INDEX('Needs to be ordered - All'!$R$3:$R$117,MATCH("NYM_D", 'Needs to be ordered - All'!$Q$3:$Q$117, 0)), 0)</f>
        <v/>
      </c>
      <c r="I7" s="64">
        <f>IFERROR(INDEX('Needs to be ordered - All'!$R$3:$R$117,MATCH("OPTUM_D", 'Needs to be ordered - All'!$Q$3:$Q$117, 0)), 0)</f>
        <v/>
      </c>
      <c r="J7" s="64">
        <f>IFERROR(INDEX('Needs to be ordered - All'!$R$3:$R$117,MATCH("PRIMECAPRX_D", 'Needs to be ordered - All'!$Q$3:$Q$117, 0)), 0)</f>
        <v/>
      </c>
      <c r="K7" s="64">
        <f>IFERROR(INDEX('Needs to be ordered - All'!$R$3:$R$117,MATCH("RELAYHLTH_D",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2026-03-02T21:34:06Z</dcterms:created>
  <dcterms:modified xsi:type="dcterms:W3CDTF">2026-03-02T21:34:30Z</dcterms:modified>
</cp:coreProperties>
</file>