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BM" sheetId="1" state="visible" r:id="rId1"/>
    <sheet name="ARG_HUM" sheetId="2" state="visible" r:id="rId2"/>
    <sheet name="CAREMARK" sheetId="3" state="visible" r:id="rId3"/>
    <sheet name="EXPRESS" sheetId="4" state="visible" r:id="rId4"/>
    <sheet name="FDS" sheetId="5" state="visible" r:id="rId5"/>
    <sheet name="MEDIMP" sheetId="6" state="visible" r:id="rId6"/>
    <sheet name="NYM" sheetId="7" state="visible" r:id="rId7"/>
    <sheet name="OPTUM" sheetId="8" state="visible" r:id="rId8"/>
    <sheet name="PRIMECAPRX" sheetId="9" state="visible" r:id="rId9"/>
    <sheet name="RELAYHLTH" sheetId="10" state="visible" r:id="rId10"/>
  </sheets>
  <definedNames>
    <definedName name="_xlnm._FilterDatabase" localSheetId="0" hidden="1">'ALL_PBM'!$A$3:$K$208</definedName>
    <definedName name="_xlnm._FilterDatabase" localSheetId="1" hidden="1">'ARG_HUM'!$A$3:$K$6</definedName>
    <definedName name="_xlnm._FilterDatabase" localSheetId="2" hidden="1">'CAREMARK'!$A$3:$K$159</definedName>
    <definedName name="_xlnm._FilterDatabase" localSheetId="3" hidden="1">'EXPRESS'!$A$3:$K$53</definedName>
    <definedName name="_xlnm._FilterDatabase" localSheetId="4" hidden="1">'FDS'!$A$3:$K$5</definedName>
    <definedName name="_xlnm._FilterDatabase" localSheetId="5" hidden="1">'MEDIMP'!$A$3:$K$37</definedName>
    <definedName name="_xlnm._FilterDatabase" localSheetId="6" hidden="1">'NYM'!$A$3:$K$89</definedName>
    <definedName name="_xlnm._FilterDatabase" localSheetId="7" hidden="1">'OPTUM'!$A$3:$K$34</definedName>
    <definedName name="_xlnm._FilterDatabase" localSheetId="8" hidden="1">'PRIMECAPRX'!$A$3:$K$7</definedName>
    <definedName name="_xlnm._FilterDatabase" localSheetId="9" hidden="1">'RELAYHLTH'!$A$3:$K$4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5"/>
    </font>
    <font>
      <b val="1"/>
    </font>
  </fonts>
  <fills count="4">
    <fill>
      <patternFill/>
    </fill>
    <fill>
      <patternFill patternType="gray125"/>
    </fill>
    <fill>
      <patternFill patternType="solid">
        <fgColor rgb="00D0CECE"/>
        <bgColor rgb="00D0CE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11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Hil — hh — ALL_PBM</t>
        </is>
      </c>
    </row>
    <row r="2" ht="24" customHeight="1">
      <c r="A2" s="2" t="inlineStr">
        <is>
          <t>Overall ALL_PBM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ALL_PBM</t>
        </is>
      </c>
      <c r="G3" s="3" t="inlineStr">
        <is>
          <t>Packages Billed to ALL_PBM</t>
        </is>
      </c>
      <c r="H3" s="3" t="inlineStr">
        <is>
          <t>Total Qty Purchased</t>
        </is>
      </c>
      <c r="I3" s="3" t="inlineStr">
        <is>
          <t>Qty Difference for ALL_PBM</t>
        </is>
      </c>
      <c r="J3" s="3" t="inlineStr">
        <is>
          <t>Actual $ Paid by ALL_PBM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ALL_PBM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309</v>
      </c>
      <c r="G4" s="7" t="n">
        <v>103</v>
      </c>
      <c r="H4" s="7" t="n">
        <v>69</v>
      </c>
      <c r="I4" s="7" t="n">
        <v>-34</v>
      </c>
      <c r="J4" s="8" t="n">
        <v>98834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ALL_PBM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8640</v>
      </c>
      <c r="G5" s="7" t="n">
        <v>144</v>
      </c>
      <c r="H5" s="7" t="n">
        <v>176</v>
      </c>
      <c r="I5" s="7" t="n">
        <v>32</v>
      </c>
      <c r="J5" s="8" t="n">
        <v>86299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ALL_PBM</t>
        </is>
      </c>
      <c r="C6" s="5" t="inlineStr">
        <is>
          <t>00597015330</t>
        </is>
      </c>
      <c r="D6" s="5" t="inlineStr">
        <is>
          <t xml:space="preserve">JARDIANCE 25MG TAB </t>
        </is>
      </c>
      <c r="E6" s="6" t="inlineStr">
        <is>
          <t>30.0</t>
        </is>
      </c>
      <c r="F6" s="7" t="n">
        <v>5760</v>
      </c>
      <c r="G6" s="7" t="n">
        <v>192</v>
      </c>
      <c r="H6" s="7" t="n">
        <v>139</v>
      </c>
      <c r="I6" s="7" t="n">
        <v>-53</v>
      </c>
      <c r="J6" s="8" t="n">
        <v>68186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ALL_PBM</t>
        </is>
      </c>
      <c r="C7" s="5" t="inlineStr">
        <is>
          <t>00597015230</t>
        </is>
      </c>
      <c r="D7" s="5" t="inlineStr">
        <is>
          <t xml:space="preserve">JARDIANCE 10MG TAB </t>
        </is>
      </c>
      <c r="E7" s="6" t="inlineStr">
        <is>
          <t>30.0</t>
        </is>
      </c>
      <c r="F7" s="7" t="n">
        <v>4740</v>
      </c>
      <c r="G7" s="7" t="n">
        <v>158</v>
      </c>
      <c r="H7" s="7" t="n">
        <v>98</v>
      </c>
      <c r="I7" s="7" t="n">
        <v>-60</v>
      </c>
      <c r="J7" s="8" t="n">
        <v>60718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ALL_PBM</t>
        </is>
      </c>
      <c r="C8" s="5" t="inlineStr">
        <is>
          <t>00169413013</t>
        </is>
      </c>
      <c r="D8" s="5" t="inlineStr">
        <is>
          <t>OZEMPIC (1 MG/DOSE) 4MG/3ML INJECTION</t>
        </is>
      </c>
      <c r="E8" s="6" t="inlineStr">
        <is>
          <t>3.0</t>
        </is>
      </c>
      <c r="F8" s="7" t="n">
        <v>189</v>
      </c>
      <c r="G8" s="7" t="n">
        <v>63</v>
      </c>
      <c r="H8" s="7" t="n">
        <v>47</v>
      </c>
      <c r="I8" s="7" t="n">
        <v>-16</v>
      </c>
      <c r="J8" s="8" t="n">
        <v>60529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ALL_PBM</t>
        </is>
      </c>
      <c r="C9" s="5" t="inlineStr">
        <is>
          <t>24208091112</t>
        </is>
      </c>
      <c r="D9" s="5" t="inlineStr">
        <is>
          <t>XIIDRA 5 % OPHTHALMIC SOLUTION</t>
        </is>
      </c>
      <c r="E9" s="6" t="inlineStr">
        <is>
          <t>60.0</t>
        </is>
      </c>
      <c r="F9" s="7" t="n">
        <v>4980</v>
      </c>
      <c r="G9" s="7" t="n">
        <v>83</v>
      </c>
      <c r="H9" s="7" t="n">
        <v>84</v>
      </c>
      <c r="I9" s="7" t="n">
        <v>1</v>
      </c>
      <c r="J9" s="8" t="n">
        <v>57073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ALL_PBM</t>
        </is>
      </c>
      <c r="C10" s="5" t="inlineStr">
        <is>
          <t>00169477212</t>
        </is>
      </c>
      <c r="D10" s="5" t="inlineStr">
        <is>
          <t>OZEMPIC (2 MG/DOSE) 8 MG/3ML PEN-INJECTOR</t>
        </is>
      </c>
      <c r="E10" s="6" t="inlineStr">
        <is>
          <t>3.0</t>
        </is>
      </c>
      <c r="F10" s="7" t="n">
        <v>141</v>
      </c>
      <c r="G10" s="7" t="n">
        <v>47</v>
      </c>
      <c r="H10" s="7" t="n">
        <v>32</v>
      </c>
      <c r="I10" s="7" t="n">
        <v>-15</v>
      </c>
      <c r="J10" s="8" t="n">
        <v>44784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ALL_PBM</t>
        </is>
      </c>
      <c r="C11" s="5" t="inlineStr">
        <is>
          <t>00003089421</t>
        </is>
      </c>
      <c r="D11" s="5" t="inlineStr">
        <is>
          <t xml:space="preserve">ELIQUIS 5MG TAB </t>
        </is>
      </c>
      <c r="E11" s="6" t="inlineStr">
        <is>
          <t>60.0</t>
        </is>
      </c>
      <c r="F11" s="7" t="n">
        <v>6660</v>
      </c>
      <c r="G11" s="7" t="n">
        <v>111</v>
      </c>
      <c r="H11" s="7" t="n">
        <v>83</v>
      </c>
      <c r="I11" s="7" t="n">
        <v>-28</v>
      </c>
      <c r="J11" s="8" t="n">
        <v>42651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ALL_PBM</t>
        </is>
      </c>
      <c r="C12" s="5" t="inlineStr">
        <is>
          <t>24208037705</t>
        </is>
      </c>
      <c r="D12" s="5" t="inlineStr">
        <is>
          <t>MIEBO 1.338 GM/ML OPHTHALMIC SOLUTION</t>
        </is>
      </c>
      <c r="E12" s="6" t="inlineStr">
        <is>
          <t>3.0</t>
        </is>
      </c>
      <c r="F12" s="7" t="n">
        <v>165</v>
      </c>
      <c r="G12" s="7" t="n">
        <v>55</v>
      </c>
      <c r="H12" s="7" t="n">
        <v>35</v>
      </c>
      <c r="I12" s="7" t="n">
        <v>-20</v>
      </c>
      <c r="J12" s="8" t="n">
        <v>42496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ALL_PBM</t>
        </is>
      </c>
      <c r="C13" s="5" t="inlineStr">
        <is>
          <t>00002149580</t>
        </is>
      </c>
      <c r="D13" s="5" t="inlineStr">
        <is>
          <t>MOUNJARO 5 MG/0.5ML PEN-INJECTOR</t>
        </is>
      </c>
      <c r="E13" s="6" t="inlineStr">
        <is>
          <t>2.0</t>
        </is>
      </c>
      <c r="F13" s="7" t="n">
        <v>80</v>
      </c>
      <c r="G13" s="7" t="n">
        <v>40</v>
      </c>
      <c r="H13" s="7" t="n">
        <v>24</v>
      </c>
      <c r="I13" s="7" t="n">
        <v>-16</v>
      </c>
      <c r="J13" s="8" t="n">
        <v>41610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ALL_PBM</t>
        </is>
      </c>
      <c r="C14" s="5" t="inlineStr">
        <is>
          <t>61958250101</t>
        </is>
      </c>
      <c r="D14" s="5" t="inlineStr">
        <is>
          <t>BIKTARVY 50-200-25MG TABLET</t>
        </is>
      </c>
      <c r="E14" s="6" t="inlineStr">
        <is>
          <t>30.0</t>
        </is>
      </c>
      <c r="F14" s="7" t="n">
        <v>300</v>
      </c>
      <c r="G14" s="7" t="n">
        <v>10</v>
      </c>
      <c r="H14" s="7" t="n">
        <v>7</v>
      </c>
      <c r="I14" s="7" t="n">
        <v>-3</v>
      </c>
      <c r="J14" s="8" t="n">
        <v>40816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ALL_PBM</t>
        </is>
      </c>
      <c r="C15" s="5" t="inlineStr">
        <is>
          <t>00002148480</t>
        </is>
      </c>
      <c r="D15" s="5" t="inlineStr">
        <is>
          <t>MOUNJARO 7.5 MG/0.5ML PEN-INJECTOR</t>
        </is>
      </c>
      <c r="E15" s="6" t="inlineStr">
        <is>
          <t>2.0</t>
        </is>
      </c>
      <c r="F15" s="7" t="n">
        <v>50</v>
      </c>
      <c r="G15" s="7" t="n">
        <v>25</v>
      </c>
      <c r="H15" s="7" t="n">
        <v>27</v>
      </c>
      <c r="I15" s="7" t="n">
        <v>2</v>
      </c>
      <c r="J15" s="8" t="n">
        <v>25947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ALL_PBM</t>
        </is>
      </c>
      <c r="C16" s="5" t="inlineStr">
        <is>
          <t>00310621030</t>
        </is>
      </c>
      <c r="D16" s="5" t="inlineStr">
        <is>
          <t>FARXIGA 10MG TABLET</t>
        </is>
      </c>
      <c r="E16" s="6" t="inlineStr">
        <is>
          <t>30.0</t>
        </is>
      </c>
      <c r="F16" s="7" t="n">
        <v>2010</v>
      </c>
      <c r="G16" s="7" t="n">
        <v>67</v>
      </c>
      <c r="H16" s="7" t="n">
        <v>50</v>
      </c>
      <c r="I16" s="7" t="n">
        <v>-17</v>
      </c>
      <c r="J16" s="8" t="n">
        <v>25878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ALL_PBM</t>
        </is>
      </c>
      <c r="C17" s="5" t="inlineStr">
        <is>
          <t>00169431430</t>
        </is>
      </c>
      <c r="D17" s="5" t="inlineStr">
        <is>
          <t>RYBELSUS 14MG TABLET</t>
        </is>
      </c>
      <c r="E17" s="6" t="inlineStr">
        <is>
          <t>30.0</t>
        </is>
      </c>
      <c r="F17" s="7" t="n">
        <v>720</v>
      </c>
      <c r="G17" s="7" t="n">
        <v>24</v>
      </c>
      <c r="H17" s="7" t="n">
        <v>15</v>
      </c>
      <c r="I17" s="7" t="n">
        <v>-9</v>
      </c>
      <c r="J17" s="8" t="n">
        <v>22556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ALL_PBM</t>
        </is>
      </c>
      <c r="C18" s="5" t="inlineStr">
        <is>
          <t>00193731150</t>
        </is>
      </c>
      <c r="D18" s="5" t="inlineStr">
        <is>
          <t>CONTOUR NEXT TEST  STRIPS</t>
        </is>
      </c>
      <c r="E18" s="6" t="inlineStr">
        <is>
          <t>50.0</t>
        </is>
      </c>
      <c r="F18" s="7" t="n">
        <v>21550</v>
      </c>
      <c r="G18" s="7" t="n">
        <v>431</v>
      </c>
      <c r="H18" s="7" t="n">
        <v>0</v>
      </c>
      <c r="I18" s="7" t="n">
        <v>-431</v>
      </c>
      <c r="J18" s="8" t="n">
        <v>22379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ALL_PBM</t>
        </is>
      </c>
      <c r="C19" s="5" t="inlineStr">
        <is>
          <t>49702024213</t>
        </is>
      </c>
      <c r="D19" s="5" t="inlineStr">
        <is>
          <t>JULUCA 50-25MG TABLET</t>
        </is>
      </c>
      <c r="E19" s="6" t="inlineStr">
        <is>
          <t>30.0</t>
        </is>
      </c>
      <c r="F19" s="7" t="n">
        <v>180</v>
      </c>
      <c r="G19" s="7" t="n">
        <v>6</v>
      </c>
      <c r="H19" s="7" t="n">
        <v>4</v>
      </c>
      <c r="I19" s="7" t="n">
        <v>-2</v>
      </c>
      <c r="J19" s="8" t="n">
        <v>21491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ALL_PBM</t>
        </is>
      </c>
      <c r="C20" s="5" t="inlineStr">
        <is>
          <t>50419054001</t>
        </is>
      </c>
      <c r="D20" s="5" t="inlineStr">
        <is>
          <t>KERENDIA 10 MG TABLET</t>
        </is>
      </c>
      <c r="E20" s="6" t="inlineStr">
        <is>
          <t>30.0</t>
        </is>
      </c>
      <c r="F20" s="7" t="n">
        <v>900</v>
      </c>
      <c r="G20" s="7" t="n">
        <v>30</v>
      </c>
      <c r="H20" s="7" t="n">
        <v>31</v>
      </c>
      <c r="I20" s="7" t="n">
        <v>1</v>
      </c>
      <c r="J20" s="8" t="n">
        <v>19904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ALL_PBM</t>
        </is>
      </c>
      <c r="C21" s="5" t="inlineStr">
        <is>
          <t>00456120230</t>
        </is>
      </c>
      <c r="D21" s="5" t="inlineStr">
        <is>
          <t xml:space="preserve">LINZESS 290MCG CAP </t>
        </is>
      </c>
      <c r="E21" s="6" t="inlineStr">
        <is>
          <t>30.0</t>
        </is>
      </c>
      <c r="F21" s="7" t="n">
        <v>1380</v>
      </c>
      <c r="G21" s="7" t="n">
        <v>46</v>
      </c>
      <c r="H21" s="7" t="n">
        <v>28</v>
      </c>
      <c r="I21" s="7" t="n">
        <v>-18</v>
      </c>
      <c r="J21" s="8" t="n">
        <v>18869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ALL_PBM</t>
        </is>
      </c>
      <c r="C22" s="5" t="inlineStr">
        <is>
          <t>59676080030</t>
        </is>
      </c>
      <c r="D22" s="5" t="inlineStr">
        <is>
          <t>SYMTUZA 800-150-200-10MG TABLET</t>
        </is>
      </c>
      <c r="E22" s="6" t="inlineStr">
        <is>
          <t>30.0</t>
        </is>
      </c>
      <c r="F22" s="7" t="n">
        <v>120</v>
      </c>
      <c r="G22" s="7" t="n">
        <v>4</v>
      </c>
      <c r="H22" s="7" t="n">
        <v>3</v>
      </c>
      <c r="I22" s="7" t="n">
        <v>-1</v>
      </c>
      <c r="J22" s="8" t="n">
        <v>17932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ALL_PBM</t>
        </is>
      </c>
      <c r="C23" s="5" t="inlineStr">
        <is>
          <t>00002147180</t>
        </is>
      </c>
      <c r="D23" s="5" t="inlineStr">
        <is>
          <t>MOUNJARO 10 MG/0.5ML PEN-INJECTOR</t>
        </is>
      </c>
      <c r="E23" s="6" t="inlineStr">
        <is>
          <t>2.0</t>
        </is>
      </c>
      <c r="F23" s="7" t="n">
        <v>34</v>
      </c>
      <c r="G23" s="7" t="n">
        <v>17</v>
      </c>
      <c r="H23" s="7" t="n">
        <v>10</v>
      </c>
      <c r="I23" s="7" t="n">
        <v>-7</v>
      </c>
      <c r="J23" s="8" t="n">
        <v>17711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ALL_PBM</t>
        </is>
      </c>
      <c r="C24" s="5" t="inlineStr">
        <is>
          <t>00456120130</t>
        </is>
      </c>
      <c r="D24" s="5" t="inlineStr">
        <is>
          <t>LINZESS 145MCG CAPSULE</t>
        </is>
      </c>
      <c r="E24" s="6" t="inlineStr">
        <is>
          <t>30.0</t>
        </is>
      </c>
      <c r="F24" s="7" t="n">
        <v>1500</v>
      </c>
      <c r="G24" s="7" t="n">
        <v>50</v>
      </c>
      <c r="H24" s="7" t="n">
        <v>30</v>
      </c>
      <c r="I24" s="7" t="n">
        <v>-20</v>
      </c>
      <c r="J24" s="8" t="n">
        <v>17575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ALL_PBM</t>
        </is>
      </c>
      <c r="C25" s="5" t="inlineStr">
        <is>
          <t>00002143380</t>
        </is>
      </c>
      <c r="D25" s="5" t="inlineStr">
        <is>
          <t>TRULICITY 0.75MG/0.5ML INJECTION</t>
        </is>
      </c>
      <c r="E25" s="6" t="inlineStr">
        <is>
          <t>2.0</t>
        </is>
      </c>
      <c r="F25" s="7" t="n">
        <v>36</v>
      </c>
      <c r="G25" s="7" t="n">
        <v>18</v>
      </c>
      <c r="H25" s="7" t="n">
        <v>23</v>
      </c>
      <c r="I25" s="7" t="n">
        <v>5</v>
      </c>
      <c r="J25" s="8" t="n">
        <v>17161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ALL_PBM</t>
        </is>
      </c>
      <c r="C26" s="5" t="inlineStr">
        <is>
          <t>00006027731</t>
        </is>
      </c>
      <c r="D26" s="5" t="inlineStr">
        <is>
          <t>JANUVIA 100MG TAB</t>
        </is>
      </c>
      <c r="E26" s="6" t="inlineStr">
        <is>
          <t>30.0</t>
        </is>
      </c>
      <c r="F26" s="7" t="n">
        <v>2520</v>
      </c>
      <c r="G26" s="7" t="n">
        <v>84</v>
      </c>
      <c r="H26" s="7" t="n">
        <v>63</v>
      </c>
      <c r="I26" s="7" t="n">
        <v>-21</v>
      </c>
      <c r="J26" s="8" t="n">
        <v>16852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ALL_PBM</t>
        </is>
      </c>
      <c r="C27" s="5" t="inlineStr">
        <is>
          <t>00310111030</t>
        </is>
      </c>
      <c r="D27" s="5" t="inlineStr">
        <is>
          <t>LOKELMA 10GM PACK</t>
        </is>
      </c>
      <c r="E27" s="6" t="inlineStr">
        <is>
          <t>30.0</t>
        </is>
      </c>
      <c r="F27" s="7" t="n">
        <v>570</v>
      </c>
      <c r="G27" s="7" t="n">
        <v>19</v>
      </c>
      <c r="H27" s="7" t="n">
        <v>12</v>
      </c>
      <c r="I27" s="7" t="n">
        <v>-7</v>
      </c>
      <c r="J27" s="8" t="n">
        <v>15936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ALL_PBM</t>
        </is>
      </c>
      <c r="C28" s="5" t="inlineStr">
        <is>
          <t>00006057761</t>
        </is>
      </c>
      <c r="D28" s="5" t="inlineStr">
        <is>
          <t>JANUMET 50-1000MG TABLET</t>
        </is>
      </c>
      <c r="E28" s="6" t="inlineStr">
        <is>
          <t>60.0</t>
        </is>
      </c>
      <c r="F28" s="7" t="n">
        <v>3000</v>
      </c>
      <c r="G28" s="7" t="n">
        <v>50</v>
      </c>
      <c r="H28" s="7" t="n">
        <v>61</v>
      </c>
      <c r="I28" s="7" t="n">
        <v>11</v>
      </c>
      <c r="J28" s="8" t="n">
        <v>15422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ALL_PBM</t>
        </is>
      </c>
      <c r="C29" s="5" t="inlineStr">
        <is>
          <t>00169430330</t>
        </is>
      </c>
      <c r="D29" s="5" t="inlineStr">
        <is>
          <t>RYBELSUS 3MG TABLET</t>
        </is>
      </c>
      <c r="E29" s="6" t="inlineStr">
        <is>
          <t>30.0</t>
        </is>
      </c>
      <c r="F29" s="7" t="n">
        <v>480</v>
      </c>
      <c r="G29" s="7" t="n">
        <v>16</v>
      </c>
      <c r="H29" s="7" t="n">
        <v>0</v>
      </c>
      <c r="I29" s="7" t="n">
        <v>-16</v>
      </c>
      <c r="J29" s="8" t="n">
        <v>15274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ALL_PBM</t>
        </is>
      </c>
      <c r="C30" s="5" t="inlineStr">
        <is>
          <t>61874011530</t>
        </is>
      </c>
      <c r="D30" s="5" t="inlineStr">
        <is>
          <t>VRAYLAR 1.5MG CAPSULE</t>
        </is>
      </c>
      <c r="E30" s="6" t="inlineStr">
        <is>
          <t>30.0</t>
        </is>
      </c>
      <c r="F30" s="7" t="n">
        <v>300</v>
      </c>
      <c r="G30" s="7" t="n">
        <v>10</v>
      </c>
      <c r="H30" s="7" t="n">
        <v>7</v>
      </c>
      <c r="I30" s="7" t="n">
        <v>-3</v>
      </c>
      <c r="J30" s="8" t="n">
        <v>14880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ALL_PBM</t>
        </is>
      </c>
      <c r="C31" s="5" t="inlineStr">
        <is>
          <t>00169430730</t>
        </is>
      </c>
      <c r="D31" s="5" t="inlineStr">
        <is>
          <t>RYBELSUS 7MG TABLET</t>
        </is>
      </c>
      <c r="E31" s="6" t="inlineStr">
        <is>
          <t>30.0</t>
        </is>
      </c>
      <c r="F31" s="7" t="n">
        <v>420</v>
      </c>
      <c r="G31" s="7" t="n">
        <v>14</v>
      </c>
      <c r="H31" s="7" t="n">
        <v>7</v>
      </c>
      <c r="I31" s="7" t="n">
        <v>-7</v>
      </c>
      <c r="J31" s="8" t="n">
        <v>12954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ALL_PBM</t>
        </is>
      </c>
      <c r="C32" s="5" t="inlineStr">
        <is>
          <t>00002146080</t>
        </is>
      </c>
      <c r="D32" s="5" t="inlineStr">
        <is>
          <t>MOUNJARO 12.5 MG/0.5ML PEN-INJECTOR</t>
        </is>
      </c>
      <c r="E32" s="6" t="inlineStr">
        <is>
          <t>2.0</t>
        </is>
      </c>
      <c r="F32" s="7" t="n">
        <v>24</v>
      </c>
      <c r="G32" s="7" t="n">
        <v>12</v>
      </c>
      <c r="H32" s="7" t="n">
        <v>9</v>
      </c>
      <c r="I32" s="7" t="n">
        <v>-3</v>
      </c>
      <c r="J32" s="8" t="n">
        <v>12401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ALL_PBM</t>
        </is>
      </c>
      <c r="C33" s="5" t="inlineStr">
        <is>
          <t>00023320508</t>
        </is>
      </c>
      <c r="D33" s="5" t="inlineStr">
        <is>
          <t>LUMIGAN 0.01% SOLUTION</t>
        </is>
      </c>
      <c r="E33" s="6" t="inlineStr">
        <is>
          <t>7.5</t>
        </is>
      </c>
      <c r="F33" s="7" t="n">
        <v>120</v>
      </c>
      <c r="G33" s="7" t="n">
        <v>16</v>
      </c>
      <c r="H33" s="7" t="n">
        <v>10</v>
      </c>
      <c r="I33" s="7" t="n">
        <v>-6</v>
      </c>
      <c r="J33" s="8" t="n">
        <v>12180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ALL_PBM</t>
        </is>
      </c>
      <c r="C34" s="5" t="inlineStr">
        <is>
          <t>00002771559</t>
        </is>
      </c>
      <c r="D34" s="5" t="inlineStr">
        <is>
          <t>BASAGLAR KWIKPEN 100UNIT/ML INJECTION</t>
        </is>
      </c>
      <c r="E34" s="6" t="inlineStr">
        <is>
          <t>15.0</t>
        </is>
      </c>
      <c r="F34" s="7" t="n">
        <v>579</v>
      </c>
      <c r="G34" s="7" t="n">
        <v>38.6</v>
      </c>
      <c r="H34" s="7" t="n">
        <v>45</v>
      </c>
      <c r="I34" s="7" t="n">
        <v>6.399999999999999</v>
      </c>
      <c r="J34" s="8" t="n">
        <v>11828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ALL_PBM</t>
        </is>
      </c>
      <c r="C35" s="5" t="inlineStr">
        <is>
          <t>00173088710</t>
        </is>
      </c>
      <c r="D35" s="5" t="inlineStr">
        <is>
          <t>TRELEGY ELLIPTA 100-62.5-25MCG/INH AEROSOL</t>
        </is>
      </c>
      <c r="E35" s="6" t="inlineStr">
        <is>
          <t>60.0</t>
        </is>
      </c>
      <c r="F35" s="7" t="n">
        <v>1080</v>
      </c>
      <c r="G35" s="7" t="n">
        <v>18</v>
      </c>
      <c r="H35" s="7" t="n">
        <v>6</v>
      </c>
      <c r="I35" s="7" t="n">
        <v>-12</v>
      </c>
      <c r="J35" s="8" t="n">
        <v>11634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ALL_PBM</t>
        </is>
      </c>
      <c r="C36" s="5" t="inlineStr">
        <is>
          <t>00002223680</t>
        </is>
      </c>
      <c r="D36" s="5" t="inlineStr">
        <is>
          <t>TRULICITY 3MG/0.5ML INJECTION</t>
        </is>
      </c>
      <c r="E36" s="6" t="inlineStr">
        <is>
          <t>2.0</t>
        </is>
      </c>
      <c r="F36" s="7" t="n">
        <v>24</v>
      </c>
      <c r="G36" s="7" t="n">
        <v>12</v>
      </c>
      <c r="H36" s="7" t="n">
        <v>9</v>
      </c>
      <c r="I36" s="7" t="n">
        <v>-3</v>
      </c>
      <c r="J36" s="8" t="n">
        <v>11255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ALL_PBM</t>
        </is>
      </c>
      <c r="C37" s="5" t="inlineStr">
        <is>
          <t>00002318280</t>
        </is>
      </c>
      <c r="D37" s="5" t="inlineStr">
        <is>
          <t>TRULICITY 4.5 MG/0.5ML SOLUTION</t>
        </is>
      </c>
      <c r="E37" s="6" t="inlineStr">
        <is>
          <t>2.0</t>
        </is>
      </c>
      <c r="F37" s="7" t="n">
        <v>24</v>
      </c>
      <c r="G37" s="7" t="n">
        <v>12</v>
      </c>
      <c r="H37" s="7" t="n">
        <v>10</v>
      </c>
      <c r="I37" s="7" t="n">
        <v>-2</v>
      </c>
      <c r="J37" s="8" t="n">
        <v>11036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ALL_PBM</t>
        </is>
      </c>
      <c r="C38" s="5" t="inlineStr">
        <is>
          <t>00310461612</t>
        </is>
      </c>
      <c r="D38" s="5" t="inlineStr">
        <is>
          <t>BREZTRI AEROSPHERE 160-9-4.8 MCG/ACT INHALATION AEROSOL</t>
        </is>
      </c>
      <c r="E38" s="6" t="inlineStr">
        <is>
          <t>10.7</t>
        </is>
      </c>
      <c r="F38" s="7" t="n">
        <v>181.9</v>
      </c>
      <c r="G38" s="7" t="n">
        <v>17</v>
      </c>
      <c r="H38" s="7" t="n">
        <v>8</v>
      </c>
      <c r="I38" s="7" t="n">
        <v>-9</v>
      </c>
      <c r="J38" s="8" t="n">
        <v>11011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ALL_PBM</t>
        </is>
      </c>
      <c r="C39" s="5" t="inlineStr">
        <is>
          <t>50458057930</t>
        </is>
      </c>
      <c r="D39" s="5" t="inlineStr">
        <is>
          <t>XARELTO 20MG TAB</t>
        </is>
      </c>
      <c r="E39" s="6" t="inlineStr">
        <is>
          <t>30.0</t>
        </is>
      </c>
      <c r="F39" s="7" t="n">
        <v>900</v>
      </c>
      <c r="G39" s="7" t="n">
        <v>30</v>
      </c>
      <c r="H39" s="7" t="n">
        <v>23</v>
      </c>
      <c r="I39" s="7" t="n">
        <v>-7</v>
      </c>
      <c r="J39" s="8" t="n">
        <v>10411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ALL_PBM</t>
        </is>
      </c>
      <c r="C40" s="5" t="inlineStr">
        <is>
          <t>00456120330</t>
        </is>
      </c>
      <c r="D40" s="5" t="inlineStr">
        <is>
          <t>LINZESS 72 MCG ORAL CAPSULE</t>
        </is>
      </c>
      <c r="E40" s="6" t="inlineStr">
        <is>
          <t>30.0</t>
        </is>
      </c>
      <c r="F40" s="7" t="n">
        <v>810</v>
      </c>
      <c r="G40" s="7" t="n">
        <v>27</v>
      </c>
      <c r="H40" s="7" t="n">
        <v>14</v>
      </c>
      <c r="I40" s="7" t="n">
        <v>-13</v>
      </c>
      <c r="J40" s="8" t="n">
        <v>10337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ALL_PBM</t>
        </is>
      </c>
      <c r="C41" s="5" t="inlineStr">
        <is>
          <t>73336007530</t>
        </is>
      </c>
      <c r="D41" s="5" t="inlineStr">
        <is>
          <t>GEMTESA 75MG TABLET</t>
        </is>
      </c>
      <c r="E41" s="6" t="inlineStr">
        <is>
          <t>30.0</t>
        </is>
      </c>
      <c r="F41" s="7" t="n">
        <v>630</v>
      </c>
      <c r="G41" s="7" t="n">
        <v>21</v>
      </c>
      <c r="H41" s="7" t="n">
        <v>18</v>
      </c>
      <c r="I41" s="7" t="n">
        <v>-3</v>
      </c>
      <c r="J41" s="8" t="n">
        <v>10134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ALL_PBM</t>
        </is>
      </c>
      <c r="C42" s="5" t="inlineStr">
        <is>
          <t>72618300002</t>
        </is>
      </c>
      <c r="D42" s="5" t="inlineStr">
        <is>
          <t>NURTEC 75MG TABLET DISINTEGRATING</t>
        </is>
      </c>
      <c r="E42" s="6" t="inlineStr">
        <is>
          <t>8.0</t>
        </is>
      </c>
      <c r="F42" s="7" t="n">
        <v>80</v>
      </c>
      <c r="G42" s="7" t="n">
        <v>10</v>
      </c>
      <c r="H42" s="7" t="n">
        <v>6</v>
      </c>
      <c r="I42" s="7" t="n">
        <v>-4</v>
      </c>
      <c r="J42" s="8" t="n">
        <v>10126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ALL_PBM</t>
        </is>
      </c>
      <c r="C43" s="5" t="inlineStr">
        <is>
          <t>00002145780</t>
        </is>
      </c>
      <c r="D43" s="5" t="inlineStr">
        <is>
          <t>MOUNJARO 15 MG/0.5ML PEN-INJECTOR</t>
        </is>
      </c>
      <c r="E43" s="6" t="inlineStr">
        <is>
          <t>2.0</t>
        </is>
      </c>
      <c r="F43" s="7" t="n">
        <v>18</v>
      </c>
      <c r="G43" s="7" t="n">
        <v>9</v>
      </c>
      <c r="H43" s="7" t="n">
        <v>8</v>
      </c>
      <c r="I43" s="7" t="n">
        <v>-1</v>
      </c>
      <c r="J43" s="8" t="n">
        <v>9496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ALL_PBM</t>
        </is>
      </c>
      <c r="C44" s="5" t="inlineStr">
        <is>
          <t>00469260230</t>
        </is>
      </c>
      <c r="D44" s="5" t="inlineStr">
        <is>
          <t>MYRBETRIQ 50MG TABLET</t>
        </is>
      </c>
      <c r="E44" s="6" t="inlineStr">
        <is>
          <t>30.0</t>
        </is>
      </c>
      <c r="F44" s="7" t="n">
        <v>630</v>
      </c>
      <c r="G44" s="7" t="n">
        <v>21</v>
      </c>
      <c r="H44" s="7" t="n">
        <v>9</v>
      </c>
      <c r="I44" s="7" t="n">
        <v>-12</v>
      </c>
      <c r="J44" s="8" t="n">
        <v>9271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ALL_PBM</t>
        </is>
      </c>
      <c r="C45" s="5" t="inlineStr">
        <is>
          <t>49702024613</t>
        </is>
      </c>
      <c r="D45" s="5" t="inlineStr">
        <is>
          <t>DOVATO 50-300 MG ORAL TABLET</t>
        </is>
      </c>
      <c r="E45" s="6" t="inlineStr">
        <is>
          <t>30.0</t>
        </is>
      </c>
      <c r="F45" s="7" t="n">
        <v>90</v>
      </c>
      <c r="G45" s="7" t="n">
        <v>3</v>
      </c>
      <c r="H45" s="7" t="n">
        <v>3</v>
      </c>
      <c r="I45" s="7" t="n">
        <v>0</v>
      </c>
      <c r="J45" s="8" t="n">
        <v>9094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ALL_PBM</t>
        </is>
      </c>
      <c r="C46" s="5" t="inlineStr">
        <is>
          <t>00003089321</t>
        </is>
      </c>
      <c r="D46" s="5" t="inlineStr">
        <is>
          <t xml:space="preserve">ELIQUIS 2.5MG TAB </t>
        </is>
      </c>
      <c r="E46" s="6" t="inlineStr">
        <is>
          <t>60.0</t>
        </is>
      </c>
      <c r="F46" s="7" t="n">
        <v>1320</v>
      </c>
      <c r="G46" s="7" t="n">
        <v>22</v>
      </c>
      <c r="H46" s="7" t="n">
        <v>30</v>
      </c>
      <c r="I46" s="7" t="n">
        <v>8</v>
      </c>
      <c r="J46" s="8" t="n">
        <v>8856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ALL_PBM</t>
        </is>
      </c>
      <c r="C47" s="5" t="inlineStr">
        <is>
          <t>00597014030</t>
        </is>
      </c>
      <c r="D47" s="5" t="inlineStr">
        <is>
          <t xml:space="preserve">TRADJENTA 5MG TAB </t>
        </is>
      </c>
      <c r="E47" s="6" t="inlineStr">
        <is>
          <t>30.0</t>
        </is>
      </c>
      <c r="F47" s="7" t="n">
        <v>540</v>
      </c>
      <c r="G47" s="7" t="n">
        <v>18</v>
      </c>
      <c r="H47" s="7" t="n">
        <v>25</v>
      </c>
      <c r="I47" s="7" t="n">
        <v>7</v>
      </c>
      <c r="J47" s="8" t="n">
        <v>8807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ALL_PBM</t>
        </is>
      </c>
      <c r="C48" s="5" t="inlineStr">
        <is>
          <t>00002143480</t>
        </is>
      </c>
      <c r="D48" s="5" t="inlineStr">
        <is>
          <t>TRULICITY 1.5MG/0.5ML INJECTION</t>
        </is>
      </c>
      <c r="E48" s="6" t="inlineStr">
        <is>
          <t>2.0</t>
        </is>
      </c>
      <c r="F48" s="7" t="n">
        <v>18</v>
      </c>
      <c r="G48" s="7" t="n">
        <v>9</v>
      </c>
      <c r="H48" s="7" t="n">
        <v>6</v>
      </c>
      <c r="I48" s="7" t="n">
        <v>-3</v>
      </c>
      <c r="J48" s="8" t="n">
        <v>8663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ALL_PBM</t>
        </is>
      </c>
      <c r="C49" s="5" t="inlineStr">
        <is>
          <t>00310110530</t>
        </is>
      </c>
      <c r="D49" s="5" t="inlineStr">
        <is>
          <t>LOKELMA 5GM PACK</t>
        </is>
      </c>
      <c r="E49" s="6" t="inlineStr">
        <is>
          <t>30.0</t>
        </is>
      </c>
      <c r="F49" s="7" t="n">
        <v>300</v>
      </c>
      <c r="G49" s="7" t="n">
        <v>10</v>
      </c>
      <c r="H49" s="7" t="n">
        <v>7</v>
      </c>
      <c r="I49" s="7" t="n">
        <v>-3</v>
      </c>
      <c r="J49" s="8" t="n">
        <v>8305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ALL_PBM</t>
        </is>
      </c>
      <c r="C50" s="5" t="inlineStr">
        <is>
          <t>00006011231</t>
        </is>
      </c>
      <c r="D50" s="5" t="inlineStr">
        <is>
          <t>JANUVIA 50MG TABLET</t>
        </is>
      </c>
      <c r="E50" s="6" t="inlineStr">
        <is>
          <t>30.0</t>
        </is>
      </c>
      <c r="F50" s="7" t="n">
        <v>1260</v>
      </c>
      <c r="G50" s="7" t="n">
        <v>42</v>
      </c>
      <c r="H50" s="7" t="n">
        <v>35</v>
      </c>
      <c r="I50" s="7" t="n">
        <v>-7</v>
      </c>
      <c r="J50" s="8" t="n">
        <v>8066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ALL_PBM</t>
        </is>
      </c>
      <c r="C51" s="5" t="inlineStr">
        <is>
          <t>61874013030</t>
        </is>
      </c>
      <c r="D51" s="5" t="inlineStr">
        <is>
          <t>VRAYLAR 3MG CAPSULE</t>
        </is>
      </c>
      <c r="E51" s="6" t="inlineStr">
        <is>
          <t>30.0</t>
        </is>
      </c>
      <c r="F51" s="7" t="n">
        <v>150</v>
      </c>
      <c r="G51" s="7" t="n">
        <v>5</v>
      </c>
      <c r="H51" s="7" t="n">
        <v>4</v>
      </c>
      <c r="I51" s="7" t="n">
        <v>-1</v>
      </c>
      <c r="J51" s="8" t="n">
        <v>7476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ALL_PBM</t>
        </is>
      </c>
      <c r="C52" s="5" t="inlineStr">
        <is>
          <t>00002150680</t>
        </is>
      </c>
      <c r="D52" s="5" t="inlineStr">
        <is>
          <t>MOUNJARO 2.5 MG/0.5ML PEN-INJECTOR</t>
        </is>
      </c>
      <c r="E52" s="6" t="inlineStr">
        <is>
          <t>2.0</t>
        </is>
      </c>
      <c r="F52" s="7" t="n">
        <v>14</v>
      </c>
      <c r="G52" s="7" t="n">
        <v>7</v>
      </c>
      <c r="H52" s="7" t="n">
        <v>4</v>
      </c>
      <c r="I52" s="7" t="n">
        <v>-3</v>
      </c>
      <c r="J52" s="8" t="n">
        <v>7464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ALL_PBM</t>
        </is>
      </c>
      <c r="C53" s="5" t="inlineStr">
        <is>
          <t>72511039302</t>
        </is>
      </c>
      <c r="D53" s="5" t="inlineStr">
        <is>
          <t>REPATHA SURECLICK 140 MG/ML SUBCUTANEOUS SOLUTION AUTO-INJECTOR</t>
        </is>
      </c>
      <c r="E53" s="6" t="inlineStr">
        <is>
          <t>2.0</t>
        </is>
      </c>
      <c r="F53" s="7" t="n">
        <v>26</v>
      </c>
      <c r="G53" s="7" t="n">
        <v>13</v>
      </c>
      <c r="H53" s="7" t="n">
        <v>11</v>
      </c>
      <c r="I53" s="7" t="n">
        <v>-2</v>
      </c>
      <c r="J53" s="8" t="n">
        <v>7089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ALL_PBM</t>
        </is>
      </c>
      <c r="C54" s="5" t="inlineStr">
        <is>
          <t>00186037020</t>
        </is>
      </c>
      <c r="D54" s="5" t="inlineStr">
        <is>
          <t>SYMBICORT 160-4.5MCG/ACT AEROSOL</t>
        </is>
      </c>
      <c r="E54" s="6" t="inlineStr">
        <is>
          <t>10.2</t>
        </is>
      </c>
      <c r="F54" s="7" t="n">
        <v>306</v>
      </c>
      <c r="G54" s="7" t="n">
        <v>30</v>
      </c>
      <c r="H54" s="7" t="n">
        <v>15</v>
      </c>
      <c r="I54" s="7" t="n">
        <v>-15</v>
      </c>
      <c r="J54" s="8" t="n">
        <v>6985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ALL_PBM</t>
        </is>
      </c>
      <c r="C55" s="5" t="inlineStr">
        <is>
          <t>50242014301</t>
        </is>
      </c>
      <c r="D55" s="5" t="inlineStr">
        <is>
          <t>ACTEMRA ACTPEN 162 MG/0.9ML SUBCUTANEOUS SOLUTION AUTO-INJECTOR</t>
        </is>
      </c>
      <c r="E55" s="6" t="inlineStr">
        <is>
          <t>0.9</t>
        </is>
      </c>
      <c r="F55" s="7" t="n">
        <v>5.4</v>
      </c>
      <c r="G55" s="7" t="n">
        <v>6</v>
      </c>
      <c r="H55" s="7" t="n">
        <v>6</v>
      </c>
      <c r="I55" s="7" t="n">
        <v>0</v>
      </c>
      <c r="J55" s="8" t="n">
        <v>6927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ALL_PBM</t>
        </is>
      </c>
      <c r="C56" s="5" t="inlineStr">
        <is>
          <t>00088221905</t>
        </is>
      </c>
      <c r="D56" s="5" t="inlineStr">
        <is>
          <t>LANTUS SOLOSTAR 100UNIT/ML INJECTION</t>
        </is>
      </c>
      <c r="E56" s="6" t="inlineStr">
        <is>
          <t>15.0</t>
        </is>
      </c>
      <c r="F56" s="7" t="n">
        <v>1017</v>
      </c>
      <c r="G56" s="7" t="n">
        <v>67.8</v>
      </c>
      <c r="H56" s="7" t="n">
        <v>46</v>
      </c>
      <c r="I56" s="7" t="n">
        <v>-21.8</v>
      </c>
      <c r="J56" s="8" t="n">
        <v>6301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ALL_PBM</t>
        </is>
      </c>
      <c r="C57" s="5" t="inlineStr">
        <is>
          <t>50881000705</t>
        </is>
      </c>
      <c r="D57" s="5" t="inlineStr">
        <is>
          <t>OPZELURA 1.5 % EXTERNAL CREAM</t>
        </is>
      </c>
      <c r="E57" s="6" t="inlineStr">
        <is>
          <t>60.0</t>
        </is>
      </c>
      <c r="F57" s="7" t="n">
        <v>180</v>
      </c>
      <c r="G57" s="7" t="n">
        <v>3</v>
      </c>
      <c r="H57" s="7" t="n">
        <v>2</v>
      </c>
      <c r="I57" s="7" t="n">
        <v>-1</v>
      </c>
      <c r="J57" s="8" t="n">
        <v>6047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ALL_PBM</t>
        </is>
      </c>
      <c r="C58" s="5" t="inlineStr">
        <is>
          <t>00173089310</t>
        </is>
      </c>
      <c r="D58" s="5" t="inlineStr">
        <is>
          <t>TRELEGY ELLIPTA 200-62.5-25 MCG/ACT INHALATION AER</t>
        </is>
      </c>
      <c r="E58" s="6" t="inlineStr">
        <is>
          <t>60.0</t>
        </is>
      </c>
      <c r="F58" s="7" t="n">
        <v>540</v>
      </c>
      <c r="G58" s="7" t="n">
        <v>9</v>
      </c>
      <c r="H58" s="7" t="n">
        <v>6</v>
      </c>
      <c r="I58" s="7" t="n">
        <v>-3</v>
      </c>
      <c r="J58" s="8" t="n">
        <v>5933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ALL_PBM</t>
        </is>
      </c>
      <c r="C59" s="5" t="inlineStr">
        <is>
          <t>00173085910</t>
        </is>
      </c>
      <c r="D59" s="5" t="inlineStr">
        <is>
          <t>BREO ELLIPTA 100-25 MCG/ACT INH AEROSOL</t>
        </is>
      </c>
      <c r="E59" s="6" t="inlineStr">
        <is>
          <t>60.0</t>
        </is>
      </c>
      <c r="F59" s="7" t="n">
        <v>900</v>
      </c>
      <c r="G59" s="7" t="n">
        <v>15</v>
      </c>
      <c r="H59" s="7" t="n">
        <v>9</v>
      </c>
      <c r="I59" s="7" t="n">
        <v>-6</v>
      </c>
      <c r="J59" s="8" t="n">
        <v>5688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ALL_PBM</t>
        </is>
      </c>
      <c r="C60" s="5" t="inlineStr">
        <is>
          <t>08627007701</t>
        </is>
      </c>
      <c r="D60" s="5" t="inlineStr">
        <is>
          <t>DEXCOM G7 SENSOR</t>
        </is>
      </c>
      <c r="E60" s="6" t="inlineStr">
        <is>
          <t>1.0</t>
        </is>
      </c>
      <c r="F60" s="7" t="n">
        <v>45</v>
      </c>
      <c r="G60" s="7" t="n">
        <v>45</v>
      </c>
      <c r="H60" s="7" t="n">
        <v>32</v>
      </c>
      <c r="I60" s="7" t="n">
        <v>-13</v>
      </c>
      <c r="J60" s="8" t="n">
        <v>5665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ALL_PBM</t>
        </is>
      </c>
      <c r="C61" s="5" t="inlineStr">
        <is>
          <t>73562011401</t>
        </is>
      </c>
      <c r="D61" s="5" t="inlineStr">
        <is>
          <t>ZENPEP 40000-126000U CAPSULE DR</t>
        </is>
      </c>
      <c r="E61" s="6" t="inlineStr">
        <is>
          <t>100.0</t>
        </is>
      </c>
      <c r="F61" s="7" t="n">
        <v>360</v>
      </c>
      <c r="G61" s="7" t="n">
        <v>3.6</v>
      </c>
      <c r="H61" s="7" t="n">
        <v>3</v>
      </c>
      <c r="I61" s="7" t="n">
        <v>-0.6000000000000001</v>
      </c>
      <c r="J61" s="8" t="n">
        <v>5663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ALL_PBM</t>
        </is>
      </c>
      <c r="C62" s="5" t="inlineStr">
        <is>
          <t>00310737020</t>
        </is>
      </c>
      <c r="D62" s="5" t="inlineStr">
        <is>
          <t>BUDESONIDE/FORMOTEROL 160 /4.5 MCG (SYMBICORT)</t>
        </is>
      </c>
      <c r="E62" s="6" t="inlineStr">
        <is>
          <t>10.2</t>
        </is>
      </c>
      <c r="F62" s="7" t="n">
        <v>336.6</v>
      </c>
      <c r="G62" s="7" t="n">
        <v>33.00000000000001</v>
      </c>
      <c r="H62" s="7" t="n">
        <v>19</v>
      </c>
      <c r="I62" s="7" t="n">
        <v>-14.00000000000001</v>
      </c>
      <c r="J62" s="8" t="n">
        <v>5506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ALL_PBM</t>
        </is>
      </c>
      <c r="C63" s="5" t="inlineStr">
        <is>
          <t>00023649810</t>
        </is>
      </c>
      <c r="D63" s="5" t="inlineStr">
        <is>
          <t>UBRELVY 50 MG ORAL TABLET</t>
        </is>
      </c>
      <c r="E63" s="6" t="inlineStr">
        <is>
          <t>10.0</t>
        </is>
      </c>
      <c r="F63" s="7" t="n">
        <v>50</v>
      </c>
      <c r="G63" s="7" t="n">
        <v>5</v>
      </c>
      <c r="H63" s="7" t="n">
        <v>1</v>
      </c>
      <c r="I63" s="7" t="n">
        <v>-4</v>
      </c>
      <c r="J63" s="8" t="n">
        <v>5369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ALL_PBM</t>
        </is>
      </c>
      <c r="C64" s="5" t="inlineStr">
        <is>
          <t>00002247180</t>
        </is>
      </c>
      <c r="D64" s="5" t="inlineStr">
        <is>
          <t>ZEPBOUND 10 MG/0.5ML AUTO-INJECTOR</t>
        </is>
      </c>
      <c r="E64" s="6" t="inlineStr">
        <is>
          <t>2.0</t>
        </is>
      </c>
      <c r="F64" s="7" t="n">
        <v>10</v>
      </c>
      <c r="G64" s="7" t="n">
        <v>5</v>
      </c>
      <c r="H64" s="7" t="n">
        <v>5</v>
      </c>
      <c r="I64" s="7" t="n">
        <v>0</v>
      </c>
      <c r="J64" s="8" t="n">
        <v>5255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ALL_PBM</t>
        </is>
      </c>
      <c r="C65" s="5" t="inlineStr">
        <is>
          <t>00169452414</t>
        </is>
      </c>
      <c r="D65" s="5" t="inlineStr">
        <is>
          <t>WEGOVY 2.4 MG/0.75ML AUTO-INJECTOR</t>
        </is>
      </c>
      <c r="E65" s="6" t="inlineStr">
        <is>
          <t>3.0</t>
        </is>
      </c>
      <c r="F65" s="7" t="n">
        <v>12</v>
      </c>
      <c r="G65" s="7" t="n">
        <v>4</v>
      </c>
      <c r="H65" s="7" t="n">
        <v>5</v>
      </c>
      <c r="I65" s="7" t="n">
        <v>1</v>
      </c>
      <c r="J65" s="8" t="n">
        <v>5141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ALL_PBM</t>
        </is>
      </c>
      <c r="C66" s="5" t="inlineStr">
        <is>
          <t>00310628030</t>
        </is>
      </c>
      <c r="D66" s="5" t="inlineStr">
        <is>
          <t>XIGDUO XR 10-1000MG TABLET</t>
        </is>
      </c>
      <c r="E66" s="6" t="inlineStr">
        <is>
          <t>30.0</t>
        </is>
      </c>
      <c r="F66" s="7" t="n">
        <v>270</v>
      </c>
      <c r="G66" s="7" t="n">
        <v>9</v>
      </c>
      <c r="H66" s="7" t="n">
        <v>8</v>
      </c>
      <c r="I66" s="7" t="n">
        <v>-1</v>
      </c>
      <c r="J66" s="8" t="n">
        <v>4965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ALL_PBM</t>
        </is>
      </c>
      <c r="C67" s="5" t="inlineStr">
        <is>
          <t>00187540008</t>
        </is>
      </c>
      <c r="D67" s="5" t="inlineStr">
        <is>
          <t>JUBLIA 10 % EXTERNAL SOLUTION</t>
        </is>
      </c>
      <c r="E67" s="6" t="inlineStr">
        <is>
          <t>8.0</t>
        </is>
      </c>
      <c r="F67" s="7" t="n">
        <v>24</v>
      </c>
      <c r="G67" s="7" t="n">
        <v>3</v>
      </c>
      <c r="H67" s="7" t="n">
        <v>2</v>
      </c>
      <c r="I67" s="7" t="n">
        <v>-1</v>
      </c>
      <c r="J67" s="8" t="n">
        <v>4825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ALL_PBM</t>
        </is>
      </c>
      <c r="C68" s="5" t="inlineStr">
        <is>
          <t>52937000120</t>
        </is>
      </c>
      <c r="D68" s="5" t="inlineStr">
        <is>
          <t>VASCEPA 1GM CAPSULE</t>
        </is>
      </c>
      <c r="E68" s="6" t="inlineStr">
        <is>
          <t>120.0</t>
        </is>
      </c>
      <c r="F68" s="7" t="n">
        <v>1710</v>
      </c>
      <c r="G68" s="7" t="n">
        <v>14.25</v>
      </c>
      <c r="H68" s="7" t="n">
        <v>21</v>
      </c>
      <c r="I68" s="7" t="n">
        <v>6.75</v>
      </c>
      <c r="J68" s="8" t="n">
        <v>4763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ALL_PBM</t>
        </is>
      </c>
      <c r="C69" s="5" t="inlineStr">
        <is>
          <t>00310620530</t>
        </is>
      </c>
      <c r="D69" s="5" t="inlineStr">
        <is>
          <t>FARXIGA 5MG TABLET</t>
        </is>
      </c>
      <c r="E69" s="6" t="inlineStr">
        <is>
          <t>30.0</t>
        </is>
      </c>
      <c r="F69" s="7" t="n">
        <v>330</v>
      </c>
      <c r="G69" s="7" t="n">
        <v>11</v>
      </c>
      <c r="H69" s="7" t="n">
        <v>13</v>
      </c>
      <c r="I69" s="7" t="n">
        <v>2</v>
      </c>
      <c r="J69" s="8" t="n">
        <v>4620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ALL_PBM</t>
        </is>
      </c>
      <c r="C70" s="5" t="inlineStr">
        <is>
          <t>61958230101</t>
        </is>
      </c>
      <c r="D70" s="5" t="inlineStr">
        <is>
          <t>VEMLIDY 25 MG ORAL TABLET</t>
        </is>
      </c>
      <c r="E70" s="6" t="inlineStr">
        <is>
          <t>30.0</t>
        </is>
      </c>
      <c r="F70" s="7" t="n">
        <v>90</v>
      </c>
      <c r="G70" s="7" t="n">
        <v>3</v>
      </c>
      <c r="H70" s="7" t="n">
        <v>3</v>
      </c>
      <c r="I70" s="7" t="n">
        <v>0</v>
      </c>
      <c r="J70" s="8" t="n">
        <v>4418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ALL_PBM</t>
        </is>
      </c>
      <c r="C71" s="5" t="inlineStr">
        <is>
          <t>58151028301</t>
        </is>
      </c>
      <c r="D71" s="5" t="inlineStr">
        <is>
          <t>NEURONTIN 400 MG ORAL CAPSULE</t>
        </is>
      </c>
      <c r="E71" s="6" t="inlineStr">
        <is>
          <t>100.0</t>
        </is>
      </c>
      <c r="F71" s="7" t="n">
        <v>540</v>
      </c>
      <c r="G71" s="7" t="n">
        <v>5.4</v>
      </c>
      <c r="H71" s="7" t="n">
        <v>2</v>
      </c>
      <c r="I71" s="7" t="n">
        <v>-3.4</v>
      </c>
      <c r="J71" s="8" t="n">
        <v>4320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ALL_PBM</t>
        </is>
      </c>
      <c r="C72" s="5" t="inlineStr">
        <is>
          <t>50419054101</t>
        </is>
      </c>
      <c r="D72" s="5" t="inlineStr">
        <is>
          <t>KERENDIA 20MG TABLET</t>
        </is>
      </c>
      <c r="E72" s="6" t="inlineStr">
        <is>
          <t>30.0</t>
        </is>
      </c>
      <c r="F72" s="7" t="n">
        <v>180</v>
      </c>
      <c r="G72" s="7" t="n">
        <v>6</v>
      </c>
      <c r="H72" s="7" t="n">
        <v>6</v>
      </c>
      <c r="I72" s="7" t="n">
        <v>0</v>
      </c>
      <c r="J72" s="8" t="n">
        <v>3826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ALL_PBM</t>
        </is>
      </c>
      <c r="C73" s="5" t="inlineStr">
        <is>
          <t>00169451714</t>
        </is>
      </c>
      <c r="D73" s="5" t="inlineStr">
        <is>
          <t>WEGOVY 1.7 MG/0.75ML AUTO-INJECTOR</t>
        </is>
      </c>
      <c r="E73" s="6" t="inlineStr">
        <is>
          <t>3.0</t>
        </is>
      </c>
      <c r="F73" s="7" t="n">
        <v>9</v>
      </c>
      <c r="G73" s="7" t="n">
        <v>3</v>
      </c>
      <c r="H73" s="7" t="n">
        <v>1</v>
      </c>
      <c r="I73" s="7" t="n">
        <v>-2</v>
      </c>
      <c r="J73" s="8" t="n">
        <v>3781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ALL_PBM</t>
        </is>
      </c>
      <c r="C74" s="5" t="inlineStr">
        <is>
          <t>00006057561</t>
        </is>
      </c>
      <c r="D74" s="5" t="inlineStr">
        <is>
          <t>JANUMET 50-500 MG ORAL TABLET</t>
        </is>
      </c>
      <c r="E74" s="6" t="inlineStr">
        <is>
          <t>60.0</t>
        </is>
      </c>
      <c r="F74" s="7" t="n">
        <v>720</v>
      </c>
      <c r="G74" s="7" t="n">
        <v>12</v>
      </c>
      <c r="H74" s="7" t="n">
        <v>3</v>
      </c>
      <c r="I74" s="7" t="n">
        <v>-9</v>
      </c>
      <c r="J74" s="8" t="n">
        <v>3730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ALL_PBM</t>
        </is>
      </c>
      <c r="C75" s="5" t="inlineStr">
        <is>
          <t>47335050696</t>
        </is>
      </c>
      <c r="D75" s="5" t="inlineStr">
        <is>
          <t>CEQUA 0.09% SOLUTION</t>
        </is>
      </c>
      <c r="E75" s="6" t="inlineStr">
        <is>
          <t>60.0</t>
        </is>
      </c>
      <c r="F75" s="7" t="n">
        <v>360</v>
      </c>
      <c r="G75" s="7" t="n">
        <v>6</v>
      </c>
      <c r="H75" s="7" t="n">
        <v>5</v>
      </c>
      <c r="I75" s="7" t="n">
        <v>-1</v>
      </c>
      <c r="J75" s="8" t="n">
        <v>3643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ALL_PBM</t>
        </is>
      </c>
      <c r="C76" s="5" t="inlineStr">
        <is>
          <t>80610013060</t>
        </is>
      </c>
      <c r="D76" s="5" t="inlineStr">
        <is>
          <t>ZORYVE 0.3 % EXTERNAL CREAM</t>
        </is>
      </c>
      <c r="E76" s="6" t="inlineStr">
        <is>
          <t>60.0</t>
        </is>
      </c>
      <c r="F76" s="7" t="n">
        <v>240</v>
      </c>
      <c r="G76" s="7" t="n">
        <v>4</v>
      </c>
      <c r="H76" s="7" t="n">
        <v>1</v>
      </c>
      <c r="I76" s="7" t="n">
        <v>-3</v>
      </c>
      <c r="J76" s="8" t="n">
        <v>3605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ALL_PBM</t>
        </is>
      </c>
      <c r="C77" s="5" t="inlineStr">
        <is>
          <t>80610043060</t>
        </is>
      </c>
      <c r="D77" s="5" t="inlineStr">
        <is>
          <t>ZORYVE 0.3 % EXTERNAL FOAM</t>
        </is>
      </c>
      <c r="E77" s="6" t="inlineStr">
        <is>
          <t>60.0</t>
        </is>
      </c>
      <c r="F77" s="7" t="n">
        <v>240</v>
      </c>
      <c r="G77" s="7" t="n">
        <v>4</v>
      </c>
      <c r="H77" s="7" t="n">
        <v>0</v>
      </c>
      <c r="I77" s="7" t="n">
        <v>-4</v>
      </c>
      <c r="J77" s="8" t="n">
        <v>3566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ALL_PBM</t>
        </is>
      </c>
      <c r="C78" s="5" t="inlineStr">
        <is>
          <t>24208050402</t>
        </is>
      </c>
      <c r="D78" s="5" t="inlineStr">
        <is>
          <t>VYZULTA 0.024 % OPHTHALMIC SOLUTION</t>
        </is>
      </c>
      <c r="E78" s="6" t="inlineStr">
        <is>
          <t>2.5</t>
        </is>
      </c>
      <c r="F78" s="7" t="n">
        <v>35</v>
      </c>
      <c r="G78" s="7" t="n">
        <v>14</v>
      </c>
      <c r="H78" s="7" t="n">
        <v>0</v>
      </c>
      <c r="I78" s="7" t="n">
        <v>-14</v>
      </c>
      <c r="J78" s="8" t="n">
        <v>3531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ALL_PBM</t>
        </is>
      </c>
      <c r="C79" s="5" t="inlineStr">
        <is>
          <t>00023921115</t>
        </is>
      </c>
      <c r="D79" s="5" t="inlineStr">
        <is>
          <t>COMBIGAN 0.2-0.5% OPTH SOLUTION 15ML</t>
        </is>
      </c>
      <c r="E79" s="6" t="inlineStr">
        <is>
          <t>15.0</t>
        </is>
      </c>
      <c r="F79" s="7" t="n">
        <v>90</v>
      </c>
      <c r="G79" s="7" t="n">
        <v>6</v>
      </c>
      <c r="H79" s="7" t="n">
        <v>0</v>
      </c>
      <c r="I79" s="7" t="n">
        <v>-6</v>
      </c>
      <c r="J79" s="8" t="n">
        <v>3485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ALL_PBM</t>
        </is>
      </c>
      <c r="C80" s="5" t="inlineStr">
        <is>
          <t>00310908012</t>
        </is>
      </c>
      <c r="D80" s="5" t="inlineStr">
        <is>
          <t>AIRSUPRA 90-80 MCG/ACT INHALATION AEROSOL</t>
        </is>
      </c>
      <c r="E80" s="6" t="inlineStr">
        <is>
          <t>10.7</t>
        </is>
      </c>
      <c r="F80" s="7" t="n">
        <v>74.89999</v>
      </c>
      <c r="G80" s="7" t="n">
        <v>6.999999065420561</v>
      </c>
      <c r="H80" s="7" t="n">
        <v>4</v>
      </c>
      <c r="I80" s="7" t="n">
        <v>-2.999999065420561</v>
      </c>
      <c r="J80" s="8" t="n">
        <v>3357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ALL_PBM</t>
        </is>
      </c>
      <c r="C81" s="5" t="inlineStr">
        <is>
          <t>00173087310</t>
        </is>
      </c>
      <c r="D81" s="5" t="inlineStr">
        <is>
          <t>INCRUSE ELLIPTA 62.5MCG/INH AEROSOL</t>
        </is>
      </c>
      <c r="E81" s="6" t="inlineStr">
        <is>
          <t>30.0</t>
        </is>
      </c>
      <c r="F81" s="7" t="n">
        <v>300</v>
      </c>
      <c r="G81" s="7" t="n">
        <v>10</v>
      </c>
      <c r="H81" s="7" t="n">
        <v>3</v>
      </c>
      <c r="I81" s="7" t="n">
        <v>-7</v>
      </c>
      <c r="J81" s="8" t="n">
        <v>3352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ALL_PBM</t>
        </is>
      </c>
      <c r="C82" s="5" t="inlineStr">
        <is>
          <t>00310625030</t>
        </is>
      </c>
      <c r="D82" s="5" t="inlineStr">
        <is>
          <t>XIGDUO XR 5-500MG TABLET EXTENDED RELEASE</t>
        </is>
      </c>
      <c r="E82" s="6" t="inlineStr">
        <is>
          <t>30.0</t>
        </is>
      </c>
      <c r="F82" s="7" t="n">
        <v>180</v>
      </c>
      <c r="G82" s="7" t="n">
        <v>6</v>
      </c>
      <c r="H82" s="7" t="n">
        <v>2</v>
      </c>
      <c r="I82" s="7" t="n">
        <v>-4</v>
      </c>
      <c r="J82" s="8" t="n">
        <v>3346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ALL_PBM</t>
        </is>
      </c>
      <c r="C83" s="5" t="inlineStr">
        <is>
          <t>50458057830</t>
        </is>
      </c>
      <c r="D83" s="5" t="inlineStr">
        <is>
          <t>XARELTO 15MG TAB</t>
        </is>
      </c>
      <c r="E83" s="6" t="inlineStr">
        <is>
          <t>30.0</t>
        </is>
      </c>
      <c r="F83" s="7" t="n">
        <v>360</v>
      </c>
      <c r="G83" s="7" t="n">
        <v>12</v>
      </c>
      <c r="H83" s="7" t="n">
        <v>5</v>
      </c>
      <c r="I83" s="7" t="n">
        <v>-7</v>
      </c>
      <c r="J83" s="8" t="n">
        <v>3336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ALL_PBM</t>
        </is>
      </c>
      <c r="C84" s="5" t="inlineStr">
        <is>
          <t>00032301613</t>
        </is>
      </c>
      <c r="D84" s="5" t="inlineStr">
        <is>
          <t>CREON 36000UNIT CAPSULE</t>
        </is>
      </c>
      <c r="E84" s="6" t="inlineStr">
        <is>
          <t>100.0</t>
        </is>
      </c>
      <c r="F84" s="7" t="n">
        <v>270</v>
      </c>
      <c r="G84" s="7" t="n">
        <v>2.7</v>
      </c>
      <c r="H84" s="7" t="n">
        <v>3</v>
      </c>
      <c r="I84" s="7" t="n">
        <v>0.2999999999999998</v>
      </c>
      <c r="J84" s="8" t="n">
        <v>3242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ALL_PBM</t>
        </is>
      </c>
      <c r="C85" s="5" t="inlineStr">
        <is>
          <t>00186504031</t>
        </is>
      </c>
      <c r="D85" s="5" t="inlineStr">
        <is>
          <t>NEXIUM 40MG CAPSULE</t>
        </is>
      </c>
      <c r="E85" s="6" t="inlineStr">
        <is>
          <t>30.0</t>
        </is>
      </c>
      <c r="F85" s="7" t="n">
        <v>360</v>
      </c>
      <c r="G85" s="7" t="n">
        <v>12</v>
      </c>
      <c r="H85" s="7" t="n">
        <v>9</v>
      </c>
      <c r="I85" s="7" t="n">
        <v>-3</v>
      </c>
      <c r="J85" s="8" t="n">
        <v>3112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ALL_PBM</t>
        </is>
      </c>
      <c r="C86" s="5" t="inlineStr">
        <is>
          <t>53436016830</t>
        </is>
      </c>
      <c r="D86" s="5" t="inlineStr">
        <is>
          <t>VELTASSA 16.8 GM ORAL PACKET</t>
        </is>
      </c>
      <c r="E86" s="6" t="inlineStr">
        <is>
          <t>30.0</t>
        </is>
      </c>
      <c r="F86" s="7" t="n">
        <v>90</v>
      </c>
      <c r="G86" s="7" t="n">
        <v>3</v>
      </c>
      <c r="H86" s="7" t="n">
        <v>3</v>
      </c>
      <c r="I86" s="7" t="n">
        <v>0</v>
      </c>
      <c r="J86" s="8" t="n">
        <v>3076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ALL_PBM</t>
        </is>
      </c>
      <c r="C87" s="5" t="inlineStr">
        <is>
          <t>53436008430</t>
        </is>
      </c>
      <c r="D87" s="5" t="inlineStr">
        <is>
          <t>VELTASSA 8.4GM PACK</t>
        </is>
      </c>
      <c r="E87" s="6" t="inlineStr">
        <is>
          <t>30.0</t>
        </is>
      </c>
      <c r="F87" s="7" t="n">
        <v>90</v>
      </c>
      <c r="G87" s="7" t="n">
        <v>3</v>
      </c>
      <c r="H87" s="7" t="n">
        <v>3</v>
      </c>
      <c r="I87" s="7" t="n">
        <v>0</v>
      </c>
      <c r="J87" s="8" t="n">
        <v>3073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ALL_PBM</t>
        </is>
      </c>
      <c r="C88" s="5" t="inlineStr">
        <is>
          <t>59148003713</t>
        </is>
      </c>
      <c r="D88" s="5" t="inlineStr">
        <is>
          <t>REXULTI 1MG TABLET</t>
        </is>
      </c>
      <c r="E88" s="6" t="inlineStr">
        <is>
          <t>30.0</t>
        </is>
      </c>
      <c r="F88" s="7" t="n">
        <v>60</v>
      </c>
      <c r="G88" s="7" t="n">
        <v>2</v>
      </c>
      <c r="H88" s="7" t="n">
        <v>2</v>
      </c>
      <c r="I88" s="7" t="n">
        <v>0</v>
      </c>
      <c r="J88" s="8" t="n">
        <v>2998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ALL_PBM</t>
        </is>
      </c>
      <c r="C89" s="5" t="inlineStr">
        <is>
          <t>00597016860</t>
        </is>
      </c>
      <c r="D89" s="5" t="inlineStr">
        <is>
          <t>SYNJARDY 12.5-1000MG TABLET</t>
        </is>
      </c>
      <c r="E89" s="6" t="inlineStr">
        <is>
          <t>60.0</t>
        </is>
      </c>
      <c r="F89" s="7" t="n">
        <v>330</v>
      </c>
      <c r="G89" s="7" t="n">
        <v>5.5</v>
      </c>
      <c r="H89" s="7" t="n">
        <v>7</v>
      </c>
      <c r="I89" s="7" t="n">
        <v>1.5</v>
      </c>
      <c r="J89" s="8" t="n">
        <v>2966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ALL_PBM</t>
        </is>
      </c>
      <c r="C90" s="5" t="inlineStr">
        <is>
          <t>00310737220</t>
        </is>
      </c>
      <c r="D90" s="5" t="inlineStr">
        <is>
          <t>BUDESONIDE-FORMOTEROL FUMARATE 80-4.5MCG/ACT AEROSOL</t>
        </is>
      </c>
      <c r="E90" s="6" t="inlineStr">
        <is>
          <t>10.2</t>
        </is>
      </c>
      <c r="F90" s="7" t="n">
        <v>244.8</v>
      </c>
      <c r="G90" s="7" t="n">
        <v>24</v>
      </c>
      <c r="H90" s="7" t="n">
        <v>9</v>
      </c>
      <c r="I90" s="7" t="n">
        <v>-15</v>
      </c>
      <c r="J90" s="8" t="n">
        <v>2929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ALL_PBM</t>
        </is>
      </c>
      <c r="C91" s="5" t="inlineStr">
        <is>
          <t>00597030045</t>
        </is>
      </c>
      <c r="D91" s="5" t="inlineStr">
        <is>
          <t>SYNJARDY XR 12.5-1000 MG TABLET ER</t>
        </is>
      </c>
      <c r="E91" s="6" t="inlineStr">
        <is>
          <t>60.0</t>
        </is>
      </c>
      <c r="F91" s="7" t="n">
        <v>450</v>
      </c>
      <c r="G91" s="7" t="n">
        <v>7.5</v>
      </c>
      <c r="H91" s="7" t="n">
        <v>7</v>
      </c>
      <c r="I91" s="7" t="n">
        <v>-0.5</v>
      </c>
      <c r="J91" s="8" t="n">
        <v>2915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ALL_PBM</t>
        </is>
      </c>
      <c r="C92" s="5" t="inlineStr">
        <is>
          <t>00006008131</t>
        </is>
      </c>
      <c r="D92" s="5" t="inlineStr">
        <is>
          <t>JANUMET XR 100-1000MG TABLET</t>
        </is>
      </c>
      <c r="E92" s="6" t="inlineStr">
        <is>
          <t>30.0</t>
        </is>
      </c>
      <c r="F92" s="7" t="n">
        <v>270</v>
      </c>
      <c r="G92" s="7" t="n">
        <v>9</v>
      </c>
      <c r="H92" s="7" t="n">
        <v>8</v>
      </c>
      <c r="I92" s="7" t="n">
        <v>-1</v>
      </c>
      <c r="J92" s="8" t="n">
        <v>2762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ALL_PBM</t>
        </is>
      </c>
      <c r="C93" s="5" t="inlineStr">
        <is>
          <t>00597029074</t>
        </is>
      </c>
      <c r="D93" s="5" t="inlineStr">
        <is>
          <t>SYNJARDY 5-1000MG TABLET XR</t>
        </is>
      </c>
      <c r="E93" s="6" t="inlineStr">
        <is>
          <t>60.0</t>
        </is>
      </c>
      <c r="F93" s="7" t="n">
        <v>270</v>
      </c>
      <c r="G93" s="7" t="n">
        <v>4.5</v>
      </c>
      <c r="H93" s="7" t="n">
        <v>3</v>
      </c>
      <c r="I93" s="7" t="n">
        <v>-1.5</v>
      </c>
      <c r="J93" s="8" t="n">
        <v>2704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ALL_PBM</t>
        </is>
      </c>
      <c r="C94" s="5" t="inlineStr">
        <is>
          <t>71143037501</t>
        </is>
      </c>
      <c r="D94" s="5" t="inlineStr">
        <is>
          <t>XHANCE 93 MCG/ACT NASAL EXHALER SUSPENSION</t>
        </is>
      </c>
      <c r="E94" s="6" t="inlineStr">
        <is>
          <t>16.0</t>
        </is>
      </c>
      <c r="F94" s="7" t="n">
        <v>64</v>
      </c>
      <c r="G94" s="7" t="n">
        <v>4</v>
      </c>
      <c r="H94" s="7" t="n">
        <v>1</v>
      </c>
      <c r="I94" s="7" t="n">
        <v>-3</v>
      </c>
      <c r="J94" s="8" t="n">
        <v>2608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ALL_PBM</t>
        </is>
      </c>
      <c r="C95" s="5" t="inlineStr">
        <is>
          <t>00169291115</t>
        </is>
      </c>
      <c r="D95" s="5" t="inlineStr">
        <is>
          <t>XULTOPHY 100-3.6UNIT INJECTION</t>
        </is>
      </c>
      <c r="E95" s="6" t="inlineStr">
        <is>
          <t>15.0</t>
        </is>
      </c>
      <c r="F95" s="7" t="n">
        <v>30</v>
      </c>
      <c r="G95" s="7" t="n">
        <v>2</v>
      </c>
      <c r="H95" s="7" t="n">
        <v>2</v>
      </c>
      <c r="I95" s="7" t="n">
        <v>0</v>
      </c>
      <c r="J95" s="8" t="n">
        <v>2510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ALL_PBM</t>
        </is>
      </c>
      <c r="C96" s="5" t="inlineStr">
        <is>
          <t>00023530105</t>
        </is>
      </c>
      <c r="D96" s="5" t="inlineStr">
        <is>
          <t>RESTASIS MULTIDOSE 0.05 % OPHTHALMIC EMULSION</t>
        </is>
      </c>
      <c r="E96" s="6" t="inlineStr">
        <is>
          <t>5.5</t>
        </is>
      </c>
      <c r="F96" s="7" t="n">
        <v>22</v>
      </c>
      <c r="G96" s="7" t="n">
        <v>4</v>
      </c>
      <c r="H96" s="7" t="n">
        <v>4</v>
      </c>
      <c r="I96" s="7" t="n">
        <v>0</v>
      </c>
      <c r="J96" s="8" t="n">
        <v>2451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ALL_PBM</t>
        </is>
      </c>
      <c r="C97" s="5" t="inlineStr">
        <is>
          <t>57599081800</t>
        </is>
      </c>
      <c r="D97" s="5" t="inlineStr">
        <is>
          <t>FREESTYLE LIBRE 3 SENSOR</t>
        </is>
      </c>
      <c r="E97" s="6" t="inlineStr">
        <is>
          <t>1.0</t>
        </is>
      </c>
      <c r="F97" s="7" t="n">
        <v>32</v>
      </c>
      <c r="G97" s="7" t="n">
        <v>32</v>
      </c>
      <c r="H97" s="7" t="n">
        <v>16</v>
      </c>
      <c r="I97" s="7" t="n">
        <v>-16</v>
      </c>
      <c r="J97" s="8" t="n">
        <v>2440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ALL_PBM</t>
        </is>
      </c>
      <c r="C98" s="5" t="inlineStr">
        <is>
          <t>71699010030</t>
        </is>
      </c>
      <c r="D98" s="5" t="inlineStr">
        <is>
          <t>XCOPRI 100 MG ORAL TABLET</t>
        </is>
      </c>
      <c r="E98" s="6" t="inlineStr">
        <is>
          <t>30.0</t>
        </is>
      </c>
      <c r="F98" s="7" t="n">
        <v>60</v>
      </c>
      <c r="G98" s="7" t="n">
        <v>2</v>
      </c>
      <c r="H98" s="7" t="n">
        <v>2</v>
      </c>
      <c r="I98" s="7" t="n">
        <v>0</v>
      </c>
      <c r="J98" s="8" t="n">
        <v>2337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ALL_PBM</t>
        </is>
      </c>
      <c r="C99" s="5" t="inlineStr">
        <is>
          <t>59148000713</t>
        </is>
      </c>
      <c r="D99" s="5" t="inlineStr">
        <is>
          <t>ABILIFY 5MG TABLET</t>
        </is>
      </c>
      <c r="E99" s="6" t="inlineStr">
        <is>
          <t>30.0</t>
        </is>
      </c>
      <c r="F99" s="7" t="n">
        <v>120</v>
      </c>
      <c r="G99" s="7" t="n">
        <v>4</v>
      </c>
      <c r="H99" s="7" t="n">
        <v>2</v>
      </c>
      <c r="I99" s="7" t="n">
        <v>-2</v>
      </c>
      <c r="J99" s="8" t="n">
        <v>2278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ALL_PBM</t>
        </is>
      </c>
      <c r="C100" s="5" t="inlineStr">
        <is>
          <t>00074709630</t>
        </is>
      </c>
      <c r="D100" s="5" t="inlineStr">
        <is>
          <t>QULIPTA 30 MG ORAL TABLET</t>
        </is>
      </c>
      <c r="E100" s="6" t="inlineStr">
        <is>
          <t>30.0</t>
        </is>
      </c>
      <c r="F100" s="7" t="n">
        <v>60</v>
      </c>
      <c r="G100" s="7" t="n">
        <v>2</v>
      </c>
      <c r="H100" s="7" t="n">
        <v>0</v>
      </c>
      <c r="I100" s="7" t="n">
        <v>-2</v>
      </c>
      <c r="J100" s="8" t="n">
        <v>2262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ALL_PBM</t>
        </is>
      </c>
      <c r="C101" s="5" t="inlineStr">
        <is>
          <t>00032263601</t>
        </is>
      </c>
      <c r="D101" s="5" t="inlineStr">
        <is>
          <t>CREON 24000-76000 UNIT CAPSULE DR</t>
        </is>
      </c>
      <c r="E101" s="6" t="inlineStr">
        <is>
          <t>100.0</t>
        </is>
      </c>
      <c r="F101" s="7" t="n">
        <v>270</v>
      </c>
      <c r="G101" s="7" t="n">
        <v>2.7</v>
      </c>
      <c r="H101" s="7" t="n">
        <v>3</v>
      </c>
      <c r="I101" s="7" t="n">
        <v>0.2999999999999998</v>
      </c>
      <c r="J101" s="8" t="n">
        <v>2216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ALL_PBM</t>
        </is>
      </c>
      <c r="C102" s="5" t="inlineStr">
        <is>
          <t>82667090002</t>
        </is>
      </c>
      <c r="D102" s="5" t="inlineStr">
        <is>
          <t>VEVYE 0.1 % OPHTHALMIC SOLUTION</t>
        </is>
      </c>
      <c r="E102" s="6" t="inlineStr">
        <is>
          <t>2.0</t>
        </is>
      </c>
      <c r="F102" s="7" t="n">
        <v>6</v>
      </c>
      <c r="G102" s="7" t="n">
        <v>3</v>
      </c>
      <c r="H102" s="7" t="n">
        <v>3</v>
      </c>
      <c r="I102" s="7" t="n">
        <v>0</v>
      </c>
      <c r="J102" s="8" t="n">
        <v>2191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ALL_PBM</t>
        </is>
      </c>
      <c r="C103" s="5" t="inlineStr">
        <is>
          <t>69557011130</t>
        </is>
      </c>
      <c r="D103" s="5" t="inlineStr">
        <is>
          <t>ZTLIDO 1.8 % EXTERNAL PATCH</t>
        </is>
      </c>
      <c r="E103" s="6" t="inlineStr">
        <is>
          <t>30.0</t>
        </is>
      </c>
      <c r="F103" s="7" t="n">
        <v>180</v>
      </c>
      <c r="G103" s="7" t="n">
        <v>6</v>
      </c>
      <c r="H103" s="7" t="n">
        <v>4</v>
      </c>
      <c r="I103" s="7" t="n">
        <v>-2</v>
      </c>
      <c r="J103" s="8" t="n">
        <v>2144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ALL_PBM</t>
        </is>
      </c>
      <c r="C104" s="5" t="inlineStr">
        <is>
          <t>00002248480</t>
        </is>
      </c>
      <c r="D104" s="5" t="inlineStr">
        <is>
          <t>ZEPBOUND 7.5 MG/0.5ML AUTO-INJECTOR</t>
        </is>
      </c>
      <c r="E104" s="6" t="inlineStr">
        <is>
          <t>2.0</t>
        </is>
      </c>
      <c r="F104" s="7" t="n">
        <v>4</v>
      </c>
      <c r="G104" s="7" t="n">
        <v>2</v>
      </c>
      <c r="H104" s="7" t="n">
        <v>2</v>
      </c>
      <c r="I104" s="7" t="n">
        <v>0</v>
      </c>
      <c r="J104" s="8" t="n">
        <v>2098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ALL_PBM</t>
        </is>
      </c>
      <c r="C105" s="5" t="inlineStr">
        <is>
          <t>00006022131</t>
        </is>
      </c>
      <c r="D105" s="5" t="inlineStr">
        <is>
          <t>JANUVIA 25MG TABLET</t>
        </is>
      </c>
      <c r="E105" s="6" t="inlineStr">
        <is>
          <t>30.0</t>
        </is>
      </c>
      <c r="F105" s="7" t="n">
        <v>240</v>
      </c>
      <c r="G105" s="7" t="n">
        <v>8</v>
      </c>
      <c r="H105" s="7" t="n">
        <v>11</v>
      </c>
      <c r="I105" s="7" t="n">
        <v>3</v>
      </c>
      <c r="J105" s="8" t="n">
        <v>2071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ALL_PBM</t>
        </is>
      </c>
      <c r="C106" s="5" t="inlineStr">
        <is>
          <t>00169633910</t>
        </is>
      </c>
      <c r="D106" s="5" t="inlineStr">
        <is>
          <t>NOVOLOG FLEXPEN 100UNIT/ML INJECTION</t>
        </is>
      </c>
      <c r="E106" s="6" t="inlineStr">
        <is>
          <t>15.0</t>
        </is>
      </c>
      <c r="F106" s="7" t="n">
        <v>237</v>
      </c>
      <c r="G106" s="7" t="n">
        <v>15.8</v>
      </c>
      <c r="H106" s="7" t="n">
        <v>6</v>
      </c>
      <c r="I106" s="7" t="n">
        <v>-9.800000000000001</v>
      </c>
      <c r="J106" s="8" t="n">
        <v>2068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ALL_PBM</t>
        </is>
      </c>
      <c r="C107" s="5" t="inlineStr">
        <is>
          <t>71571033383</t>
        </is>
      </c>
      <c r="D107" s="5" t="inlineStr">
        <is>
          <t>EYSUVIS 0.25 % OPHTHALMIC SUSPENSION</t>
        </is>
      </c>
      <c r="E107" s="6" t="inlineStr">
        <is>
          <t>8.3</t>
        </is>
      </c>
      <c r="F107" s="7" t="n">
        <v>33.2</v>
      </c>
      <c r="G107" s="7" t="n">
        <v>4</v>
      </c>
      <c r="H107" s="7" t="n">
        <v>1</v>
      </c>
      <c r="I107" s="7" t="n">
        <v>-3</v>
      </c>
      <c r="J107" s="8" t="n">
        <v>1992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ALL_PBM</t>
        </is>
      </c>
      <c r="C108" s="5" t="inlineStr">
        <is>
          <t>73154005060</t>
        </is>
      </c>
      <c r="D108" s="5" t="inlineStr">
        <is>
          <t>IBSRELA 50 MG ORAL TABLET</t>
        </is>
      </c>
      <c r="E108" s="6" t="inlineStr">
        <is>
          <t>60.0</t>
        </is>
      </c>
      <c r="F108" s="7" t="n">
        <v>60</v>
      </c>
      <c r="G108" s="7" t="n">
        <v>1</v>
      </c>
      <c r="H108" s="7" t="n">
        <v>0</v>
      </c>
      <c r="I108" s="7" t="n">
        <v>-1</v>
      </c>
      <c r="J108" s="8" t="n">
        <v>1965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ALL_PBM</t>
        </is>
      </c>
      <c r="C109" s="5" t="inlineStr">
        <is>
          <t>58160082311</t>
        </is>
      </c>
      <c r="D109" s="5" t="inlineStr">
        <is>
          <t>SHINGRIX 50 MCG/0.5ML IM SUSP RECON</t>
        </is>
      </c>
      <c r="E109" s="6" t="inlineStr">
        <is>
          <t>10.0</t>
        </is>
      </c>
      <c r="F109" s="7" t="n">
        <v>9</v>
      </c>
      <c r="G109" s="7" t="n">
        <v>0.9</v>
      </c>
      <c r="H109" s="7" t="n">
        <v>0</v>
      </c>
      <c r="I109" s="7" t="n">
        <v>-0.9</v>
      </c>
      <c r="J109" s="8" t="n">
        <v>1960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ALL_PBM</t>
        </is>
      </c>
      <c r="C110" s="5" t="inlineStr">
        <is>
          <t>70727049725</t>
        </is>
      </c>
      <c r="D110" s="5" t="inlineStr">
        <is>
          <t>RHOPRESSA 0.02 % OPHTHALMIC SOLUTION</t>
        </is>
      </c>
      <c r="E110" s="6" t="inlineStr">
        <is>
          <t>2.5</t>
        </is>
      </c>
      <c r="F110" s="7" t="n">
        <v>15</v>
      </c>
      <c r="G110" s="7" t="n">
        <v>6</v>
      </c>
      <c r="H110" s="7" t="n">
        <v>0</v>
      </c>
      <c r="I110" s="7" t="n">
        <v>-6</v>
      </c>
      <c r="J110" s="8" t="n">
        <v>1928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ALL_PBM</t>
        </is>
      </c>
      <c r="C111" s="5" t="inlineStr">
        <is>
          <t>60505451803</t>
        </is>
      </c>
      <c r="D111" s="5" t="inlineStr">
        <is>
          <t>PAXIL 20 MG ORAL TABLET</t>
        </is>
      </c>
      <c r="E111" s="6" t="inlineStr">
        <is>
          <t>30.0</t>
        </is>
      </c>
      <c r="F111" s="7" t="n">
        <v>180</v>
      </c>
      <c r="G111" s="7" t="n">
        <v>6</v>
      </c>
      <c r="H111" s="7" t="n">
        <v>4</v>
      </c>
      <c r="I111" s="7" t="n">
        <v>-2</v>
      </c>
      <c r="J111" s="8" t="n">
        <v>1922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ALL_PBM</t>
        </is>
      </c>
      <c r="C112" s="5" t="inlineStr">
        <is>
          <t>50484001090</t>
        </is>
      </c>
      <c r="D112" s="5" t="inlineStr">
        <is>
          <t>SANTYL 250 UNIT/GM EXTERNAL OINTMENT</t>
        </is>
      </c>
      <c r="E112" s="6" t="inlineStr">
        <is>
          <t>90.0</t>
        </is>
      </c>
      <c r="F112" s="7" t="n">
        <v>180</v>
      </c>
      <c r="G112" s="7" t="n">
        <v>2</v>
      </c>
      <c r="H112" s="7" t="n">
        <v>1</v>
      </c>
      <c r="I112" s="7" t="n">
        <v>-1</v>
      </c>
      <c r="J112" s="8" t="n">
        <v>1916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ALL_PBM</t>
        </is>
      </c>
      <c r="C113" s="5" t="inlineStr">
        <is>
          <t>59467067901</t>
        </is>
      </c>
      <c r="D113" s="5" t="inlineStr">
        <is>
          <t>KLOXXADO 8 MG/0.1ML NASAL LIQUID</t>
        </is>
      </c>
      <c r="E113" s="6" t="inlineStr">
        <is>
          <t>2.0</t>
        </is>
      </c>
      <c r="F113" s="7" t="n">
        <v>30</v>
      </c>
      <c r="G113" s="7" t="n">
        <v>15</v>
      </c>
      <c r="H113" s="7" t="n">
        <v>8</v>
      </c>
      <c r="I113" s="7" t="n">
        <v>-7</v>
      </c>
      <c r="J113" s="8" t="n">
        <v>1850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ALL_PBM</t>
        </is>
      </c>
      <c r="C114" s="5" t="inlineStr">
        <is>
          <t>55513071021</t>
        </is>
      </c>
      <c r="D114" s="5" t="inlineStr">
        <is>
          <t>PROLIA 60 MG/ML SUBCUTANEOUS SOLUTION PREFILLED SYRINGE</t>
        </is>
      </c>
      <c r="E114" s="6" t="inlineStr">
        <is>
          <t>1.0</t>
        </is>
      </c>
      <c r="F114" s="7" t="n">
        <v>1</v>
      </c>
      <c r="G114" s="7" t="n">
        <v>1</v>
      </c>
      <c r="H114" s="7" t="n">
        <v>0</v>
      </c>
      <c r="I114" s="7" t="n">
        <v>-1</v>
      </c>
      <c r="J114" s="8" t="n">
        <v>1808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ALL_PBM</t>
        </is>
      </c>
      <c r="C115" s="5" t="inlineStr">
        <is>
          <t>00046087221</t>
        </is>
      </c>
      <c r="D115" s="5" t="inlineStr">
        <is>
          <t>PREMARIN 0.625 MG/GM VAGINAL CREAM</t>
        </is>
      </c>
      <c r="E115" s="6" t="inlineStr">
        <is>
          <t>30.0</t>
        </is>
      </c>
      <c r="F115" s="7" t="n">
        <v>120</v>
      </c>
      <c r="G115" s="7" t="n">
        <v>4</v>
      </c>
      <c r="H115" s="7" t="n">
        <v>2</v>
      </c>
      <c r="I115" s="7" t="n">
        <v>-2</v>
      </c>
      <c r="J115" s="8" t="n">
        <v>1763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ALL_PBM</t>
        </is>
      </c>
      <c r="C116" s="5" t="inlineStr">
        <is>
          <t>70727052925</t>
        </is>
      </c>
      <c r="D116" s="5" t="inlineStr">
        <is>
          <t>ROCKLATAN 0.02-0.005% SOLUTION</t>
        </is>
      </c>
      <c r="E116" s="6" t="inlineStr">
        <is>
          <t>2.5</t>
        </is>
      </c>
      <c r="F116" s="7" t="n">
        <v>12.5</v>
      </c>
      <c r="G116" s="7" t="n">
        <v>5</v>
      </c>
      <c r="H116" s="7" t="n">
        <v>5</v>
      </c>
      <c r="I116" s="7" t="n">
        <v>0</v>
      </c>
      <c r="J116" s="8" t="n">
        <v>1732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ALL_PBM</t>
        </is>
      </c>
      <c r="C117" s="5" t="inlineStr">
        <is>
          <t>00310626060</t>
        </is>
      </c>
      <c r="D117" s="5" t="inlineStr">
        <is>
          <t>XIGDUO XR 5-1000 MG TABLET ER</t>
        </is>
      </c>
      <c r="E117" s="6" t="inlineStr">
        <is>
          <t>60.0</t>
        </is>
      </c>
      <c r="F117" s="7" t="n">
        <v>180</v>
      </c>
      <c r="G117" s="7" t="n">
        <v>3</v>
      </c>
      <c r="H117" s="7" t="n">
        <v>3</v>
      </c>
      <c r="I117" s="7" t="n">
        <v>0</v>
      </c>
      <c r="J117" s="8" t="n">
        <v>1684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ALL_PBM</t>
        </is>
      </c>
      <c r="C118" s="5" t="inlineStr">
        <is>
          <t>00430042014</t>
        </is>
      </c>
      <c r="D118" s="5" t="inlineStr">
        <is>
          <t>LO LOESTRIN FE 1 MG-10 MCG / 10 MCG ORAL TABLET</t>
        </is>
      </c>
      <c r="E118" s="6" t="inlineStr">
        <is>
          <t>140.0</t>
        </is>
      </c>
      <c r="F118" s="7" t="n">
        <v>252</v>
      </c>
      <c r="G118" s="7" t="n">
        <v>1.8</v>
      </c>
      <c r="H118" s="7" t="n">
        <v>1</v>
      </c>
      <c r="I118" s="7" t="n">
        <v>-0.8</v>
      </c>
      <c r="J118" s="8" t="n">
        <v>1683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ALL_PBM</t>
        </is>
      </c>
      <c r="C119" s="5" t="inlineStr">
        <is>
          <t>59137053004</t>
        </is>
      </c>
      <c r="D119" s="5" t="inlineStr">
        <is>
          <t>RASUVO 20MG/0.4ML INJECTION</t>
        </is>
      </c>
      <c r="E119" s="6" t="inlineStr">
        <is>
          <t>1.6</t>
        </is>
      </c>
      <c r="F119" s="7" t="n">
        <v>4.8</v>
      </c>
      <c r="G119" s="7" t="n">
        <v>3</v>
      </c>
      <c r="H119" s="7" t="n">
        <v>3</v>
      </c>
      <c r="I119" s="7" t="n">
        <v>4.440892098500626e-16</v>
      </c>
      <c r="J119" s="8" t="n">
        <v>1653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ALL_PBM</t>
        </is>
      </c>
      <c r="C120" s="5" t="inlineStr">
        <is>
          <t>50458057760</t>
        </is>
      </c>
      <c r="D120" s="5" t="inlineStr">
        <is>
          <t>XARELTO 2.5 MG TABLET</t>
        </is>
      </c>
      <c r="E120" s="6" t="inlineStr">
        <is>
          <t>60.0</t>
        </is>
      </c>
      <c r="F120" s="7" t="n">
        <v>180</v>
      </c>
      <c r="G120" s="7" t="n">
        <v>3</v>
      </c>
      <c r="H120" s="7" t="n">
        <v>1</v>
      </c>
      <c r="I120" s="7" t="n">
        <v>-2</v>
      </c>
      <c r="J120" s="8" t="n">
        <v>1604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ALL_PBM</t>
        </is>
      </c>
      <c r="C121" s="5" t="inlineStr">
        <is>
          <t>00054032756</t>
        </is>
      </c>
      <c r="D121" s="5" t="inlineStr">
        <is>
          <t>FLUTICASONE-SALMETEROL 250-50 MCG/ACT INH AEROSOL</t>
        </is>
      </c>
      <c r="E121" s="6" t="inlineStr">
        <is>
          <t>60.0</t>
        </is>
      </c>
      <c r="F121" s="7" t="n">
        <v>1500</v>
      </c>
      <c r="G121" s="7" t="n">
        <v>25</v>
      </c>
      <c r="H121" s="7" t="n">
        <v>8</v>
      </c>
      <c r="I121" s="7" t="n">
        <v>-17</v>
      </c>
      <c r="J121" s="8" t="n">
        <v>1594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ALL_PBM</t>
        </is>
      </c>
      <c r="C122" s="5" t="inlineStr">
        <is>
          <t>00023921110</t>
        </is>
      </c>
      <c r="D122" s="5" t="inlineStr">
        <is>
          <t>COMBIGAN 0.2-0.5% OPTH SOLUTION 10ML</t>
        </is>
      </c>
      <c r="E122" s="6" t="inlineStr">
        <is>
          <t>10.0</t>
        </is>
      </c>
      <c r="F122" s="7" t="n">
        <v>40</v>
      </c>
      <c r="G122" s="7" t="n">
        <v>4</v>
      </c>
      <c r="H122" s="7" t="n">
        <v>0</v>
      </c>
      <c r="I122" s="7" t="n">
        <v>-4</v>
      </c>
      <c r="J122" s="8" t="n">
        <v>1543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ALL_PBM</t>
        </is>
      </c>
      <c r="C123" s="5" t="inlineStr">
        <is>
          <t>55724021121</t>
        </is>
      </c>
      <c r="D123" s="5" t="inlineStr">
        <is>
          <t>EUCRISA 2% OINTMENT</t>
        </is>
      </c>
      <c r="E123" s="6" t="inlineStr">
        <is>
          <t>60.0</t>
        </is>
      </c>
      <c r="F123" s="7" t="n">
        <v>120</v>
      </c>
      <c r="G123" s="7" t="n">
        <v>2</v>
      </c>
      <c r="H123" s="7" t="n">
        <v>0</v>
      </c>
      <c r="I123" s="7" t="n">
        <v>-2</v>
      </c>
      <c r="J123" s="8" t="n">
        <v>1538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ALL_PBM</t>
        </is>
      </c>
      <c r="C124" s="5" t="inlineStr">
        <is>
          <t>00023320505</t>
        </is>
      </c>
      <c r="D124" s="5" t="inlineStr">
        <is>
          <t>LUMIGAN 0.01 % OPHTHALMIC SOLUTION</t>
        </is>
      </c>
      <c r="E124" s="6" t="inlineStr">
        <is>
          <t>5.0</t>
        </is>
      </c>
      <c r="F124" s="7" t="n">
        <v>15</v>
      </c>
      <c r="G124" s="7" t="n">
        <v>3</v>
      </c>
      <c r="H124" s="7" t="n">
        <v>1</v>
      </c>
      <c r="I124" s="7" t="n">
        <v>-2</v>
      </c>
      <c r="J124" s="8" t="n">
        <v>1522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ALL_PBM</t>
        </is>
      </c>
      <c r="C125" s="5" t="inlineStr">
        <is>
          <t>82584000330</t>
        </is>
      </c>
      <c r="D125" s="5" t="inlineStr">
        <is>
          <t>IYUZEH 0.005 % OPHTHALMIC SOLUTION</t>
        </is>
      </c>
      <c r="E125" s="6" t="inlineStr">
        <is>
          <t>30.0</t>
        </is>
      </c>
      <c r="F125" s="7" t="n">
        <v>150</v>
      </c>
      <c r="G125" s="7" t="n">
        <v>5</v>
      </c>
      <c r="H125" s="7" t="n">
        <v>1</v>
      </c>
      <c r="I125" s="7" t="n">
        <v>-4</v>
      </c>
      <c r="J125" s="8" t="n">
        <v>1504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ALL_PBM</t>
        </is>
      </c>
      <c r="C126" s="5" t="inlineStr">
        <is>
          <t>64764073030</t>
        </is>
      </c>
      <c r="D126" s="5" t="inlineStr">
        <is>
          <t>TRINTELLIX 10MG TABLET</t>
        </is>
      </c>
      <c r="E126" s="6" t="inlineStr">
        <is>
          <t>30.0</t>
        </is>
      </c>
      <c r="F126" s="7" t="n">
        <v>90</v>
      </c>
      <c r="G126" s="7" t="n">
        <v>3</v>
      </c>
      <c r="H126" s="7" t="n">
        <v>3</v>
      </c>
      <c r="I126" s="7" t="n">
        <v>0</v>
      </c>
      <c r="J126" s="8" t="n">
        <v>1483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ALL_PBM</t>
        </is>
      </c>
      <c r="C127" s="5" t="inlineStr">
        <is>
          <t>59148003613</t>
        </is>
      </c>
      <c r="D127" s="5" t="inlineStr">
        <is>
          <t>REXULTI 0.5 MG ORAL TABLET</t>
        </is>
      </c>
      <c r="E127" s="6" t="inlineStr">
        <is>
          <t>30.0</t>
        </is>
      </c>
      <c r="F127" s="7" t="n">
        <v>30</v>
      </c>
      <c r="G127" s="7" t="n">
        <v>1</v>
      </c>
      <c r="H127" s="7" t="n">
        <v>1</v>
      </c>
      <c r="I127" s="7" t="n">
        <v>0</v>
      </c>
      <c r="J127" s="8" t="n">
        <v>1480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ALL_PBM</t>
        </is>
      </c>
      <c r="C128" s="5" t="inlineStr">
        <is>
          <t>61874014530</t>
        </is>
      </c>
      <c r="D128" s="5" t="inlineStr">
        <is>
          <t>VRAYLAR 4.5 MG ORAL CAPSULE</t>
        </is>
      </c>
      <c r="E128" s="6" t="inlineStr">
        <is>
          <t>30.0</t>
        </is>
      </c>
      <c r="F128" s="7" t="n">
        <v>30</v>
      </c>
      <c r="G128" s="7" t="n">
        <v>1</v>
      </c>
      <c r="H128" s="7" t="n">
        <v>1</v>
      </c>
      <c r="I128" s="7" t="n">
        <v>0</v>
      </c>
      <c r="J128" s="8" t="n">
        <v>1466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ALL_PBM</t>
        </is>
      </c>
      <c r="C129" s="5" t="inlineStr">
        <is>
          <t>00186037220</t>
        </is>
      </c>
      <c r="D129" s="5" t="inlineStr">
        <is>
          <t>SYMBICORT 80-4.5MCG/ACT AEROSOL</t>
        </is>
      </c>
      <c r="E129" s="6" t="inlineStr">
        <is>
          <t>10.2</t>
        </is>
      </c>
      <c r="F129" s="7" t="n">
        <v>71.40000000000001</v>
      </c>
      <c r="G129" s="7" t="n">
        <v>7.000000000000001</v>
      </c>
      <c r="H129" s="7" t="n">
        <v>0</v>
      </c>
      <c r="I129" s="7" t="n">
        <v>-7.000000000000001</v>
      </c>
      <c r="J129" s="8" t="n">
        <v>1446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ALL_PBM</t>
        </is>
      </c>
      <c r="C130" s="5" t="inlineStr">
        <is>
          <t>00069504530</t>
        </is>
      </c>
      <c r="D130" s="5" t="inlineStr">
        <is>
          <t>PAXLOVID (300/100) 20 X 150 MG &amp; 10 X 100MG TABLET THERAPY PACK</t>
        </is>
      </c>
      <c r="E130" s="6" t="inlineStr">
        <is>
          <t>30.0</t>
        </is>
      </c>
      <c r="F130" s="7" t="n">
        <v>30</v>
      </c>
      <c r="G130" s="7" t="n">
        <v>1</v>
      </c>
      <c r="H130" s="7" t="n">
        <v>1</v>
      </c>
      <c r="I130" s="7" t="n">
        <v>0</v>
      </c>
      <c r="J130" s="8" t="n">
        <v>1400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ALL_PBM</t>
        </is>
      </c>
      <c r="C131" s="5" t="inlineStr">
        <is>
          <t>00005200010</t>
        </is>
      </c>
      <c r="D131" s="5" t="inlineStr">
        <is>
          <t>PREVNAR 20 0.5 ML PREFILLED SYRINGE</t>
        </is>
      </c>
      <c r="E131" s="6" t="inlineStr">
        <is>
          <t>5.0</t>
        </is>
      </c>
      <c r="F131" s="7" t="n">
        <v>2.5</v>
      </c>
      <c r="G131" s="7" t="n">
        <v>0.5</v>
      </c>
      <c r="H131" s="7" t="n">
        <v>0</v>
      </c>
      <c r="I131" s="7" t="n">
        <v>-0.5</v>
      </c>
      <c r="J131" s="8" t="n">
        <v>1391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ALL_PBM</t>
        </is>
      </c>
      <c r="C132" s="5" t="inlineStr">
        <is>
          <t>00074732713</t>
        </is>
      </c>
      <c r="D132" s="5" t="inlineStr">
        <is>
          <t>DEPAKOTE 500MG TABLET DELAYED RELEASE</t>
        </is>
      </c>
      <c r="E132" s="6" t="inlineStr">
        <is>
          <t>100.0</t>
        </is>
      </c>
      <c r="F132" s="7" t="n">
        <v>180</v>
      </c>
      <c r="G132" s="7" t="n">
        <v>1.8</v>
      </c>
      <c r="H132" s="7" t="n">
        <v>2</v>
      </c>
      <c r="I132" s="7" t="n">
        <v>0.2</v>
      </c>
      <c r="J132" s="8" t="n">
        <v>1353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ALL_PBM</t>
        </is>
      </c>
      <c r="C133" s="5" t="inlineStr">
        <is>
          <t>53885024450</t>
        </is>
      </c>
      <c r="D133" s="5" t="inlineStr">
        <is>
          <t>ONETOUCH ULTRA BLUE  STRIP</t>
        </is>
      </c>
      <c r="E133" s="6" t="inlineStr">
        <is>
          <t>50.0</t>
        </is>
      </c>
      <c r="F133" s="7" t="n">
        <v>900</v>
      </c>
      <c r="G133" s="7" t="n">
        <v>18</v>
      </c>
      <c r="H133" s="7" t="n">
        <v>24</v>
      </c>
      <c r="I133" s="7" t="n">
        <v>6</v>
      </c>
      <c r="J133" s="8" t="n">
        <v>1342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ALL_PBM</t>
        </is>
      </c>
      <c r="C134" s="5" t="inlineStr">
        <is>
          <t>00597017560</t>
        </is>
      </c>
      <c r="D134" s="5" t="inlineStr">
        <is>
          <t>SYNJARDY 5-1000 MG TABLET</t>
        </is>
      </c>
      <c r="E134" s="6" t="inlineStr">
        <is>
          <t>60.0</t>
        </is>
      </c>
      <c r="F134" s="7" t="n">
        <v>180</v>
      </c>
      <c r="G134" s="7" t="n">
        <v>3</v>
      </c>
      <c r="H134" s="7" t="n">
        <v>3</v>
      </c>
      <c r="I134" s="7" t="n">
        <v>0</v>
      </c>
      <c r="J134" s="8" t="n">
        <v>1308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ALL_PBM</t>
        </is>
      </c>
      <c r="C135" s="5" t="inlineStr">
        <is>
          <t>00469260130</t>
        </is>
      </c>
      <c r="D135" s="5" t="inlineStr">
        <is>
          <t>MYRBETRIQ 25MG TABLET</t>
        </is>
      </c>
      <c r="E135" s="6" t="inlineStr">
        <is>
          <t>30.0</t>
        </is>
      </c>
      <c r="F135" s="7" t="n">
        <v>90</v>
      </c>
      <c r="G135" s="7" t="n">
        <v>3</v>
      </c>
      <c r="H135" s="7" t="n">
        <v>0</v>
      </c>
      <c r="I135" s="7" t="n">
        <v>-3</v>
      </c>
      <c r="J135" s="8" t="n">
        <v>1296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ALL_PBM</t>
        </is>
      </c>
      <c r="C136" s="5" t="inlineStr">
        <is>
          <t>00173071720</t>
        </is>
      </c>
      <c r="D136" s="5" t="inlineStr">
        <is>
          <t>ADVAIR HFA 230-21 MCG/ACT INHALATION AEROSOL</t>
        </is>
      </c>
      <c r="E136" s="6" t="inlineStr">
        <is>
          <t>12.0</t>
        </is>
      </c>
      <c r="F136" s="7" t="n">
        <v>36</v>
      </c>
      <c r="G136" s="7" t="n">
        <v>3</v>
      </c>
      <c r="H136" s="7" t="n">
        <v>3</v>
      </c>
      <c r="I136" s="7" t="n">
        <v>0</v>
      </c>
      <c r="J136" s="8" t="n">
        <v>1293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ALL_PBM</t>
        </is>
      </c>
      <c r="C137" s="5" t="inlineStr">
        <is>
          <t>59310030240</t>
        </is>
      </c>
      <c r="D137" s="5" t="inlineStr">
        <is>
          <t>QVAR REDIHALER 40MCG/ACT AEROSOL</t>
        </is>
      </c>
      <c r="E137" s="6" t="inlineStr">
        <is>
          <t>10.6</t>
        </is>
      </c>
      <c r="F137" s="7" t="n">
        <v>63.6</v>
      </c>
      <c r="G137" s="7" t="n">
        <v>6</v>
      </c>
      <c r="H137" s="7" t="n">
        <v>0</v>
      </c>
      <c r="I137" s="7" t="n">
        <v>-6</v>
      </c>
      <c r="J137" s="8" t="n">
        <v>1289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ALL_PBM</t>
        </is>
      </c>
      <c r="C138" s="5" t="inlineStr">
        <is>
          <t>00169255013</t>
        </is>
      </c>
      <c r="D138" s="5" t="inlineStr">
        <is>
          <t>TRESIBA FLEXTOUCH 200UNIT/ML INJECTION</t>
        </is>
      </c>
      <c r="E138" s="6" t="inlineStr">
        <is>
          <t>9.0</t>
        </is>
      </c>
      <c r="F138" s="7" t="n">
        <v>30</v>
      </c>
      <c r="G138" s="7" t="n">
        <v>3.333333333333333</v>
      </c>
      <c r="H138" s="7" t="n">
        <v>2</v>
      </c>
      <c r="I138" s="7" t="n">
        <v>-1.333333333333333</v>
      </c>
      <c r="J138" s="8" t="n">
        <v>1231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ALL_PBM</t>
        </is>
      </c>
      <c r="C139" s="5" t="inlineStr">
        <is>
          <t>00169266015</t>
        </is>
      </c>
      <c r="D139" s="5" t="inlineStr">
        <is>
          <t>TRESIBA FLEXTOUCH 100UNIT/ML INJECTION</t>
        </is>
      </c>
      <c r="E139" s="6" t="inlineStr">
        <is>
          <t>15.0</t>
        </is>
      </c>
      <c r="F139" s="7" t="n">
        <v>39</v>
      </c>
      <c r="G139" s="7" t="n">
        <v>2.6</v>
      </c>
      <c r="H139" s="7" t="n">
        <v>0</v>
      </c>
      <c r="I139" s="7" t="n">
        <v>-2.6</v>
      </c>
      <c r="J139" s="8" t="n">
        <v>1225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ALL_PBM</t>
        </is>
      </c>
      <c r="C140" s="5" t="inlineStr">
        <is>
          <t>72426081803</t>
        </is>
      </c>
      <c r="D140" s="5" t="inlineStr">
        <is>
          <t>NEXLIZET 180-10MG TABLET</t>
        </is>
      </c>
      <c r="E140" s="6" t="inlineStr">
        <is>
          <t>30.0</t>
        </is>
      </c>
      <c r="F140" s="7" t="n">
        <v>90</v>
      </c>
      <c r="G140" s="7" t="n">
        <v>3</v>
      </c>
      <c r="H140" s="7" t="n">
        <v>3</v>
      </c>
      <c r="I140" s="7" t="n">
        <v>0</v>
      </c>
      <c r="J140" s="8" t="n">
        <v>1215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ALL_PBM</t>
        </is>
      </c>
      <c r="C141" s="5" t="inlineStr">
        <is>
          <t>72426011803</t>
        </is>
      </c>
      <c r="D141" s="5" t="inlineStr">
        <is>
          <t>NEXLETOL 180 MG ORAL TABLET</t>
        </is>
      </c>
      <c r="E141" s="6" t="inlineStr">
        <is>
          <t>30.0</t>
        </is>
      </c>
      <c r="F141" s="7" t="n">
        <v>90</v>
      </c>
      <c r="G141" s="7" t="n">
        <v>3</v>
      </c>
      <c r="H141" s="7" t="n">
        <v>3</v>
      </c>
      <c r="I141" s="7" t="n">
        <v>0</v>
      </c>
      <c r="J141" s="8" t="n">
        <v>1215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ALL_PBM</t>
        </is>
      </c>
      <c r="C142" s="5" t="inlineStr">
        <is>
          <t>71699020030</t>
        </is>
      </c>
      <c r="D142" s="5" t="inlineStr">
        <is>
          <t>XCOPRI 200 MG ORAL TABLET</t>
        </is>
      </c>
      <c r="E142" s="6" t="inlineStr">
        <is>
          <t>30.0</t>
        </is>
      </c>
      <c r="F142" s="7" t="n">
        <v>30</v>
      </c>
      <c r="G142" s="7" t="n">
        <v>1</v>
      </c>
      <c r="H142" s="7" t="n">
        <v>1</v>
      </c>
      <c r="I142" s="7" t="n">
        <v>0</v>
      </c>
      <c r="J142" s="8" t="n">
        <v>1191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ALL_PBM</t>
        </is>
      </c>
      <c r="C143" s="5" t="inlineStr">
        <is>
          <t>99073070822</t>
        </is>
      </c>
      <c r="D143" s="5" t="inlineStr">
        <is>
          <t>FREESTYLE LITE TEST  STRIP</t>
        </is>
      </c>
      <c r="E143" s="6" t="inlineStr">
        <is>
          <t>50.0</t>
        </is>
      </c>
      <c r="F143" s="7" t="n">
        <v>900</v>
      </c>
      <c r="G143" s="7" t="n">
        <v>18</v>
      </c>
      <c r="H143" s="7" t="n">
        <v>10</v>
      </c>
      <c r="I143" s="7" t="n">
        <v>-8</v>
      </c>
      <c r="J143" s="8" t="n">
        <v>1190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ALL_PBM</t>
        </is>
      </c>
      <c r="C144" s="5" t="inlineStr">
        <is>
          <t>64764080530</t>
        </is>
      </c>
      <c r="D144" s="5" t="inlineStr">
        <is>
          <t>ROZEREM 8MG TABLET</t>
        </is>
      </c>
      <c r="E144" s="6" t="inlineStr">
        <is>
          <t>30.0</t>
        </is>
      </c>
      <c r="F144" s="7" t="n">
        <v>90</v>
      </c>
      <c r="G144" s="7" t="n">
        <v>3</v>
      </c>
      <c r="H144" s="7" t="n">
        <v>2</v>
      </c>
      <c r="I144" s="7" t="n">
        <v>-1</v>
      </c>
      <c r="J144" s="8" t="n">
        <v>1148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ALL_PBM</t>
        </is>
      </c>
      <c r="C145" s="5" t="inlineStr">
        <is>
          <t>00006537303</t>
        </is>
      </c>
      <c r="D145" s="5" t="inlineStr">
        <is>
          <t>SEGLUROMET 2.5-1000MG TABLET</t>
        </is>
      </c>
      <c r="E145" s="6" t="inlineStr">
        <is>
          <t>60.0</t>
        </is>
      </c>
      <c r="F145" s="7" t="n">
        <v>180</v>
      </c>
      <c r="G145" s="7" t="n">
        <v>3</v>
      </c>
      <c r="H145" s="7" t="n">
        <v>1</v>
      </c>
      <c r="I145" s="7" t="n">
        <v>-2</v>
      </c>
      <c r="J145" s="8" t="n">
        <v>1059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ALL_PBM</t>
        </is>
      </c>
      <c r="C146" s="5" t="inlineStr">
        <is>
          <t>00002246080</t>
        </is>
      </c>
      <c r="D146" s="5" t="inlineStr">
        <is>
          <t>ZEPBOUND 12.5 MG/0.5ML AUTO-INJECTOR</t>
        </is>
      </c>
      <c r="E146" s="6" t="inlineStr">
        <is>
          <t>2.0</t>
        </is>
      </c>
      <c r="F146" s="7" t="n">
        <v>2</v>
      </c>
      <c r="G146" s="7" t="n">
        <v>1</v>
      </c>
      <c r="H146" s="7" t="n">
        <v>1</v>
      </c>
      <c r="I146" s="7" t="n">
        <v>0</v>
      </c>
      <c r="J146" s="8" t="n">
        <v>1052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ALL_PBM</t>
        </is>
      </c>
      <c r="C147" s="5" t="inlineStr">
        <is>
          <t>00002250680</t>
        </is>
      </c>
      <c r="D147" s="5" t="inlineStr">
        <is>
          <t>ZEPBOUND 2.5 MG/0.5ML AUTO-INJECTOR</t>
        </is>
      </c>
      <c r="E147" s="6" t="inlineStr">
        <is>
          <t>2.0</t>
        </is>
      </c>
      <c r="F147" s="7" t="n">
        <v>2</v>
      </c>
      <c r="G147" s="7" t="n">
        <v>1</v>
      </c>
      <c r="H147" s="7" t="n">
        <v>1</v>
      </c>
      <c r="I147" s="7" t="n">
        <v>0</v>
      </c>
      <c r="J147" s="8" t="n">
        <v>1048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ALL_PBM</t>
        </is>
      </c>
      <c r="C148" s="5" t="inlineStr">
        <is>
          <t>00002249580</t>
        </is>
      </c>
      <c r="D148" s="5" t="inlineStr">
        <is>
          <t>ZEPBOUND 5 MG/0.5ML AUTO-INJECTOR</t>
        </is>
      </c>
      <c r="E148" s="6" t="inlineStr">
        <is>
          <t>2.0</t>
        </is>
      </c>
      <c r="F148" s="7" t="n">
        <v>2</v>
      </c>
      <c r="G148" s="7" t="n">
        <v>1</v>
      </c>
      <c r="H148" s="7" t="n">
        <v>1</v>
      </c>
      <c r="I148" s="7" t="n">
        <v>0</v>
      </c>
      <c r="J148" s="8" t="n">
        <v>1048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ALL_PBM</t>
        </is>
      </c>
      <c r="C149" s="5" t="inlineStr">
        <is>
          <t>00597010061</t>
        </is>
      </c>
      <c r="D149" s="5" t="inlineStr">
        <is>
          <t>SPIRIVA RESPIMAT 2.5MCG/ACT AEROSOL</t>
        </is>
      </c>
      <c r="E149" s="6" t="inlineStr">
        <is>
          <t>4.0</t>
        </is>
      </c>
      <c r="F149" s="7" t="n">
        <v>8</v>
      </c>
      <c r="G149" s="7" t="n">
        <v>2</v>
      </c>
      <c r="H149" s="7" t="n">
        <v>2</v>
      </c>
      <c r="I149" s="7" t="n">
        <v>0</v>
      </c>
      <c r="J149" s="8" t="n">
        <v>1030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ALL_PBM</t>
        </is>
      </c>
      <c r="C150" s="5" t="inlineStr">
        <is>
          <t>62856040530</t>
        </is>
      </c>
      <c r="D150" s="5" t="inlineStr">
        <is>
          <t>DAYVIGO 5 MG ORAL TABLET</t>
        </is>
      </c>
      <c r="E150" s="6" t="inlineStr">
        <is>
          <t>30.0</t>
        </is>
      </c>
      <c r="F150" s="7" t="n">
        <v>90</v>
      </c>
      <c r="G150" s="7" t="n">
        <v>3</v>
      </c>
      <c r="H150" s="7" t="n">
        <v>3</v>
      </c>
      <c r="I150" s="7" t="n">
        <v>0</v>
      </c>
      <c r="J150" s="8" t="n">
        <v>1023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ALL_PBM</t>
        </is>
      </c>
      <c r="C151" s="5" t="inlineStr">
        <is>
          <t>78206012601</t>
        </is>
      </c>
      <c r="D151" s="5" t="inlineStr">
        <is>
          <t>DULERA 200-5 MCG/ACT INH AEROSOL 13GM</t>
        </is>
      </c>
      <c r="E151" s="6" t="inlineStr">
        <is>
          <t>13.0</t>
        </is>
      </c>
      <c r="F151" s="7" t="n">
        <v>39</v>
      </c>
      <c r="G151" s="7" t="n">
        <v>3</v>
      </c>
      <c r="H151" s="7" t="n">
        <v>2</v>
      </c>
      <c r="I151" s="7" t="n">
        <v>-1</v>
      </c>
      <c r="J151" s="8" t="n">
        <v>995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ALL_PBM</t>
        </is>
      </c>
      <c r="C152" s="5" t="inlineStr">
        <is>
          <t>00597038068</t>
        </is>
      </c>
      <c r="D152" s="5" t="inlineStr">
        <is>
          <t>TRIJARDY XR 10-5-1000 MG ORAL TABLET EXTENDED RELEASE 24 HOUR</t>
        </is>
      </c>
      <c r="E152" s="6" t="inlineStr">
        <is>
          <t>90.0</t>
        </is>
      </c>
      <c r="F152" s="7" t="n">
        <v>90</v>
      </c>
      <c r="G152" s="7" t="n">
        <v>1</v>
      </c>
      <c r="H152" s="7" t="n">
        <v>1</v>
      </c>
      <c r="I152" s="7" t="n">
        <v>0</v>
      </c>
      <c r="J152" s="8" t="n">
        <v>982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ALL_PBM</t>
        </is>
      </c>
      <c r="C153" s="5" t="inlineStr">
        <is>
          <t>00597007541</t>
        </is>
      </c>
      <c r="D153" s="5" t="inlineStr">
        <is>
          <t>SPIRIVA HANDIHALER 18MCG CAPSULE</t>
        </is>
      </c>
      <c r="E153" s="6" t="inlineStr">
        <is>
          <t>30.0</t>
        </is>
      </c>
      <c r="F153" s="7" t="n">
        <v>90</v>
      </c>
      <c r="G153" s="7" t="n">
        <v>3</v>
      </c>
      <c r="H153" s="7" t="n">
        <v>0</v>
      </c>
      <c r="I153" s="7" t="n">
        <v>-3</v>
      </c>
      <c r="J153" s="8" t="n">
        <v>966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ALL_PBM</t>
        </is>
      </c>
      <c r="C154" s="5" t="inlineStr">
        <is>
          <t>81968035101</t>
        </is>
      </c>
      <c r="D154" s="5" t="inlineStr">
        <is>
          <t>SUNOSI 150 MG ORAL TABLET</t>
        </is>
      </c>
      <c r="E154" s="6" t="inlineStr">
        <is>
          <t>30.0</t>
        </is>
      </c>
      <c r="F154" s="7" t="n">
        <v>30</v>
      </c>
      <c r="G154" s="7" t="n">
        <v>1</v>
      </c>
      <c r="H154" s="7" t="n">
        <v>1</v>
      </c>
      <c r="I154" s="7" t="n">
        <v>0</v>
      </c>
      <c r="J154" s="8" t="n">
        <v>950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ALL_PBM</t>
        </is>
      </c>
      <c r="C155" s="5" t="inlineStr">
        <is>
          <t>00173086910</t>
        </is>
      </c>
      <c r="D155" s="5" t="inlineStr">
        <is>
          <t>ANORO ELLIPTA 62.5-25MCG/INH AEROSOL 60EA</t>
        </is>
      </c>
      <c r="E155" s="6" t="inlineStr">
        <is>
          <t>60.0</t>
        </is>
      </c>
      <c r="F155" s="7" t="n">
        <v>120</v>
      </c>
      <c r="G155" s="7" t="n">
        <v>2</v>
      </c>
      <c r="H155" s="7" t="n">
        <v>3</v>
      </c>
      <c r="I155" s="7" t="n">
        <v>1</v>
      </c>
      <c r="J155" s="8" t="n">
        <v>930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ALL_PBM</t>
        </is>
      </c>
      <c r="C156" s="5" t="inlineStr">
        <is>
          <t>64764017530</t>
        </is>
      </c>
      <c r="D156" s="5" t="inlineStr">
        <is>
          <t xml:space="preserve">DEXILANT 60MG CAP </t>
        </is>
      </c>
      <c r="E156" s="6" t="inlineStr">
        <is>
          <t>30.0</t>
        </is>
      </c>
      <c r="F156" s="7" t="n">
        <v>90</v>
      </c>
      <c r="G156" s="7" t="n">
        <v>3</v>
      </c>
      <c r="H156" s="7" t="n">
        <v>1</v>
      </c>
      <c r="I156" s="7" t="n">
        <v>-2</v>
      </c>
      <c r="J156" s="8" t="n">
        <v>877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ALL_PBM</t>
        </is>
      </c>
      <c r="C157" s="5" t="inlineStr">
        <is>
          <t>00065414727</t>
        </is>
      </c>
      <c r="D157" s="5" t="inlineStr">
        <is>
          <t>SIMBRINZA 1-0.2 % OPHTHALMIC SUSPENSION</t>
        </is>
      </c>
      <c r="E157" s="6" t="inlineStr">
        <is>
          <t>8.0</t>
        </is>
      </c>
      <c r="F157" s="7" t="n">
        <v>32</v>
      </c>
      <c r="G157" s="7" t="n">
        <v>4</v>
      </c>
      <c r="H157" s="7" t="n">
        <v>1</v>
      </c>
      <c r="I157" s="7" t="n">
        <v>-3</v>
      </c>
      <c r="J157" s="8" t="n">
        <v>869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ALL_PBM</t>
        </is>
      </c>
      <c r="C158" s="5" t="inlineStr">
        <is>
          <t>65702071110</t>
        </is>
      </c>
      <c r="D158" s="5" t="inlineStr">
        <is>
          <t>ACCU-CHEK GUIDE IN VITRO STRIP</t>
        </is>
      </c>
      <c r="E158" s="6" t="inlineStr">
        <is>
          <t>50.0</t>
        </is>
      </c>
      <c r="F158" s="7" t="n">
        <v>2100</v>
      </c>
      <c r="G158" s="7" t="n">
        <v>42</v>
      </c>
      <c r="H158" s="7" t="n">
        <v>22</v>
      </c>
      <c r="I158" s="7" t="n">
        <v>-20</v>
      </c>
      <c r="J158" s="8" t="n">
        <v>785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ALL_PBM</t>
        </is>
      </c>
      <c r="C159" s="5" t="inlineStr">
        <is>
          <t>00310756090</t>
        </is>
      </c>
      <c r="D159" s="5" t="inlineStr">
        <is>
          <t>CRESTOR 5MG TABLET</t>
        </is>
      </c>
      <c r="E159" s="6" t="inlineStr">
        <is>
          <t>90.0</t>
        </is>
      </c>
      <c r="F159" s="7" t="n">
        <v>90</v>
      </c>
      <c r="G159" s="7" t="n">
        <v>1</v>
      </c>
      <c r="H159" s="7" t="n">
        <v>1</v>
      </c>
      <c r="I159" s="7" t="n">
        <v>0</v>
      </c>
      <c r="J159" s="8" t="n">
        <v>776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ALL_PBM</t>
        </is>
      </c>
      <c r="C160" s="5" t="inlineStr">
        <is>
          <t>00173088210</t>
        </is>
      </c>
      <c r="D160" s="5" t="inlineStr">
        <is>
          <t>BREO ELLIPTA 200-25MCG/INH AEROSOL 60EA</t>
        </is>
      </c>
      <c r="E160" s="6" t="inlineStr">
        <is>
          <t>60.0</t>
        </is>
      </c>
      <c r="F160" s="7" t="n">
        <v>120</v>
      </c>
      <c r="G160" s="7" t="n">
        <v>2</v>
      </c>
      <c r="H160" s="7" t="n">
        <v>10</v>
      </c>
      <c r="I160" s="7" t="n">
        <v>8</v>
      </c>
      <c r="J160" s="8" t="n">
        <v>771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ALL_PBM</t>
        </is>
      </c>
      <c r="C161" s="5" t="inlineStr">
        <is>
          <t>59676031001</t>
        </is>
      </c>
      <c r="D161" s="5" t="inlineStr">
        <is>
          <t>PROCRIT 10000 UNIT/ML INJECTION SOLUTION</t>
        </is>
      </c>
      <c r="E161" s="6" t="inlineStr">
        <is>
          <t>6.0</t>
        </is>
      </c>
      <c r="F161" s="7" t="n">
        <v>3</v>
      </c>
      <c r="G161" s="7" t="n">
        <v>0.5</v>
      </c>
      <c r="H161" s="7" t="n">
        <v>0</v>
      </c>
      <c r="I161" s="7" t="n">
        <v>-0.5</v>
      </c>
      <c r="J161" s="8" t="n">
        <v>750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ALL_PBM</t>
        </is>
      </c>
      <c r="C162" s="5" t="inlineStr">
        <is>
          <t>81520010030</t>
        </is>
      </c>
      <c r="D162" s="5" t="inlineStr">
        <is>
          <t>VOQUEZNA 10 MG ORAL TABLET</t>
        </is>
      </c>
      <c r="E162" s="6" t="inlineStr">
        <is>
          <t>30.0</t>
        </is>
      </c>
      <c r="F162" s="7" t="n">
        <v>30</v>
      </c>
      <c r="G162" s="7" t="n">
        <v>1</v>
      </c>
      <c r="H162" s="7" t="n">
        <v>1</v>
      </c>
      <c r="I162" s="7" t="n">
        <v>0</v>
      </c>
      <c r="J162" s="8" t="n">
        <v>669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ALL_PBM</t>
        </is>
      </c>
      <c r="C163" s="5" t="inlineStr">
        <is>
          <t>00006412102</t>
        </is>
      </c>
      <c r="D163" s="5" t="inlineStr">
        <is>
          <t>GARDASIL 9 INTRAMUSCULAR SUSPENSION PREFILLED SYRINGE</t>
        </is>
      </c>
      <c r="E163" s="6" t="inlineStr">
        <is>
          <t>5.0</t>
        </is>
      </c>
      <c r="F163" s="7" t="n">
        <v>1</v>
      </c>
      <c r="G163" s="7" t="n">
        <v>0.2</v>
      </c>
      <c r="H163" s="7" t="n">
        <v>0</v>
      </c>
      <c r="I163" s="7" t="n">
        <v>-0.2</v>
      </c>
      <c r="J163" s="8" t="n">
        <v>666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ALL_PBM</t>
        </is>
      </c>
      <c r="C164" s="5" t="inlineStr">
        <is>
          <t>57599084400</t>
        </is>
      </c>
      <c r="D164" s="5" t="inlineStr">
        <is>
          <t>FREESTYLE LIBRE 3 PLUS SENSOR</t>
        </is>
      </c>
      <c r="E164" s="6" t="inlineStr">
        <is>
          <t>1.0</t>
        </is>
      </c>
      <c r="F164" s="7" t="n">
        <v>8</v>
      </c>
      <c r="G164" s="7" t="n">
        <v>8</v>
      </c>
      <c r="H164" s="7" t="n">
        <v>0</v>
      </c>
      <c r="I164" s="7" t="n">
        <v>-8</v>
      </c>
      <c r="J164" s="8" t="n">
        <v>628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ALL_PBM</t>
        </is>
      </c>
      <c r="C165" s="5" t="inlineStr">
        <is>
          <t>00023917715</t>
        </is>
      </c>
      <c r="D165" s="5" t="inlineStr">
        <is>
          <t>ALPHAGAN P 0.15 % OPHTHALMIC SOLUTION</t>
        </is>
      </c>
      <c r="E165" s="6" t="inlineStr">
        <is>
          <t>15.0</t>
        </is>
      </c>
      <c r="F165" s="7" t="n">
        <v>15</v>
      </c>
      <c r="G165" s="7" t="n">
        <v>1</v>
      </c>
      <c r="H165" s="7" t="n">
        <v>0</v>
      </c>
      <c r="I165" s="7" t="n">
        <v>-1</v>
      </c>
      <c r="J165" s="8" t="n">
        <v>608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ALL_PBM</t>
        </is>
      </c>
      <c r="C166" s="5" t="inlineStr">
        <is>
          <t>58160084811</t>
        </is>
      </c>
      <c r="D166" s="5" t="inlineStr">
        <is>
          <t>AREXVY 120 MCG/0.5ML INTRAMUSCULAR SUSPENSION RECONSTITUTED</t>
        </is>
      </c>
      <c r="E166" s="6" t="inlineStr">
        <is>
          <t>10.0</t>
        </is>
      </c>
      <c r="F166" s="7" t="n">
        <v>2</v>
      </c>
      <c r="G166" s="7" t="n">
        <v>0.2</v>
      </c>
      <c r="H166" s="7" t="n">
        <v>1</v>
      </c>
      <c r="I166" s="7" t="n">
        <v>0.8</v>
      </c>
      <c r="J166" s="8" t="n">
        <v>595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ALL_PBM</t>
        </is>
      </c>
      <c r="C167" s="5" t="inlineStr">
        <is>
          <t>49502010102</t>
        </is>
      </c>
      <c r="D167" s="5" t="inlineStr">
        <is>
          <t>EPINEPHRINE (JR) 0.15MG/0.3ML INJECTION 2ML</t>
        </is>
      </c>
      <c r="E167" s="6" t="inlineStr">
        <is>
          <t>2.0</t>
        </is>
      </c>
      <c r="F167" s="7" t="n">
        <v>4</v>
      </c>
      <c r="G167" s="7" t="n">
        <v>2</v>
      </c>
      <c r="H167" s="7" t="n">
        <v>0</v>
      </c>
      <c r="I167" s="7" t="n">
        <v>-2</v>
      </c>
      <c r="J167" s="8" t="n">
        <v>590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ALL_PBM</t>
        </is>
      </c>
      <c r="C168" s="5" t="inlineStr">
        <is>
          <t>00173087410</t>
        </is>
      </c>
      <c r="D168" s="5" t="inlineStr">
        <is>
          <t>ARNUITY ELLIPTA 100 MCG/ACT INH AEROSOL</t>
        </is>
      </c>
      <c r="E168" s="6" t="inlineStr">
        <is>
          <t>30.0</t>
        </is>
      </c>
      <c r="F168" s="7" t="n">
        <v>90</v>
      </c>
      <c r="G168" s="7" t="n">
        <v>3</v>
      </c>
      <c r="H168" s="7" t="n">
        <v>2</v>
      </c>
      <c r="I168" s="7" t="n">
        <v>-1</v>
      </c>
      <c r="J168" s="8" t="n">
        <v>585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ALL_PBM</t>
        </is>
      </c>
      <c r="C169" s="5" t="inlineStr">
        <is>
          <t>00002882427</t>
        </is>
      </c>
      <c r="D169" s="5" t="inlineStr">
        <is>
          <t>HUMULIN R U-500 KWIKPEN 500UNIT/ML INJECTION</t>
        </is>
      </c>
      <c r="E169" s="6" t="inlineStr">
        <is>
          <t>6.0</t>
        </is>
      </c>
      <c r="F169" s="7" t="n">
        <v>6</v>
      </c>
      <c r="G169" s="7" t="n">
        <v>1</v>
      </c>
      <c r="H169" s="7" t="n">
        <v>1</v>
      </c>
      <c r="I169" s="7" t="n">
        <v>0</v>
      </c>
      <c r="J169" s="8" t="n">
        <v>546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ALL_PBM</t>
        </is>
      </c>
      <c r="C170" s="5" t="inlineStr">
        <is>
          <t>00469266030</t>
        </is>
      </c>
      <c r="D170" s="5" t="inlineStr">
        <is>
          <t>VEOZAH 45 MG ORAL TABLET</t>
        </is>
      </c>
      <c r="E170" s="6" t="inlineStr">
        <is>
          <t>30.0</t>
        </is>
      </c>
      <c r="F170" s="7" t="n">
        <v>30</v>
      </c>
      <c r="G170" s="7" t="n">
        <v>1</v>
      </c>
      <c r="H170" s="7" t="n">
        <v>0</v>
      </c>
      <c r="I170" s="7" t="n">
        <v>-1</v>
      </c>
      <c r="J170" s="8" t="n">
        <v>537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ALL_PBM</t>
        </is>
      </c>
      <c r="C171" s="5" t="inlineStr">
        <is>
          <t>00173069600</t>
        </is>
      </c>
      <c r="D171" s="5" t="inlineStr">
        <is>
          <t>ADVAIR DISKUS 250-50MCG/DOSE AEROSOL 60EA</t>
        </is>
      </c>
      <c r="E171" s="6" t="inlineStr">
        <is>
          <t>60.0</t>
        </is>
      </c>
      <c r="F171" s="7" t="n">
        <v>180</v>
      </c>
      <c r="G171" s="7" t="n">
        <v>3</v>
      </c>
      <c r="H171" s="7" t="n">
        <v>3</v>
      </c>
      <c r="I171" s="7" t="n">
        <v>0</v>
      </c>
      <c r="J171" s="8" t="n">
        <v>535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ALL_PBM</t>
        </is>
      </c>
      <c r="C172" s="5" t="inlineStr">
        <is>
          <t>00574062105</t>
        </is>
      </c>
      <c r="D172" s="5" t="inlineStr">
        <is>
          <t>PODOFILOX 0.5 % EXTERNAL GEL</t>
        </is>
      </c>
      <c r="E172" s="6" t="inlineStr">
        <is>
          <t>3.5</t>
        </is>
      </c>
      <c r="F172" s="7" t="n">
        <v>3.5</v>
      </c>
      <c r="G172" s="7" t="n">
        <v>1</v>
      </c>
      <c r="H172" s="7" t="n">
        <v>0</v>
      </c>
      <c r="I172" s="7" t="n">
        <v>-1</v>
      </c>
      <c r="J172" s="8" t="n">
        <v>480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ALL_PBM</t>
        </is>
      </c>
      <c r="C173" s="5" t="inlineStr">
        <is>
          <t>00169750111</t>
        </is>
      </c>
      <c r="D173" s="5" t="inlineStr">
        <is>
          <t>NOVOLOG 100UNIT/ML SOLUTION</t>
        </is>
      </c>
      <c r="E173" s="6" t="inlineStr">
        <is>
          <t>10.0</t>
        </is>
      </c>
      <c r="F173" s="7" t="n">
        <v>60</v>
      </c>
      <c r="G173" s="7" t="n">
        <v>6</v>
      </c>
      <c r="H173" s="7" t="n">
        <v>6</v>
      </c>
      <c r="I173" s="7" t="n">
        <v>0</v>
      </c>
      <c r="J173" s="8" t="n">
        <v>412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ALL_PBM</t>
        </is>
      </c>
      <c r="C174" s="5" t="inlineStr">
        <is>
          <t>00024586903</t>
        </is>
      </c>
      <c r="D174" s="5" t="inlineStr">
        <is>
          <t>TOUJEO SOLOSTAR 300UNIT/ML INJECTION</t>
        </is>
      </c>
      <c r="E174" s="6" t="inlineStr">
        <is>
          <t>4.5</t>
        </is>
      </c>
      <c r="F174" s="7" t="n">
        <v>4.5</v>
      </c>
      <c r="G174" s="7" t="n">
        <v>1</v>
      </c>
      <c r="H174" s="7" t="n">
        <v>0</v>
      </c>
      <c r="I174" s="7" t="n">
        <v>-1</v>
      </c>
      <c r="J174" s="8" t="n">
        <v>401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ALL_PBM</t>
        </is>
      </c>
      <c r="C175" s="5" t="inlineStr">
        <is>
          <t>00378932232</t>
        </is>
      </c>
      <c r="D175" s="5" t="inlineStr">
        <is>
          <t>WIXELA INHUB 500-50 MCG/ACT INH AEROSOL</t>
        </is>
      </c>
      <c r="E175" s="6" t="inlineStr">
        <is>
          <t>60.0</t>
        </is>
      </c>
      <c r="F175" s="7" t="n">
        <v>240</v>
      </c>
      <c r="G175" s="7" t="n">
        <v>4</v>
      </c>
      <c r="H175" s="7" t="n">
        <v>0</v>
      </c>
      <c r="I175" s="7" t="n">
        <v>-4</v>
      </c>
      <c r="J175" s="8" t="n">
        <v>397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ALL_PBM</t>
        </is>
      </c>
      <c r="C176" s="5" t="inlineStr">
        <is>
          <t>17772013230</t>
        </is>
      </c>
      <c r="D176" s="5" t="inlineStr">
        <is>
          <t>QELBREE 150MG CAPSULE ER</t>
        </is>
      </c>
      <c r="E176" s="6" t="inlineStr">
        <is>
          <t>30.0</t>
        </is>
      </c>
      <c r="F176" s="7" t="n">
        <v>30</v>
      </c>
      <c r="G176" s="7" t="n">
        <v>1</v>
      </c>
      <c r="H176" s="7" t="n">
        <v>3</v>
      </c>
      <c r="I176" s="7" t="n">
        <v>2</v>
      </c>
      <c r="J176" s="8" t="n">
        <v>371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ALL_PBM</t>
        </is>
      </c>
      <c r="C177" s="5" t="inlineStr">
        <is>
          <t>00032004670</t>
        </is>
      </c>
      <c r="D177" s="5" t="inlineStr">
        <is>
          <t>CREON 6000-19000 UNIT ORAL CAPSULE DELAYED RELEASE PARTICLES</t>
        </is>
      </c>
      <c r="E177" s="6" t="inlineStr">
        <is>
          <t>100.0</t>
        </is>
      </c>
      <c r="F177" s="7" t="n">
        <v>180</v>
      </c>
      <c r="G177" s="7" t="n">
        <v>1.8</v>
      </c>
      <c r="H177" s="7" t="n">
        <v>0</v>
      </c>
      <c r="I177" s="7" t="n">
        <v>-1.8</v>
      </c>
      <c r="J177" s="8" t="n">
        <v>361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ALL_PBM</t>
        </is>
      </c>
      <c r="C178" s="5" t="inlineStr">
        <is>
          <t>00074740113</t>
        </is>
      </c>
      <c r="D178" s="5" t="inlineStr">
        <is>
          <t>DEPAKOTE ER 250 MG TABLET</t>
        </is>
      </c>
      <c r="E178" s="6" t="inlineStr">
        <is>
          <t>100.0</t>
        </is>
      </c>
      <c r="F178" s="7" t="n">
        <v>90</v>
      </c>
      <c r="G178" s="7" t="n">
        <v>0.9</v>
      </c>
      <c r="H178" s="7" t="n">
        <v>2</v>
      </c>
      <c r="I178" s="7" t="n">
        <v>1.1</v>
      </c>
      <c r="J178" s="8" t="n">
        <v>357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ALL_PBM</t>
        </is>
      </c>
      <c r="C179" s="5" t="inlineStr">
        <is>
          <t>17772013130</t>
        </is>
      </c>
      <c r="D179" s="5" t="inlineStr">
        <is>
          <t>QELBREE 100MG CAPSULE ER</t>
        </is>
      </c>
      <c r="E179" s="6" t="inlineStr">
        <is>
          <t>30.0</t>
        </is>
      </c>
      <c r="F179" s="7" t="n">
        <v>30</v>
      </c>
      <c r="G179" s="7" t="n">
        <v>1</v>
      </c>
      <c r="H179" s="7" t="n">
        <v>1</v>
      </c>
      <c r="I179" s="7" t="n">
        <v>0</v>
      </c>
      <c r="J179" s="8" t="n">
        <v>353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ALL_PBM</t>
        </is>
      </c>
      <c r="C180" s="5" t="inlineStr">
        <is>
          <t>72495040128</t>
        </is>
      </c>
      <c r="D180" s="5" t="inlineStr">
        <is>
          <t>INTRAROSA 6.5 MG VAGINAL INSERT</t>
        </is>
      </c>
      <c r="E180" s="6" t="inlineStr">
        <is>
          <t>28.0</t>
        </is>
      </c>
      <c r="F180" s="7" t="n">
        <v>28</v>
      </c>
      <c r="G180" s="7" t="n">
        <v>1</v>
      </c>
      <c r="H180" s="7" t="n">
        <v>0</v>
      </c>
      <c r="I180" s="7" t="n">
        <v>-1</v>
      </c>
      <c r="J180" s="8" t="n">
        <v>348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ALL_PBM</t>
        </is>
      </c>
      <c r="C181" s="5" t="inlineStr">
        <is>
          <t>00597029588</t>
        </is>
      </c>
      <c r="D181" s="5" t="inlineStr">
        <is>
          <t>SYNJARDY XR 25-1000MG TABLET</t>
        </is>
      </c>
      <c r="E181" s="6" t="inlineStr">
        <is>
          <t>30.0</t>
        </is>
      </c>
      <c r="F181" s="7" t="n">
        <v>30</v>
      </c>
      <c r="G181" s="7" t="n">
        <v>1</v>
      </c>
      <c r="H181" s="7" t="n">
        <v>0</v>
      </c>
      <c r="I181" s="7" t="n">
        <v>-1</v>
      </c>
      <c r="J181" s="8" t="n">
        <v>333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ALL_PBM</t>
        </is>
      </c>
      <c r="C182" s="5" t="inlineStr">
        <is>
          <t>65162035803</t>
        </is>
      </c>
      <c r="D182" s="5" t="inlineStr">
        <is>
          <t>ZAFEMY 150-35 MCG/24HR TRANSDERMAL PATCH WEEKLY</t>
        </is>
      </c>
      <c r="E182" s="6" t="inlineStr">
        <is>
          <t>3.0</t>
        </is>
      </c>
      <c r="F182" s="7" t="n">
        <v>9</v>
      </c>
      <c r="G182" s="7" t="n">
        <v>3</v>
      </c>
      <c r="H182" s="7" t="n">
        <v>1</v>
      </c>
      <c r="I182" s="7" t="n">
        <v>-2</v>
      </c>
      <c r="J182" s="8" t="n">
        <v>315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ALL_PBM</t>
        </is>
      </c>
      <c r="C183" s="5" t="inlineStr">
        <is>
          <t>00006008061</t>
        </is>
      </c>
      <c r="D183" s="5" t="inlineStr">
        <is>
          <t>JANUMET XR 50-1000MG TABLET</t>
        </is>
      </c>
      <c r="E183" s="6" t="inlineStr">
        <is>
          <t>60.0</t>
        </is>
      </c>
      <c r="F183" s="7" t="n">
        <v>60</v>
      </c>
      <c r="G183" s="7" t="n">
        <v>1</v>
      </c>
      <c r="H183" s="7" t="n">
        <v>0</v>
      </c>
      <c r="I183" s="7" t="n">
        <v>-1</v>
      </c>
      <c r="J183" s="8" t="n">
        <v>314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ALL_PBM</t>
        </is>
      </c>
      <c r="C184" s="5" t="inlineStr">
        <is>
          <t>08627007801</t>
        </is>
      </c>
      <c r="D184" s="5" t="inlineStr">
        <is>
          <t>DEXCOM G7 RECEIVER DEVICE</t>
        </is>
      </c>
      <c r="E184" s="6" t="inlineStr">
        <is>
          <t>1.0</t>
        </is>
      </c>
      <c r="F184" s="7" t="n">
        <v>1</v>
      </c>
      <c r="G184" s="7" t="n">
        <v>1</v>
      </c>
      <c r="H184" s="7" t="n">
        <v>1</v>
      </c>
      <c r="I184" s="7" t="n">
        <v>0</v>
      </c>
      <c r="J184" s="8" t="n">
        <v>302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ALL_PBM</t>
        </is>
      </c>
      <c r="C185" s="5" t="inlineStr">
        <is>
          <t>52937000340</t>
        </is>
      </c>
      <c r="D185" s="5" t="inlineStr">
        <is>
          <t>VASCEPA 0.5 GM ORAL CAPSULE</t>
        </is>
      </c>
      <c r="E185" s="6" t="inlineStr">
        <is>
          <t>240.0</t>
        </is>
      </c>
      <c r="F185" s="7" t="n">
        <v>180</v>
      </c>
      <c r="G185" s="7" t="n">
        <v>0.75</v>
      </c>
      <c r="H185" s="7" t="n">
        <v>0</v>
      </c>
      <c r="I185" s="7" t="n">
        <v>-0.75</v>
      </c>
      <c r="J185" s="8" t="n">
        <v>298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ALL_PBM</t>
        </is>
      </c>
      <c r="C186" s="5" t="inlineStr">
        <is>
          <t>54092018981</t>
        </is>
      </c>
      <c r="D186" s="5" t="inlineStr">
        <is>
          <t>PENTASA 250 MG ORAL CAPSULE EXTENDED RELEASE</t>
        </is>
      </c>
      <c r="E186" s="6" t="inlineStr">
        <is>
          <t>240.0</t>
        </is>
      </c>
      <c r="F186" s="7" t="n">
        <v>90</v>
      </c>
      <c r="G186" s="7" t="n">
        <v>0.375</v>
      </c>
      <c r="H186" s="7" t="n">
        <v>0</v>
      </c>
      <c r="I186" s="7" t="n">
        <v>-0.375</v>
      </c>
      <c r="J186" s="8" t="n">
        <v>292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ALL_PBM</t>
        </is>
      </c>
      <c r="C187" s="5" t="inlineStr">
        <is>
          <t>00074455290</t>
        </is>
      </c>
      <c r="D187" s="5" t="inlineStr">
        <is>
          <t>SYNTHROID 50MCG TABLET</t>
        </is>
      </c>
      <c r="E187" s="6" t="inlineStr">
        <is>
          <t>90.0</t>
        </is>
      </c>
      <c r="F187" s="7" t="n">
        <v>180</v>
      </c>
      <c r="G187" s="7" t="n">
        <v>2</v>
      </c>
      <c r="H187" s="7" t="n">
        <v>2</v>
      </c>
      <c r="I187" s="7" t="n">
        <v>0</v>
      </c>
      <c r="J187" s="8" t="n">
        <v>291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ALL_PBM</t>
        </is>
      </c>
      <c r="C188" s="5" t="inlineStr">
        <is>
          <t>00005200002</t>
        </is>
      </c>
      <c r="D188" s="5" t="inlineStr">
        <is>
          <t>PREVNAR 20 0.5 ML INTRAMUSCULAR SUSPENSION PREFILLED SYRINGE</t>
        </is>
      </c>
      <c r="E188" s="6" t="inlineStr">
        <is>
          <t>0.5</t>
        </is>
      </c>
      <c r="F188" s="7" t="n">
        <v>0.5</v>
      </c>
      <c r="G188" s="7" t="n">
        <v>1</v>
      </c>
      <c r="H188" s="7" t="n">
        <v>0</v>
      </c>
      <c r="I188" s="7" t="n">
        <v>-1</v>
      </c>
      <c r="J188" s="8" t="n">
        <v>284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ALL_PBM</t>
        </is>
      </c>
      <c r="C189" s="5" t="inlineStr">
        <is>
          <t>00023320503</t>
        </is>
      </c>
      <c r="D189" s="5" t="inlineStr">
        <is>
          <t>LUMIGAN 0.01% SOLUTION</t>
        </is>
      </c>
      <c r="E189" s="6" t="inlineStr">
        <is>
          <t>2.5</t>
        </is>
      </c>
      <c r="F189" s="7" t="n">
        <v>2.5</v>
      </c>
      <c r="G189" s="7" t="n">
        <v>1</v>
      </c>
      <c r="H189" s="7" t="n">
        <v>0</v>
      </c>
      <c r="I189" s="7" t="n">
        <v>-1</v>
      </c>
      <c r="J189" s="8" t="n">
        <v>247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ALL_PBM</t>
        </is>
      </c>
      <c r="C190" s="5" t="inlineStr">
        <is>
          <t>00173068220</t>
        </is>
      </c>
      <c r="D190" s="5" t="inlineStr">
        <is>
          <t xml:space="preserve">VENTOLIN HFA 108 (90 BASE) </t>
        </is>
      </c>
      <c r="E190" s="6" t="inlineStr">
        <is>
          <t>18.0</t>
        </is>
      </c>
      <c r="F190" s="7" t="n">
        <v>72</v>
      </c>
      <c r="G190" s="7" t="n">
        <v>4</v>
      </c>
      <c r="H190" s="7" t="n">
        <v>0</v>
      </c>
      <c r="I190" s="7" t="n">
        <v>-4</v>
      </c>
      <c r="J190" s="8" t="n">
        <v>224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ALL_PBM</t>
        </is>
      </c>
      <c r="C191" s="5" t="inlineStr">
        <is>
          <t>00173088810</t>
        </is>
      </c>
      <c r="D191" s="5" t="inlineStr">
        <is>
          <t>ARNUITY ELLIPTA 50 MCG/ACT INHAEROSOL</t>
        </is>
      </c>
      <c r="E191" s="6" t="inlineStr">
        <is>
          <t>30.0</t>
        </is>
      </c>
      <c r="F191" s="7" t="n">
        <v>30</v>
      </c>
      <c r="G191" s="7" t="n">
        <v>1</v>
      </c>
      <c r="H191" s="7" t="n">
        <v>0</v>
      </c>
      <c r="I191" s="7" t="n">
        <v>-1</v>
      </c>
      <c r="J191" s="8" t="n">
        <v>210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ALL_PBM</t>
        </is>
      </c>
      <c r="C192" s="5" t="inlineStr">
        <is>
          <t>42023011101</t>
        </is>
      </c>
      <c r="D192" s="5" t="inlineStr">
        <is>
          <t>DELESTROGEN 20 MG/ML INTRAMUSCULAR OIL</t>
        </is>
      </c>
      <c r="E192" s="6" t="inlineStr">
        <is>
          <t>5.0</t>
        </is>
      </c>
      <c r="F192" s="7" t="n">
        <v>5</v>
      </c>
      <c r="G192" s="7" t="n">
        <v>1</v>
      </c>
      <c r="H192" s="7" t="n">
        <v>0</v>
      </c>
      <c r="I192" s="7" t="n">
        <v>-1</v>
      </c>
      <c r="J192" s="8" t="n">
        <v>190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ALL_PBM</t>
        </is>
      </c>
      <c r="C193" s="5" t="inlineStr">
        <is>
          <t>00169183411</t>
        </is>
      </c>
      <c r="D193" s="5" t="inlineStr">
        <is>
          <t>NOVOLIN N 100UNIT/ML SUSPENSION</t>
        </is>
      </c>
      <c r="E193" s="6" t="inlineStr">
        <is>
          <t>10.0</t>
        </is>
      </c>
      <c r="F193" s="7" t="n">
        <v>40</v>
      </c>
      <c r="G193" s="7" t="n">
        <v>4</v>
      </c>
      <c r="H193" s="7" t="n">
        <v>5</v>
      </c>
      <c r="I193" s="7" t="n">
        <v>1</v>
      </c>
      <c r="J193" s="8" t="n">
        <v>183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ALL_PBM</t>
        </is>
      </c>
      <c r="C194" s="5" t="inlineStr">
        <is>
          <t>52268020101</t>
        </is>
      </c>
      <c r="D194" s="5" t="inlineStr">
        <is>
          <t>SUTAB 1479-225-188 MG ORAL TABLET</t>
        </is>
      </c>
      <c r="E194" s="6" t="inlineStr">
        <is>
          <t>24.0</t>
        </is>
      </c>
      <c r="F194" s="7" t="n">
        <v>24</v>
      </c>
      <c r="G194" s="7" t="n">
        <v>1</v>
      </c>
      <c r="H194" s="7" t="n">
        <v>1</v>
      </c>
      <c r="I194" s="7" t="n">
        <v>0</v>
      </c>
      <c r="J194" s="8" t="n">
        <v>160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ALL_PBM</t>
        </is>
      </c>
      <c r="C195" s="5" t="inlineStr">
        <is>
          <t>65162099708</t>
        </is>
      </c>
      <c r="D195" s="5" t="inlineStr">
        <is>
          <t>DOTTI 0.1 MG/24HR TRANSDERMAL PATCH TWICE WEEKLY</t>
        </is>
      </c>
      <c r="E195" s="6" t="inlineStr">
        <is>
          <t>8.0</t>
        </is>
      </c>
      <c r="F195" s="7" t="n">
        <v>24</v>
      </c>
      <c r="G195" s="7" t="n">
        <v>3</v>
      </c>
      <c r="H195" s="7" t="n">
        <v>2</v>
      </c>
      <c r="I195" s="7" t="n">
        <v>-1</v>
      </c>
      <c r="J195" s="8" t="n">
        <v>156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ALL_PBM</t>
        </is>
      </c>
      <c r="C196" s="5" t="inlineStr">
        <is>
          <t>00074518290</t>
        </is>
      </c>
      <c r="D196" s="5" t="inlineStr">
        <is>
          <t xml:space="preserve">SYNTHROID 75MCG TABLET </t>
        </is>
      </c>
      <c r="E196" s="6" t="inlineStr">
        <is>
          <t>90.0</t>
        </is>
      </c>
      <c r="F196" s="7" t="n">
        <v>90</v>
      </c>
      <c r="G196" s="7" t="n">
        <v>1</v>
      </c>
      <c r="H196" s="7" t="n">
        <v>1</v>
      </c>
      <c r="I196" s="7" t="n">
        <v>0</v>
      </c>
      <c r="J196" s="8" t="n">
        <v>148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ALL_PBM</t>
        </is>
      </c>
      <c r="C197" s="5" t="inlineStr">
        <is>
          <t>00074434190</t>
        </is>
      </c>
      <c r="D197" s="5" t="inlineStr">
        <is>
          <t>SYNTHROID 25 MCG ORAL TABLET</t>
        </is>
      </c>
      <c r="E197" s="6" t="inlineStr">
        <is>
          <t>90.0</t>
        </is>
      </c>
      <c r="F197" s="7" t="n">
        <v>90</v>
      </c>
      <c r="G197" s="7" t="n">
        <v>1</v>
      </c>
      <c r="H197" s="7" t="n">
        <v>1</v>
      </c>
      <c r="I197" s="7" t="n">
        <v>0</v>
      </c>
      <c r="J197" s="8" t="n">
        <v>146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ALL_PBM</t>
        </is>
      </c>
      <c r="C198" s="5" t="inlineStr">
        <is>
          <t>68382045219</t>
        </is>
      </c>
      <c r="D198" s="5" t="inlineStr">
        <is>
          <t>MESALAMINE ER 0.375GCAPSULE</t>
        </is>
      </c>
      <c r="E198" s="6" t="inlineStr">
        <is>
          <t>120.0</t>
        </is>
      </c>
      <c r="F198" s="7" t="n">
        <v>360</v>
      </c>
      <c r="G198" s="7" t="n">
        <v>3</v>
      </c>
      <c r="H198" s="7" t="n">
        <v>1</v>
      </c>
      <c r="I198" s="7" t="n">
        <v>-2</v>
      </c>
      <c r="J198" s="8" t="n">
        <v>108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ALL_PBM</t>
        </is>
      </c>
      <c r="C199" s="5" t="inlineStr">
        <is>
          <t>00169369619</t>
        </is>
      </c>
      <c r="D199" s="5" t="inlineStr">
        <is>
          <t>NOVOLOG MIX 70/30 FLEXPEN 100 UNIT/ML PEN-INJECTOR</t>
        </is>
      </c>
      <c r="E199" s="6" t="inlineStr">
        <is>
          <t>15.0</t>
        </is>
      </c>
      <c r="F199" s="7" t="n">
        <v>12</v>
      </c>
      <c r="G199" s="7" t="n">
        <v>0.8</v>
      </c>
      <c r="H199" s="7" t="n">
        <v>0</v>
      </c>
      <c r="I199" s="7" t="n">
        <v>-0.8</v>
      </c>
      <c r="J199" s="8" t="n">
        <v>104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ALL_PBM</t>
        </is>
      </c>
      <c r="C200" s="5" t="inlineStr">
        <is>
          <t>68382052960</t>
        </is>
      </c>
      <c r="D200" s="5" t="inlineStr">
        <is>
          <t>CHOLESTYRAMINE LIGHT 4GM PACK</t>
        </is>
      </c>
      <c r="E200" s="6" t="inlineStr">
        <is>
          <t>60.0</t>
        </is>
      </c>
      <c r="F200" s="7" t="n">
        <v>60</v>
      </c>
      <c r="G200" s="7" t="n">
        <v>1</v>
      </c>
      <c r="H200" s="7" t="n">
        <v>0</v>
      </c>
      <c r="I200" s="7" t="n">
        <v>-1</v>
      </c>
      <c r="J200" s="8" t="n">
        <v>90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ALL_PBM</t>
        </is>
      </c>
      <c r="C201" s="5" t="inlineStr">
        <is>
          <t>57599082000</t>
        </is>
      </c>
      <c r="D201" s="5" t="inlineStr">
        <is>
          <t>FREESTYLE LIBRE 3 READER DEVICE</t>
        </is>
      </c>
      <c r="E201" s="6" t="inlineStr">
        <is>
          <t>1.0</t>
        </is>
      </c>
      <c r="F201" s="7" t="n">
        <v>1</v>
      </c>
      <c r="G201" s="7" t="n">
        <v>1</v>
      </c>
      <c r="H201" s="7" t="n">
        <v>1</v>
      </c>
      <c r="I201" s="7" t="n">
        <v>0</v>
      </c>
      <c r="J201" s="8" t="n">
        <v>70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ALL_PBM</t>
        </is>
      </c>
      <c r="C202" s="5" t="inlineStr">
        <is>
          <t>59630075050</t>
        </is>
      </c>
      <c r="D202" s="5" t="inlineStr">
        <is>
          <t>METHYLIN 5 MG/5ML ORAL SOLUTION</t>
        </is>
      </c>
      <c r="E202" s="6" t="inlineStr">
        <is>
          <t>500.0</t>
        </is>
      </c>
      <c r="F202" s="7" t="n">
        <v>600</v>
      </c>
      <c r="G202" s="7" t="n">
        <v>1.2</v>
      </c>
      <c r="H202" s="7" t="n">
        <v>2</v>
      </c>
      <c r="I202" s="7" t="n">
        <v>0.8</v>
      </c>
      <c r="J202" s="8" t="n">
        <v>67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ALL_PBM</t>
        </is>
      </c>
      <c r="C203" s="5" t="inlineStr">
        <is>
          <t>33332002503</t>
        </is>
      </c>
      <c r="D203" s="5" t="inlineStr">
        <is>
          <t>AFLURIA PRESERVATIVE FREE 0.5 ML INTRAMUSCULAR SUSPENSION PREFILLED SYRINGE</t>
        </is>
      </c>
      <c r="E203" s="6" t="inlineStr">
        <is>
          <t>5.0</t>
        </is>
      </c>
      <c r="F203" s="7" t="n">
        <v>1.5</v>
      </c>
      <c r="G203" s="7" t="n">
        <v>0.3</v>
      </c>
      <c r="H203" s="7" t="n">
        <v>0</v>
      </c>
      <c r="I203" s="7" t="n">
        <v>-0.3</v>
      </c>
      <c r="J203" s="8" t="n">
        <v>63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ALL_PBM</t>
        </is>
      </c>
      <c r="C204" s="5" t="inlineStr">
        <is>
          <t>00074706890</t>
        </is>
      </c>
      <c r="D204" s="5" t="inlineStr">
        <is>
          <t>SYNTHROID 125 MCG ORAL TABLET</t>
        </is>
      </c>
      <c r="E204" s="6" t="inlineStr">
        <is>
          <t>90.0</t>
        </is>
      </c>
      <c r="F204" s="7" t="n">
        <v>30</v>
      </c>
      <c r="G204" s="7" t="n">
        <v>0.3333333333333333</v>
      </c>
      <c r="H204" s="7" t="n">
        <v>1</v>
      </c>
      <c r="I204" s="7" t="n">
        <v>0.6666666666666667</v>
      </c>
      <c r="J204" s="8" t="n">
        <v>50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ALL_PBM</t>
        </is>
      </c>
      <c r="C205" s="5" t="inlineStr">
        <is>
          <t>73302045601</t>
        </is>
      </c>
      <c r="D205" s="5" t="inlineStr">
        <is>
          <t>ELLA 30 MG ORAL TABLET</t>
        </is>
      </c>
      <c r="E205" s="6" t="inlineStr">
        <is>
          <t>1.0</t>
        </is>
      </c>
      <c r="F205" s="7" t="n">
        <v>1</v>
      </c>
      <c r="G205" s="7" t="n">
        <v>1</v>
      </c>
      <c r="H205" s="7" t="n">
        <v>0</v>
      </c>
      <c r="I205" s="7" t="n">
        <v>-1</v>
      </c>
      <c r="J205" s="8" t="n">
        <v>38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ALL_PBM</t>
        </is>
      </c>
      <c r="C206" s="5" t="inlineStr">
        <is>
          <t>65702072910</t>
        </is>
      </c>
      <c r="D206" s="5" t="inlineStr">
        <is>
          <t>ACCU-CHEK GUIDE W/DEVICE KIT</t>
        </is>
      </c>
      <c r="E206" s="6" t="inlineStr">
        <is>
          <t>1.0</t>
        </is>
      </c>
      <c r="F206" s="7" t="n">
        <v>1</v>
      </c>
      <c r="G206" s="7" t="n">
        <v>1</v>
      </c>
      <c r="H206" s="7" t="n">
        <v>3</v>
      </c>
      <c r="I206" s="7" t="n">
        <v>2</v>
      </c>
      <c r="J206" s="8" t="n">
        <v>21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ALL_PBM</t>
        </is>
      </c>
      <c r="C207" s="5" t="inlineStr">
        <is>
          <t>99073070914</t>
        </is>
      </c>
      <c r="D207" s="5" t="inlineStr">
        <is>
          <t>FREESTYLE FREEDOM LITE  KIT KINRAY</t>
        </is>
      </c>
      <c r="E207" s="6" t="inlineStr">
        <is>
          <t>1.0</t>
        </is>
      </c>
      <c r="F207" s="7" t="n">
        <v>1</v>
      </c>
      <c r="G207" s="7" t="n">
        <v>1</v>
      </c>
      <c r="H207" s="7" t="n">
        <v>0</v>
      </c>
      <c r="I207" s="7" t="n">
        <v>-1</v>
      </c>
      <c r="J207" s="8" t="n">
        <v>14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ALL_PBM</t>
        </is>
      </c>
      <c r="C208" s="5" t="inlineStr">
        <is>
          <t>00193730850</t>
        </is>
      </c>
      <c r="D208" s="5" t="inlineStr">
        <is>
          <t>CONTOUR NEXT STRIP DME</t>
        </is>
      </c>
      <c r="E208" s="6" t="inlineStr">
        <is>
          <t>50.0</t>
        </is>
      </c>
      <c r="F208" s="7" t="n">
        <v>100</v>
      </c>
      <c r="G208" s="7" t="n">
        <v>2</v>
      </c>
      <c r="H208" s="7" t="n">
        <v>0</v>
      </c>
      <c r="I208" s="7" t="n">
        <v>-2</v>
      </c>
      <c r="J208" s="8" t="n">
        <v>13</v>
      </c>
      <c r="K208" s="9">
        <f>IFERROR(IF((ROUND((J208/G208)*I208,1))&lt;0,(ROUND((J208/G208)*I208,1)),0),0)</f>
        <v/>
      </c>
    </row>
    <row r="209">
      <c r="E209" s="10" t="inlineStr">
        <is>
          <t>TOTAL</t>
        </is>
      </c>
      <c r="F209" s="11">
        <f>SUM(F4:F208)</f>
        <v/>
      </c>
      <c r="G209" s="11">
        <f>SUM(G4:G208)</f>
        <v/>
      </c>
      <c r="H209" s="11">
        <f>SUM(H4:H208)</f>
        <v/>
      </c>
      <c r="I209" s="11">
        <f>SUM(I4:I208)</f>
        <v/>
      </c>
      <c r="J209" s="12">
        <f>SUM(J4:J208)</f>
        <v/>
      </c>
      <c r="K209" s="13">
        <f>SUM(K4:K208)</f>
        <v/>
      </c>
    </row>
    <row r="210">
      <c r="J210" s="14" t="inlineStr">
        <is>
          <t>Audited Drugs Count</t>
        </is>
      </c>
      <c r="K210" s="15">
        <f>COUNTIF(K4:K208,"&lt;0")</f>
        <v/>
      </c>
    </row>
    <row r="211">
      <c r="J211" s="14" t="inlineStr">
        <is>
          <t>Total Audit Exposure</t>
        </is>
      </c>
      <c r="K211" s="16">
        <f>SUMIF(K4:K208,"&lt;0",K4:K208)</f>
        <v/>
      </c>
    </row>
  </sheetData>
  <autoFilter ref="A3:K208"/>
  <mergeCells count="2">
    <mergeCell ref="A2:K2"/>
    <mergeCell ref="A1:K1"/>
  </mergeCells>
  <conditionalFormatting sqref="E4:K208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9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Hil — hh — ARG/HUM</t>
        </is>
      </c>
    </row>
    <row r="2" ht="24" customHeight="1">
      <c r="A2" s="2" t="inlineStr">
        <is>
          <t>Overall ARG/HUM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ARG/HUM</t>
        </is>
      </c>
      <c r="G3" s="3" t="inlineStr">
        <is>
          <t>Packages Billed to ARG/HUM</t>
        </is>
      </c>
      <c r="H3" s="3" t="inlineStr">
        <is>
          <t>Total Qty Purchased</t>
        </is>
      </c>
      <c r="I3" s="3" t="inlineStr">
        <is>
          <t>Qty Difference for ARG/HUM</t>
        </is>
      </c>
      <c r="J3" s="3" t="inlineStr">
        <is>
          <t>Actual $ Paid by ARG/HUM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ARG/HUM</t>
        </is>
      </c>
      <c r="C4" s="5" t="inlineStr">
        <is>
          <t>00173085910</t>
        </is>
      </c>
      <c r="D4" s="5" t="inlineStr">
        <is>
          <t>BREO ELLIPTA 100-25 MCG/ACT INH AEROSOL</t>
        </is>
      </c>
      <c r="E4" s="6" t="inlineStr">
        <is>
          <t>60.0</t>
        </is>
      </c>
      <c r="F4" s="7" t="n">
        <v>60</v>
      </c>
      <c r="G4" s="7" t="n">
        <v>1</v>
      </c>
      <c r="H4" s="7" t="n">
        <v>9</v>
      </c>
      <c r="I4" s="7" t="n">
        <v>8</v>
      </c>
      <c r="J4" s="8" t="n">
        <v>383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ARG/HUM</t>
        </is>
      </c>
      <c r="C5" s="5" t="inlineStr">
        <is>
          <t>00006011231</t>
        </is>
      </c>
      <c r="D5" s="5" t="inlineStr">
        <is>
          <t>JANUVIA 50MG TABLET</t>
        </is>
      </c>
      <c r="E5" s="6" t="inlineStr">
        <is>
          <t>30.0</t>
        </is>
      </c>
      <c r="F5" s="7" t="n">
        <v>60</v>
      </c>
      <c r="G5" s="7" t="n">
        <v>2</v>
      </c>
      <c r="H5" s="7" t="n">
        <v>35</v>
      </c>
      <c r="I5" s="7" t="n">
        <v>33</v>
      </c>
      <c r="J5" s="8" t="n">
        <v>235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ARG/HUM</t>
        </is>
      </c>
      <c r="C6" s="5" t="inlineStr">
        <is>
          <t>65702071110</t>
        </is>
      </c>
      <c r="D6" s="5" t="inlineStr">
        <is>
          <t>ACCU-CHEK GUIDE IN VITRO STRIP</t>
        </is>
      </c>
      <c r="E6" s="6" t="inlineStr">
        <is>
          <t>50.0</t>
        </is>
      </c>
      <c r="F6" s="7" t="n">
        <v>200</v>
      </c>
      <c r="G6" s="7" t="n">
        <v>4</v>
      </c>
      <c r="H6" s="7" t="n">
        <v>22</v>
      </c>
      <c r="I6" s="7" t="n">
        <v>18</v>
      </c>
      <c r="J6" s="8" t="n">
        <v>68</v>
      </c>
      <c r="K6" s="9">
        <f>IFERROR(IF((ROUND((J6/G6)*I6,1))&lt;0,(ROUND((J6/G6)*I6,1)),0),0)</f>
        <v/>
      </c>
    </row>
    <row r="7">
      <c r="E7" s="10" t="inlineStr">
        <is>
          <t>TOTAL</t>
        </is>
      </c>
      <c r="F7" s="11">
        <f>SUM(F4:F6)</f>
        <v/>
      </c>
      <c r="G7" s="11">
        <f>SUM(G4:G6)</f>
        <v/>
      </c>
      <c r="H7" s="11">
        <f>SUM(H4:H6)</f>
        <v/>
      </c>
      <c r="I7" s="11">
        <f>SUM(I4:I6)</f>
        <v/>
      </c>
      <c r="J7" s="12">
        <f>SUM(J4:J6)</f>
        <v/>
      </c>
      <c r="K7" s="13">
        <f>SUM(K4:K6)</f>
        <v/>
      </c>
    </row>
    <row r="8">
      <c r="J8" s="14" t="inlineStr">
        <is>
          <t>Audited Drugs Count</t>
        </is>
      </c>
      <c r="K8" s="15">
        <f>COUNTIF(K4:K6,"&lt;0")</f>
        <v/>
      </c>
    </row>
    <row r="9">
      <c r="J9" s="14" t="inlineStr">
        <is>
          <t>Total Audit Exposure</t>
        </is>
      </c>
      <c r="K9" s="16">
        <f>SUMIF(K4:K6,"&lt;0",K4:K6)</f>
        <v/>
      </c>
    </row>
  </sheetData>
  <autoFilter ref="A3:K6"/>
  <mergeCells count="2">
    <mergeCell ref="A2:K2"/>
    <mergeCell ref="A1:K1"/>
  </mergeCells>
  <conditionalFormatting sqref="E4:K6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6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Hil — hh — CAREMARK</t>
        </is>
      </c>
    </row>
    <row r="2" ht="24" customHeight="1">
      <c r="A2" s="2" t="inlineStr">
        <is>
          <t>Overall CAREMARK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CAREMARK</t>
        </is>
      </c>
      <c r="G3" s="3" t="inlineStr">
        <is>
          <t>Packages Billed to CAREMARK</t>
        </is>
      </c>
      <c r="H3" s="3" t="inlineStr">
        <is>
          <t>Total Qty Purchased</t>
        </is>
      </c>
      <c r="I3" s="3" t="inlineStr">
        <is>
          <t>Qty Difference for CAREMARK</t>
        </is>
      </c>
      <c r="J3" s="3" t="inlineStr">
        <is>
          <t>Actual $ Paid by CAREMARK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CAREMARK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210</v>
      </c>
      <c r="G4" s="7" t="n">
        <v>70</v>
      </c>
      <c r="H4" s="7" t="n">
        <v>69</v>
      </c>
      <c r="I4" s="7" t="n">
        <v>-1</v>
      </c>
      <c r="J4" s="8" t="n">
        <v>66755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CAREMARK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6480</v>
      </c>
      <c r="G5" s="7" t="n">
        <v>108</v>
      </c>
      <c r="H5" s="7" t="n">
        <v>176</v>
      </c>
      <c r="I5" s="7" t="n">
        <v>68</v>
      </c>
      <c r="J5" s="8" t="n">
        <v>63898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CAREMARK</t>
        </is>
      </c>
      <c r="C6" s="5" t="inlineStr">
        <is>
          <t>00597015330</t>
        </is>
      </c>
      <c r="D6" s="5" t="inlineStr">
        <is>
          <t xml:space="preserve">JARDIANCE 25MG TAB </t>
        </is>
      </c>
      <c r="E6" s="6" t="inlineStr">
        <is>
          <t>30.0</t>
        </is>
      </c>
      <c r="F6" s="7" t="n">
        <v>3960</v>
      </c>
      <c r="G6" s="7" t="n">
        <v>132</v>
      </c>
      <c r="H6" s="7" t="n">
        <v>139</v>
      </c>
      <c r="I6" s="7" t="n">
        <v>7</v>
      </c>
      <c r="J6" s="8" t="n">
        <v>41066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CAREMARK</t>
        </is>
      </c>
      <c r="C7" s="5" t="inlineStr">
        <is>
          <t>00169413013</t>
        </is>
      </c>
      <c r="D7" s="5" t="inlineStr">
        <is>
          <t>OZEMPIC (1 MG/DOSE) 4MG/3ML INJECTION</t>
        </is>
      </c>
      <c r="E7" s="6" t="inlineStr">
        <is>
          <t>3.0</t>
        </is>
      </c>
      <c r="F7" s="7" t="n">
        <v>126</v>
      </c>
      <c r="G7" s="7" t="n">
        <v>42</v>
      </c>
      <c r="H7" s="7" t="n">
        <v>47</v>
      </c>
      <c r="I7" s="7" t="n">
        <v>5</v>
      </c>
      <c r="J7" s="8" t="n">
        <v>40185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CAREMARK</t>
        </is>
      </c>
      <c r="C8" s="5" t="inlineStr">
        <is>
          <t>24208037705</t>
        </is>
      </c>
      <c r="D8" s="5" t="inlineStr">
        <is>
          <t>MIEBO 1.338 GM/ML OPHTHALMIC SOLUTION</t>
        </is>
      </c>
      <c r="E8" s="6" t="inlineStr">
        <is>
          <t>3.0</t>
        </is>
      </c>
      <c r="F8" s="7" t="n">
        <v>135</v>
      </c>
      <c r="G8" s="7" t="n">
        <v>45</v>
      </c>
      <c r="H8" s="7" t="n">
        <v>35</v>
      </c>
      <c r="I8" s="7" t="n">
        <v>-10</v>
      </c>
      <c r="J8" s="8" t="n">
        <v>33163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CAREMARK</t>
        </is>
      </c>
      <c r="C9" s="5" t="inlineStr">
        <is>
          <t>00003089421</t>
        </is>
      </c>
      <c r="D9" s="5" t="inlineStr">
        <is>
          <t xml:space="preserve">ELIQUIS 5MG TAB </t>
        </is>
      </c>
      <c r="E9" s="6" t="inlineStr">
        <is>
          <t>60.0</t>
        </is>
      </c>
      <c r="F9" s="7" t="n">
        <v>5280</v>
      </c>
      <c r="G9" s="7" t="n">
        <v>88</v>
      </c>
      <c r="H9" s="7" t="n">
        <v>83</v>
      </c>
      <c r="I9" s="7" t="n">
        <v>-5</v>
      </c>
      <c r="J9" s="8" t="n">
        <v>32772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CAREMARK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2820</v>
      </c>
      <c r="G10" s="7" t="n">
        <v>94</v>
      </c>
      <c r="H10" s="7" t="n">
        <v>98</v>
      </c>
      <c r="I10" s="7" t="n">
        <v>4</v>
      </c>
      <c r="J10" s="8" t="n">
        <v>31668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CAREMARK</t>
        </is>
      </c>
      <c r="C11" s="5" t="inlineStr">
        <is>
          <t>24208091112</t>
        </is>
      </c>
      <c r="D11" s="5" t="inlineStr">
        <is>
          <t>XIIDRA 5 % OPHTHALMIC SOLUTION</t>
        </is>
      </c>
      <c r="E11" s="6" t="inlineStr">
        <is>
          <t>60.0</t>
        </is>
      </c>
      <c r="F11" s="7" t="n">
        <v>2820</v>
      </c>
      <c r="G11" s="7" t="n">
        <v>47</v>
      </c>
      <c r="H11" s="7" t="n">
        <v>84</v>
      </c>
      <c r="I11" s="7" t="n">
        <v>37</v>
      </c>
      <c r="J11" s="8" t="n">
        <v>31365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CAREMARK</t>
        </is>
      </c>
      <c r="C12" s="5" t="inlineStr">
        <is>
          <t>00002149580</t>
        </is>
      </c>
      <c r="D12" s="5" t="inlineStr">
        <is>
          <t>MOUNJARO 5 MG/0.5ML PEN-INJECTOR</t>
        </is>
      </c>
      <c r="E12" s="6" t="inlineStr">
        <is>
          <t>2.0</t>
        </is>
      </c>
      <c r="F12" s="7" t="n">
        <v>44</v>
      </c>
      <c r="G12" s="7" t="n">
        <v>22</v>
      </c>
      <c r="H12" s="7" t="n">
        <v>24</v>
      </c>
      <c r="I12" s="7" t="n">
        <v>2</v>
      </c>
      <c r="J12" s="8" t="n">
        <v>22813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CAREMARK</t>
        </is>
      </c>
      <c r="C13" s="5" t="inlineStr">
        <is>
          <t>00169477212</t>
        </is>
      </c>
      <c r="D13" s="5" t="inlineStr">
        <is>
          <t>OZEMPIC (2 MG/DOSE) 8 MG/3ML PEN-INJECTOR</t>
        </is>
      </c>
      <c r="E13" s="6" t="inlineStr">
        <is>
          <t>3.0</t>
        </is>
      </c>
      <c r="F13" s="7" t="n">
        <v>69</v>
      </c>
      <c r="G13" s="7" t="n">
        <v>23</v>
      </c>
      <c r="H13" s="7" t="n">
        <v>32</v>
      </c>
      <c r="I13" s="7" t="n">
        <v>9</v>
      </c>
      <c r="J13" s="8" t="n">
        <v>21731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CAREMARK</t>
        </is>
      </c>
      <c r="C14" s="5" t="inlineStr">
        <is>
          <t>00002148480</t>
        </is>
      </c>
      <c r="D14" s="5" t="inlineStr">
        <is>
          <t>MOUNJARO 7.5 MG/0.5ML PEN-INJECTOR</t>
        </is>
      </c>
      <c r="E14" s="6" t="inlineStr">
        <is>
          <t>2.0</t>
        </is>
      </c>
      <c r="F14" s="7" t="n">
        <v>40</v>
      </c>
      <c r="G14" s="7" t="n">
        <v>20</v>
      </c>
      <c r="H14" s="7" t="n">
        <v>27</v>
      </c>
      <c r="I14" s="7" t="n">
        <v>7</v>
      </c>
      <c r="J14" s="8" t="n">
        <v>20662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CAREMARK</t>
        </is>
      </c>
      <c r="C15" s="5" t="inlineStr">
        <is>
          <t>50419054001</t>
        </is>
      </c>
      <c r="D15" s="5" t="inlineStr">
        <is>
          <t>KERENDIA 10 MG TABLET</t>
        </is>
      </c>
      <c r="E15" s="6" t="inlineStr">
        <is>
          <t>30.0</t>
        </is>
      </c>
      <c r="F15" s="7" t="n">
        <v>810</v>
      </c>
      <c r="G15" s="7" t="n">
        <v>27</v>
      </c>
      <c r="H15" s="7" t="n">
        <v>31</v>
      </c>
      <c r="I15" s="7" t="n">
        <v>4</v>
      </c>
      <c r="J15" s="8" t="n">
        <v>17904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CAREMARK</t>
        </is>
      </c>
      <c r="C16" s="5" t="inlineStr">
        <is>
          <t>00193731150</t>
        </is>
      </c>
      <c r="D16" s="5" t="inlineStr">
        <is>
          <t>CONTOUR NEXT TEST  STRIPS</t>
        </is>
      </c>
      <c r="E16" s="6" t="inlineStr">
        <is>
          <t>50.0</t>
        </is>
      </c>
      <c r="F16" s="7" t="n">
        <v>15650</v>
      </c>
      <c r="G16" s="7" t="n">
        <v>313</v>
      </c>
      <c r="H16" s="7" t="n">
        <v>0</v>
      </c>
      <c r="I16" s="7" t="n">
        <v>-313</v>
      </c>
      <c r="J16" s="8" t="n">
        <v>16008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CAREMARK</t>
        </is>
      </c>
      <c r="C17" s="5" t="inlineStr">
        <is>
          <t>00310621030</t>
        </is>
      </c>
      <c r="D17" s="5" t="inlineStr">
        <is>
          <t>FARXIGA 10MG TABLET</t>
        </is>
      </c>
      <c r="E17" s="6" t="inlineStr">
        <is>
          <t>30.0</t>
        </is>
      </c>
      <c r="F17" s="7" t="n">
        <v>1200</v>
      </c>
      <c r="G17" s="7" t="n">
        <v>40</v>
      </c>
      <c r="H17" s="7" t="n">
        <v>50</v>
      </c>
      <c r="I17" s="7" t="n">
        <v>10</v>
      </c>
      <c r="J17" s="8" t="n">
        <v>15421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CAREMARK</t>
        </is>
      </c>
      <c r="C18" s="5" t="inlineStr">
        <is>
          <t>00169430330</t>
        </is>
      </c>
      <c r="D18" s="5" t="inlineStr">
        <is>
          <t>RYBELSUS 3MG TABLET</t>
        </is>
      </c>
      <c r="E18" s="6" t="inlineStr">
        <is>
          <t>30.0</t>
        </is>
      </c>
      <c r="F18" s="7" t="n">
        <v>480</v>
      </c>
      <c r="G18" s="7" t="n">
        <v>16</v>
      </c>
      <c r="H18" s="7" t="n">
        <v>0</v>
      </c>
      <c r="I18" s="7" t="n">
        <v>-16</v>
      </c>
      <c r="J18" s="8" t="n">
        <v>15250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CAREMARK</t>
        </is>
      </c>
      <c r="C19" s="5" t="inlineStr">
        <is>
          <t>00006057761</t>
        </is>
      </c>
      <c r="D19" s="5" t="inlineStr">
        <is>
          <t>JANUMET 50-1000MG TABLET</t>
        </is>
      </c>
      <c r="E19" s="6" t="inlineStr">
        <is>
          <t>60.0</t>
        </is>
      </c>
      <c r="F19" s="7" t="n">
        <v>2880</v>
      </c>
      <c r="G19" s="7" t="n">
        <v>48</v>
      </c>
      <c r="H19" s="7" t="n">
        <v>61</v>
      </c>
      <c r="I19" s="7" t="n">
        <v>13</v>
      </c>
      <c r="J19" s="8" t="n">
        <v>14254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CAREMARK</t>
        </is>
      </c>
      <c r="C20" s="5" t="inlineStr">
        <is>
          <t>00002147180</t>
        </is>
      </c>
      <c r="D20" s="5" t="inlineStr">
        <is>
          <t>MOUNJARO 10 MG/0.5ML PEN-INJECTOR</t>
        </is>
      </c>
      <c r="E20" s="6" t="inlineStr">
        <is>
          <t>2.0</t>
        </is>
      </c>
      <c r="F20" s="7" t="n">
        <v>26</v>
      </c>
      <c r="G20" s="7" t="n">
        <v>13</v>
      </c>
      <c r="H20" s="7" t="n">
        <v>10</v>
      </c>
      <c r="I20" s="7" t="n">
        <v>-3</v>
      </c>
      <c r="J20" s="8" t="n">
        <v>12790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CAREMARK</t>
        </is>
      </c>
      <c r="C21" s="5" t="inlineStr">
        <is>
          <t>00310111030</t>
        </is>
      </c>
      <c r="D21" s="5" t="inlineStr">
        <is>
          <t>LOKELMA 10GM PACK</t>
        </is>
      </c>
      <c r="E21" s="6" t="inlineStr">
        <is>
          <t>30.0</t>
        </is>
      </c>
      <c r="F21" s="7" t="n">
        <v>450</v>
      </c>
      <c r="G21" s="7" t="n">
        <v>15</v>
      </c>
      <c r="H21" s="7" t="n">
        <v>12</v>
      </c>
      <c r="I21" s="7" t="n">
        <v>-3</v>
      </c>
      <c r="J21" s="8" t="n">
        <v>12497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CAREMARK</t>
        </is>
      </c>
      <c r="C22" s="5" t="inlineStr">
        <is>
          <t>00456120130</t>
        </is>
      </c>
      <c r="D22" s="5" t="inlineStr">
        <is>
          <t>LINZESS 145MCG CAPSULE</t>
        </is>
      </c>
      <c r="E22" s="6" t="inlineStr">
        <is>
          <t>30.0</t>
        </is>
      </c>
      <c r="F22" s="7" t="n">
        <v>1050</v>
      </c>
      <c r="G22" s="7" t="n">
        <v>35</v>
      </c>
      <c r="H22" s="7" t="n">
        <v>30</v>
      </c>
      <c r="I22" s="7" t="n">
        <v>-5</v>
      </c>
      <c r="J22" s="8" t="n">
        <v>12238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CAREMARK</t>
        </is>
      </c>
      <c r="C23" s="5" t="inlineStr">
        <is>
          <t>00006027731</t>
        </is>
      </c>
      <c r="D23" s="5" t="inlineStr">
        <is>
          <t>JANUVIA 100MG TAB</t>
        </is>
      </c>
      <c r="E23" s="6" t="inlineStr">
        <is>
          <t>30.0</t>
        </is>
      </c>
      <c r="F23" s="7" t="n">
        <v>1770</v>
      </c>
      <c r="G23" s="7" t="n">
        <v>59</v>
      </c>
      <c r="H23" s="7" t="n">
        <v>63</v>
      </c>
      <c r="I23" s="7" t="n">
        <v>4</v>
      </c>
      <c r="J23" s="8" t="n">
        <v>12015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CAREMARK</t>
        </is>
      </c>
      <c r="C24" s="5" t="inlineStr">
        <is>
          <t>00002143380</t>
        </is>
      </c>
      <c r="D24" s="5" t="inlineStr">
        <is>
          <t>TRULICITY 0.75MG/0.5ML INJECTION</t>
        </is>
      </c>
      <c r="E24" s="6" t="inlineStr">
        <is>
          <t>2.0</t>
        </is>
      </c>
      <c r="F24" s="7" t="n">
        <v>24</v>
      </c>
      <c r="G24" s="7" t="n">
        <v>12</v>
      </c>
      <c r="H24" s="7" t="n">
        <v>23</v>
      </c>
      <c r="I24" s="7" t="n">
        <v>11</v>
      </c>
      <c r="J24" s="8" t="n">
        <v>11358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CAREMARK</t>
        </is>
      </c>
      <c r="C25" s="5" t="inlineStr">
        <is>
          <t>00169431430</t>
        </is>
      </c>
      <c r="D25" s="5" t="inlineStr">
        <is>
          <t>RYBELSUS 14MG TABLET</t>
        </is>
      </c>
      <c r="E25" s="6" t="inlineStr">
        <is>
          <t>30.0</t>
        </is>
      </c>
      <c r="F25" s="7" t="n">
        <v>360</v>
      </c>
      <c r="G25" s="7" t="n">
        <v>12</v>
      </c>
      <c r="H25" s="7" t="n">
        <v>15</v>
      </c>
      <c r="I25" s="7" t="n">
        <v>3</v>
      </c>
      <c r="J25" s="8" t="n">
        <v>11334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CAREMARK</t>
        </is>
      </c>
      <c r="C26" s="5" t="inlineStr">
        <is>
          <t>00002223680</t>
        </is>
      </c>
      <c r="D26" s="5" t="inlineStr">
        <is>
          <t>TRULICITY 3MG/0.5ML INJECTION</t>
        </is>
      </c>
      <c r="E26" s="6" t="inlineStr">
        <is>
          <t>2.0</t>
        </is>
      </c>
      <c r="F26" s="7" t="n">
        <v>24</v>
      </c>
      <c r="G26" s="7" t="n">
        <v>12</v>
      </c>
      <c r="H26" s="7" t="n">
        <v>9</v>
      </c>
      <c r="I26" s="7" t="n">
        <v>-3</v>
      </c>
      <c r="J26" s="8" t="n">
        <v>11250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CAREMARK</t>
        </is>
      </c>
      <c r="C27" s="5" t="inlineStr">
        <is>
          <t>00456120230</t>
        </is>
      </c>
      <c r="D27" s="5" t="inlineStr">
        <is>
          <t xml:space="preserve">LINZESS 290MCG CAP </t>
        </is>
      </c>
      <c r="E27" s="6" t="inlineStr">
        <is>
          <t>30.0</t>
        </is>
      </c>
      <c r="F27" s="7" t="n">
        <v>780</v>
      </c>
      <c r="G27" s="7" t="n">
        <v>26</v>
      </c>
      <c r="H27" s="7" t="n">
        <v>28</v>
      </c>
      <c r="I27" s="7" t="n">
        <v>2</v>
      </c>
      <c r="J27" s="8" t="n">
        <v>11104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CAREMARK</t>
        </is>
      </c>
      <c r="C28" s="5" t="inlineStr">
        <is>
          <t>00002771559</t>
        </is>
      </c>
      <c r="D28" s="5" t="inlineStr">
        <is>
          <t>BASAGLAR KWIKPEN 100UNIT/ML INJECTION</t>
        </is>
      </c>
      <c r="E28" s="6" t="inlineStr">
        <is>
          <t>15.0</t>
        </is>
      </c>
      <c r="F28" s="7" t="n">
        <v>534</v>
      </c>
      <c r="G28" s="7" t="n">
        <v>35.6</v>
      </c>
      <c r="H28" s="7" t="n">
        <v>45</v>
      </c>
      <c r="I28" s="7" t="n">
        <v>9.399999999999999</v>
      </c>
      <c r="J28" s="8" t="n">
        <v>10692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CAREMARK</t>
        </is>
      </c>
      <c r="C29" s="5" t="inlineStr">
        <is>
          <t>49702024213</t>
        </is>
      </c>
      <c r="D29" s="5" t="inlineStr">
        <is>
          <t>JULUCA 50-25MG TABLET</t>
        </is>
      </c>
      <c r="E29" s="6" t="inlineStr">
        <is>
          <t>30.0</t>
        </is>
      </c>
      <c r="F29" s="7" t="n">
        <v>90</v>
      </c>
      <c r="G29" s="7" t="n">
        <v>3</v>
      </c>
      <c r="H29" s="7" t="n">
        <v>4</v>
      </c>
      <c r="I29" s="7" t="n">
        <v>1</v>
      </c>
      <c r="J29" s="8" t="n">
        <v>10689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CAREMARK</t>
        </is>
      </c>
      <c r="C30" s="5" t="inlineStr">
        <is>
          <t>72618300002</t>
        </is>
      </c>
      <c r="D30" s="5" t="inlineStr">
        <is>
          <t>NURTEC 75MG TABLET DISINTEGRATING</t>
        </is>
      </c>
      <c r="E30" s="6" t="inlineStr">
        <is>
          <t>8.0</t>
        </is>
      </c>
      <c r="F30" s="7" t="n">
        <v>80</v>
      </c>
      <c r="G30" s="7" t="n">
        <v>10</v>
      </c>
      <c r="H30" s="7" t="n">
        <v>6</v>
      </c>
      <c r="I30" s="7" t="n">
        <v>-4</v>
      </c>
      <c r="J30" s="8" t="n">
        <v>10126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CAREMARK</t>
        </is>
      </c>
      <c r="C31" s="5" t="inlineStr">
        <is>
          <t>73336007530</t>
        </is>
      </c>
      <c r="D31" s="5" t="inlineStr">
        <is>
          <t>GEMTESA 75MG TABLET</t>
        </is>
      </c>
      <c r="E31" s="6" t="inlineStr">
        <is>
          <t>30.0</t>
        </is>
      </c>
      <c r="F31" s="7" t="n">
        <v>600</v>
      </c>
      <c r="G31" s="7" t="n">
        <v>20</v>
      </c>
      <c r="H31" s="7" t="n">
        <v>18</v>
      </c>
      <c r="I31" s="7" t="n">
        <v>-2</v>
      </c>
      <c r="J31" s="8" t="n">
        <v>9615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CAREMARK</t>
        </is>
      </c>
      <c r="C32" s="5" t="inlineStr">
        <is>
          <t>00023320508</t>
        </is>
      </c>
      <c r="D32" s="5" t="inlineStr">
        <is>
          <t>LUMIGAN 0.01% SOLUTION</t>
        </is>
      </c>
      <c r="E32" s="6" t="inlineStr">
        <is>
          <t>7.5</t>
        </is>
      </c>
      <c r="F32" s="7" t="n">
        <v>90</v>
      </c>
      <c r="G32" s="7" t="n">
        <v>12</v>
      </c>
      <c r="H32" s="7" t="n">
        <v>10</v>
      </c>
      <c r="I32" s="7" t="n">
        <v>-2</v>
      </c>
      <c r="J32" s="8" t="n">
        <v>9077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CAREMARK</t>
        </is>
      </c>
      <c r="C33" s="5" t="inlineStr">
        <is>
          <t>00169430730</t>
        </is>
      </c>
      <c r="D33" s="5" t="inlineStr">
        <is>
          <t>RYBELSUS 7MG TABLET</t>
        </is>
      </c>
      <c r="E33" s="6" t="inlineStr">
        <is>
          <t>30.0</t>
        </is>
      </c>
      <c r="F33" s="7" t="n">
        <v>270</v>
      </c>
      <c r="G33" s="7" t="n">
        <v>9</v>
      </c>
      <c r="H33" s="7" t="n">
        <v>7</v>
      </c>
      <c r="I33" s="7" t="n">
        <v>-2</v>
      </c>
      <c r="J33" s="8" t="n">
        <v>8349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CAREMARK</t>
        </is>
      </c>
      <c r="C34" s="5" t="inlineStr">
        <is>
          <t>00002318280</t>
        </is>
      </c>
      <c r="D34" s="5" t="inlineStr">
        <is>
          <t>TRULICITY 4.5 MG/0.5ML SOLUTION</t>
        </is>
      </c>
      <c r="E34" s="6" t="inlineStr">
        <is>
          <t>2.0</t>
        </is>
      </c>
      <c r="F34" s="7" t="n">
        <v>18</v>
      </c>
      <c r="G34" s="7" t="n">
        <v>9</v>
      </c>
      <c r="H34" s="7" t="n">
        <v>10</v>
      </c>
      <c r="I34" s="7" t="n">
        <v>1</v>
      </c>
      <c r="J34" s="8" t="n">
        <v>8330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CAREMARK</t>
        </is>
      </c>
      <c r="C35" s="5" t="inlineStr">
        <is>
          <t>00310110530</t>
        </is>
      </c>
      <c r="D35" s="5" t="inlineStr">
        <is>
          <t>LOKELMA 5GM PACK</t>
        </is>
      </c>
      <c r="E35" s="6" t="inlineStr">
        <is>
          <t>30.0</t>
        </is>
      </c>
      <c r="F35" s="7" t="n">
        <v>300</v>
      </c>
      <c r="G35" s="7" t="n">
        <v>10</v>
      </c>
      <c r="H35" s="7" t="n">
        <v>7</v>
      </c>
      <c r="I35" s="7" t="n">
        <v>-3</v>
      </c>
      <c r="J35" s="8" t="n">
        <v>8281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CAREMARK</t>
        </is>
      </c>
      <c r="C36" s="5" t="inlineStr">
        <is>
          <t>00597014030</t>
        </is>
      </c>
      <c r="D36" s="5" t="inlineStr">
        <is>
          <t xml:space="preserve">TRADJENTA 5MG TAB </t>
        </is>
      </c>
      <c r="E36" s="6" t="inlineStr">
        <is>
          <t>30.0</t>
        </is>
      </c>
      <c r="F36" s="7" t="n">
        <v>450</v>
      </c>
      <c r="G36" s="7" t="n">
        <v>15</v>
      </c>
      <c r="H36" s="7" t="n">
        <v>25</v>
      </c>
      <c r="I36" s="7" t="n">
        <v>10</v>
      </c>
      <c r="J36" s="8" t="n">
        <v>7394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CAREMARK</t>
        </is>
      </c>
      <c r="C37" s="5" t="inlineStr">
        <is>
          <t>00002146080</t>
        </is>
      </c>
      <c r="D37" s="5" t="inlineStr">
        <is>
          <t>MOUNJARO 12.5 MG/0.5ML PEN-INJECTOR</t>
        </is>
      </c>
      <c r="E37" s="6" t="inlineStr">
        <is>
          <t>2.0</t>
        </is>
      </c>
      <c r="F37" s="7" t="n">
        <v>14</v>
      </c>
      <c r="G37" s="7" t="n">
        <v>7</v>
      </c>
      <c r="H37" s="7" t="n">
        <v>9</v>
      </c>
      <c r="I37" s="7" t="n">
        <v>2</v>
      </c>
      <c r="J37" s="8" t="n">
        <v>7301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CAREMARK</t>
        </is>
      </c>
      <c r="C38" s="5" t="inlineStr">
        <is>
          <t>00469260230</t>
        </is>
      </c>
      <c r="D38" s="5" t="inlineStr">
        <is>
          <t>MYRBETRIQ 50MG TABLET</t>
        </is>
      </c>
      <c r="E38" s="6" t="inlineStr">
        <is>
          <t>30.0</t>
        </is>
      </c>
      <c r="F38" s="7" t="n">
        <v>510</v>
      </c>
      <c r="G38" s="7" t="n">
        <v>17</v>
      </c>
      <c r="H38" s="7" t="n">
        <v>9</v>
      </c>
      <c r="I38" s="7" t="n">
        <v>-8</v>
      </c>
      <c r="J38" s="8" t="n">
        <v>7215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CAREMARK</t>
        </is>
      </c>
      <c r="C39" s="5" t="inlineStr">
        <is>
          <t>00002145780</t>
        </is>
      </c>
      <c r="D39" s="5" t="inlineStr">
        <is>
          <t>MOUNJARO 15 MG/0.5ML PEN-INJECTOR</t>
        </is>
      </c>
      <c r="E39" s="6" t="inlineStr">
        <is>
          <t>2.0</t>
        </is>
      </c>
      <c r="F39" s="7" t="n">
        <v>12</v>
      </c>
      <c r="G39" s="7" t="n">
        <v>6</v>
      </c>
      <c r="H39" s="7" t="n">
        <v>8</v>
      </c>
      <c r="I39" s="7" t="n">
        <v>2</v>
      </c>
      <c r="J39" s="8" t="n">
        <v>6282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CAREMARK</t>
        </is>
      </c>
      <c r="C40" s="5" t="inlineStr">
        <is>
          <t>50458057930</t>
        </is>
      </c>
      <c r="D40" s="5" t="inlineStr">
        <is>
          <t>XARELTO 20MG TAB</t>
        </is>
      </c>
      <c r="E40" s="6" t="inlineStr">
        <is>
          <t>30.0</t>
        </is>
      </c>
      <c r="F40" s="7" t="n">
        <v>630</v>
      </c>
      <c r="G40" s="7" t="n">
        <v>21</v>
      </c>
      <c r="H40" s="7" t="n">
        <v>23</v>
      </c>
      <c r="I40" s="7" t="n">
        <v>2</v>
      </c>
      <c r="J40" s="8" t="n">
        <v>6271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CAREMARK</t>
        </is>
      </c>
      <c r="C41" s="5" t="inlineStr">
        <is>
          <t>49702024613</t>
        </is>
      </c>
      <c r="D41" s="5" t="inlineStr">
        <is>
          <t>DOVATO 50-300 MG ORAL TABLET</t>
        </is>
      </c>
      <c r="E41" s="6" t="inlineStr">
        <is>
          <t>30.0</t>
        </is>
      </c>
      <c r="F41" s="7" t="n">
        <v>60</v>
      </c>
      <c r="G41" s="7" t="n">
        <v>2</v>
      </c>
      <c r="H41" s="7" t="n">
        <v>3</v>
      </c>
      <c r="I41" s="7" t="n">
        <v>1</v>
      </c>
      <c r="J41" s="8" t="n">
        <v>6013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CAREMARK</t>
        </is>
      </c>
      <c r="C42" s="5" t="inlineStr">
        <is>
          <t>50881000705</t>
        </is>
      </c>
      <c r="D42" s="5" t="inlineStr">
        <is>
          <t>OPZELURA 1.5 % EXTERNAL CREAM</t>
        </is>
      </c>
      <c r="E42" s="6" t="inlineStr">
        <is>
          <t>60.0</t>
        </is>
      </c>
      <c r="F42" s="7" t="n">
        <v>180</v>
      </c>
      <c r="G42" s="7" t="n">
        <v>3</v>
      </c>
      <c r="H42" s="7" t="n">
        <v>2</v>
      </c>
      <c r="I42" s="7" t="n">
        <v>-1</v>
      </c>
      <c r="J42" s="8" t="n">
        <v>5969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CAREMARK</t>
        </is>
      </c>
      <c r="C43" s="5" t="inlineStr">
        <is>
          <t>72511039302</t>
        </is>
      </c>
      <c r="D43" s="5" t="inlineStr">
        <is>
          <t>REPATHA SURECLICK 140 MG/ML SUBCUTANEOUS SOLUTION AUTO-INJECTOR</t>
        </is>
      </c>
      <c r="E43" s="6" t="inlineStr">
        <is>
          <t>2.0</t>
        </is>
      </c>
      <c r="F43" s="7" t="n">
        <v>22</v>
      </c>
      <c r="G43" s="7" t="n">
        <v>11</v>
      </c>
      <c r="H43" s="7" t="n">
        <v>11</v>
      </c>
      <c r="I43" s="7" t="n">
        <v>0</v>
      </c>
      <c r="J43" s="8" t="n">
        <v>5903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CAREMARK</t>
        </is>
      </c>
      <c r="C44" s="5" t="inlineStr">
        <is>
          <t>73562011401</t>
        </is>
      </c>
      <c r="D44" s="5" t="inlineStr">
        <is>
          <t>ZENPEP 40000-126000U CAPSULE DR</t>
        </is>
      </c>
      <c r="E44" s="6" t="inlineStr">
        <is>
          <t>100.0</t>
        </is>
      </c>
      <c r="F44" s="7" t="n">
        <v>360</v>
      </c>
      <c r="G44" s="7" t="n">
        <v>3.6</v>
      </c>
      <c r="H44" s="7" t="n">
        <v>3</v>
      </c>
      <c r="I44" s="7" t="n">
        <v>-0.6000000000000001</v>
      </c>
      <c r="J44" s="8" t="n">
        <v>5658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CAREMARK</t>
        </is>
      </c>
      <c r="C45" s="5" t="inlineStr">
        <is>
          <t>00003089321</t>
        </is>
      </c>
      <c r="D45" s="5" t="inlineStr">
        <is>
          <t xml:space="preserve">ELIQUIS 2.5MG TAB </t>
        </is>
      </c>
      <c r="E45" s="6" t="inlineStr">
        <is>
          <t>60.0</t>
        </is>
      </c>
      <c r="F45" s="7" t="n">
        <v>960</v>
      </c>
      <c r="G45" s="7" t="n">
        <v>16</v>
      </c>
      <c r="H45" s="7" t="n">
        <v>30</v>
      </c>
      <c r="I45" s="7" t="n">
        <v>14</v>
      </c>
      <c r="J45" s="8" t="n">
        <v>5562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CAREMARK</t>
        </is>
      </c>
      <c r="C46" s="5" t="inlineStr">
        <is>
          <t>00002150680</t>
        </is>
      </c>
      <c r="D46" s="5" t="inlineStr">
        <is>
          <t>MOUNJARO 2.5 MG/0.5ML PEN-INJECTOR</t>
        </is>
      </c>
      <c r="E46" s="6" t="inlineStr">
        <is>
          <t>2.0</t>
        </is>
      </c>
      <c r="F46" s="7" t="n">
        <v>10</v>
      </c>
      <c r="G46" s="7" t="n">
        <v>5</v>
      </c>
      <c r="H46" s="7" t="n">
        <v>4</v>
      </c>
      <c r="I46" s="7" t="n">
        <v>-1</v>
      </c>
      <c r="J46" s="8" t="n">
        <v>5293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CAREMARK</t>
        </is>
      </c>
      <c r="C47" s="5" t="inlineStr">
        <is>
          <t>00169452414</t>
        </is>
      </c>
      <c r="D47" s="5" t="inlineStr">
        <is>
          <t>WEGOVY 2.4 MG/0.75ML AUTO-INJECTOR</t>
        </is>
      </c>
      <c r="E47" s="6" t="inlineStr">
        <is>
          <t>3.0</t>
        </is>
      </c>
      <c r="F47" s="7" t="n">
        <v>12</v>
      </c>
      <c r="G47" s="7" t="n">
        <v>4</v>
      </c>
      <c r="H47" s="7" t="n">
        <v>5</v>
      </c>
      <c r="I47" s="7" t="n">
        <v>1</v>
      </c>
      <c r="J47" s="8" t="n">
        <v>5110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CAREMARK</t>
        </is>
      </c>
      <c r="C48" s="5" t="inlineStr">
        <is>
          <t>00173085910</t>
        </is>
      </c>
      <c r="D48" s="5" t="inlineStr">
        <is>
          <t>BREO ELLIPTA 100-25 MCG/ACT INH AEROSOL</t>
        </is>
      </c>
      <c r="E48" s="6" t="inlineStr">
        <is>
          <t>60.0</t>
        </is>
      </c>
      <c r="F48" s="7" t="n">
        <v>780</v>
      </c>
      <c r="G48" s="7" t="n">
        <v>13</v>
      </c>
      <c r="H48" s="7" t="n">
        <v>9</v>
      </c>
      <c r="I48" s="7" t="n">
        <v>-4</v>
      </c>
      <c r="J48" s="8" t="n">
        <v>4945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CAREMARK</t>
        </is>
      </c>
      <c r="C49" s="5" t="inlineStr">
        <is>
          <t>00310620530</t>
        </is>
      </c>
      <c r="D49" s="5" t="inlineStr">
        <is>
          <t>FARXIGA 5MG TABLET</t>
        </is>
      </c>
      <c r="E49" s="6" t="inlineStr">
        <is>
          <t>30.0</t>
        </is>
      </c>
      <c r="F49" s="7" t="n">
        <v>330</v>
      </c>
      <c r="G49" s="7" t="n">
        <v>11</v>
      </c>
      <c r="H49" s="7" t="n">
        <v>13</v>
      </c>
      <c r="I49" s="7" t="n">
        <v>2</v>
      </c>
      <c r="J49" s="8" t="n">
        <v>4620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CAREMARK</t>
        </is>
      </c>
      <c r="C50" s="5" t="inlineStr">
        <is>
          <t>00310461612</t>
        </is>
      </c>
      <c r="D50" s="5" t="inlineStr">
        <is>
          <t>BREZTRI AEROSPHERE 160-9-4.8 MCG/ACT INHALATION AEROSOL</t>
        </is>
      </c>
      <c r="E50" s="6" t="inlineStr">
        <is>
          <t>10.7</t>
        </is>
      </c>
      <c r="F50" s="7" t="n">
        <v>74.89999999999999</v>
      </c>
      <c r="G50" s="7" t="n">
        <v>7</v>
      </c>
      <c r="H50" s="7" t="n">
        <v>8</v>
      </c>
      <c r="I50" s="7" t="n">
        <v>1</v>
      </c>
      <c r="J50" s="8" t="n">
        <v>4484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CAREMARK</t>
        </is>
      </c>
      <c r="C51" s="5" t="inlineStr">
        <is>
          <t>59676080030</t>
        </is>
      </c>
      <c r="D51" s="5" t="inlineStr">
        <is>
          <t>SYMTUZA 800-150-200-10MG TABLET</t>
        </is>
      </c>
      <c r="E51" s="6" t="inlineStr">
        <is>
          <t>30.0</t>
        </is>
      </c>
      <c r="F51" s="7" t="n">
        <v>30</v>
      </c>
      <c r="G51" s="7" t="n">
        <v>1</v>
      </c>
      <c r="H51" s="7" t="n">
        <v>3</v>
      </c>
      <c r="I51" s="7" t="n">
        <v>2</v>
      </c>
      <c r="J51" s="8" t="n">
        <v>4483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CAREMARK</t>
        </is>
      </c>
      <c r="C52" s="5" t="inlineStr">
        <is>
          <t>61958230101</t>
        </is>
      </c>
      <c r="D52" s="5" t="inlineStr">
        <is>
          <t>VEMLIDY 25 MG ORAL TABLET</t>
        </is>
      </c>
      <c r="E52" s="6" t="inlineStr">
        <is>
          <t>30.0</t>
        </is>
      </c>
      <c r="F52" s="7" t="n">
        <v>90</v>
      </c>
      <c r="G52" s="7" t="n">
        <v>3</v>
      </c>
      <c r="H52" s="7" t="n">
        <v>3</v>
      </c>
      <c r="I52" s="7" t="n">
        <v>0</v>
      </c>
      <c r="J52" s="8" t="n">
        <v>4413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CAREMARK</t>
        </is>
      </c>
      <c r="C53" s="5" t="inlineStr">
        <is>
          <t>52937000120</t>
        </is>
      </c>
      <c r="D53" s="5" t="inlineStr">
        <is>
          <t>VASCEPA 1GM CAPSULE</t>
        </is>
      </c>
      <c r="E53" s="6" t="inlineStr">
        <is>
          <t>120.0</t>
        </is>
      </c>
      <c r="F53" s="7" t="n">
        <v>1710</v>
      </c>
      <c r="G53" s="7" t="n">
        <v>14.25</v>
      </c>
      <c r="H53" s="7" t="n">
        <v>21</v>
      </c>
      <c r="I53" s="7" t="n">
        <v>6.75</v>
      </c>
      <c r="J53" s="8" t="n">
        <v>4406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CAREMARK</t>
        </is>
      </c>
      <c r="C54" s="5" t="inlineStr">
        <is>
          <t>00088221905</t>
        </is>
      </c>
      <c r="D54" s="5" t="inlineStr">
        <is>
          <t>LANTUS SOLOSTAR 100UNIT/ML INJECTION</t>
        </is>
      </c>
      <c r="E54" s="6" t="inlineStr">
        <is>
          <t>15.0</t>
        </is>
      </c>
      <c r="F54" s="7" t="n">
        <v>738</v>
      </c>
      <c r="G54" s="7" t="n">
        <v>49.2</v>
      </c>
      <c r="H54" s="7" t="n">
        <v>46</v>
      </c>
      <c r="I54" s="7" t="n">
        <v>-3.200000000000003</v>
      </c>
      <c r="J54" s="8" t="n">
        <v>4348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CAREMARK</t>
        </is>
      </c>
      <c r="C55" s="5" t="inlineStr">
        <is>
          <t>00023649810</t>
        </is>
      </c>
      <c r="D55" s="5" t="inlineStr">
        <is>
          <t>UBRELVY 50 MG ORAL TABLET</t>
        </is>
      </c>
      <c r="E55" s="6" t="inlineStr">
        <is>
          <t>10.0</t>
        </is>
      </c>
      <c r="F55" s="7" t="n">
        <v>40</v>
      </c>
      <c r="G55" s="7" t="n">
        <v>4</v>
      </c>
      <c r="H55" s="7" t="n">
        <v>1</v>
      </c>
      <c r="I55" s="7" t="n">
        <v>-3</v>
      </c>
      <c r="J55" s="8" t="n">
        <v>4251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CAREMARK</t>
        </is>
      </c>
      <c r="C56" s="5" t="inlineStr">
        <is>
          <t>00006011231</t>
        </is>
      </c>
      <c r="D56" s="5" t="inlineStr">
        <is>
          <t>JANUVIA 50MG TABLET</t>
        </is>
      </c>
      <c r="E56" s="6" t="inlineStr">
        <is>
          <t>30.0</t>
        </is>
      </c>
      <c r="F56" s="7" t="n">
        <v>720</v>
      </c>
      <c r="G56" s="7" t="n">
        <v>24</v>
      </c>
      <c r="H56" s="7" t="n">
        <v>35</v>
      </c>
      <c r="I56" s="7" t="n">
        <v>11</v>
      </c>
      <c r="J56" s="8" t="n">
        <v>3925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CAREMARK</t>
        </is>
      </c>
      <c r="C57" s="5" t="inlineStr">
        <is>
          <t>00173089310</t>
        </is>
      </c>
      <c r="D57" s="5" t="inlineStr">
        <is>
          <t>TRELEGY ELLIPTA 200-62.5-25 MCG/ACT INHALATION AER</t>
        </is>
      </c>
      <c r="E57" s="6" t="inlineStr">
        <is>
          <t>60.0</t>
        </is>
      </c>
      <c r="F57" s="7" t="n">
        <v>360</v>
      </c>
      <c r="G57" s="7" t="n">
        <v>6</v>
      </c>
      <c r="H57" s="7" t="n">
        <v>6</v>
      </c>
      <c r="I57" s="7" t="n">
        <v>0</v>
      </c>
      <c r="J57" s="8" t="n">
        <v>3922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CAREMARK</t>
        </is>
      </c>
      <c r="C58" s="5" t="inlineStr">
        <is>
          <t>00173088710</t>
        </is>
      </c>
      <c r="D58" s="5" t="inlineStr">
        <is>
          <t>TRELEGY ELLIPTA 100-62.5-25MCG/INH AEROSOL</t>
        </is>
      </c>
      <c r="E58" s="6" t="inlineStr">
        <is>
          <t>60.0</t>
        </is>
      </c>
      <c r="F58" s="7" t="n">
        <v>360</v>
      </c>
      <c r="G58" s="7" t="n">
        <v>6</v>
      </c>
      <c r="H58" s="7" t="n">
        <v>6</v>
      </c>
      <c r="I58" s="7" t="n">
        <v>0</v>
      </c>
      <c r="J58" s="8" t="n">
        <v>3897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CAREMARK</t>
        </is>
      </c>
      <c r="C59" s="5" t="inlineStr">
        <is>
          <t>00169451714</t>
        </is>
      </c>
      <c r="D59" s="5" t="inlineStr">
        <is>
          <t>WEGOVY 1.7 MG/0.75ML AUTO-INJECTOR</t>
        </is>
      </c>
      <c r="E59" s="6" t="inlineStr">
        <is>
          <t>3.0</t>
        </is>
      </c>
      <c r="F59" s="7" t="n">
        <v>9</v>
      </c>
      <c r="G59" s="7" t="n">
        <v>3</v>
      </c>
      <c r="H59" s="7" t="n">
        <v>1</v>
      </c>
      <c r="I59" s="7" t="n">
        <v>-2</v>
      </c>
      <c r="J59" s="8" t="n">
        <v>3781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CAREMARK</t>
        </is>
      </c>
      <c r="C60" s="5" t="inlineStr">
        <is>
          <t>47335050696</t>
        </is>
      </c>
      <c r="D60" s="5" t="inlineStr">
        <is>
          <t>CEQUA 0.09% SOLUTION</t>
        </is>
      </c>
      <c r="E60" s="6" t="inlineStr">
        <is>
          <t>60.0</t>
        </is>
      </c>
      <c r="F60" s="7" t="n">
        <v>360</v>
      </c>
      <c r="G60" s="7" t="n">
        <v>6</v>
      </c>
      <c r="H60" s="7" t="n">
        <v>5</v>
      </c>
      <c r="I60" s="7" t="n">
        <v>-1</v>
      </c>
      <c r="J60" s="8" t="n">
        <v>3638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CAREMARK</t>
        </is>
      </c>
      <c r="C61" s="5" t="inlineStr">
        <is>
          <t>00023921115</t>
        </is>
      </c>
      <c r="D61" s="5" t="inlineStr">
        <is>
          <t>COMBIGAN 0.2-0.5% OPTH SOLUTION 15ML</t>
        </is>
      </c>
      <c r="E61" s="6" t="inlineStr">
        <is>
          <t>15.0</t>
        </is>
      </c>
      <c r="F61" s="7" t="n">
        <v>90</v>
      </c>
      <c r="G61" s="7" t="n">
        <v>6</v>
      </c>
      <c r="H61" s="7" t="n">
        <v>0</v>
      </c>
      <c r="I61" s="7" t="n">
        <v>-6</v>
      </c>
      <c r="J61" s="8" t="n">
        <v>3483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CAREMARK</t>
        </is>
      </c>
      <c r="C62" s="5" t="inlineStr">
        <is>
          <t>00456120330</t>
        </is>
      </c>
      <c r="D62" s="5" t="inlineStr">
        <is>
          <t>LINZESS 72 MCG ORAL CAPSULE</t>
        </is>
      </c>
      <c r="E62" s="6" t="inlineStr">
        <is>
          <t>30.0</t>
        </is>
      </c>
      <c r="F62" s="7" t="n">
        <v>390</v>
      </c>
      <c r="G62" s="7" t="n">
        <v>13</v>
      </c>
      <c r="H62" s="7" t="n">
        <v>14</v>
      </c>
      <c r="I62" s="7" t="n">
        <v>1</v>
      </c>
      <c r="J62" s="8" t="n">
        <v>3436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CAREMARK</t>
        </is>
      </c>
      <c r="C63" s="5" t="inlineStr">
        <is>
          <t>00310737020</t>
        </is>
      </c>
      <c r="D63" s="5" t="inlineStr">
        <is>
          <t>BUDESONIDE/FORMOTEROL 160 /4.5 MCG (SYMBICORT)</t>
        </is>
      </c>
      <c r="E63" s="6" t="inlineStr">
        <is>
          <t>10.2</t>
        </is>
      </c>
      <c r="F63" s="7" t="n">
        <v>224.4</v>
      </c>
      <c r="G63" s="7" t="n">
        <v>22</v>
      </c>
      <c r="H63" s="7" t="n">
        <v>19</v>
      </c>
      <c r="I63" s="7" t="n">
        <v>-3.000000000000004</v>
      </c>
      <c r="J63" s="8" t="n">
        <v>3375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CAREMARK</t>
        </is>
      </c>
      <c r="C64" s="5" t="inlineStr">
        <is>
          <t>00310628030</t>
        </is>
      </c>
      <c r="D64" s="5" t="inlineStr">
        <is>
          <t>XIGDUO XR 10-1000MG TABLET</t>
        </is>
      </c>
      <c r="E64" s="6" t="inlineStr">
        <is>
          <t>30.0</t>
        </is>
      </c>
      <c r="F64" s="7" t="n">
        <v>180</v>
      </c>
      <c r="G64" s="7" t="n">
        <v>6</v>
      </c>
      <c r="H64" s="7" t="n">
        <v>8</v>
      </c>
      <c r="I64" s="7" t="n">
        <v>2</v>
      </c>
      <c r="J64" s="8" t="n">
        <v>3355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CAREMARK</t>
        </is>
      </c>
      <c r="C65" s="5" t="inlineStr">
        <is>
          <t>00310625030</t>
        </is>
      </c>
      <c r="D65" s="5" t="inlineStr">
        <is>
          <t>XIGDUO XR 5-500MG TABLET EXTENDED RELEASE</t>
        </is>
      </c>
      <c r="E65" s="6" t="inlineStr">
        <is>
          <t>30.0</t>
        </is>
      </c>
      <c r="F65" s="7" t="n">
        <v>180</v>
      </c>
      <c r="G65" s="7" t="n">
        <v>6</v>
      </c>
      <c r="H65" s="7" t="n">
        <v>2</v>
      </c>
      <c r="I65" s="7" t="n">
        <v>-4</v>
      </c>
      <c r="J65" s="8" t="n">
        <v>3346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CAREMARK</t>
        </is>
      </c>
      <c r="C66" s="5" t="inlineStr">
        <is>
          <t>00032301613</t>
        </is>
      </c>
      <c r="D66" s="5" t="inlineStr">
        <is>
          <t>CREON 36000UNIT CAPSULE</t>
        </is>
      </c>
      <c r="E66" s="6" t="inlineStr">
        <is>
          <t>100.0</t>
        </is>
      </c>
      <c r="F66" s="7" t="n">
        <v>270</v>
      </c>
      <c r="G66" s="7" t="n">
        <v>2.7</v>
      </c>
      <c r="H66" s="7" t="n">
        <v>3</v>
      </c>
      <c r="I66" s="7" t="n">
        <v>0.2999999999999998</v>
      </c>
      <c r="J66" s="8" t="n">
        <v>3242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CAREMARK</t>
        </is>
      </c>
      <c r="C67" s="5" t="inlineStr">
        <is>
          <t>00186504031</t>
        </is>
      </c>
      <c r="D67" s="5" t="inlineStr">
        <is>
          <t>NEXIUM 40MG CAPSULE</t>
        </is>
      </c>
      <c r="E67" s="6" t="inlineStr">
        <is>
          <t>30.0</t>
        </is>
      </c>
      <c r="F67" s="7" t="n">
        <v>360</v>
      </c>
      <c r="G67" s="7" t="n">
        <v>12</v>
      </c>
      <c r="H67" s="7" t="n">
        <v>9</v>
      </c>
      <c r="I67" s="7" t="n">
        <v>-3</v>
      </c>
      <c r="J67" s="8" t="n">
        <v>3112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CAREMARK</t>
        </is>
      </c>
      <c r="C68" s="5" t="inlineStr">
        <is>
          <t>00597016860</t>
        </is>
      </c>
      <c r="D68" s="5" t="inlineStr">
        <is>
          <t>SYNJARDY 12.5-1000MG TABLET</t>
        </is>
      </c>
      <c r="E68" s="6" t="inlineStr">
        <is>
          <t>60.0</t>
        </is>
      </c>
      <c r="F68" s="7" t="n">
        <v>330</v>
      </c>
      <c r="G68" s="7" t="n">
        <v>5.5</v>
      </c>
      <c r="H68" s="7" t="n">
        <v>7</v>
      </c>
      <c r="I68" s="7" t="n">
        <v>1.5</v>
      </c>
      <c r="J68" s="8" t="n">
        <v>2961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CAREMARK</t>
        </is>
      </c>
      <c r="C69" s="5" t="inlineStr">
        <is>
          <t>00002143480</t>
        </is>
      </c>
      <c r="D69" s="5" t="inlineStr">
        <is>
          <t>TRULICITY 1.5MG/0.5ML INJECTION</t>
        </is>
      </c>
      <c r="E69" s="6" t="inlineStr">
        <is>
          <t>2.0</t>
        </is>
      </c>
      <c r="F69" s="7" t="n">
        <v>6</v>
      </c>
      <c r="G69" s="7" t="n">
        <v>3</v>
      </c>
      <c r="H69" s="7" t="n">
        <v>6</v>
      </c>
      <c r="I69" s="7" t="n">
        <v>3</v>
      </c>
      <c r="J69" s="8" t="n">
        <v>2822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CAREMARK</t>
        </is>
      </c>
      <c r="C70" s="5" t="inlineStr">
        <is>
          <t>24208050402</t>
        </is>
      </c>
      <c r="D70" s="5" t="inlineStr">
        <is>
          <t>VYZULTA 0.024 % OPHTHALMIC SOLUTION</t>
        </is>
      </c>
      <c r="E70" s="6" t="inlineStr">
        <is>
          <t>2.5</t>
        </is>
      </c>
      <c r="F70" s="7" t="n">
        <v>27.5</v>
      </c>
      <c r="G70" s="7" t="n">
        <v>11</v>
      </c>
      <c r="H70" s="7" t="n">
        <v>0</v>
      </c>
      <c r="I70" s="7" t="n">
        <v>-11</v>
      </c>
      <c r="J70" s="8" t="n">
        <v>2745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CAREMARK</t>
        </is>
      </c>
      <c r="C71" s="5" t="inlineStr">
        <is>
          <t>80610043060</t>
        </is>
      </c>
      <c r="D71" s="5" t="inlineStr">
        <is>
          <t>ZORYVE 0.3 % EXTERNAL FOAM</t>
        </is>
      </c>
      <c r="E71" s="6" t="inlineStr">
        <is>
          <t>60.0</t>
        </is>
      </c>
      <c r="F71" s="7" t="n">
        <v>180</v>
      </c>
      <c r="G71" s="7" t="n">
        <v>3</v>
      </c>
      <c r="H71" s="7" t="n">
        <v>0</v>
      </c>
      <c r="I71" s="7" t="n">
        <v>-3</v>
      </c>
      <c r="J71" s="8" t="n">
        <v>2663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CAREMARK</t>
        </is>
      </c>
      <c r="C72" s="5" t="inlineStr">
        <is>
          <t>00169291115</t>
        </is>
      </c>
      <c r="D72" s="5" t="inlineStr">
        <is>
          <t>XULTOPHY 100-3.6UNIT INJECTION</t>
        </is>
      </c>
      <c r="E72" s="6" t="inlineStr">
        <is>
          <t>15.0</t>
        </is>
      </c>
      <c r="F72" s="7" t="n">
        <v>30</v>
      </c>
      <c r="G72" s="7" t="n">
        <v>2</v>
      </c>
      <c r="H72" s="7" t="n">
        <v>2</v>
      </c>
      <c r="I72" s="7" t="n">
        <v>0</v>
      </c>
      <c r="J72" s="8" t="n">
        <v>2505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CAREMARK</t>
        </is>
      </c>
      <c r="C73" s="5" t="inlineStr">
        <is>
          <t>00023530105</t>
        </is>
      </c>
      <c r="D73" s="5" t="inlineStr">
        <is>
          <t>RESTASIS MULTIDOSE 0.05 % OPHTHALMIC EMULSION</t>
        </is>
      </c>
      <c r="E73" s="6" t="inlineStr">
        <is>
          <t>5.5</t>
        </is>
      </c>
      <c r="F73" s="7" t="n">
        <v>22</v>
      </c>
      <c r="G73" s="7" t="n">
        <v>4</v>
      </c>
      <c r="H73" s="7" t="n">
        <v>4</v>
      </c>
      <c r="I73" s="7" t="n">
        <v>0</v>
      </c>
      <c r="J73" s="8" t="n">
        <v>2441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CAREMARK</t>
        </is>
      </c>
      <c r="C74" s="5" t="inlineStr">
        <is>
          <t>58151028301</t>
        </is>
      </c>
      <c r="D74" s="5" t="inlineStr">
        <is>
          <t>NEURONTIN 400 MG ORAL CAPSULE</t>
        </is>
      </c>
      <c r="E74" s="6" t="inlineStr">
        <is>
          <t>100.0</t>
        </is>
      </c>
      <c r="F74" s="7" t="n">
        <v>270</v>
      </c>
      <c r="G74" s="7" t="n">
        <v>2.7</v>
      </c>
      <c r="H74" s="7" t="n">
        <v>2</v>
      </c>
      <c r="I74" s="7" t="n">
        <v>-0.7000000000000002</v>
      </c>
      <c r="J74" s="8" t="n">
        <v>2349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CAREMARK</t>
        </is>
      </c>
      <c r="C75" s="5" t="inlineStr">
        <is>
          <t>71699010030</t>
        </is>
      </c>
      <c r="D75" s="5" t="inlineStr">
        <is>
          <t>XCOPRI 100 MG ORAL TABLET</t>
        </is>
      </c>
      <c r="E75" s="6" t="inlineStr">
        <is>
          <t>30.0</t>
        </is>
      </c>
      <c r="F75" s="7" t="n">
        <v>60</v>
      </c>
      <c r="G75" s="7" t="n">
        <v>2</v>
      </c>
      <c r="H75" s="7" t="n">
        <v>2</v>
      </c>
      <c r="I75" s="7" t="n">
        <v>0</v>
      </c>
      <c r="J75" s="8" t="n">
        <v>2337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CAREMARK</t>
        </is>
      </c>
      <c r="C76" s="5" t="inlineStr">
        <is>
          <t>00074709630</t>
        </is>
      </c>
      <c r="D76" s="5" t="inlineStr">
        <is>
          <t>QULIPTA 30 MG ORAL TABLET</t>
        </is>
      </c>
      <c r="E76" s="6" t="inlineStr">
        <is>
          <t>30.0</t>
        </is>
      </c>
      <c r="F76" s="7" t="n">
        <v>60</v>
      </c>
      <c r="G76" s="7" t="n">
        <v>2</v>
      </c>
      <c r="H76" s="7" t="n">
        <v>0</v>
      </c>
      <c r="I76" s="7" t="n">
        <v>-2</v>
      </c>
      <c r="J76" s="8" t="n">
        <v>2245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CAREMARK</t>
        </is>
      </c>
      <c r="C77" s="5" t="inlineStr">
        <is>
          <t>82667090002</t>
        </is>
      </c>
      <c r="D77" s="5" t="inlineStr">
        <is>
          <t>VEVYE 0.1 % OPHTHALMIC SOLUTION</t>
        </is>
      </c>
      <c r="E77" s="6" t="inlineStr">
        <is>
          <t>2.0</t>
        </is>
      </c>
      <c r="F77" s="7" t="n">
        <v>6</v>
      </c>
      <c r="G77" s="7" t="n">
        <v>3</v>
      </c>
      <c r="H77" s="7" t="n">
        <v>3</v>
      </c>
      <c r="I77" s="7" t="n">
        <v>0</v>
      </c>
      <c r="J77" s="8" t="n">
        <v>2191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CAREMARK</t>
        </is>
      </c>
      <c r="C78" s="5" t="inlineStr">
        <is>
          <t>00032263601</t>
        </is>
      </c>
      <c r="D78" s="5" t="inlineStr">
        <is>
          <t>CREON 24000-76000 UNIT CAPSULE DR</t>
        </is>
      </c>
      <c r="E78" s="6" t="inlineStr">
        <is>
          <t>100.0</t>
        </is>
      </c>
      <c r="F78" s="7" t="n">
        <v>270</v>
      </c>
      <c r="G78" s="7" t="n">
        <v>2.7</v>
      </c>
      <c r="H78" s="7" t="n">
        <v>3</v>
      </c>
      <c r="I78" s="7" t="n">
        <v>0.2999999999999998</v>
      </c>
      <c r="J78" s="8" t="n">
        <v>2190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CAREMARK</t>
        </is>
      </c>
      <c r="C79" s="5" t="inlineStr">
        <is>
          <t>69557011130</t>
        </is>
      </c>
      <c r="D79" s="5" t="inlineStr">
        <is>
          <t>ZTLIDO 1.8 % EXTERNAL PATCH</t>
        </is>
      </c>
      <c r="E79" s="6" t="inlineStr">
        <is>
          <t>30.0</t>
        </is>
      </c>
      <c r="F79" s="7" t="n">
        <v>180</v>
      </c>
      <c r="G79" s="7" t="n">
        <v>6</v>
      </c>
      <c r="H79" s="7" t="n">
        <v>4</v>
      </c>
      <c r="I79" s="7" t="n">
        <v>-2</v>
      </c>
      <c r="J79" s="8" t="n">
        <v>2126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CAREMARK</t>
        </is>
      </c>
      <c r="C80" s="5" t="inlineStr">
        <is>
          <t>00169633910</t>
        </is>
      </c>
      <c r="D80" s="5" t="inlineStr">
        <is>
          <t>NOVOLOG FLEXPEN 100UNIT/ML INJECTION</t>
        </is>
      </c>
      <c r="E80" s="6" t="inlineStr">
        <is>
          <t>15.0</t>
        </is>
      </c>
      <c r="F80" s="7" t="n">
        <v>237</v>
      </c>
      <c r="G80" s="7" t="n">
        <v>15.8</v>
      </c>
      <c r="H80" s="7" t="n">
        <v>6</v>
      </c>
      <c r="I80" s="7" t="n">
        <v>-9.800000000000001</v>
      </c>
      <c r="J80" s="8" t="n">
        <v>2033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CAREMARK</t>
        </is>
      </c>
      <c r="C81" s="5" t="inlineStr">
        <is>
          <t>71571033383</t>
        </is>
      </c>
      <c r="D81" s="5" t="inlineStr">
        <is>
          <t>EYSUVIS 0.25 % OPHTHALMIC SUSPENSION</t>
        </is>
      </c>
      <c r="E81" s="6" t="inlineStr">
        <is>
          <t>8.3</t>
        </is>
      </c>
      <c r="F81" s="7" t="n">
        <v>33.2</v>
      </c>
      <c r="G81" s="7" t="n">
        <v>4</v>
      </c>
      <c r="H81" s="7" t="n">
        <v>1</v>
      </c>
      <c r="I81" s="7" t="n">
        <v>-3</v>
      </c>
      <c r="J81" s="8" t="n">
        <v>1992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CAREMARK</t>
        </is>
      </c>
      <c r="C82" s="5" t="inlineStr">
        <is>
          <t>00310737220</t>
        </is>
      </c>
      <c r="D82" s="5" t="inlineStr">
        <is>
          <t>BUDESONIDE-FORMOTEROL FUMARATE 80-4.5MCG/ACT AEROSOL</t>
        </is>
      </c>
      <c r="E82" s="6" t="inlineStr">
        <is>
          <t>10.2</t>
        </is>
      </c>
      <c r="F82" s="7" t="n">
        <v>183.6</v>
      </c>
      <c r="G82" s="7" t="n">
        <v>18</v>
      </c>
      <c r="H82" s="7" t="n">
        <v>9</v>
      </c>
      <c r="I82" s="7" t="n">
        <v>-9</v>
      </c>
      <c r="J82" s="8" t="n">
        <v>1937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CAREMARK</t>
        </is>
      </c>
      <c r="C83" s="5" t="inlineStr">
        <is>
          <t>70727049725</t>
        </is>
      </c>
      <c r="D83" s="5" t="inlineStr">
        <is>
          <t>RHOPRESSA 0.02 % OPHTHALMIC SOLUTION</t>
        </is>
      </c>
      <c r="E83" s="6" t="inlineStr">
        <is>
          <t>2.5</t>
        </is>
      </c>
      <c r="F83" s="7" t="n">
        <v>15</v>
      </c>
      <c r="G83" s="7" t="n">
        <v>6</v>
      </c>
      <c r="H83" s="7" t="n">
        <v>0</v>
      </c>
      <c r="I83" s="7" t="n">
        <v>-6</v>
      </c>
      <c r="J83" s="8" t="n">
        <v>1928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CAREMARK</t>
        </is>
      </c>
      <c r="C84" s="5" t="inlineStr">
        <is>
          <t>60505451803</t>
        </is>
      </c>
      <c r="D84" s="5" t="inlineStr">
        <is>
          <t>PAXIL 20 MG ORAL TABLET</t>
        </is>
      </c>
      <c r="E84" s="6" t="inlineStr">
        <is>
          <t>30.0</t>
        </is>
      </c>
      <c r="F84" s="7" t="n">
        <v>180</v>
      </c>
      <c r="G84" s="7" t="n">
        <v>6</v>
      </c>
      <c r="H84" s="7" t="n">
        <v>4</v>
      </c>
      <c r="I84" s="7" t="n">
        <v>-2</v>
      </c>
      <c r="J84" s="8" t="n">
        <v>1922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CAREMARK</t>
        </is>
      </c>
      <c r="C85" s="5" t="inlineStr">
        <is>
          <t>50484001090</t>
        </is>
      </c>
      <c r="D85" s="5" t="inlineStr">
        <is>
          <t>SANTYL 250 UNIT/GM EXTERNAL OINTMENT</t>
        </is>
      </c>
      <c r="E85" s="6" t="inlineStr">
        <is>
          <t>90.0</t>
        </is>
      </c>
      <c r="F85" s="7" t="n">
        <v>180</v>
      </c>
      <c r="G85" s="7" t="n">
        <v>2</v>
      </c>
      <c r="H85" s="7" t="n">
        <v>1</v>
      </c>
      <c r="I85" s="7" t="n">
        <v>-1</v>
      </c>
      <c r="J85" s="8" t="n">
        <v>1916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CAREMARK</t>
        </is>
      </c>
      <c r="C86" s="5" t="inlineStr">
        <is>
          <t>00006008131</t>
        </is>
      </c>
      <c r="D86" s="5" t="inlineStr">
        <is>
          <t>JANUMET XR 100-1000MG TABLET</t>
        </is>
      </c>
      <c r="E86" s="6" t="inlineStr">
        <is>
          <t>30.0</t>
        </is>
      </c>
      <c r="F86" s="7" t="n">
        <v>180</v>
      </c>
      <c r="G86" s="7" t="n">
        <v>6</v>
      </c>
      <c r="H86" s="7" t="n">
        <v>8</v>
      </c>
      <c r="I86" s="7" t="n">
        <v>2</v>
      </c>
      <c r="J86" s="8" t="n">
        <v>1876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CAREMARK</t>
        </is>
      </c>
      <c r="C87" s="5" t="inlineStr">
        <is>
          <t>00006057561</t>
        </is>
      </c>
      <c r="D87" s="5" t="inlineStr">
        <is>
          <t>JANUMET 50-500 MG ORAL TABLET</t>
        </is>
      </c>
      <c r="E87" s="6" t="inlineStr">
        <is>
          <t>60.0</t>
        </is>
      </c>
      <c r="F87" s="7" t="n">
        <v>360</v>
      </c>
      <c r="G87" s="7" t="n">
        <v>6</v>
      </c>
      <c r="H87" s="7" t="n">
        <v>3</v>
      </c>
      <c r="I87" s="7" t="n">
        <v>-3</v>
      </c>
      <c r="J87" s="8" t="n">
        <v>1824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CAREMARK</t>
        </is>
      </c>
      <c r="C88" s="5" t="inlineStr">
        <is>
          <t>55513071021</t>
        </is>
      </c>
      <c r="D88" s="5" t="inlineStr">
        <is>
          <t>PROLIA 60 MG/ML SUBCUTANEOUS SOLUTION PREFILLED SYRINGE</t>
        </is>
      </c>
      <c r="E88" s="6" t="inlineStr">
        <is>
          <t>1.0</t>
        </is>
      </c>
      <c r="F88" s="7" t="n">
        <v>1</v>
      </c>
      <c r="G88" s="7" t="n">
        <v>1</v>
      </c>
      <c r="H88" s="7" t="n">
        <v>0</v>
      </c>
      <c r="I88" s="7" t="n">
        <v>-1</v>
      </c>
      <c r="J88" s="8" t="n">
        <v>1808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CAREMARK</t>
        </is>
      </c>
      <c r="C89" s="5" t="inlineStr">
        <is>
          <t>70727052925</t>
        </is>
      </c>
      <c r="D89" s="5" t="inlineStr">
        <is>
          <t>ROCKLATAN 0.02-0.005% SOLUTION</t>
        </is>
      </c>
      <c r="E89" s="6" t="inlineStr">
        <is>
          <t>2.5</t>
        </is>
      </c>
      <c r="F89" s="7" t="n">
        <v>12.5</v>
      </c>
      <c r="G89" s="7" t="n">
        <v>5</v>
      </c>
      <c r="H89" s="7" t="n">
        <v>5</v>
      </c>
      <c r="I89" s="7" t="n">
        <v>0</v>
      </c>
      <c r="J89" s="8" t="n">
        <v>1702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CAREMARK</t>
        </is>
      </c>
      <c r="C90" s="5" t="inlineStr">
        <is>
          <t>00310626060</t>
        </is>
      </c>
      <c r="D90" s="5" t="inlineStr">
        <is>
          <t>XIGDUO XR 5-1000 MG TABLET ER</t>
        </is>
      </c>
      <c r="E90" s="6" t="inlineStr">
        <is>
          <t>60.0</t>
        </is>
      </c>
      <c r="F90" s="7" t="n">
        <v>180</v>
      </c>
      <c r="G90" s="7" t="n">
        <v>3</v>
      </c>
      <c r="H90" s="7" t="n">
        <v>3</v>
      </c>
      <c r="I90" s="7" t="n">
        <v>0</v>
      </c>
      <c r="J90" s="8" t="n">
        <v>1682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CAREMARK</t>
        </is>
      </c>
      <c r="C91" s="5" t="inlineStr">
        <is>
          <t>59137053004</t>
        </is>
      </c>
      <c r="D91" s="5" t="inlineStr">
        <is>
          <t>RASUVO 20MG/0.4ML INJECTION</t>
        </is>
      </c>
      <c r="E91" s="6" t="inlineStr">
        <is>
          <t>1.6</t>
        </is>
      </c>
      <c r="F91" s="7" t="n">
        <v>4.800000000000001</v>
      </c>
      <c r="G91" s="7" t="n">
        <v>3</v>
      </c>
      <c r="H91" s="7" t="n">
        <v>3</v>
      </c>
      <c r="I91" s="7" t="n">
        <v>-4.440892098500626e-16</v>
      </c>
      <c r="J91" s="8" t="n">
        <v>1653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CAREMARK</t>
        </is>
      </c>
      <c r="C92" s="5" t="inlineStr">
        <is>
          <t>00023921110</t>
        </is>
      </c>
      <c r="D92" s="5" t="inlineStr">
        <is>
          <t>COMBIGAN 0.2-0.5% OPTH SOLUTION 10ML</t>
        </is>
      </c>
      <c r="E92" s="6" t="inlineStr">
        <is>
          <t>10.0</t>
        </is>
      </c>
      <c r="F92" s="7" t="n">
        <v>40</v>
      </c>
      <c r="G92" s="7" t="n">
        <v>4</v>
      </c>
      <c r="H92" s="7" t="n">
        <v>0</v>
      </c>
      <c r="I92" s="7" t="n">
        <v>-4</v>
      </c>
      <c r="J92" s="8" t="n">
        <v>1543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CAREMARK</t>
        </is>
      </c>
      <c r="C93" s="5" t="inlineStr">
        <is>
          <t>00023320505</t>
        </is>
      </c>
      <c r="D93" s="5" t="inlineStr">
        <is>
          <t>LUMIGAN 0.01 % OPHTHALMIC SOLUTION</t>
        </is>
      </c>
      <c r="E93" s="6" t="inlineStr">
        <is>
          <t>5.0</t>
        </is>
      </c>
      <c r="F93" s="7" t="n">
        <v>15</v>
      </c>
      <c r="G93" s="7" t="n">
        <v>3</v>
      </c>
      <c r="H93" s="7" t="n">
        <v>1</v>
      </c>
      <c r="I93" s="7" t="n">
        <v>-2</v>
      </c>
      <c r="J93" s="8" t="n">
        <v>1518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CAREMARK</t>
        </is>
      </c>
      <c r="C94" s="5" t="inlineStr">
        <is>
          <t>82584000330</t>
        </is>
      </c>
      <c r="D94" s="5" t="inlineStr">
        <is>
          <t>IYUZEH 0.005 % OPHTHALMIC SOLUTION</t>
        </is>
      </c>
      <c r="E94" s="6" t="inlineStr">
        <is>
          <t>30.0</t>
        </is>
      </c>
      <c r="F94" s="7" t="n">
        <v>150</v>
      </c>
      <c r="G94" s="7" t="n">
        <v>5</v>
      </c>
      <c r="H94" s="7" t="n">
        <v>1</v>
      </c>
      <c r="I94" s="7" t="n">
        <v>-4</v>
      </c>
      <c r="J94" s="8" t="n">
        <v>1485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CAREMARK</t>
        </is>
      </c>
      <c r="C95" s="5" t="inlineStr">
        <is>
          <t>64764073030</t>
        </is>
      </c>
      <c r="D95" s="5" t="inlineStr">
        <is>
          <t>TRINTELLIX 10MG TABLET</t>
        </is>
      </c>
      <c r="E95" s="6" t="inlineStr">
        <is>
          <t>30.0</t>
        </is>
      </c>
      <c r="F95" s="7" t="n">
        <v>90</v>
      </c>
      <c r="G95" s="7" t="n">
        <v>3</v>
      </c>
      <c r="H95" s="7" t="n">
        <v>3</v>
      </c>
      <c r="I95" s="7" t="n">
        <v>0</v>
      </c>
      <c r="J95" s="8" t="n">
        <v>1483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CAREMARK</t>
        </is>
      </c>
      <c r="C96" s="5" t="inlineStr">
        <is>
          <t>59148003613</t>
        </is>
      </c>
      <c r="D96" s="5" t="inlineStr">
        <is>
          <t>REXULTI 0.5 MG ORAL TABLET</t>
        </is>
      </c>
      <c r="E96" s="6" t="inlineStr">
        <is>
          <t>30.0</t>
        </is>
      </c>
      <c r="F96" s="7" t="n">
        <v>30</v>
      </c>
      <c r="G96" s="7" t="n">
        <v>1</v>
      </c>
      <c r="H96" s="7" t="n">
        <v>1</v>
      </c>
      <c r="I96" s="7" t="n">
        <v>0</v>
      </c>
      <c r="J96" s="8" t="n">
        <v>1475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CAREMARK</t>
        </is>
      </c>
      <c r="C97" s="5" t="inlineStr">
        <is>
          <t>00310908012</t>
        </is>
      </c>
      <c r="D97" s="5" t="inlineStr">
        <is>
          <t>AIRSUPRA 90-80 MCG/ACT INHALATION AEROSOL</t>
        </is>
      </c>
      <c r="E97" s="6" t="inlineStr">
        <is>
          <t>10.7</t>
        </is>
      </c>
      <c r="F97" s="7" t="n">
        <v>32.09999999999999</v>
      </c>
      <c r="G97" s="7" t="n">
        <v>3</v>
      </c>
      <c r="H97" s="7" t="n">
        <v>4</v>
      </c>
      <c r="I97" s="7" t="n">
        <v>1</v>
      </c>
      <c r="J97" s="8" t="n">
        <v>1428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CAREMARK</t>
        </is>
      </c>
      <c r="C98" s="5" t="inlineStr">
        <is>
          <t>00069504530</t>
        </is>
      </c>
      <c r="D98" s="5" t="inlineStr">
        <is>
          <t>PAXLOVID (300/100) 20 X 150 MG &amp; 10 X 100MG TABLET THERAPY PACK</t>
        </is>
      </c>
      <c r="E98" s="6" t="inlineStr">
        <is>
          <t>30.0</t>
        </is>
      </c>
      <c r="F98" s="7" t="n">
        <v>30</v>
      </c>
      <c r="G98" s="7" t="n">
        <v>1</v>
      </c>
      <c r="H98" s="7" t="n">
        <v>1</v>
      </c>
      <c r="I98" s="7" t="n">
        <v>0</v>
      </c>
      <c r="J98" s="8" t="n">
        <v>1383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CAREMARK</t>
        </is>
      </c>
      <c r="C99" s="5" t="inlineStr">
        <is>
          <t>00173087310</t>
        </is>
      </c>
      <c r="D99" s="5" t="inlineStr">
        <is>
          <t>INCRUSE ELLIPTA 62.5MCG/INH AEROSOL</t>
        </is>
      </c>
      <c r="E99" s="6" t="inlineStr">
        <is>
          <t>30.0</t>
        </is>
      </c>
      <c r="F99" s="7" t="n">
        <v>120</v>
      </c>
      <c r="G99" s="7" t="n">
        <v>4</v>
      </c>
      <c r="H99" s="7" t="n">
        <v>3</v>
      </c>
      <c r="I99" s="7" t="n">
        <v>-1</v>
      </c>
      <c r="J99" s="8" t="n">
        <v>1341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CAREMARK</t>
        </is>
      </c>
      <c r="C100" s="5" t="inlineStr">
        <is>
          <t>50458057830</t>
        </is>
      </c>
      <c r="D100" s="5" t="inlineStr">
        <is>
          <t>XARELTO 15MG TAB</t>
        </is>
      </c>
      <c r="E100" s="6" t="inlineStr">
        <is>
          <t>30.0</t>
        </is>
      </c>
      <c r="F100" s="7" t="n">
        <v>180</v>
      </c>
      <c r="G100" s="7" t="n">
        <v>6</v>
      </c>
      <c r="H100" s="7" t="n">
        <v>5</v>
      </c>
      <c r="I100" s="7" t="n">
        <v>-1</v>
      </c>
      <c r="J100" s="8" t="n">
        <v>1232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CAREMARK</t>
        </is>
      </c>
      <c r="C101" s="5" t="inlineStr">
        <is>
          <t>00006022131</t>
        </is>
      </c>
      <c r="D101" s="5" t="inlineStr">
        <is>
          <t>JANUVIA 25MG TABLET</t>
        </is>
      </c>
      <c r="E101" s="6" t="inlineStr">
        <is>
          <t>30.0</t>
        </is>
      </c>
      <c r="F101" s="7" t="n">
        <v>120</v>
      </c>
      <c r="G101" s="7" t="n">
        <v>4</v>
      </c>
      <c r="H101" s="7" t="n">
        <v>11</v>
      </c>
      <c r="I101" s="7" t="n">
        <v>7</v>
      </c>
      <c r="J101" s="8" t="n">
        <v>1231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CAREMARK</t>
        </is>
      </c>
      <c r="C102" s="5" t="inlineStr">
        <is>
          <t>00169266015</t>
        </is>
      </c>
      <c r="D102" s="5" t="inlineStr">
        <is>
          <t>TRESIBA FLEXTOUCH 100UNIT/ML INJECTION</t>
        </is>
      </c>
      <c r="E102" s="6" t="inlineStr">
        <is>
          <t>15.0</t>
        </is>
      </c>
      <c r="F102" s="7" t="n">
        <v>39</v>
      </c>
      <c r="G102" s="7" t="n">
        <v>2.6</v>
      </c>
      <c r="H102" s="7" t="n">
        <v>0</v>
      </c>
      <c r="I102" s="7" t="n">
        <v>-2.6</v>
      </c>
      <c r="J102" s="8" t="n">
        <v>1225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CAREMARK</t>
        </is>
      </c>
      <c r="C103" s="5" t="inlineStr">
        <is>
          <t>72426011803</t>
        </is>
      </c>
      <c r="D103" s="5" t="inlineStr">
        <is>
          <t>NEXLETOL 180 MG ORAL TABLET</t>
        </is>
      </c>
      <c r="E103" s="6" t="inlineStr">
        <is>
          <t>30.0</t>
        </is>
      </c>
      <c r="F103" s="7" t="n">
        <v>90</v>
      </c>
      <c r="G103" s="7" t="n">
        <v>3</v>
      </c>
      <c r="H103" s="7" t="n">
        <v>3</v>
      </c>
      <c r="I103" s="7" t="n">
        <v>0</v>
      </c>
      <c r="J103" s="8" t="n">
        <v>1210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CAREMARK</t>
        </is>
      </c>
      <c r="C104" s="5" t="inlineStr">
        <is>
          <t>72426081803</t>
        </is>
      </c>
      <c r="D104" s="5" t="inlineStr">
        <is>
          <t>NEXLIZET 180-10MG TABLET</t>
        </is>
      </c>
      <c r="E104" s="6" t="inlineStr">
        <is>
          <t>30.0</t>
        </is>
      </c>
      <c r="F104" s="7" t="n">
        <v>90</v>
      </c>
      <c r="G104" s="7" t="n">
        <v>3</v>
      </c>
      <c r="H104" s="7" t="n">
        <v>3</v>
      </c>
      <c r="I104" s="7" t="n">
        <v>0</v>
      </c>
      <c r="J104" s="8" t="n">
        <v>1210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CAREMARK</t>
        </is>
      </c>
      <c r="C105" s="5" t="inlineStr">
        <is>
          <t>71699020030</t>
        </is>
      </c>
      <c r="D105" s="5" t="inlineStr">
        <is>
          <t>XCOPRI 200 MG ORAL TABLET</t>
        </is>
      </c>
      <c r="E105" s="6" t="inlineStr">
        <is>
          <t>30.0</t>
        </is>
      </c>
      <c r="F105" s="7" t="n">
        <v>30</v>
      </c>
      <c r="G105" s="7" t="n">
        <v>1</v>
      </c>
      <c r="H105" s="7" t="n">
        <v>1</v>
      </c>
      <c r="I105" s="7" t="n">
        <v>0</v>
      </c>
      <c r="J105" s="8" t="n">
        <v>1191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CAREMARK</t>
        </is>
      </c>
      <c r="C106" s="5" t="inlineStr">
        <is>
          <t>08627007701</t>
        </is>
      </c>
      <c r="D106" s="5" t="inlineStr">
        <is>
          <t>DEXCOM G7 SENSOR</t>
        </is>
      </c>
      <c r="E106" s="6" t="inlineStr">
        <is>
          <t>1.0</t>
        </is>
      </c>
      <c r="F106" s="7" t="n">
        <v>9</v>
      </c>
      <c r="G106" s="7" t="n">
        <v>9</v>
      </c>
      <c r="H106" s="7" t="n">
        <v>32</v>
      </c>
      <c r="I106" s="7" t="n">
        <v>23</v>
      </c>
      <c r="J106" s="8" t="n">
        <v>1150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CAREMARK</t>
        </is>
      </c>
      <c r="C107" s="5" t="inlineStr">
        <is>
          <t>00005200010</t>
        </is>
      </c>
      <c r="D107" s="5" t="inlineStr">
        <is>
          <t>PREVNAR 20 0.5 ML PREFILLED SYRINGE</t>
        </is>
      </c>
      <c r="E107" s="6" t="inlineStr">
        <is>
          <t>5.0</t>
        </is>
      </c>
      <c r="F107" s="7" t="n">
        <v>2</v>
      </c>
      <c r="G107" s="7" t="n">
        <v>0.4</v>
      </c>
      <c r="H107" s="7" t="n">
        <v>0</v>
      </c>
      <c r="I107" s="7" t="n">
        <v>-0.4</v>
      </c>
      <c r="J107" s="8" t="n">
        <v>1106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CAREMARK</t>
        </is>
      </c>
      <c r="C108" s="5" t="inlineStr">
        <is>
          <t>00002248480</t>
        </is>
      </c>
      <c r="D108" s="5" t="inlineStr">
        <is>
          <t>ZEPBOUND 7.5 MG/0.5ML AUTO-INJECTOR</t>
        </is>
      </c>
      <c r="E108" s="6" t="inlineStr">
        <is>
          <t>2.0</t>
        </is>
      </c>
      <c r="F108" s="7" t="n">
        <v>2</v>
      </c>
      <c r="G108" s="7" t="n">
        <v>1</v>
      </c>
      <c r="H108" s="7" t="n">
        <v>2</v>
      </c>
      <c r="I108" s="7" t="n">
        <v>1</v>
      </c>
      <c r="J108" s="8" t="n">
        <v>1027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CAREMARK</t>
        </is>
      </c>
      <c r="C109" s="5" t="inlineStr">
        <is>
          <t>00002250680</t>
        </is>
      </c>
      <c r="D109" s="5" t="inlineStr">
        <is>
          <t>ZEPBOUND 2.5 MG/0.5ML AUTO-INJECTOR</t>
        </is>
      </c>
      <c r="E109" s="6" t="inlineStr">
        <is>
          <t>2.0</t>
        </is>
      </c>
      <c r="F109" s="7" t="n">
        <v>2</v>
      </c>
      <c r="G109" s="7" t="n">
        <v>1</v>
      </c>
      <c r="H109" s="7" t="n">
        <v>1</v>
      </c>
      <c r="I109" s="7" t="n">
        <v>0</v>
      </c>
      <c r="J109" s="8" t="n">
        <v>1027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CAREMARK</t>
        </is>
      </c>
      <c r="C110" s="5" t="inlineStr">
        <is>
          <t>00002249580</t>
        </is>
      </c>
      <c r="D110" s="5" t="inlineStr">
        <is>
          <t>ZEPBOUND 5 MG/0.5ML AUTO-INJECTOR</t>
        </is>
      </c>
      <c r="E110" s="6" t="inlineStr">
        <is>
          <t>2.0</t>
        </is>
      </c>
      <c r="F110" s="7" t="n">
        <v>2</v>
      </c>
      <c r="G110" s="7" t="n">
        <v>1</v>
      </c>
      <c r="H110" s="7" t="n">
        <v>1</v>
      </c>
      <c r="I110" s="7" t="n">
        <v>0</v>
      </c>
      <c r="J110" s="8" t="n">
        <v>1027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CAREMARK</t>
        </is>
      </c>
      <c r="C111" s="5" t="inlineStr">
        <is>
          <t>62856040530</t>
        </is>
      </c>
      <c r="D111" s="5" t="inlineStr">
        <is>
          <t>DAYVIGO 5 MG ORAL TABLET</t>
        </is>
      </c>
      <c r="E111" s="6" t="inlineStr">
        <is>
          <t>30.0</t>
        </is>
      </c>
      <c r="F111" s="7" t="n">
        <v>90</v>
      </c>
      <c r="G111" s="7" t="n">
        <v>3</v>
      </c>
      <c r="H111" s="7" t="n">
        <v>3</v>
      </c>
      <c r="I111" s="7" t="n">
        <v>0</v>
      </c>
      <c r="J111" s="8" t="n">
        <v>1023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CAREMARK</t>
        </is>
      </c>
      <c r="C112" s="5" t="inlineStr">
        <is>
          <t>00054032756</t>
        </is>
      </c>
      <c r="D112" s="5" t="inlineStr">
        <is>
          <t>FLUTICASONE-SALMETEROL 250-50 MCG/ACT INH AEROSOL</t>
        </is>
      </c>
      <c r="E112" s="6" t="inlineStr">
        <is>
          <t>60.0</t>
        </is>
      </c>
      <c r="F112" s="7" t="n">
        <v>1140</v>
      </c>
      <c r="G112" s="7" t="n">
        <v>19</v>
      </c>
      <c r="H112" s="7" t="n">
        <v>8</v>
      </c>
      <c r="I112" s="7" t="n">
        <v>-11</v>
      </c>
      <c r="J112" s="8" t="n">
        <v>1021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CAREMARK</t>
        </is>
      </c>
      <c r="C113" s="5" t="inlineStr">
        <is>
          <t>00597030045</t>
        </is>
      </c>
      <c r="D113" s="5" t="inlineStr">
        <is>
          <t>SYNJARDY XR 12.5-1000 MG TABLET ER</t>
        </is>
      </c>
      <c r="E113" s="6" t="inlineStr">
        <is>
          <t>60.0</t>
        </is>
      </c>
      <c r="F113" s="7" t="n">
        <v>180</v>
      </c>
      <c r="G113" s="7" t="n">
        <v>3</v>
      </c>
      <c r="H113" s="7" t="n">
        <v>7</v>
      </c>
      <c r="I113" s="7" t="n">
        <v>4</v>
      </c>
      <c r="J113" s="8" t="n">
        <v>982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CAREMARK</t>
        </is>
      </c>
      <c r="C114" s="5" t="inlineStr">
        <is>
          <t>00597038068</t>
        </is>
      </c>
      <c r="D114" s="5" t="inlineStr">
        <is>
          <t>TRIJARDY XR 10-5-1000 MG ORAL TABLET EXTENDED RELEASE 24 HOUR</t>
        </is>
      </c>
      <c r="E114" s="6" t="inlineStr">
        <is>
          <t>90.0</t>
        </is>
      </c>
      <c r="F114" s="7" t="n">
        <v>90</v>
      </c>
      <c r="G114" s="7" t="n">
        <v>1</v>
      </c>
      <c r="H114" s="7" t="n">
        <v>1</v>
      </c>
      <c r="I114" s="7" t="n">
        <v>0</v>
      </c>
      <c r="J114" s="8" t="n">
        <v>978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CAREMARK</t>
        </is>
      </c>
      <c r="C115" s="5" t="inlineStr">
        <is>
          <t>00173086910</t>
        </is>
      </c>
      <c r="D115" s="5" t="inlineStr">
        <is>
          <t>ANORO ELLIPTA 62.5-25MCG/INH AEROSOL 60EA</t>
        </is>
      </c>
      <c r="E115" s="6" t="inlineStr">
        <is>
          <t>60.0</t>
        </is>
      </c>
      <c r="F115" s="7" t="n">
        <v>120</v>
      </c>
      <c r="G115" s="7" t="n">
        <v>2</v>
      </c>
      <c r="H115" s="7" t="n">
        <v>3</v>
      </c>
      <c r="I115" s="7" t="n">
        <v>1</v>
      </c>
      <c r="J115" s="8" t="n">
        <v>930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CAREMARK</t>
        </is>
      </c>
      <c r="C116" s="5" t="inlineStr">
        <is>
          <t>53885024450</t>
        </is>
      </c>
      <c r="D116" s="5" t="inlineStr">
        <is>
          <t>ONETOUCH ULTRA BLUE  STRIP</t>
        </is>
      </c>
      <c r="E116" s="6" t="inlineStr">
        <is>
          <t>50.0</t>
        </is>
      </c>
      <c r="F116" s="7" t="n">
        <v>600</v>
      </c>
      <c r="G116" s="7" t="n">
        <v>12</v>
      </c>
      <c r="H116" s="7" t="n">
        <v>24</v>
      </c>
      <c r="I116" s="7" t="n">
        <v>12</v>
      </c>
      <c r="J116" s="8" t="n">
        <v>909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CAREMARK</t>
        </is>
      </c>
      <c r="C117" s="5" t="inlineStr">
        <is>
          <t>00597029074</t>
        </is>
      </c>
      <c r="D117" s="5" t="inlineStr">
        <is>
          <t>SYNJARDY 5-1000MG TABLET XR</t>
        </is>
      </c>
      <c r="E117" s="6" t="inlineStr">
        <is>
          <t>60.0</t>
        </is>
      </c>
      <c r="F117" s="7" t="n">
        <v>90</v>
      </c>
      <c r="G117" s="7" t="n">
        <v>1.5</v>
      </c>
      <c r="H117" s="7" t="n">
        <v>3</v>
      </c>
      <c r="I117" s="7" t="n">
        <v>1.5</v>
      </c>
      <c r="J117" s="8" t="n">
        <v>878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CAREMARK</t>
        </is>
      </c>
      <c r="C118" s="5" t="inlineStr">
        <is>
          <t>80610013060</t>
        </is>
      </c>
      <c r="D118" s="5" t="inlineStr">
        <is>
          <t>ZORYVE 0.3 % EXTERNAL CREAM</t>
        </is>
      </c>
      <c r="E118" s="6" t="inlineStr">
        <is>
          <t>60.0</t>
        </is>
      </c>
      <c r="F118" s="7" t="n">
        <v>60</v>
      </c>
      <c r="G118" s="7" t="n">
        <v>1</v>
      </c>
      <c r="H118" s="7" t="n">
        <v>1</v>
      </c>
      <c r="I118" s="7" t="n">
        <v>0</v>
      </c>
      <c r="J118" s="8" t="n">
        <v>875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CAREMARK</t>
        </is>
      </c>
      <c r="C119" s="5" t="inlineStr">
        <is>
          <t>64764017530</t>
        </is>
      </c>
      <c r="D119" s="5" t="inlineStr">
        <is>
          <t xml:space="preserve">DEXILANT 60MG CAP </t>
        </is>
      </c>
      <c r="E119" s="6" t="inlineStr">
        <is>
          <t>30.0</t>
        </is>
      </c>
      <c r="F119" s="7" t="n">
        <v>90</v>
      </c>
      <c r="G119" s="7" t="n">
        <v>3</v>
      </c>
      <c r="H119" s="7" t="n">
        <v>1</v>
      </c>
      <c r="I119" s="7" t="n">
        <v>-2</v>
      </c>
      <c r="J119" s="8" t="n">
        <v>867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CAREMARK</t>
        </is>
      </c>
      <c r="C120" s="5" t="inlineStr">
        <is>
          <t>00173088210</t>
        </is>
      </c>
      <c r="D120" s="5" t="inlineStr">
        <is>
          <t>BREO ELLIPTA 200-25MCG/INH AEROSOL 60EA</t>
        </is>
      </c>
      <c r="E120" s="6" t="inlineStr">
        <is>
          <t>60.0</t>
        </is>
      </c>
      <c r="F120" s="7" t="n">
        <v>120</v>
      </c>
      <c r="G120" s="7" t="n">
        <v>2</v>
      </c>
      <c r="H120" s="7" t="n">
        <v>10</v>
      </c>
      <c r="I120" s="7" t="n">
        <v>8</v>
      </c>
      <c r="J120" s="8" t="n">
        <v>771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CAREMARK</t>
        </is>
      </c>
      <c r="C121" s="5" t="inlineStr">
        <is>
          <t>00310756090</t>
        </is>
      </c>
      <c r="D121" s="5" t="inlineStr">
        <is>
          <t>CRESTOR 5MG TABLET</t>
        </is>
      </c>
      <c r="E121" s="6" t="inlineStr">
        <is>
          <t>90.0</t>
        </is>
      </c>
      <c r="F121" s="7" t="n">
        <v>90</v>
      </c>
      <c r="G121" s="7" t="n">
        <v>1</v>
      </c>
      <c r="H121" s="7" t="n">
        <v>1</v>
      </c>
      <c r="I121" s="7" t="n">
        <v>0</v>
      </c>
      <c r="J121" s="8" t="n">
        <v>771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CAREMARK</t>
        </is>
      </c>
      <c r="C122" s="5" t="inlineStr">
        <is>
          <t>59676031001</t>
        </is>
      </c>
      <c r="D122" s="5" t="inlineStr">
        <is>
          <t>PROCRIT 10000 UNIT/ML INJECTION SOLUTION</t>
        </is>
      </c>
      <c r="E122" s="6" t="inlineStr">
        <is>
          <t>6.0</t>
        </is>
      </c>
      <c r="F122" s="7" t="n">
        <v>3</v>
      </c>
      <c r="G122" s="7" t="n">
        <v>0.5</v>
      </c>
      <c r="H122" s="7" t="n">
        <v>0</v>
      </c>
      <c r="I122" s="7" t="n">
        <v>-0.5</v>
      </c>
      <c r="J122" s="8" t="n">
        <v>750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CAREMARK</t>
        </is>
      </c>
      <c r="C123" s="5" t="inlineStr">
        <is>
          <t>00169255013</t>
        </is>
      </c>
      <c r="D123" s="5" t="inlineStr">
        <is>
          <t>TRESIBA FLEXTOUCH 200UNIT/ML INJECTION</t>
        </is>
      </c>
      <c r="E123" s="6" t="inlineStr">
        <is>
          <t>9.0</t>
        </is>
      </c>
      <c r="F123" s="7" t="n">
        <v>18</v>
      </c>
      <c r="G123" s="7" t="n">
        <v>2</v>
      </c>
      <c r="H123" s="7" t="n">
        <v>2</v>
      </c>
      <c r="I123" s="7" t="n">
        <v>0</v>
      </c>
      <c r="J123" s="8" t="n">
        <v>736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CAREMARK</t>
        </is>
      </c>
      <c r="C124" s="5" t="inlineStr">
        <is>
          <t>81520010030</t>
        </is>
      </c>
      <c r="D124" s="5" t="inlineStr">
        <is>
          <t>VOQUEZNA 10 MG ORAL TABLET</t>
        </is>
      </c>
      <c r="E124" s="6" t="inlineStr">
        <is>
          <t>30.0</t>
        </is>
      </c>
      <c r="F124" s="7" t="n">
        <v>30</v>
      </c>
      <c r="G124" s="7" t="n">
        <v>1</v>
      </c>
      <c r="H124" s="7" t="n">
        <v>1</v>
      </c>
      <c r="I124" s="7" t="n">
        <v>0</v>
      </c>
      <c r="J124" s="8" t="n">
        <v>669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CAREMARK</t>
        </is>
      </c>
      <c r="C125" s="5" t="inlineStr">
        <is>
          <t>00006412102</t>
        </is>
      </c>
      <c r="D125" s="5" t="inlineStr">
        <is>
          <t>GARDASIL 9 INTRAMUSCULAR SUSPENSION PREFILLED SYRINGE</t>
        </is>
      </c>
      <c r="E125" s="6" t="inlineStr">
        <is>
          <t>5.0</t>
        </is>
      </c>
      <c r="F125" s="7" t="n">
        <v>1</v>
      </c>
      <c r="G125" s="7" t="n">
        <v>0.2</v>
      </c>
      <c r="H125" s="7" t="n">
        <v>0</v>
      </c>
      <c r="I125" s="7" t="n">
        <v>-0.2</v>
      </c>
      <c r="J125" s="8" t="n">
        <v>666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CAREMARK</t>
        </is>
      </c>
      <c r="C126" s="5" t="inlineStr">
        <is>
          <t>00469260130</t>
        </is>
      </c>
      <c r="D126" s="5" t="inlineStr">
        <is>
          <t>MYRBETRIQ 25MG TABLET</t>
        </is>
      </c>
      <c r="E126" s="6" t="inlineStr">
        <is>
          <t>30.0</t>
        </is>
      </c>
      <c r="F126" s="7" t="n">
        <v>60</v>
      </c>
      <c r="G126" s="7" t="n">
        <v>2</v>
      </c>
      <c r="H126" s="7" t="n">
        <v>0</v>
      </c>
      <c r="I126" s="7" t="n">
        <v>-2</v>
      </c>
      <c r="J126" s="8" t="n">
        <v>663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CAREMARK</t>
        </is>
      </c>
      <c r="C127" s="5" t="inlineStr">
        <is>
          <t>58160082311</t>
        </is>
      </c>
      <c r="D127" s="5" t="inlineStr">
        <is>
          <t>SHINGRIX 50 MCG/0.5ML IM SUSP RECON</t>
        </is>
      </c>
      <c r="E127" s="6" t="inlineStr">
        <is>
          <t>10.0</t>
        </is>
      </c>
      <c r="F127" s="7" t="n">
        <v>3</v>
      </c>
      <c r="G127" s="7" t="n">
        <v>0.3</v>
      </c>
      <c r="H127" s="7" t="n">
        <v>0</v>
      </c>
      <c r="I127" s="7" t="n">
        <v>-0.3</v>
      </c>
      <c r="J127" s="8" t="n">
        <v>651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CAREMARK</t>
        </is>
      </c>
      <c r="C128" s="5" t="inlineStr">
        <is>
          <t>58160084811</t>
        </is>
      </c>
      <c r="D128" s="5" t="inlineStr">
        <is>
          <t>AREXVY 120 MCG/0.5ML INTRAMUSCULAR SUSPENSION RECONSTITUTED</t>
        </is>
      </c>
      <c r="E128" s="6" t="inlineStr">
        <is>
          <t>10.0</t>
        </is>
      </c>
      <c r="F128" s="7" t="n">
        <v>2</v>
      </c>
      <c r="G128" s="7" t="n">
        <v>0.2</v>
      </c>
      <c r="H128" s="7" t="n">
        <v>1</v>
      </c>
      <c r="I128" s="7" t="n">
        <v>0.8</v>
      </c>
      <c r="J128" s="8" t="n">
        <v>595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CAREMARK</t>
        </is>
      </c>
      <c r="C129" s="5" t="inlineStr">
        <is>
          <t>00173087410</t>
        </is>
      </c>
      <c r="D129" s="5" t="inlineStr">
        <is>
          <t>ARNUITY ELLIPTA 100 MCG/ACT INH AEROSOL</t>
        </is>
      </c>
      <c r="E129" s="6" t="inlineStr">
        <is>
          <t>30.0</t>
        </is>
      </c>
      <c r="F129" s="7" t="n">
        <v>90</v>
      </c>
      <c r="G129" s="7" t="n">
        <v>3</v>
      </c>
      <c r="H129" s="7" t="n">
        <v>2</v>
      </c>
      <c r="I129" s="7" t="n">
        <v>-1</v>
      </c>
      <c r="J129" s="8" t="n">
        <v>584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CAREMARK</t>
        </is>
      </c>
      <c r="C130" s="5" t="inlineStr">
        <is>
          <t>00002882427</t>
        </is>
      </c>
      <c r="D130" s="5" t="inlineStr">
        <is>
          <t>HUMULIN R U-500 KWIKPEN 500UNIT/ML INJECTION</t>
        </is>
      </c>
      <c r="E130" s="6" t="inlineStr">
        <is>
          <t>6.0</t>
        </is>
      </c>
      <c r="F130" s="7" t="n">
        <v>6</v>
      </c>
      <c r="G130" s="7" t="n">
        <v>1</v>
      </c>
      <c r="H130" s="7" t="n">
        <v>1</v>
      </c>
      <c r="I130" s="7" t="n">
        <v>0</v>
      </c>
      <c r="J130" s="8" t="n">
        <v>541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CAREMARK</t>
        </is>
      </c>
      <c r="C131" s="5" t="inlineStr">
        <is>
          <t>00173069600</t>
        </is>
      </c>
      <c r="D131" s="5" t="inlineStr">
        <is>
          <t>ADVAIR DISKUS 250-50MCG/DOSE AEROSOL 60EA</t>
        </is>
      </c>
      <c r="E131" s="6" t="inlineStr">
        <is>
          <t>60.0</t>
        </is>
      </c>
      <c r="F131" s="7" t="n">
        <v>180</v>
      </c>
      <c r="G131" s="7" t="n">
        <v>3</v>
      </c>
      <c r="H131" s="7" t="n">
        <v>3</v>
      </c>
      <c r="I131" s="7" t="n">
        <v>0</v>
      </c>
      <c r="J131" s="8" t="n">
        <v>535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CAREMARK</t>
        </is>
      </c>
      <c r="C132" s="5" t="inlineStr">
        <is>
          <t>00469266030</t>
        </is>
      </c>
      <c r="D132" s="5" t="inlineStr">
        <is>
          <t>VEOZAH 45 MG ORAL TABLET</t>
        </is>
      </c>
      <c r="E132" s="6" t="inlineStr">
        <is>
          <t>30.0</t>
        </is>
      </c>
      <c r="F132" s="7" t="n">
        <v>30</v>
      </c>
      <c r="G132" s="7" t="n">
        <v>1</v>
      </c>
      <c r="H132" s="7" t="n">
        <v>0</v>
      </c>
      <c r="I132" s="7" t="n">
        <v>-1</v>
      </c>
      <c r="J132" s="8" t="n">
        <v>497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CAREMARK</t>
        </is>
      </c>
      <c r="C133" s="5" t="inlineStr">
        <is>
          <t>59467067901</t>
        </is>
      </c>
      <c r="D133" s="5" t="inlineStr">
        <is>
          <t>KLOXXADO 8 MG/0.1ML NASAL LIQUID</t>
        </is>
      </c>
      <c r="E133" s="6" t="inlineStr">
        <is>
          <t>2.0</t>
        </is>
      </c>
      <c r="F133" s="7" t="n">
        <v>8</v>
      </c>
      <c r="G133" s="7" t="n">
        <v>4</v>
      </c>
      <c r="H133" s="7" t="n">
        <v>8</v>
      </c>
      <c r="I133" s="7" t="n">
        <v>4</v>
      </c>
      <c r="J133" s="8" t="n">
        <v>458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CAREMARK</t>
        </is>
      </c>
      <c r="C134" s="5" t="inlineStr">
        <is>
          <t>00169750111</t>
        </is>
      </c>
      <c r="D134" s="5" t="inlineStr">
        <is>
          <t>NOVOLOG 100UNIT/ML SOLUTION</t>
        </is>
      </c>
      <c r="E134" s="6" t="inlineStr">
        <is>
          <t>10.0</t>
        </is>
      </c>
      <c r="F134" s="7" t="n">
        <v>60</v>
      </c>
      <c r="G134" s="7" t="n">
        <v>6</v>
      </c>
      <c r="H134" s="7" t="n">
        <v>6</v>
      </c>
      <c r="I134" s="7" t="n">
        <v>0</v>
      </c>
      <c r="J134" s="8" t="n">
        <v>412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CAREMARK</t>
        </is>
      </c>
      <c r="C135" s="5" t="inlineStr">
        <is>
          <t>99073070822</t>
        </is>
      </c>
      <c r="D135" s="5" t="inlineStr">
        <is>
          <t>FREESTYLE LITE TEST  STRIP</t>
        </is>
      </c>
      <c r="E135" s="6" t="inlineStr">
        <is>
          <t>50.0</t>
        </is>
      </c>
      <c r="F135" s="7" t="n">
        <v>300</v>
      </c>
      <c r="G135" s="7" t="n">
        <v>6</v>
      </c>
      <c r="H135" s="7" t="n">
        <v>10</v>
      </c>
      <c r="I135" s="7" t="n">
        <v>4</v>
      </c>
      <c r="J135" s="8" t="n">
        <v>402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CAREMARK</t>
        </is>
      </c>
      <c r="C136" s="5" t="inlineStr">
        <is>
          <t>00024586903</t>
        </is>
      </c>
      <c r="D136" s="5" t="inlineStr">
        <is>
          <t>TOUJEO SOLOSTAR 300UNIT/ML INJECTION</t>
        </is>
      </c>
      <c r="E136" s="6" t="inlineStr">
        <is>
          <t>4.5</t>
        </is>
      </c>
      <c r="F136" s="7" t="n">
        <v>4.5</v>
      </c>
      <c r="G136" s="7" t="n">
        <v>1</v>
      </c>
      <c r="H136" s="7" t="n">
        <v>0</v>
      </c>
      <c r="I136" s="7" t="n">
        <v>-1</v>
      </c>
      <c r="J136" s="8" t="n">
        <v>401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CAREMARK</t>
        </is>
      </c>
      <c r="C137" s="5" t="inlineStr">
        <is>
          <t>00378932232</t>
        </is>
      </c>
      <c r="D137" s="5" t="inlineStr">
        <is>
          <t>WIXELA INHUB 500-50 MCG/ACT INH AEROSOL</t>
        </is>
      </c>
      <c r="E137" s="6" t="inlineStr">
        <is>
          <t>60.0</t>
        </is>
      </c>
      <c r="F137" s="7" t="n">
        <v>240</v>
      </c>
      <c r="G137" s="7" t="n">
        <v>4</v>
      </c>
      <c r="H137" s="7" t="n">
        <v>0</v>
      </c>
      <c r="I137" s="7" t="n">
        <v>-4</v>
      </c>
      <c r="J137" s="8" t="n">
        <v>397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CAREMARK</t>
        </is>
      </c>
      <c r="C138" s="5" t="inlineStr">
        <is>
          <t>17772013130</t>
        </is>
      </c>
      <c r="D138" s="5" t="inlineStr">
        <is>
          <t>QELBREE 100MG CAPSULE ER</t>
        </is>
      </c>
      <c r="E138" s="6" t="inlineStr">
        <is>
          <t>30.0</t>
        </is>
      </c>
      <c r="F138" s="7" t="n">
        <v>30</v>
      </c>
      <c r="G138" s="7" t="n">
        <v>1</v>
      </c>
      <c r="H138" s="7" t="n">
        <v>1</v>
      </c>
      <c r="I138" s="7" t="n">
        <v>0</v>
      </c>
      <c r="J138" s="8" t="n">
        <v>353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CAREMARK</t>
        </is>
      </c>
      <c r="C139" s="5" t="inlineStr">
        <is>
          <t>00597029588</t>
        </is>
      </c>
      <c r="D139" s="5" t="inlineStr">
        <is>
          <t>SYNJARDY XR 25-1000MG TABLET</t>
        </is>
      </c>
      <c r="E139" s="6" t="inlineStr">
        <is>
          <t>30.0</t>
        </is>
      </c>
      <c r="F139" s="7" t="n">
        <v>30</v>
      </c>
      <c r="G139" s="7" t="n">
        <v>1</v>
      </c>
      <c r="H139" s="7" t="n">
        <v>0</v>
      </c>
      <c r="I139" s="7" t="n">
        <v>-1</v>
      </c>
      <c r="J139" s="8" t="n">
        <v>328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CAREMARK</t>
        </is>
      </c>
      <c r="C140" s="5" t="inlineStr">
        <is>
          <t>00032004670</t>
        </is>
      </c>
      <c r="D140" s="5" t="inlineStr">
        <is>
          <t>CREON 6000-19000 UNIT ORAL CAPSULE DELAYED RELEASE PARTICLES</t>
        </is>
      </c>
      <c r="E140" s="6" t="inlineStr">
        <is>
          <t>100.0</t>
        </is>
      </c>
      <c r="F140" s="7" t="n">
        <v>180</v>
      </c>
      <c r="G140" s="7" t="n">
        <v>1.8</v>
      </c>
      <c r="H140" s="7" t="n">
        <v>0</v>
      </c>
      <c r="I140" s="7" t="n">
        <v>-1.8</v>
      </c>
      <c r="J140" s="8" t="n">
        <v>316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CAREMARK</t>
        </is>
      </c>
      <c r="C141" s="5" t="inlineStr">
        <is>
          <t>00006008061</t>
        </is>
      </c>
      <c r="D141" s="5" t="inlineStr">
        <is>
          <t>JANUMET XR 50-1000MG TABLET</t>
        </is>
      </c>
      <c r="E141" s="6" t="inlineStr">
        <is>
          <t>60.0</t>
        </is>
      </c>
      <c r="F141" s="7" t="n">
        <v>60</v>
      </c>
      <c r="G141" s="7" t="n">
        <v>1</v>
      </c>
      <c r="H141" s="7" t="n">
        <v>0</v>
      </c>
      <c r="I141" s="7" t="n">
        <v>-1</v>
      </c>
      <c r="J141" s="8" t="n">
        <v>309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CAREMARK</t>
        </is>
      </c>
      <c r="C142" s="5" t="inlineStr">
        <is>
          <t>00005200002</t>
        </is>
      </c>
      <c r="D142" s="5" t="inlineStr">
        <is>
          <t>PREVNAR 20 0.5 ML INTRAMUSCULAR SUSPENSION PREFILLED SYRINGE</t>
        </is>
      </c>
      <c r="E142" s="6" t="inlineStr">
        <is>
          <t>0.5</t>
        </is>
      </c>
      <c r="F142" s="7" t="n">
        <v>0.5</v>
      </c>
      <c r="G142" s="7" t="n">
        <v>1</v>
      </c>
      <c r="H142" s="7" t="n">
        <v>0</v>
      </c>
      <c r="I142" s="7" t="n">
        <v>-1</v>
      </c>
      <c r="J142" s="8" t="n">
        <v>284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CAREMARK</t>
        </is>
      </c>
      <c r="C143" s="5" t="inlineStr">
        <is>
          <t>72495040128</t>
        </is>
      </c>
      <c r="D143" s="5" t="inlineStr">
        <is>
          <t>INTRAROSA 6.5 MG VAGINAL INSERT</t>
        </is>
      </c>
      <c r="E143" s="6" t="inlineStr">
        <is>
          <t>28.0</t>
        </is>
      </c>
      <c r="F143" s="7" t="n">
        <v>28</v>
      </c>
      <c r="G143" s="7" t="n">
        <v>1</v>
      </c>
      <c r="H143" s="7" t="n">
        <v>0</v>
      </c>
      <c r="I143" s="7" t="n">
        <v>-1</v>
      </c>
      <c r="J143" s="8" t="n">
        <v>263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CAREMARK</t>
        </is>
      </c>
      <c r="C144" s="5" t="inlineStr">
        <is>
          <t>65702071110</t>
        </is>
      </c>
      <c r="D144" s="5" t="inlineStr">
        <is>
          <t>ACCU-CHEK GUIDE IN VITRO STRIP</t>
        </is>
      </c>
      <c r="E144" s="6" t="inlineStr">
        <is>
          <t>50.0</t>
        </is>
      </c>
      <c r="F144" s="7" t="n">
        <v>700</v>
      </c>
      <c r="G144" s="7" t="n">
        <v>14</v>
      </c>
      <c r="H144" s="7" t="n">
        <v>22</v>
      </c>
      <c r="I144" s="7" t="n">
        <v>8</v>
      </c>
      <c r="J144" s="8" t="n">
        <v>247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CAREMARK</t>
        </is>
      </c>
      <c r="C145" s="5" t="inlineStr">
        <is>
          <t>00023320503</t>
        </is>
      </c>
      <c r="D145" s="5" t="inlineStr">
        <is>
          <t>LUMIGAN 0.01% SOLUTION</t>
        </is>
      </c>
      <c r="E145" s="6" t="inlineStr">
        <is>
          <t>2.5</t>
        </is>
      </c>
      <c r="F145" s="7" t="n">
        <v>2.5</v>
      </c>
      <c r="G145" s="7" t="n">
        <v>1</v>
      </c>
      <c r="H145" s="7" t="n">
        <v>0</v>
      </c>
      <c r="I145" s="7" t="n">
        <v>-1</v>
      </c>
      <c r="J145" s="8" t="n">
        <v>244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CAREMARK</t>
        </is>
      </c>
      <c r="C146" s="5" t="inlineStr">
        <is>
          <t>57599081800</t>
        </is>
      </c>
      <c r="D146" s="5" t="inlineStr">
        <is>
          <t>FREESTYLE LIBRE 3 SENSOR</t>
        </is>
      </c>
      <c r="E146" s="6" t="inlineStr">
        <is>
          <t>1.0</t>
        </is>
      </c>
      <c r="F146" s="7" t="n">
        <v>4</v>
      </c>
      <c r="G146" s="7" t="n">
        <v>4</v>
      </c>
      <c r="H146" s="7" t="n">
        <v>16</v>
      </c>
      <c r="I146" s="7" t="n">
        <v>12</v>
      </c>
      <c r="J146" s="8" t="n">
        <v>221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CAREMARK</t>
        </is>
      </c>
      <c r="C147" s="5" t="inlineStr">
        <is>
          <t>00169183411</t>
        </is>
      </c>
      <c r="D147" s="5" t="inlineStr">
        <is>
          <t>NOVOLIN N 100UNIT/ML SUSPENSION</t>
        </is>
      </c>
      <c r="E147" s="6" t="inlineStr">
        <is>
          <t>10.0</t>
        </is>
      </c>
      <c r="F147" s="7" t="n">
        <v>40</v>
      </c>
      <c r="G147" s="7" t="n">
        <v>4</v>
      </c>
      <c r="H147" s="7" t="n">
        <v>5</v>
      </c>
      <c r="I147" s="7" t="n">
        <v>1</v>
      </c>
      <c r="J147" s="8" t="n">
        <v>183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CAREMARK</t>
        </is>
      </c>
      <c r="C148" s="5" t="inlineStr">
        <is>
          <t>52937000340</t>
        </is>
      </c>
      <c r="D148" s="5" t="inlineStr">
        <is>
          <t>VASCEPA 0.5 GM ORAL CAPSULE</t>
        </is>
      </c>
      <c r="E148" s="6" t="inlineStr">
        <is>
          <t>240.0</t>
        </is>
      </c>
      <c r="F148" s="7" t="n">
        <v>180</v>
      </c>
      <c r="G148" s="7" t="n">
        <v>0.75</v>
      </c>
      <c r="H148" s="7" t="n">
        <v>0</v>
      </c>
      <c r="I148" s="7" t="n">
        <v>-0.75</v>
      </c>
      <c r="J148" s="8" t="n">
        <v>161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CAREMARK</t>
        </is>
      </c>
      <c r="C149" s="5" t="inlineStr">
        <is>
          <t>52268020101</t>
        </is>
      </c>
      <c r="D149" s="5" t="inlineStr">
        <is>
          <t>SUTAB 1479-225-188 MG ORAL TABLET</t>
        </is>
      </c>
      <c r="E149" s="6" t="inlineStr">
        <is>
          <t>24.0</t>
        </is>
      </c>
      <c r="F149" s="7" t="n">
        <v>24</v>
      </c>
      <c r="G149" s="7" t="n">
        <v>1</v>
      </c>
      <c r="H149" s="7" t="n">
        <v>1</v>
      </c>
      <c r="I149" s="7" t="n">
        <v>0</v>
      </c>
      <c r="J149" s="8" t="n">
        <v>160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CAREMARK</t>
        </is>
      </c>
      <c r="C150" s="5" t="inlineStr">
        <is>
          <t>00173068220</t>
        </is>
      </c>
      <c r="D150" s="5" t="inlineStr">
        <is>
          <t xml:space="preserve">VENTOLIN HFA 108 (90 BASE) </t>
        </is>
      </c>
      <c r="E150" s="6" t="inlineStr">
        <is>
          <t>18.0</t>
        </is>
      </c>
      <c r="F150" s="7" t="n">
        <v>54</v>
      </c>
      <c r="G150" s="7" t="n">
        <v>3</v>
      </c>
      <c r="H150" s="7" t="n">
        <v>0</v>
      </c>
      <c r="I150" s="7" t="n">
        <v>-3</v>
      </c>
      <c r="J150" s="8" t="n">
        <v>159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CAREMARK</t>
        </is>
      </c>
      <c r="C151" s="5" t="inlineStr">
        <is>
          <t>00074434190</t>
        </is>
      </c>
      <c r="D151" s="5" t="inlineStr">
        <is>
          <t>SYNTHROID 25 MCG ORAL TABLET</t>
        </is>
      </c>
      <c r="E151" s="6" t="inlineStr">
        <is>
          <t>90.0</t>
        </is>
      </c>
      <c r="F151" s="7" t="n">
        <v>90</v>
      </c>
      <c r="G151" s="7" t="n">
        <v>1</v>
      </c>
      <c r="H151" s="7" t="n">
        <v>1</v>
      </c>
      <c r="I151" s="7" t="n">
        <v>0</v>
      </c>
      <c r="J151" s="8" t="n">
        <v>146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CAREMARK</t>
        </is>
      </c>
      <c r="C152" s="5" t="inlineStr">
        <is>
          <t>00074455290</t>
        </is>
      </c>
      <c r="D152" s="5" t="inlineStr">
        <is>
          <t>SYNTHROID 50MCG TABLET</t>
        </is>
      </c>
      <c r="E152" s="6" t="inlineStr">
        <is>
          <t>90.0</t>
        </is>
      </c>
      <c r="F152" s="7" t="n">
        <v>90</v>
      </c>
      <c r="G152" s="7" t="n">
        <v>1</v>
      </c>
      <c r="H152" s="7" t="n">
        <v>2</v>
      </c>
      <c r="I152" s="7" t="n">
        <v>1</v>
      </c>
      <c r="J152" s="8" t="n">
        <v>133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CAREMARK</t>
        </is>
      </c>
      <c r="C153" s="5" t="inlineStr">
        <is>
          <t>68382045219</t>
        </is>
      </c>
      <c r="D153" s="5" t="inlineStr">
        <is>
          <t>MESALAMINE ER 0.375GCAPSULE</t>
        </is>
      </c>
      <c r="E153" s="6" t="inlineStr">
        <is>
          <t>120.0</t>
        </is>
      </c>
      <c r="F153" s="7" t="n">
        <v>360</v>
      </c>
      <c r="G153" s="7" t="n">
        <v>3</v>
      </c>
      <c r="H153" s="7" t="n">
        <v>1</v>
      </c>
      <c r="I153" s="7" t="n">
        <v>-2</v>
      </c>
      <c r="J153" s="8" t="n">
        <v>108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CAREMARK</t>
        </is>
      </c>
      <c r="C154" s="5" t="inlineStr">
        <is>
          <t>00169369619</t>
        </is>
      </c>
      <c r="D154" s="5" t="inlineStr">
        <is>
          <t>NOVOLOG MIX 70/30 FLEXPEN 100 UNIT/ML PEN-INJECTOR</t>
        </is>
      </c>
      <c r="E154" s="6" t="inlineStr">
        <is>
          <t>15.0</t>
        </is>
      </c>
      <c r="F154" s="7" t="n">
        <v>12</v>
      </c>
      <c r="G154" s="7" t="n">
        <v>0.8</v>
      </c>
      <c r="H154" s="7" t="n">
        <v>0</v>
      </c>
      <c r="I154" s="7" t="n">
        <v>-0.8</v>
      </c>
      <c r="J154" s="8" t="n">
        <v>104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CAREMARK</t>
        </is>
      </c>
      <c r="C155" s="5" t="inlineStr">
        <is>
          <t>68382052960</t>
        </is>
      </c>
      <c r="D155" s="5" t="inlineStr">
        <is>
          <t>CHOLESTYRAMINE LIGHT 4GM PACK</t>
        </is>
      </c>
      <c r="E155" s="6" t="inlineStr">
        <is>
          <t>60.0</t>
        </is>
      </c>
      <c r="F155" s="7" t="n">
        <v>60</v>
      </c>
      <c r="G155" s="7" t="n">
        <v>1</v>
      </c>
      <c r="H155" s="7" t="n">
        <v>0</v>
      </c>
      <c r="I155" s="7" t="n">
        <v>-1</v>
      </c>
      <c r="J155" s="8" t="n">
        <v>89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CAREMARK</t>
        </is>
      </c>
      <c r="C156" s="5" t="inlineStr">
        <is>
          <t>65162099708</t>
        </is>
      </c>
      <c r="D156" s="5" t="inlineStr">
        <is>
          <t>DOTTI 0.1 MG/24HR TRANSDERMAL PATCH TWICE WEEKLY</t>
        </is>
      </c>
      <c r="E156" s="6" t="inlineStr">
        <is>
          <t>8.0</t>
        </is>
      </c>
      <c r="F156" s="7" t="n">
        <v>16</v>
      </c>
      <c r="G156" s="7" t="n">
        <v>2</v>
      </c>
      <c r="H156" s="7" t="n">
        <v>2</v>
      </c>
      <c r="I156" s="7" t="n">
        <v>0</v>
      </c>
      <c r="J156" s="8" t="n">
        <v>80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CAREMARK</t>
        </is>
      </c>
      <c r="C157" s="5" t="inlineStr">
        <is>
          <t>33332002503</t>
        </is>
      </c>
      <c r="D157" s="5" t="inlineStr">
        <is>
          <t>AFLURIA PRESERVATIVE FREE 0.5 ML INTRAMUSCULAR SUSPENSION PREFILLED SYRINGE</t>
        </is>
      </c>
      <c r="E157" s="6" t="inlineStr">
        <is>
          <t>5.0</t>
        </is>
      </c>
      <c r="F157" s="7" t="n">
        <v>1.5</v>
      </c>
      <c r="G157" s="7" t="n">
        <v>0.3</v>
      </c>
      <c r="H157" s="7" t="n">
        <v>0</v>
      </c>
      <c r="I157" s="7" t="n">
        <v>-0.3</v>
      </c>
      <c r="J157" s="8" t="n">
        <v>63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CAREMARK</t>
        </is>
      </c>
      <c r="C158" s="5" t="inlineStr">
        <is>
          <t>00074518290</t>
        </is>
      </c>
      <c r="D158" s="5" t="inlineStr">
        <is>
          <t xml:space="preserve">SYNTHROID 75MCG TABLET </t>
        </is>
      </c>
      <c r="E158" s="6" t="inlineStr">
        <is>
          <t>90.0</t>
        </is>
      </c>
      <c r="F158" s="7" t="n">
        <v>90</v>
      </c>
      <c r="G158" s="7" t="n">
        <v>1</v>
      </c>
      <c r="H158" s="7" t="n">
        <v>1</v>
      </c>
      <c r="I158" s="7" t="n">
        <v>0</v>
      </c>
      <c r="J158" s="8" t="n">
        <v>57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CAREMARK</t>
        </is>
      </c>
      <c r="C159" s="5" t="inlineStr">
        <is>
          <t>00074706890</t>
        </is>
      </c>
      <c r="D159" s="5" t="inlineStr">
        <is>
          <t>SYNTHROID 125 MCG ORAL TABLET</t>
        </is>
      </c>
      <c r="E159" s="6" t="inlineStr">
        <is>
          <t>90.0</t>
        </is>
      </c>
      <c r="F159" s="7" t="n">
        <v>30</v>
      </c>
      <c r="G159" s="7" t="n">
        <v>0.3333333333333333</v>
      </c>
      <c r="H159" s="7" t="n">
        <v>1</v>
      </c>
      <c r="I159" s="7" t="n">
        <v>0.6666666666666667</v>
      </c>
      <c r="J159" s="8" t="n">
        <v>50</v>
      </c>
      <c r="K159" s="9">
        <f>IFERROR(IF((ROUND((J159/G159)*I159,1))&lt;0,(ROUND((J159/G159)*I159,1)),0),0)</f>
        <v/>
      </c>
    </row>
    <row r="160">
      <c r="E160" s="10" t="inlineStr">
        <is>
          <t>TOTAL</t>
        </is>
      </c>
      <c r="F160" s="11">
        <f>SUM(F4:F159)</f>
        <v/>
      </c>
      <c r="G160" s="11">
        <f>SUM(G4:G159)</f>
        <v/>
      </c>
      <c r="H160" s="11">
        <f>SUM(H4:H159)</f>
        <v/>
      </c>
      <c r="I160" s="11">
        <f>SUM(I4:I159)</f>
        <v/>
      </c>
      <c r="J160" s="12">
        <f>SUM(J4:J159)</f>
        <v/>
      </c>
      <c r="K160" s="13">
        <f>SUM(K4:K159)</f>
        <v/>
      </c>
    </row>
    <row r="161">
      <c r="J161" s="14" t="inlineStr">
        <is>
          <t>Audited Drugs Count</t>
        </is>
      </c>
      <c r="K161" s="15">
        <f>COUNTIF(K4:K159,"&lt;0")</f>
        <v/>
      </c>
    </row>
    <row r="162">
      <c r="J162" s="14" t="inlineStr">
        <is>
          <t>Total Audit Exposure</t>
        </is>
      </c>
      <c r="K162" s="16">
        <f>SUMIF(K4:K159,"&lt;0",K4:K159)</f>
        <v/>
      </c>
    </row>
  </sheetData>
  <autoFilter ref="A3:K159"/>
  <mergeCells count="2">
    <mergeCell ref="A2:K2"/>
    <mergeCell ref="A1:K1"/>
  </mergeCells>
  <conditionalFormatting sqref="E4:K15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56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Hil — hh — EXPRESS</t>
        </is>
      </c>
    </row>
    <row r="2" ht="24" customHeight="1">
      <c r="A2" s="2" t="inlineStr">
        <is>
          <t>Overall EXPRESS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EXPRESS</t>
        </is>
      </c>
      <c r="G3" s="3" t="inlineStr">
        <is>
          <t>Packages Billed to EXPRESS</t>
        </is>
      </c>
      <c r="H3" s="3" t="inlineStr">
        <is>
          <t>Total Qty Purchased</t>
        </is>
      </c>
      <c r="I3" s="3" t="inlineStr">
        <is>
          <t>Qty Difference for EXPRESS</t>
        </is>
      </c>
      <c r="J3" s="3" t="inlineStr">
        <is>
          <t>Actual $ Paid by EXPRESS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EXPRESS</t>
        </is>
      </c>
      <c r="C4" s="5" t="inlineStr">
        <is>
          <t>00169477212</t>
        </is>
      </c>
      <c r="D4" s="5" t="inlineStr">
        <is>
          <t>OZEMPIC (2 MG/DOSE) 8 MG/3ML PEN-INJECTOR</t>
        </is>
      </c>
      <c r="E4" s="6" t="inlineStr">
        <is>
          <t>3.0</t>
        </is>
      </c>
      <c r="F4" s="7" t="n">
        <v>33</v>
      </c>
      <c r="G4" s="7" t="n">
        <v>11</v>
      </c>
      <c r="H4" s="7" t="n">
        <v>32</v>
      </c>
      <c r="I4" s="7" t="n">
        <v>21</v>
      </c>
      <c r="J4" s="8" t="n">
        <v>9964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EXPRESS</t>
        </is>
      </c>
      <c r="C5" s="5" t="inlineStr">
        <is>
          <t>00597015230</t>
        </is>
      </c>
      <c r="D5" s="5" t="inlineStr">
        <is>
          <t xml:space="preserve">JARDIANCE 10MG TAB </t>
        </is>
      </c>
      <c r="E5" s="6" t="inlineStr">
        <is>
          <t>30.0</t>
        </is>
      </c>
      <c r="F5" s="7" t="n">
        <v>600</v>
      </c>
      <c r="G5" s="7" t="n">
        <v>20</v>
      </c>
      <c r="H5" s="7" t="n">
        <v>98</v>
      </c>
      <c r="I5" s="7" t="n">
        <v>78</v>
      </c>
      <c r="J5" s="8" t="n">
        <v>7964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EXPRESS</t>
        </is>
      </c>
      <c r="C6" s="5" t="inlineStr">
        <is>
          <t>00169418113</t>
        </is>
      </c>
      <c r="D6" s="5" t="inlineStr">
        <is>
          <t>OZEMPIC (0.25 OR 0.5 MG/DOSE) 2 MG/3ML PEN-INJECTOR</t>
        </is>
      </c>
      <c r="E6" s="6" t="inlineStr">
        <is>
          <t>3.0</t>
        </is>
      </c>
      <c r="F6" s="7" t="n">
        <v>24</v>
      </c>
      <c r="G6" s="7" t="n">
        <v>8</v>
      </c>
      <c r="H6" s="7" t="n">
        <v>69</v>
      </c>
      <c r="I6" s="7" t="n">
        <v>61</v>
      </c>
      <c r="J6" s="8" t="n">
        <v>7232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EXPRESS</t>
        </is>
      </c>
      <c r="C7" s="5" t="inlineStr">
        <is>
          <t>00597015330</t>
        </is>
      </c>
      <c r="D7" s="5" t="inlineStr">
        <is>
          <t xml:space="preserve">JARDIANCE 25MG TAB </t>
        </is>
      </c>
      <c r="E7" s="6" t="inlineStr">
        <is>
          <t>30.0</t>
        </is>
      </c>
      <c r="F7" s="7" t="n">
        <v>450</v>
      </c>
      <c r="G7" s="7" t="n">
        <v>15</v>
      </c>
      <c r="H7" s="7" t="n">
        <v>139</v>
      </c>
      <c r="I7" s="7" t="n">
        <v>124</v>
      </c>
      <c r="J7" s="8" t="n">
        <v>7111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EXPRESS</t>
        </is>
      </c>
      <c r="C8" s="5" t="inlineStr">
        <is>
          <t>00002149580</t>
        </is>
      </c>
      <c r="D8" s="5" t="inlineStr">
        <is>
          <t>MOUNJARO 5 MG/0.5ML PEN-INJECTOR</t>
        </is>
      </c>
      <c r="E8" s="6" t="inlineStr">
        <is>
          <t>2.0</t>
        </is>
      </c>
      <c r="F8" s="7" t="n">
        <v>12</v>
      </c>
      <c r="G8" s="7" t="n">
        <v>6</v>
      </c>
      <c r="H8" s="7" t="n">
        <v>24</v>
      </c>
      <c r="I8" s="7" t="n">
        <v>18</v>
      </c>
      <c r="J8" s="8" t="n">
        <v>5910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EXPRESS</t>
        </is>
      </c>
      <c r="C9" s="5" t="inlineStr">
        <is>
          <t>00169431430</t>
        </is>
      </c>
      <c r="D9" s="5" t="inlineStr">
        <is>
          <t>RYBELSUS 14MG TABLET</t>
        </is>
      </c>
      <c r="E9" s="6" t="inlineStr">
        <is>
          <t>30.0</t>
        </is>
      </c>
      <c r="F9" s="7" t="n">
        <v>180</v>
      </c>
      <c r="G9" s="7" t="n">
        <v>6</v>
      </c>
      <c r="H9" s="7" t="n">
        <v>15</v>
      </c>
      <c r="I9" s="7" t="n">
        <v>9</v>
      </c>
      <c r="J9" s="8" t="n">
        <v>5456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EXPRESS</t>
        </is>
      </c>
      <c r="C10" s="5" t="inlineStr">
        <is>
          <t>00169430730</t>
        </is>
      </c>
      <c r="D10" s="5" t="inlineStr">
        <is>
          <t>RYBELSUS 7MG TABLET</t>
        </is>
      </c>
      <c r="E10" s="6" t="inlineStr">
        <is>
          <t>30.0</t>
        </is>
      </c>
      <c r="F10" s="7" t="n">
        <v>150</v>
      </c>
      <c r="G10" s="7" t="n">
        <v>5</v>
      </c>
      <c r="H10" s="7" t="n">
        <v>7</v>
      </c>
      <c r="I10" s="7" t="n">
        <v>2</v>
      </c>
      <c r="J10" s="8" t="n">
        <v>4575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EXPRESS</t>
        </is>
      </c>
      <c r="C11" s="5" t="inlineStr">
        <is>
          <t>24208091112</t>
        </is>
      </c>
      <c r="D11" s="5" t="inlineStr">
        <is>
          <t>XIIDRA 5 % OPHTHALMIC SOLUTION</t>
        </is>
      </c>
      <c r="E11" s="6" t="inlineStr">
        <is>
          <t>60.0</t>
        </is>
      </c>
      <c r="F11" s="7" t="n">
        <v>480</v>
      </c>
      <c r="G11" s="7" t="n">
        <v>8</v>
      </c>
      <c r="H11" s="7" t="n">
        <v>84</v>
      </c>
      <c r="I11" s="7" t="n">
        <v>76</v>
      </c>
      <c r="J11" s="8" t="n">
        <v>4477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EXPRESS</t>
        </is>
      </c>
      <c r="C12" s="5" t="inlineStr">
        <is>
          <t>61958250101</t>
        </is>
      </c>
      <c r="D12" s="5" t="inlineStr">
        <is>
          <t>BIKTARVY 50-200-25MG TABLET</t>
        </is>
      </c>
      <c r="E12" s="6" t="inlineStr">
        <is>
          <t>30.0</t>
        </is>
      </c>
      <c r="F12" s="7" t="n">
        <v>30</v>
      </c>
      <c r="G12" s="7" t="n">
        <v>1</v>
      </c>
      <c r="H12" s="7" t="n">
        <v>7</v>
      </c>
      <c r="I12" s="7" t="n">
        <v>6</v>
      </c>
      <c r="J12" s="8" t="n">
        <v>3769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EXPRESS</t>
        </is>
      </c>
      <c r="C13" s="5" t="inlineStr">
        <is>
          <t>00002146080</t>
        </is>
      </c>
      <c r="D13" s="5" t="inlineStr">
        <is>
          <t>MOUNJARO 12.5 MG/0.5ML PEN-INJECTOR</t>
        </is>
      </c>
      <c r="E13" s="6" t="inlineStr">
        <is>
          <t>2.0</t>
        </is>
      </c>
      <c r="F13" s="7" t="n">
        <v>6</v>
      </c>
      <c r="G13" s="7" t="n">
        <v>3</v>
      </c>
      <c r="H13" s="7" t="n">
        <v>9</v>
      </c>
      <c r="I13" s="7" t="n">
        <v>6</v>
      </c>
      <c r="J13" s="8" t="n">
        <v>2923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EXPRESS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420</v>
      </c>
      <c r="G14" s="7" t="n">
        <v>7</v>
      </c>
      <c r="H14" s="7" t="n">
        <v>83</v>
      </c>
      <c r="I14" s="7" t="n">
        <v>76</v>
      </c>
      <c r="J14" s="8" t="n">
        <v>2765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EXPRESS</t>
        </is>
      </c>
      <c r="C15" s="5" t="inlineStr">
        <is>
          <t>00002318280</t>
        </is>
      </c>
      <c r="D15" s="5" t="inlineStr">
        <is>
          <t>TRULICITY 4.5 MG/0.5ML SOLUTION</t>
        </is>
      </c>
      <c r="E15" s="6" t="inlineStr">
        <is>
          <t>2.0</t>
        </is>
      </c>
      <c r="F15" s="7" t="n">
        <v>6</v>
      </c>
      <c r="G15" s="7" t="n">
        <v>3</v>
      </c>
      <c r="H15" s="7" t="n">
        <v>10</v>
      </c>
      <c r="I15" s="7" t="n">
        <v>7</v>
      </c>
      <c r="J15" s="8" t="n">
        <v>2696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EXPRESS</t>
        </is>
      </c>
      <c r="C16" s="5" t="inlineStr">
        <is>
          <t>00310621030</t>
        </is>
      </c>
      <c r="D16" s="5" t="inlineStr">
        <is>
          <t>FARXIGA 10MG TABLET</t>
        </is>
      </c>
      <c r="E16" s="6" t="inlineStr">
        <is>
          <t>30.0</t>
        </is>
      </c>
      <c r="F16" s="7" t="n">
        <v>210</v>
      </c>
      <c r="G16" s="7" t="n">
        <v>7</v>
      </c>
      <c r="H16" s="7" t="n">
        <v>50</v>
      </c>
      <c r="I16" s="7" t="n">
        <v>43</v>
      </c>
      <c r="J16" s="8" t="n">
        <v>2680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EXPRESS</t>
        </is>
      </c>
      <c r="C17" s="5" t="inlineStr">
        <is>
          <t>00456120230</t>
        </is>
      </c>
      <c r="D17" s="5" t="inlineStr">
        <is>
          <t xml:space="preserve">LINZESS 290MCG CAP </t>
        </is>
      </c>
      <c r="E17" s="6" t="inlineStr">
        <is>
          <t>30.0</t>
        </is>
      </c>
      <c r="F17" s="7" t="n">
        <v>210</v>
      </c>
      <c r="G17" s="7" t="n">
        <v>7</v>
      </c>
      <c r="H17" s="7" t="n">
        <v>28</v>
      </c>
      <c r="I17" s="7" t="n">
        <v>21</v>
      </c>
      <c r="J17" s="8" t="n">
        <v>2491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EXPRESS</t>
        </is>
      </c>
      <c r="C18" s="5" t="inlineStr">
        <is>
          <t>00023916360</t>
        </is>
      </c>
      <c r="D18" s="5" t="inlineStr">
        <is>
          <t xml:space="preserve">RESTASIS 0.05% EMULSION </t>
        </is>
      </c>
      <c r="E18" s="6" t="inlineStr">
        <is>
          <t>60.0</t>
        </is>
      </c>
      <c r="F18" s="7" t="n">
        <v>240</v>
      </c>
      <c r="G18" s="7" t="n">
        <v>4</v>
      </c>
      <c r="H18" s="7" t="n">
        <v>176</v>
      </c>
      <c r="I18" s="7" t="n">
        <v>172</v>
      </c>
      <c r="J18" s="8" t="n">
        <v>2319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EXPRESS</t>
        </is>
      </c>
      <c r="C19" s="5" t="inlineStr">
        <is>
          <t>50458057930</t>
        </is>
      </c>
      <c r="D19" s="5" t="inlineStr">
        <is>
          <t>XARELTO 20MG TAB</t>
        </is>
      </c>
      <c r="E19" s="6" t="inlineStr">
        <is>
          <t>30.0</t>
        </is>
      </c>
      <c r="F19" s="7" t="n">
        <v>180</v>
      </c>
      <c r="G19" s="7" t="n">
        <v>6</v>
      </c>
      <c r="H19" s="7" t="n">
        <v>23</v>
      </c>
      <c r="I19" s="7" t="n">
        <v>17</v>
      </c>
      <c r="J19" s="8" t="n">
        <v>2180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EXPRESS</t>
        </is>
      </c>
      <c r="C20" s="5" t="inlineStr">
        <is>
          <t>50458057830</t>
        </is>
      </c>
      <c r="D20" s="5" t="inlineStr">
        <is>
          <t>XARELTO 15MG TAB</t>
        </is>
      </c>
      <c r="E20" s="6" t="inlineStr">
        <is>
          <t>30.0</t>
        </is>
      </c>
      <c r="F20" s="7" t="n">
        <v>180</v>
      </c>
      <c r="G20" s="7" t="n">
        <v>6</v>
      </c>
      <c r="H20" s="7" t="n">
        <v>5</v>
      </c>
      <c r="I20" s="7" t="n">
        <v>-1</v>
      </c>
      <c r="J20" s="8" t="n">
        <v>2099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EXPRESS</t>
        </is>
      </c>
      <c r="C21" s="5" t="inlineStr">
        <is>
          <t>00006011231</t>
        </is>
      </c>
      <c r="D21" s="5" t="inlineStr">
        <is>
          <t>JANUVIA 50MG TABLET</t>
        </is>
      </c>
      <c r="E21" s="6" t="inlineStr">
        <is>
          <t>30.0</t>
        </is>
      </c>
      <c r="F21" s="7" t="n">
        <v>240</v>
      </c>
      <c r="G21" s="7" t="n">
        <v>8</v>
      </c>
      <c r="H21" s="7" t="n">
        <v>35</v>
      </c>
      <c r="I21" s="7" t="n">
        <v>27</v>
      </c>
      <c r="J21" s="8" t="n">
        <v>1981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EXPRESS</t>
        </is>
      </c>
      <c r="C22" s="5" t="inlineStr">
        <is>
          <t>58151028301</t>
        </is>
      </c>
      <c r="D22" s="5" t="inlineStr">
        <is>
          <t>NEURONTIN 400 MG ORAL CAPSULE</t>
        </is>
      </c>
      <c r="E22" s="6" t="inlineStr">
        <is>
          <t>100.0</t>
        </is>
      </c>
      <c r="F22" s="7" t="n">
        <v>270</v>
      </c>
      <c r="G22" s="7" t="n">
        <v>2.7</v>
      </c>
      <c r="H22" s="7" t="n">
        <v>2</v>
      </c>
      <c r="I22" s="7" t="n">
        <v>-0.7000000000000002</v>
      </c>
      <c r="J22" s="8" t="n">
        <v>1971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EXPRESS</t>
        </is>
      </c>
      <c r="C23" s="5" t="inlineStr">
        <is>
          <t>50419054101</t>
        </is>
      </c>
      <c r="D23" s="5" t="inlineStr">
        <is>
          <t>KERENDIA 20MG TABLET</t>
        </is>
      </c>
      <c r="E23" s="6" t="inlineStr">
        <is>
          <t>30.0</t>
        </is>
      </c>
      <c r="F23" s="7" t="n">
        <v>90</v>
      </c>
      <c r="G23" s="7" t="n">
        <v>3</v>
      </c>
      <c r="H23" s="7" t="n">
        <v>6</v>
      </c>
      <c r="I23" s="7" t="n">
        <v>3</v>
      </c>
      <c r="J23" s="8" t="n">
        <v>1842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EXPRESS</t>
        </is>
      </c>
      <c r="C24" s="5" t="inlineStr">
        <is>
          <t>00173088710</t>
        </is>
      </c>
      <c r="D24" s="5" t="inlineStr">
        <is>
          <t>TRELEGY ELLIPTA 100-62.5-25MCG/INH AEROSOL</t>
        </is>
      </c>
      <c r="E24" s="6" t="inlineStr">
        <is>
          <t>60.0</t>
        </is>
      </c>
      <c r="F24" s="7" t="n">
        <v>180</v>
      </c>
      <c r="G24" s="7" t="n">
        <v>3</v>
      </c>
      <c r="H24" s="7" t="n">
        <v>6</v>
      </c>
      <c r="I24" s="7" t="n">
        <v>3</v>
      </c>
      <c r="J24" s="8" t="n">
        <v>1817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EXPRESS</t>
        </is>
      </c>
      <c r="C25" s="5" t="inlineStr">
        <is>
          <t>00006027731</t>
        </is>
      </c>
      <c r="D25" s="5" t="inlineStr">
        <is>
          <t>JANUVIA 100MG TAB</t>
        </is>
      </c>
      <c r="E25" s="6" t="inlineStr">
        <is>
          <t>30.0</t>
        </is>
      </c>
      <c r="F25" s="7" t="n">
        <v>300</v>
      </c>
      <c r="G25" s="7" t="n">
        <v>10</v>
      </c>
      <c r="H25" s="7" t="n">
        <v>63</v>
      </c>
      <c r="I25" s="7" t="n">
        <v>53</v>
      </c>
      <c r="J25" s="8" t="n">
        <v>1813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EXPRESS</t>
        </is>
      </c>
      <c r="C26" s="5" t="inlineStr">
        <is>
          <t>00310461612</t>
        </is>
      </c>
      <c r="D26" s="5" t="inlineStr">
        <is>
          <t>BREZTRI AEROSPHERE 160-9-4.8 MCG/ACT INHALATION AEROSOL</t>
        </is>
      </c>
      <c r="E26" s="6" t="inlineStr">
        <is>
          <t>10.7</t>
        </is>
      </c>
      <c r="F26" s="7" t="n">
        <v>32.09999999999999</v>
      </c>
      <c r="G26" s="7" t="n">
        <v>3</v>
      </c>
      <c r="H26" s="7" t="n">
        <v>8</v>
      </c>
      <c r="I26" s="7" t="n">
        <v>5</v>
      </c>
      <c r="J26" s="8" t="n">
        <v>1811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EXPRESS</t>
        </is>
      </c>
      <c r="C27" s="5" t="inlineStr">
        <is>
          <t>50458057760</t>
        </is>
      </c>
      <c r="D27" s="5" t="inlineStr">
        <is>
          <t>XARELTO 2.5 MG TABLET</t>
        </is>
      </c>
      <c r="E27" s="6" t="inlineStr">
        <is>
          <t>60.0</t>
        </is>
      </c>
      <c r="F27" s="7" t="n">
        <v>180</v>
      </c>
      <c r="G27" s="7" t="n">
        <v>3</v>
      </c>
      <c r="H27" s="7" t="n">
        <v>1</v>
      </c>
      <c r="I27" s="7" t="n">
        <v>-2</v>
      </c>
      <c r="J27" s="8" t="n">
        <v>1604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EXPRESS</t>
        </is>
      </c>
      <c r="C28" s="5" t="inlineStr">
        <is>
          <t>00310737020</t>
        </is>
      </c>
      <c r="D28" s="5" t="inlineStr">
        <is>
          <t>BUDESONIDE/FORMOTEROL 160 /4.5 MCG (SYMBICORT)</t>
        </is>
      </c>
      <c r="E28" s="6" t="inlineStr">
        <is>
          <t>10.2</t>
        </is>
      </c>
      <c r="F28" s="7" t="n">
        <v>81.59999999999999</v>
      </c>
      <c r="G28" s="7" t="n">
        <v>8</v>
      </c>
      <c r="H28" s="7" t="n">
        <v>19</v>
      </c>
      <c r="I28" s="7" t="n">
        <v>11</v>
      </c>
      <c r="J28" s="8" t="n">
        <v>1455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EXPRESS</t>
        </is>
      </c>
      <c r="C29" s="5" t="inlineStr">
        <is>
          <t>24208037705</t>
        </is>
      </c>
      <c r="D29" s="5" t="inlineStr">
        <is>
          <t>MIEBO 1.338 GM/ML OPHTHALMIC SOLUTION</t>
        </is>
      </c>
      <c r="E29" s="6" t="inlineStr">
        <is>
          <t>3.0</t>
        </is>
      </c>
      <c r="F29" s="7" t="n">
        <v>6</v>
      </c>
      <c r="G29" s="7" t="n">
        <v>2</v>
      </c>
      <c r="H29" s="7" t="n">
        <v>35</v>
      </c>
      <c r="I29" s="7" t="n">
        <v>33</v>
      </c>
      <c r="J29" s="8" t="n">
        <v>1435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EXPRESS</t>
        </is>
      </c>
      <c r="C30" s="5" t="inlineStr">
        <is>
          <t>00597014030</t>
        </is>
      </c>
      <c r="D30" s="5" t="inlineStr">
        <is>
          <t xml:space="preserve">TRADJENTA 5MG TAB </t>
        </is>
      </c>
      <c r="E30" s="6" t="inlineStr">
        <is>
          <t>30.0</t>
        </is>
      </c>
      <c r="F30" s="7" t="n">
        <v>90</v>
      </c>
      <c r="G30" s="7" t="n">
        <v>3</v>
      </c>
      <c r="H30" s="7" t="n">
        <v>25</v>
      </c>
      <c r="I30" s="7" t="n">
        <v>22</v>
      </c>
      <c r="J30" s="8" t="n">
        <v>1408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EXPRESS</t>
        </is>
      </c>
      <c r="C31" s="5" t="inlineStr">
        <is>
          <t>00456120130</t>
        </is>
      </c>
      <c r="D31" s="5" t="inlineStr">
        <is>
          <t>LINZESS 145MCG CAPSULE</t>
        </is>
      </c>
      <c r="E31" s="6" t="inlineStr">
        <is>
          <t>30.0</t>
        </is>
      </c>
      <c r="F31" s="7" t="n">
        <v>120</v>
      </c>
      <c r="G31" s="7" t="n">
        <v>4</v>
      </c>
      <c r="H31" s="7" t="n">
        <v>30</v>
      </c>
      <c r="I31" s="7" t="n">
        <v>26</v>
      </c>
      <c r="J31" s="8" t="n">
        <v>1272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EXPRESS</t>
        </is>
      </c>
      <c r="C32" s="5" t="inlineStr">
        <is>
          <t>08627007701</t>
        </is>
      </c>
      <c r="D32" s="5" t="inlineStr">
        <is>
          <t>DEXCOM G7 SENSOR</t>
        </is>
      </c>
      <c r="E32" s="6" t="inlineStr">
        <is>
          <t>1.0</t>
        </is>
      </c>
      <c r="F32" s="7" t="n">
        <v>9</v>
      </c>
      <c r="G32" s="7" t="n">
        <v>9</v>
      </c>
      <c r="H32" s="7" t="n">
        <v>32</v>
      </c>
      <c r="I32" s="7" t="n">
        <v>23</v>
      </c>
      <c r="J32" s="8" t="n">
        <v>1065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EXPRESS</t>
        </is>
      </c>
      <c r="C33" s="5" t="inlineStr">
        <is>
          <t>00006022131</t>
        </is>
      </c>
      <c r="D33" s="5" t="inlineStr">
        <is>
          <t>JANUVIA 25MG TABLET</t>
        </is>
      </c>
      <c r="E33" s="6" t="inlineStr">
        <is>
          <t>30.0</t>
        </is>
      </c>
      <c r="F33" s="7" t="n">
        <v>120</v>
      </c>
      <c r="G33" s="7" t="n">
        <v>4</v>
      </c>
      <c r="H33" s="7" t="n">
        <v>11</v>
      </c>
      <c r="I33" s="7" t="n">
        <v>7</v>
      </c>
      <c r="J33" s="8" t="n">
        <v>839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EXPRESS</t>
        </is>
      </c>
      <c r="C34" s="5" t="inlineStr">
        <is>
          <t>00046087221</t>
        </is>
      </c>
      <c r="D34" s="5" t="inlineStr">
        <is>
          <t>PREMARIN 0.625 MG/GM VAGINAL CREAM</t>
        </is>
      </c>
      <c r="E34" s="6" t="inlineStr">
        <is>
          <t>30.0</t>
        </is>
      </c>
      <c r="F34" s="7" t="n">
        <v>60</v>
      </c>
      <c r="G34" s="7" t="n">
        <v>2</v>
      </c>
      <c r="H34" s="7" t="n">
        <v>2</v>
      </c>
      <c r="I34" s="7" t="n">
        <v>0</v>
      </c>
      <c r="J34" s="8" t="n">
        <v>837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EXPRESS</t>
        </is>
      </c>
      <c r="C35" s="5" t="inlineStr">
        <is>
          <t>00310111030</t>
        </is>
      </c>
      <c r="D35" s="5" t="inlineStr">
        <is>
          <t>LOKELMA 10GM PACK</t>
        </is>
      </c>
      <c r="E35" s="6" t="inlineStr">
        <is>
          <t>30.0</t>
        </is>
      </c>
      <c r="F35" s="7" t="n">
        <v>30</v>
      </c>
      <c r="G35" s="7" t="n">
        <v>1</v>
      </c>
      <c r="H35" s="7" t="n">
        <v>12</v>
      </c>
      <c r="I35" s="7" t="n">
        <v>11</v>
      </c>
      <c r="J35" s="8" t="n">
        <v>770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EXPRESS</t>
        </is>
      </c>
      <c r="C36" s="5" t="inlineStr">
        <is>
          <t>00173087310</t>
        </is>
      </c>
      <c r="D36" s="5" t="inlineStr">
        <is>
          <t>INCRUSE ELLIPTA 62.5MCG/INH AEROSOL</t>
        </is>
      </c>
      <c r="E36" s="6" t="inlineStr">
        <is>
          <t>30.0</t>
        </is>
      </c>
      <c r="F36" s="7" t="n">
        <v>90</v>
      </c>
      <c r="G36" s="7" t="n">
        <v>3</v>
      </c>
      <c r="H36" s="7" t="n">
        <v>3</v>
      </c>
      <c r="I36" s="7" t="n">
        <v>0</v>
      </c>
      <c r="J36" s="8" t="n">
        <v>758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EXPRESS</t>
        </is>
      </c>
      <c r="C37" s="5" t="inlineStr">
        <is>
          <t>99073070822</t>
        </is>
      </c>
      <c r="D37" s="5" t="inlineStr">
        <is>
          <t>FREESTYLE LITE TEST  STRIP</t>
        </is>
      </c>
      <c r="E37" s="6" t="inlineStr">
        <is>
          <t>50.0</t>
        </is>
      </c>
      <c r="F37" s="7" t="n">
        <v>500</v>
      </c>
      <c r="G37" s="7" t="n">
        <v>10</v>
      </c>
      <c r="H37" s="7" t="n">
        <v>10</v>
      </c>
      <c r="I37" s="7" t="n">
        <v>0</v>
      </c>
      <c r="J37" s="8" t="n">
        <v>650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EXPRESS</t>
        </is>
      </c>
      <c r="C38" s="5" t="inlineStr">
        <is>
          <t>00006057761</t>
        </is>
      </c>
      <c r="D38" s="5" t="inlineStr">
        <is>
          <t>JANUMET 50-1000MG TABLET</t>
        </is>
      </c>
      <c r="E38" s="6" t="inlineStr">
        <is>
          <t>60.0</t>
        </is>
      </c>
      <c r="F38" s="7" t="n">
        <v>120</v>
      </c>
      <c r="G38" s="7" t="n">
        <v>2</v>
      </c>
      <c r="H38" s="7" t="n">
        <v>61</v>
      </c>
      <c r="I38" s="7" t="n">
        <v>59</v>
      </c>
      <c r="J38" s="8" t="n">
        <v>580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EXPRESS</t>
        </is>
      </c>
      <c r="C39" s="5" t="inlineStr">
        <is>
          <t>00002771559</t>
        </is>
      </c>
      <c r="D39" s="5" t="inlineStr">
        <is>
          <t>BASAGLAR KWIKPEN 100UNIT/ML INJECTION</t>
        </is>
      </c>
      <c r="E39" s="6" t="inlineStr">
        <is>
          <t>15.0</t>
        </is>
      </c>
      <c r="F39" s="7" t="n">
        <v>27</v>
      </c>
      <c r="G39" s="7" t="n">
        <v>1.8</v>
      </c>
      <c r="H39" s="7" t="n">
        <v>45</v>
      </c>
      <c r="I39" s="7" t="n">
        <v>43.2</v>
      </c>
      <c r="J39" s="8" t="n">
        <v>534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EXPRESS</t>
        </is>
      </c>
      <c r="C40" s="5" t="inlineStr">
        <is>
          <t>00310737220</t>
        </is>
      </c>
      <c r="D40" s="5" t="inlineStr">
        <is>
          <t>BUDESONIDE-FORMOTEROL FUMARATE 80-4.5MCG/ACT AEROSOL</t>
        </is>
      </c>
      <c r="E40" s="6" t="inlineStr">
        <is>
          <t>10.2</t>
        </is>
      </c>
      <c r="F40" s="7" t="n">
        <v>30.6</v>
      </c>
      <c r="G40" s="7" t="n">
        <v>3</v>
      </c>
      <c r="H40" s="7" t="n">
        <v>9</v>
      </c>
      <c r="I40" s="7" t="n">
        <v>6</v>
      </c>
      <c r="J40" s="8" t="n">
        <v>453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EXPRESS</t>
        </is>
      </c>
      <c r="C41" s="5" t="inlineStr">
        <is>
          <t>00310908012</t>
        </is>
      </c>
      <c r="D41" s="5" t="inlineStr">
        <is>
          <t>AIRSUPRA 90-80 MCG/ACT INHALATION AEROSOL</t>
        </is>
      </c>
      <c r="E41" s="6" t="inlineStr">
        <is>
          <t>10.7</t>
        </is>
      </c>
      <c r="F41" s="7" t="n">
        <v>10.7</v>
      </c>
      <c r="G41" s="7" t="n">
        <v>1</v>
      </c>
      <c r="H41" s="7" t="n">
        <v>4</v>
      </c>
      <c r="I41" s="7" t="n">
        <v>3</v>
      </c>
      <c r="J41" s="8" t="n">
        <v>437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EXPRESS</t>
        </is>
      </c>
      <c r="C42" s="5" t="inlineStr">
        <is>
          <t>59310030240</t>
        </is>
      </c>
      <c r="D42" s="5" t="inlineStr">
        <is>
          <t>QVAR REDIHALER 40MCG/ACT AEROSOL</t>
        </is>
      </c>
      <c r="E42" s="6" t="inlineStr">
        <is>
          <t>10.6</t>
        </is>
      </c>
      <c r="F42" s="7" t="n">
        <v>31.8</v>
      </c>
      <c r="G42" s="7" t="n">
        <v>3</v>
      </c>
      <c r="H42" s="7" t="n">
        <v>0</v>
      </c>
      <c r="I42" s="7" t="n">
        <v>-3</v>
      </c>
      <c r="J42" s="8" t="n">
        <v>431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EXPRESS</t>
        </is>
      </c>
      <c r="C43" s="5" t="inlineStr">
        <is>
          <t>00469260130</t>
        </is>
      </c>
      <c r="D43" s="5" t="inlineStr">
        <is>
          <t>MYRBETRIQ 25MG TABLET</t>
        </is>
      </c>
      <c r="E43" s="6" t="inlineStr">
        <is>
          <t>30.0</t>
        </is>
      </c>
      <c r="F43" s="7" t="n">
        <v>30</v>
      </c>
      <c r="G43" s="7" t="n">
        <v>1</v>
      </c>
      <c r="H43" s="7" t="n">
        <v>0</v>
      </c>
      <c r="I43" s="7" t="n">
        <v>-1</v>
      </c>
      <c r="J43" s="8" t="n">
        <v>412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EXPRESS</t>
        </is>
      </c>
      <c r="C44" s="5" t="inlineStr">
        <is>
          <t>53885024450</t>
        </is>
      </c>
      <c r="D44" s="5" t="inlineStr">
        <is>
          <t>ONETOUCH ULTRA BLUE  STRIP</t>
        </is>
      </c>
      <c r="E44" s="6" t="inlineStr">
        <is>
          <t>50.0</t>
        </is>
      </c>
      <c r="F44" s="7" t="n">
        <v>300</v>
      </c>
      <c r="G44" s="7" t="n">
        <v>6</v>
      </c>
      <c r="H44" s="7" t="n">
        <v>24</v>
      </c>
      <c r="I44" s="7" t="n">
        <v>18</v>
      </c>
      <c r="J44" s="8" t="n">
        <v>371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EXPRESS</t>
        </is>
      </c>
      <c r="C45" s="5" t="inlineStr">
        <is>
          <t>65702071110</t>
        </is>
      </c>
      <c r="D45" s="5" t="inlineStr">
        <is>
          <t>ACCU-CHEK GUIDE IN VITRO STRIP</t>
        </is>
      </c>
      <c r="E45" s="6" t="inlineStr">
        <is>
          <t>50.0</t>
        </is>
      </c>
      <c r="F45" s="7" t="n">
        <v>1100</v>
      </c>
      <c r="G45" s="7" t="n">
        <v>22</v>
      </c>
      <c r="H45" s="7" t="n">
        <v>22</v>
      </c>
      <c r="I45" s="7" t="n">
        <v>0</v>
      </c>
      <c r="J45" s="8" t="n">
        <v>364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EXPRESS</t>
        </is>
      </c>
      <c r="C46" s="5" t="inlineStr">
        <is>
          <t>00173085910</t>
        </is>
      </c>
      <c r="D46" s="5" t="inlineStr">
        <is>
          <t>BREO ELLIPTA 100-25 MCG/ACT INH AEROSOL</t>
        </is>
      </c>
      <c r="E46" s="6" t="inlineStr">
        <is>
          <t>60.0</t>
        </is>
      </c>
      <c r="F46" s="7" t="n">
        <v>60</v>
      </c>
      <c r="G46" s="7" t="n">
        <v>1</v>
      </c>
      <c r="H46" s="7" t="n">
        <v>9</v>
      </c>
      <c r="I46" s="7" t="n">
        <v>8</v>
      </c>
      <c r="J46" s="8" t="n">
        <v>360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EXPRESS</t>
        </is>
      </c>
      <c r="C47" s="5" t="inlineStr">
        <is>
          <t>00054032756</t>
        </is>
      </c>
      <c r="D47" s="5" t="inlineStr">
        <is>
          <t>FLUTICASONE-SALMETEROL 250-50 MCG/ACT INH AEROSOL</t>
        </is>
      </c>
      <c r="E47" s="6" t="inlineStr">
        <is>
          <t>60.0</t>
        </is>
      </c>
      <c r="F47" s="7" t="n">
        <v>180</v>
      </c>
      <c r="G47" s="7" t="n">
        <v>3</v>
      </c>
      <c r="H47" s="7" t="n">
        <v>8</v>
      </c>
      <c r="I47" s="7" t="n">
        <v>5</v>
      </c>
      <c r="J47" s="8" t="n">
        <v>313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EXPRESS</t>
        </is>
      </c>
      <c r="C48" s="5" t="inlineStr">
        <is>
          <t>00005200010</t>
        </is>
      </c>
      <c r="D48" s="5" t="inlineStr">
        <is>
          <t>PREVNAR 20 0.5 ML PREFILLED SYRINGE</t>
        </is>
      </c>
      <c r="E48" s="6" t="inlineStr">
        <is>
          <t>5.0</t>
        </is>
      </c>
      <c r="F48" s="7" t="n">
        <v>0.5</v>
      </c>
      <c r="G48" s="7" t="n">
        <v>0.1</v>
      </c>
      <c r="H48" s="7" t="n">
        <v>0</v>
      </c>
      <c r="I48" s="7" t="n">
        <v>-0.1</v>
      </c>
      <c r="J48" s="8" t="n">
        <v>285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EXPRESS</t>
        </is>
      </c>
      <c r="C49" s="5" t="inlineStr">
        <is>
          <t>58160082311</t>
        </is>
      </c>
      <c r="D49" s="5" t="inlineStr">
        <is>
          <t>SHINGRIX 50 MCG/0.5ML IM SUSP RECON</t>
        </is>
      </c>
      <c r="E49" s="6" t="inlineStr">
        <is>
          <t>10.0</t>
        </is>
      </c>
      <c r="F49" s="7" t="n">
        <v>1</v>
      </c>
      <c r="G49" s="7" t="n">
        <v>0.1</v>
      </c>
      <c r="H49" s="7" t="n">
        <v>0</v>
      </c>
      <c r="I49" s="7" t="n">
        <v>-0.1</v>
      </c>
      <c r="J49" s="8" t="n">
        <v>228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EXPRESS</t>
        </is>
      </c>
      <c r="C50" s="5" t="inlineStr">
        <is>
          <t>59467067901</t>
        </is>
      </c>
      <c r="D50" s="5" t="inlineStr">
        <is>
          <t>KLOXXADO 8 MG/0.1ML NASAL LIQUID</t>
        </is>
      </c>
      <c r="E50" s="6" t="inlineStr">
        <is>
          <t>2.0</t>
        </is>
      </c>
      <c r="F50" s="7" t="n">
        <v>2</v>
      </c>
      <c r="G50" s="7" t="n">
        <v>1</v>
      </c>
      <c r="H50" s="7" t="n">
        <v>8</v>
      </c>
      <c r="I50" s="7" t="n">
        <v>7</v>
      </c>
      <c r="J50" s="8" t="n">
        <v>106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EXPRESS</t>
        </is>
      </c>
      <c r="C51" s="5" t="inlineStr">
        <is>
          <t>57599081800</t>
        </is>
      </c>
      <c r="D51" s="5" t="inlineStr">
        <is>
          <t>FREESTYLE LIBRE 3 SENSOR</t>
        </is>
      </c>
      <c r="E51" s="6" t="inlineStr">
        <is>
          <t>1.0</t>
        </is>
      </c>
      <c r="F51" s="7" t="n">
        <v>2</v>
      </c>
      <c r="G51" s="7" t="n">
        <v>2</v>
      </c>
      <c r="H51" s="7" t="n">
        <v>16</v>
      </c>
      <c r="I51" s="7" t="n">
        <v>14</v>
      </c>
      <c r="J51" s="8" t="n">
        <v>83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EXPRESS</t>
        </is>
      </c>
      <c r="C52" s="5" t="inlineStr">
        <is>
          <t>65702072910</t>
        </is>
      </c>
      <c r="D52" s="5" t="inlineStr">
        <is>
          <t>ACCU-CHEK GUIDE W/DEVICE KIT</t>
        </is>
      </c>
      <c r="E52" s="6" t="inlineStr">
        <is>
          <t>1.0</t>
        </is>
      </c>
      <c r="F52" s="7" t="n">
        <v>1</v>
      </c>
      <c r="G52" s="7" t="n">
        <v>1</v>
      </c>
      <c r="H52" s="7" t="n">
        <v>3</v>
      </c>
      <c r="I52" s="7" t="n">
        <v>2</v>
      </c>
      <c r="J52" s="8" t="n">
        <v>21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EXPRESS</t>
        </is>
      </c>
      <c r="C53" s="5" t="inlineStr">
        <is>
          <t>99073070914</t>
        </is>
      </c>
      <c r="D53" s="5" t="inlineStr">
        <is>
          <t>FREESTYLE FREEDOM LITE  KIT KINRAY</t>
        </is>
      </c>
      <c r="E53" s="6" t="inlineStr">
        <is>
          <t>1.0</t>
        </is>
      </c>
      <c r="F53" s="7" t="n">
        <v>1</v>
      </c>
      <c r="G53" s="7" t="n">
        <v>1</v>
      </c>
      <c r="H53" s="7" t="n">
        <v>0</v>
      </c>
      <c r="I53" s="7" t="n">
        <v>-1</v>
      </c>
      <c r="J53" s="8" t="n">
        <v>14</v>
      </c>
      <c r="K53" s="9">
        <f>IFERROR(IF((ROUND((J53/G53)*I53,1))&lt;0,(ROUND((J53/G53)*I53,1)),0),0)</f>
        <v/>
      </c>
    </row>
    <row r="54">
      <c r="E54" s="10" t="inlineStr">
        <is>
          <t>TOTAL</t>
        </is>
      </c>
      <c r="F54" s="11">
        <f>SUM(F4:F53)</f>
        <v/>
      </c>
      <c r="G54" s="11">
        <f>SUM(G4:G53)</f>
        <v/>
      </c>
      <c r="H54" s="11">
        <f>SUM(H4:H53)</f>
        <v/>
      </c>
      <c r="I54" s="11">
        <f>SUM(I4:I53)</f>
        <v/>
      </c>
      <c r="J54" s="12">
        <f>SUM(J4:J53)</f>
        <v/>
      </c>
      <c r="K54" s="13">
        <f>SUM(K4:K53)</f>
        <v/>
      </c>
    </row>
    <row r="55">
      <c r="J55" s="14" t="inlineStr">
        <is>
          <t>Audited Drugs Count</t>
        </is>
      </c>
      <c r="K55" s="15">
        <f>COUNTIF(K4:K53,"&lt;0")</f>
        <v/>
      </c>
    </row>
    <row r="56">
      <c r="J56" s="14" t="inlineStr">
        <is>
          <t>Total Audit Exposure</t>
        </is>
      </c>
      <c r="K56" s="16">
        <f>SUMIF(K4:K53,"&lt;0",K4:K53)</f>
        <v/>
      </c>
    </row>
  </sheetData>
  <autoFilter ref="A3:K53"/>
  <mergeCells count="2">
    <mergeCell ref="A2:K2"/>
    <mergeCell ref="A1:K1"/>
  </mergeCells>
  <conditionalFormatting sqref="E4:K53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Hil — hh — FDS</t>
        </is>
      </c>
    </row>
    <row r="2" ht="24" customHeight="1">
      <c r="A2" s="2" t="inlineStr">
        <is>
          <t>Overall FDS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FDS</t>
        </is>
      </c>
      <c r="G3" s="3" t="inlineStr">
        <is>
          <t>Packages Billed to FDS</t>
        </is>
      </c>
      <c r="H3" s="3" t="inlineStr">
        <is>
          <t>Total Qty Purchased</t>
        </is>
      </c>
      <c r="I3" s="3" t="inlineStr">
        <is>
          <t>Qty Difference for FDS</t>
        </is>
      </c>
      <c r="J3" s="3" t="inlineStr">
        <is>
          <t>Actual $ Paid by FDS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FDS</t>
        </is>
      </c>
      <c r="C4" s="5" t="inlineStr">
        <is>
          <t>00193731150</t>
        </is>
      </c>
      <c r="D4" s="5" t="inlineStr">
        <is>
          <t>CONTOUR NEXT TEST  STRIPS</t>
        </is>
      </c>
      <c r="E4" s="6" t="inlineStr">
        <is>
          <t>50.0</t>
        </is>
      </c>
      <c r="F4" s="7" t="n">
        <v>300</v>
      </c>
      <c r="G4" s="7" t="n">
        <v>6</v>
      </c>
      <c r="H4" s="7" t="n">
        <v>0</v>
      </c>
      <c r="I4" s="7" t="n">
        <v>-6</v>
      </c>
      <c r="J4" s="8" t="n">
        <v>40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FDS</t>
        </is>
      </c>
      <c r="C5" s="5" t="inlineStr">
        <is>
          <t>00193730850</t>
        </is>
      </c>
      <c r="D5" s="5" t="inlineStr">
        <is>
          <t>CONTOUR NEXT STRIP DME</t>
        </is>
      </c>
      <c r="E5" s="6" t="inlineStr">
        <is>
          <t>50.0</t>
        </is>
      </c>
      <c r="F5" s="7" t="n">
        <v>100</v>
      </c>
      <c r="G5" s="7" t="n">
        <v>2</v>
      </c>
      <c r="H5" s="7" t="n">
        <v>0</v>
      </c>
      <c r="I5" s="7" t="n">
        <v>-2</v>
      </c>
      <c r="J5" s="8" t="n">
        <v>13</v>
      </c>
      <c r="K5" s="9">
        <f>IFERROR(IF((ROUND((J5/G5)*I5,1))&lt;0,(ROUND((J5/G5)*I5,1)),0),0)</f>
        <v/>
      </c>
    </row>
    <row r="6">
      <c r="E6" s="10" t="inlineStr">
        <is>
          <t>TOTAL</t>
        </is>
      </c>
      <c r="F6" s="11">
        <f>SUM(F4:F5)</f>
        <v/>
      </c>
      <c r="G6" s="11">
        <f>SUM(G4:G5)</f>
        <v/>
      </c>
      <c r="H6" s="11">
        <f>SUM(H4:H5)</f>
        <v/>
      </c>
      <c r="I6" s="11">
        <f>SUM(I4:I5)</f>
        <v/>
      </c>
      <c r="J6" s="12">
        <f>SUM(J4:J5)</f>
        <v/>
      </c>
      <c r="K6" s="13">
        <f>SUM(K4:K5)</f>
        <v/>
      </c>
    </row>
    <row r="7">
      <c r="J7" s="14" t="inlineStr">
        <is>
          <t>Audited Drugs Count</t>
        </is>
      </c>
      <c r="K7" s="15">
        <f>COUNTIF(K4:K5,"&lt;0")</f>
        <v/>
      </c>
    </row>
    <row r="8">
      <c r="J8" s="14" t="inlineStr">
        <is>
          <t>Total Audit Exposure</t>
        </is>
      </c>
      <c r="K8" s="16">
        <f>SUMIF(K4:K5,"&lt;0",K4:K5)</f>
        <v/>
      </c>
    </row>
  </sheetData>
  <autoFilter ref="A3:K5"/>
  <mergeCells count="2">
    <mergeCell ref="A2:K2"/>
    <mergeCell ref="A1:K1"/>
  </mergeCells>
  <conditionalFormatting sqref="E4:K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40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Hil — hh — MEDIMP</t>
        </is>
      </c>
    </row>
    <row r="2" ht="24" customHeight="1">
      <c r="A2" s="2" t="inlineStr">
        <is>
          <t>Overall MEDIMP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MEDIMP</t>
        </is>
      </c>
      <c r="G3" s="3" t="inlineStr">
        <is>
          <t>Packages Billed to MEDIMP</t>
        </is>
      </c>
      <c r="H3" s="3" t="inlineStr">
        <is>
          <t>Total Qty Purchased</t>
        </is>
      </c>
      <c r="I3" s="3" t="inlineStr">
        <is>
          <t>Qty Difference for MEDIMP</t>
        </is>
      </c>
      <c r="J3" s="3" t="inlineStr">
        <is>
          <t>Actual $ Paid by MEDIMP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MEDIMP</t>
        </is>
      </c>
      <c r="C4" s="5" t="inlineStr">
        <is>
          <t>59676080030</t>
        </is>
      </c>
      <c r="D4" s="5" t="inlineStr">
        <is>
          <t>SYMTUZA 800-150-200-10MG TABLET</t>
        </is>
      </c>
      <c r="E4" s="6" t="inlineStr">
        <is>
          <t>30.0</t>
        </is>
      </c>
      <c r="F4" s="7" t="n">
        <v>90</v>
      </c>
      <c r="G4" s="7" t="n">
        <v>3</v>
      </c>
      <c r="H4" s="7" t="n">
        <v>3</v>
      </c>
      <c r="I4" s="7" t="n">
        <v>0</v>
      </c>
      <c r="J4" s="8" t="n">
        <v>13439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MEDIMP</t>
        </is>
      </c>
      <c r="C5" s="5" t="inlineStr">
        <is>
          <t>24208091112</t>
        </is>
      </c>
      <c r="D5" s="5" t="inlineStr">
        <is>
          <t>XIIDRA 5 % OPHTHALMIC SOLUTION</t>
        </is>
      </c>
      <c r="E5" s="6" t="inlineStr">
        <is>
          <t>60.0</t>
        </is>
      </c>
      <c r="F5" s="7" t="n">
        <v>720</v>
      </c>
      <c r="G5" s="7" t="n">
        <v>12</v>
      </c>
      <c r="H5" s="7" t="n">
        <v>84</v>
      </c>
      <c r="I5" s="7" t="n">
        <v>72</v>
      </c>
      <c r="J5" s="8" t="n">
        <v>8243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MEDIMP</t>
        </is>
      </c>
      <c r="C6" s="5" t="inlineStr">
        <is>
          <t>61958250101</t>
        </is>
      </c>
      <c r="D6" s="5" t="inlineStr">
        <is>
          <t>BIKTARVY 50-200-25MG TABLET</t>
        </is>
      </c>
      <c r="E6" s="6" t="inlineStr">
        <is>
          <t>30.0</t>
        </is>
      </c>
      <c r="F6" s="7" t="n">
        <v>60</v>
      </c>
      <c r="G6" s="7" t="n">
        <v>2</v>
      </c>
      <c r="H6" s="7" t="n">
        <v>7</v>
      </c>
      <c r="I6" s="7" t="n">
        <v>5</v>
      </c>
      <c r="J6" s="8" t="n">
        <v>7984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MEDIMP</t>
        </is>
      </c>
      <c r="C7" s="5" t="inlineStr">
        <is>
          <t>00169413013</t>
        </is>
      </c>
      <c r="D7" s="5" t="inlineStr">
        <is>
          <t>OZEMPIC (1 MG/DOSE) 4MG/3ML INJECTION</t>
        </is>
      </c>
      <c r="E7" s="6" t="inlineStr">
        <is>
          <t>3.0</t>
        </is>
      </c>
      <c r="F7" s="7" t="n">
        <v>18</v>
      </c>
      <c r="G7" s="7" t="n">
        <v>6</v>
      </c>
      <c r="H7" s="7" t="n">
        <v>47</v>
      </c>
      <c r="I7" s="7" t="n">
        <v>41</v>
      </c>
      <c r="J7" s="8" t="n">
        <v>5512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MEDIMP</t>
        </is>
      </c>
      <c r="C8" s="5" t="inlineStr">
        <is>
          <t>61874011530</t>
        </is>
      </c>
      <c r="D8" s="5" t="inlineStr">
        <is>
          <t>VRAYLAR 1.5MG CAPSULE</t>
        </is>
      </c>
      <c r="E8" s="6" t="inlineStr">
        <is>
          <t>30.0</t>
        </is>
      </c>
      <c r="F8" s="7" t="n">
        <v>90</v>
      </c>
      <c r="G8" s="7" t="n">
        <v>3</v>
      </c>
      <c r="H8" s="7" t="n">
        <v>7</v>
      </c>
      <c r="I8" s="7" t="n">
        <v>4</v>
      </c>
      <c r="J8" s="8" t="n">
        <v>4387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MEDIMP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450</v>
      </c>
      <c r="G9" s="7" t="n">
        <v>15</v>
      </c>
      <c r="H9" s="7" t="n">
        <v>139</v>
      </c>
      <c r="I9" s="7" t="n">
        <v>124</v>
      </c>
      <c r="J9" s="8" t="n">
        <v>3865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MEDIMP</t>
        </is>
      </c>
      <c r="C10" s="5" t="inlineStr">
        <is>
          <t>00310621030</t>
        </is>
      </c>
      <c r="D10" s="5" t="inlineStr">
        <is>
          <t>FARXIGA 10MG TABLET</t>
        </is>
      </c>
      <c r="E10" s="6" t="inlineStr">
        <is>
          <t>30.0</t>
        </is>
      </c>
      <c r="F10" s="7" t="n">
        <v>360</v>
      </c>
      <c r="G10" s="7" t="n">
        <v>12</v>
      </c>
      <c r="H10" s="7" t="n">
        <v>50</v>
      </c>
      <c r="I10" s="7" t="n">
        <v>38</v>
      </c>
      <c r="J10" s="8" t="n">
        <v>3636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MEDIMP</t>
        </is>
      </c>
      <c r="C11" s="5" t="inlineStr">
        <is>
          <t>00002148480</t>
        </is>
      </c>
      <c r="D11" s="5" t="inlineStr">
        <is>
          <t>MOUNJARO 7.5 MG/0.5ML PEN-INJECTOR</t>
        </is>
      </c>
      <c r="E11" s="6" t="inlineStr">
        <is>
          <t>2.0</t>
        </is>
      </c>
      <c r="F11" s="7" t="n">
        <v>6</v>
      </c>
      <c r="G11" s="7" t="n">
        <v>3</v>
      </c>
      <c r="H11" s="7" t="n">
        <v>27</v>
      </c>
      <c r="I11" s="7" t="n">
        <v>24</v>
      </c>
      <c r="J11" s="8" t="n">
        <v>3136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MEDIMP</t>
        </is>
      </c>
      <c r="C12" s="5" t="inlineStr">
        <is>
          <t>49702024613</t>
        </is>
      </c>
      <c r="D12" s="5" t="inlineStr">
        <is>
          <t>DOVATO 50-300 MG ORAL TABLET</t>
        </is>
      </c>
      <c r="E12" s="6" t="inlineStr">
        <is>
          <t>30.0</t>
        </is>
      </c>
      <c r="F12" s="7" t="n">
        <v>30</v>
      </c>
      <c r="G12" s="7" t="n">
        <v>1</v>
      </c>
      <c r="H12" s="7" t="n">
        <v>3</v>
      </c>
      <c r="I12" s="7" t="n">
        <v>2</v>
      </c>
      <c r="J12" s="8" t="n">
        <v>3082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MEDIMP</t>
        </is>
      </c>
      <c r="C13" s="5" t="inlineStr">
        <is>
          <t>00169431430</t>
        </is>
      </c>
      <c r="D13" s="5" t="inlineStr">
        <is>
          <t>RYBELSUS 14MG TABLET</t>
        </is>
      </c>
      <c r="E13" s="6" t="inlineStr">
        <is>
          <t>30.0</t>
        </is>
      </c>
      <c r="F13" s="7" t="n">
        <v>90</v>
      </c>
      <c r="G13" s="7" t="n">
        <v>3</v>
      </c>
      <c r="H13" s="7" t="n">
        <v>15</v>
      </c>
      <c r="I13" s="7" t="n">
        <v>12</v>
      </c>
      <c r="J13" s="8" t="n">
        <v>2751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MEDIMP</t>
        </is>
      </c>
      <c r="C14" s="5" t="inlineStr">
        <is>
          <t>00597015230</t>
        </is>
      </c>
      <c r="D14" s="5" t="inlineStr">
        <is>
          <t xml:space="preserve">JARDIANCE 10MG TAB </t>
        </is>
      </c>
      <c r="E14" s="6" t="inlineStr">
        <is>
          <t>30.0</t>
        </is>
      </c>
      <c r="F14" s="7" t="n">
        <v>180</v>
      </c>
      <c r="G14" s="7" t="n">
        <v>6</v>
      </c>
      <c r="H14" s="7" t="n">
        <v>98</v>
      </c>
      <c r="I14" s="7" t="n">
        <v>92</v>
      </c>
      <c r="J14" s="8" t="n">
        <v>2694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MEDIMP</t>
        </is>
      </c>
      <c r="C15" s="5" t="inlineStr">
        <is>
          <t>00173088710</t>
        </is>
      </c>
      <c r="D15" s="5" t="inlineStr">
        <is>
          <t>TRELEGY ELLIPTA 100-62.5-25MCG/INH AEROSOL</t>
        </is>
      </c>
      <c r="E15" s="6" t="inlineStr">
        <is>
          <t>60.0</t>
        </is>
      </c>
      <c r="F15" s="7" t="n">
        <v>180</v>
      </c>
      <c r="G15" s="7" t="n">
        <v>3</v>
      </c>
      <c r="H15" s="7" t="n">
        <v>6</v>
      </c>
      <c r="I15" s="7" t="n">
        <v>3</v>
      </c>
      <c r="J15" s="8" t="n">
        <v>1859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MEDIMP</t>
        </is>
      </c>
      <c r="C16" s="5" t="inlineStr">
        <is>
          <t>00003089421</t>
        </is>
      </c>
      <c r="D16" s="5" t="inlineStr">
        <is>
          <t xml:space="preserve">ELIQUIS 5MG TAB </t>
        </is>
      </c>
      <c r="E16" s="6" t="inlineStr">
        <is>
          <t>60.0</t>
        </is>
      </c>
      <c r="F16" s="7" t="n">
        <v>420</v>
      </c>
      <c r="G16" s="7" t="n">
        <v>7</v>
      </c>
      <c r="H16" s="7" t="n">
        <v>83</v>
      </c>
      <c r="I16" s="7" t="n">
        <v>76</v>
      </c>
      <c r="J16" s="8" t="n">
        <v>1745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MEDIMP</t>
        </is>
      </c>
      <c r="C17" s="5" t="inlineStr">
        <is>
          <t>00310628030</t>
        </is>
      </c>
      <c r="D17" s="5" t="inlineStr">
        <is>
          <t>XIGDUO XR 10-1000MG TABLET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8</v>
      </c>
      <c r="I17" s="7" t="n">
        <v>5</v>
      </c>
      <c r="J17" s="8" t="n">
        <v>1608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MEDIMP</t>
        </is>
      </c>
      <c r="C18" s="5" t="inlineStr">
        <is>
          <t>00456120130</t>
        </is>
      </c>
      <c r="D18" s="5" t="inlineStr">
        <is>
          <t>LINZESS 145MCG CAPSULE</t>
        </is>
      </c>
      <c r="E18" s="6" t="inlineStr">
        <is>
          <t>30.0</t>
        </is>
      </c>
      <c r="F18" s="7" t="n">
        <v>180</v>
      </c>
      <c r="G18" s="7" t="n">
        <v>6</v>
      </c>
      <c r="H18" s="7" t="n">
        <v>30</v>
      </c>
      <c r="I18" s="7" t="n">
        <v>24</v>
      </c>
      <c r="J18" s="8" t="n">
        <v>1503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MEDIMP</t>
        </is>
      </c>
      <c r="C19" s="5" t="inlineStr">
        <is>
          <t>00193731150</t>
        </is>
      </c>
      <c r="D19" s="5" t="inlineStr">
        <is>
          <t>CONTOUR NEXT TEST  STRIPS</t>
        </is>
      </c>
      <c r="E19" s="6" t="inlineStr">
        <is>
          <t>50.0</t>
        </is>
      </c>
      <c r="F19" s="7" t="n">
        <v>1400</v>
      </c>
      <c r="G19" s="7" t="n">
        <v>28</v>
      </c>
      <c r="H19" s="7" t="n">
        <v>0</v>
      </c>
      <c r="I19" s="7" t="n">
        <v>-28</v>
      </c>
      <c r="J19" s="8" t="n">
        <v>1414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MEDIMP</t>
        </is>
      </c>
      <c r="C20" s="5" t="inlineStr">
        <is>
          <t>00006027731</t>
        </is>
      </c>
      <c r="D20" s="5" t="inlineStr">
        <is>
          <t>JANUVIA 100MG TAB</t>
        </is>
      </c>
      <c r="E20" s="6" t="inlineStr">
        <is>
          <t>30.0</t>
        </is>
      </c>
      <c r="F20" s="7" t="n">
        <v>270</v>
      </c>
      <c r="G20" s="7" t="n">
        <v>9</v>
      </c>
      <c r="H20" s="7" t="n">
        <v>63</v>
      </c>
      <c r="I20" s="7" t="n">
        <v>54</v>
      </c>
      <c r="J20" s="8" t="n">
        <v>1052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MEDIMP</t>
        </is>
      </c>
      <c r="C21" s="5" t="inlineStr">
        <is>
          <t>00169418113</t>
        </is>
      </c>
      <c r="D21" s="5" t="inlineStr">
        <is>
          <t>OZEMPIC (0.25 OR 0.5 MG/DOSE) 2 MG/3ML PEN-INJECTOR</t>
        </is>
      </c>
      <c r="E21" s="6" t="inlineStr">
        <is>
          <t>3.0</t>
        </is>
      </c>
      <c r="F21" s="7" t="n">
        <v>3</v>
      </c>
      <c r="G21" s="7" t="n">
        <v>1</v>
      </c>
      <c r="H21" s="7" t="n">
        <v>69</v>
      </c>
      <c r="I21" s="7" t="n">
        <v>68</v>
      </c>
      <c r="J21" s="8" t="n">
        <v>974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MEDIMP</t>
        </is>
      </c>
      <c r="C22" s="5" t="inlineStr">
        <is>
          <t>00006057561</t>
        </is>
      </c>
      <c r="D22" s="5" t="inlineStr">
        <is>
          <t>JANUMET 50-500 MG ORAL TABLET</t>
        </is>
      </c>
      <c r="E22" s="6" t="inlineStr">
        <is>
          <t>60.0</t>
        </is>
      </c>
      <c r="F22" s="7" t="n">
        <v>180</v>
      </c>
      <c r="G22" s="7" t="n">
        <v>3</v>
      </c>
      <c r="H22" s="7" t="n">
        <v>3</v>
      </c>
      <c r="I22" s="7" t="n">
        <v>0</v>
      </c>
      <c r="J22" s="8" t="n">
        <v>930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MEDIMP</t>
        </is>
      </c>
      <c r="C23" s="5" t="inlineStr">
        <is>
          <t>00006008131</t>
        </is>
      </c>
      <c r="D23" s="5" t="inlineStr">
        <is>
          <t>JANUMET XR 100-1000MG TABLET</t>
        </is>
      </c>
      <c r="E23" s="6" t="inlineStr">
        <is>
          <t>30.0</t>
        </is>
      </c>
      <c r="F23" s="7" t="n">
        <v>90</v>
      </c>
      <c r="G23" s="7" t="n">
        <v>3</v>
      </c>
      <c r="H23" s="7" t="n">
        <v>8</v>
      </c>
      <c r="I23" s="7" t="n">
        <v>5</v>
      </c>
      <c r="J23" s="8" t="n">
        <v>885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MEDIMP</t>
        </is>
      </c>
      <c r="C24" s="5" t="inlineStr">
        <is>
          <t>00006011231</t>
        </is>
      </c>
      <c r="D24" s="5" t="inlineStr">
        <is>
          <t>JANUVIA 50MG TABLET</t>
        </is>
      </c>
      <c r="E24" s="6" t="inlineStr">
        <is>
          <t>30.0</t>
        </is>
      </c>
      <c r="F24" s="7" t="n">
        <v>90</v>
      </c>
      <c r="G24" s="7" t="n">
        <v>3</v>
      </c>
      <c r="H24" s="7" t="n">
        <v>35</v>
      </c>
      <c r="I24" s="7" t="n">
        <v>32</v>
      </c>
      <c r="J24" s="8" t="n">
        <v>885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MEDIMP</t>
        </is>
      </c>
      <c r="C25" s="5" t="inlineStr">
        <is>
          <t>00023320508</t>
        </is>
      </c>
      <c r="D25" s="5" t="inlineStr">
        <is>
          <t>LUMIGAN 0.01% SOLUTION</t>
        </is>
      </c>
      <c r="E25" s="6" t="inlineStr">
        <is>
          <t>7.5</t>
        </is>
      </c>
      <c r="F25" s="7" t="n">
        <v>7.5</v>
      </c>
      <c r="G25" s="7" t="n">
        <v>1</v>
      </c>
      <c r="H25" s="7" t="n">
        <v>10</v>
      </c>
      <c r="I25" s="7" t="n">
        <v>9</v>
      </c>
      <c r="J25" s="8" t="n">
        <v>746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MEDIMP</t>
        </is>
      </c>
      <c r="C26" s="5" t="inlineStr">
        <is>
          <t>00310461612</t>
        </is>
      </c>
      <c r="D26" s="5" t="inlineStr">
        <is>
          <t>BREZTRI AEROSPHERE 160-9-4.8 MCG/ACT INHALATION AEROSOL</t>
        </is>
      </c>
      <c r="E26" s="6" t="inlineStr">
        <is>
          <t>10.7</t>
        </is>
      </c>
      <c r="F26" s="7" t="n">
        <v>10.7</v>
      </c>
      <c r="G26" s="7" t="n">
        <v>1</v>
      </c>
      <c r="H26" s="7" t="n">
        <v>8</v>
      </c>
      <c r="I26" s="7" t="n">
        <v>7</v>
      </c>
      <c r="J26" s="8" t="n">
        <v>649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MEDIMP</t>
        </is>
      </c>
      <c r="C27" s="5" t="inlineStr">
        <is>
          <t>00310737020</t>
        </is>
      </c>
      <c r="D27" s="5" t="inlineStr">
        <is>
          <t>BUDESONIDE/FORMOTEROL 160 /4.5 MCG (SYMBICORT)</t>
        </is>
      </c>
      <c r="E27" s="6" t="inlineStr">
        <is>
          <t>10.2</t>
        </is>
      </c>
      <c r="F27" s="7" t="n">
        <v>30.6</v>
      </c>
      <c r="G27" s="7" t="n">
        <v>3</v>
      </c>
      <c r="H27" s="7" t="n">
        <v>19</v>
      </c>
      <c r="I27" s="7" t="n">
        <v>16</v>
      </c>
      <c r="J27" s="8" t="n">
        <v>592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MEDIMP</t>
        </is>
      </c>
      <c r="C28" s="5" t="inlineStr">
        <is>
          <t>00456120230</t>
        </is>
      </c>
      <c r="D28" s="5" t="inlineStr">
        <is>
          <t xml:space="preserve">LINZESS 290MCG CAP </t>
        </is>
      </c>
      <c r="E28" s="6" t="inlineStr">
        <is>
          <t>30.0</t>
        </is>
      </c>
      <c r="F28" s="7" t="n">
        <v>60</v>
      </c>
      <c r="G28" s="7" t="n">
        <v>2</v>
      </c>
      <c r="H28" s="7" t="n">
        <v>28</v>
      </c>
      <c r="I28" s="7" t="n">
        <v>26</v>
      </c>
      <c r="J28" s="8" t="n">
        <v>536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MEDIMP</t>
        </is>
      </c>
      <c r="C29" s="5" t="inlineStr">
        <is>
          <t>24208050402</t>
        </is>
      </c>
      <c r="D29" s="5" t="inlineStr">
        <is>
          <t>VYZULTA 0.024 % OPHTHALMIC SOLUTION</t>
        </is>
      </c>
      <c r="E29" s="6" t="inlineStr">
        <is>
          <t>2.5</t>
        </is>
      </c>
      <c r="F29" s="7" t="n">
        <v>5</v>
      </c>
      <c r="G29" s="7" t="n">
        <v>2</v>
      </c>
      <c r="H29" s="7" t="n">
        <v>0</v>
      </c>
      <c r="I29" s="7" t="n">
        <v>-2</v>
      </c>
      <c r="J29" s="8" t="n">
        <v>497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MEDIMP</t>
        </is>
      </c>
      <c r="C30" s="5" t="inlineStr">
        <is>
          <t>00456120330</t>
        </is>
      </c>
      <c r="D30" s="5" t="inlineStr">
        <is>
          <t>LINZESS 72 MCG ORAL CAPSULE</t>
        </is>
      </c>
      <c r="E30" s="6" t="inlineStr">
        <is>
          <t>30.0</t>
        </is>
      </c>
      <c r="F30" s="7" t="n">
        <v>30</v>
      </c>
      <c r="G30" s="7" t="n">
        <v>1</v>
      </c>
      <c r="H30" s="7" t="n">
        <v>14</v>
      </c>
      <c r="I30" s="7" t="n">
        <v>13</v>
      </c>
      <c r="J30" s="8" t="n">
        <v>493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MEDIMP</t>
        </is>
      </c>
      <c r="C31" s="5" t="inlineStr">
        <is>
          <t>73336007530</t>
        </is>
      </c>
      <c r="D31" s="5" t="inlineStr">
        <is>
          <t>GEMTESA 75MG TABLET</t>
        </is>
      </c>
      <c r="E31" s="6" t="inlineStr">
        <is>
          <t>30.0</t>
        </is>
      </c>
      <c r="F31" s="7" t="n">
        <v>30</v>
      </c>
      <c r="G31" s="7" t="n">
        <v>1</v>
      </c>
      <c r="H31" s="7" t="n">
        <v>18</v>
      </c>
      <c r="I31" s="7" t="n">
        <v>17</v>
      </c>
      <c r="J31" s="8" t="n">
        <v>489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MEDIMP</t>
        </is>
      </c>
      <c r="C32" s="5" t="inlineStr">
        <is>
          <t>00169255013</t>
        </is>
      </c>
      <c r="D32" s="5" t="inlineStr">
        <is>
          <t>TRESIBA FLEXTOUCH 200UNIT/ML INJECTION</t>
        </is>
      </c>
      <c r="E32" s="6" t="inlineStr">
        <is>
          <t>9.0</t>
        </is>
      </c>
      <c r="F32" s="7" t="n">
        <v>12</v>
      </c>
      <c r="G32" s="7" t="n">
        <v>1.333333333333333</v>
      </c>
      <c r="H32" s="7" t="n">
        <v>2</v>
      </c>
      <c r="I32" s="7" t="n">
        <v>0.6666666666666667</v>
      </c>
      <c r="J32" s="8" t="n">
        <v>485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MEDIMP</t>
        </is>
      </c>
      <c r="C33" s="5" t="inlineStr">
        <is>
          <t>00310737220</t>
        </is>
      </c>
      <c r="D33" s="5" t="inlineStr">
        <is>
          <t>BUDESONIDE-FORMOTEROL FUMARATE 80-4.5MCG/ACT AEROSOL</t>
        </is>
      </c>
      <c r="E33" s="6" t="inlineStr">
        <is>
          <t>10.2</t>
        </is>
      </c>
      <c r="F33" s="7" t="n">
        <v>30.6</v>
      </c>
      <c r="G33" s="7" t="n">
        <v>3</v>
      </c>
      <c r="H33" s="7" t="n">
        <v>9</v>
      </c>
      <c r="I33" s="7" t="n">
        <v>6</v>
      </c>
      <c r="J33" s="8" t="n">
        <v>465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MEDIMP</t>
        </is>
      </c>
      <c r="C34" s="5" t="inlineStr">
        <is>
          <t>58160082311</t>
        </is>
      </c>
      <c r="D34" s="5" t="inlineStr">
        <is>
          <t>SHINGRIX 50 MCG/0.5ML IM SUSP RECON</t>
        </is>
      </c>
      <c r="E34" s="6" t="inlineStr">
        <is>
          <t>10.0</t>
        </is>
      </c>
      <c r="F34" s="7" t="n">
        <v>2</v>
      </c>
      <c r="G34" s="7" t="n">
        <v>0.2</v>
      </c>
      <c r="H34" s="7" t="n">
        <v>0</v>
      </c>
      <c r="I34" s="7" t="n">
        <v>-0.2</v>
      </c>
      <c r="J34" s="8" t="n">
        <v>443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MEDIMP</t>
        </is>
      </c>
      <c r="C35" s="5" t="inlineStr">
        <is>
          <t>59467067901</t>
        </is>
      </c>
      <c r="D35" s="5" t="inlineStr">
        <is>
          <t>KLOXXADO 8 MG/0.1ML NASAL LIQUID</t>
        </is>
      </c>
      <c r="E35" s="6" t="inlineStr">
        <is>
          <t>2.0</t>
        </is>
      </c>
      <c r="F35" s="7" t="n">
        <v>6</v>
      </c>
      <c r="G35" s="7" t="n">
        <v>3</v>
      </c>
      <c r="H35" s="7" t="n">
        <v>8</v>
      </c>
      <c r="I35" s="7" t="n">
        <v>5</v>
      </c>
      <c r="J35" s="8" t="n">
        <v>356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MEDIMP</t>
        </is>
      </c>
      <c r="C36" s="5" t="inlineStr">
        <is>
          <t>00054032756</t>
        </is>
      </c>
      <c r="D36" s="5" t="inlineStr">
        <is>
          <t>FLUTICASONE-SALMETEROL 250-50 MCG/ACT INH AEROSOL</t>
        </is>
      </c>
      <c r="E36" s="6" t="inlineStr">
        <is>
          <t>60.0</t>
        </is>
      </c>
      <c r="F36" s="7" t="n">
        <v>180</v>
      </c>
      <c r="G36" s="7" t="n">
        <v>3</v>
      </c>
      <c r="H36" s="7" t="n">
        <v>8</v>
      </c>
      <c r="I36" s="7" t="n">
        <v>5</v>
      </c>
      <c r="J36" s="8" t="n">
        <v>231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MEDIMP</t>
        </is>
      </c>
      <c r="C37" s="5" t="inlineStr">
        <is>
          <t>00088221905</t>
        </is>
      </c>
      <c r="D37" s="5" t="inlineStr">
        <is>
          <t>LANTUS SOLOSTAR 100UNIT/ML INJECTION</t>
        </is>
      </c>
      <c r="E37" s="6" t="inlineStr">
        <is>
          <t>15.0</t>
        </is>
      </c>
      <c r="F37" s="7" t="n">
        <v>18</v>
      </c>
      <c r="G37" s="7" t="n">
        <v>1.2</v>
      </c>
      <c r="H37" s="7" t="n">
        <v>46</v>
      </c>
      <c r="I37" s="7" t="n">
        <v>44.8</v>
      </c>
      <c r="J37" s="8" t="n">
        <v>106</v>
      </c>
      <c r="K37" s="9">
        <f>IFERROR(IF((ROUND((J37/G37)*I37,1))&lt;0,(ROUND((J37/G37)*I37,1)),0),0)</f>
        <v/>
      </c>
    </row>
    <row r="38">
      <c r="E38" s="10" t="inlineStr">
        <is>
          <t>TOTAL</t>
        </is>
      </c>
      <c r="F38" s="11">
        <f>SUM(F4:F37)</f>
        <v/>
      </c>
      <c r="G38" s="11">
        <f>SUM(G4:G37)</f>
        <v/>
      </c>
      <c r="H38" s="11">
        <f>SUM(H4:H37)</f>
        <v/>
      </c>
      <c r="I38" s="11">
        <f>SUM(I4:I37)</f>
        <v/>
      </c>
      <c r="J38" s="12">
        <f>SUM(J4:J37)</f>
        <v/>
      </c>
      <c r="K38" s="13">
        <f>SUM(K4:K37)</f>
        <v/>
      </c>
    </row>
    <row r="39">
      <c r="J39" s="14" t="inlineStr">
        <is>
          <t>Audited Drugs Count</t>
        </is>
      </c>
      <c r="K39" s="15">
        <f>COUNTIF(K4:K37,"&lt;0")</f>
        <v/>
      </c>
    </row>
    <row r="40">
      <c r="J40" s="14" t="inlineStr">
        <is>
          <t>Total Audit Exposure</t>
        </is>
      </c>
      <c r="K40" s="16">
        <f>SUMIF(K4:K37,"&lt;0",K4:K37)</f>
        <v/>
      </c>
    </row>
  </sheetData>
  <autoFilter ref="A3:K37"/>
  <mergeCells count="2">
    <mergeCell ref="A2:K2"/>
    <mergeCell ref="A1:K1"/>
  </mergeCells>
  <conditionalFormatting sqref="E4:K37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9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Hil — hh — NYM</t>
        </is>
      </c>
    </row>
    <row r="2" ht="24" customHeight="1">
      <c r="A2" s="2" t="inlineStr">
        <is>
          <t>Overall NYM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NYM</t>
        </is>
      </c>
      <c r="G3" s="3" t="inlineStr">
        <is>
          <t>Packages Billed to NYM</t>
        </is>
      </c>
      <c r="H3" s="3" t="inlineStr">
        <is>
          <t>Total Qty Purchased</t>
        </is>
      </c>
      <c r="I3" s="3" t="inlineStr">
        <is>
          <t>Qty Difference for NYM</t>
        </is>
      </c>
      <c r="J3" s="3" t="inlineStr">
        <is>
          <t>Actual $ Paid by NYM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NYM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69</v>
      </c>
      <c r="G4" s="7" t="n">
        <v>23</v>
      </c>
      <c r="H4" s="7" t="n">
        <v>69</v>
      </c>
      <c r="I4" s="7" t="n">
        <v>46</v>
      </c>
      <c r="J4" s="8" t="n">
        <v>22802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NYM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1620</v>
      </c>
      <c r="G5" s="7" t="n">
        <v>27</v>
      </c>
      <c r="H5" s="7" t="n">
        <v>176</v>
      </c>
      <c r="I5" s="7" t="n">
        <v>149</v>
      </c>
      <c r="J5" s="8" t="n">
        <v>16857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NYM</t>
        </is>
      </c>
      <c r="C6" s="5" t="inlineStr">
        <is>
          <t>61958250101</t>
        </is>
      </c>
      <c r="D6" s="5" t="inlineStr">
        <is>
          <t>BIKTARVY 50-200-25MG TABLET</t>
        </is>
      </c>
      <c r="E6" s="6" t="inlineStr">
        <is>
          <t>30.0</t>
        </is>
      </c>
      <c r="F6" s="7" t="n">
        <v>120</v>
      </c>
      <c r="G6" s="7" t="n">
        <v>4</v>
      </c>
      <c r="H6" s="7" t="n">
        <v>7</v>
      </c>
      <c r="I6" s="7" t="n">
        <v>3</v>
      </c>
      <c r="J6" s="8" t="n">
        <v>16445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NYM</t>
        </is>
      </c>
      <c r="C7" s="5" t="inlineStr">
        <is>
          <t>00169413013</t>
        </is>
      </c>
      <c r="D7" s="5" t="inlineStr">
        <is>
          <t>OZEMPIC (1 MG/DOSE) 4MG/3ML INJECTION</t>
        </is>
      </c>
      <c r="E7" s="6" t="inlineStr">
        <is>
          <t>3.0</t>
        </is>
      </c>
      <c r="F7" s="7" t="n">
        <v>45</v>
      </c>
      <c r="G7" s="7" t="n">
        <v>15</v>
      </c>
      <c r="H7" s="7" t="n">
        <v>47</v>
      </c>
      <c r="I7" s="7" t="n">
        <v>32</v>
      </c>
      <c r="J7" s="8" t="n">
        <v>14691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NYM</t>
        </is>
      </c>
      <c r="C8" s="5" t="inlineStr">
        <is>
          <t>00597015230</t>
        </is>
      </c>
      <c r="D8" s="5" t="inlineStr">
        <is>
          <t xml:space="preserve">JARDIANCE 10MG TAB </t>
        </is>
      </c>
      <c r="E8" s="6" t="inlineStr">
        <is>
          <t>30.0</t>
        </is>
      </c>
      <c r="F8" s="7" t="n">
        <v>960</v>
      </c>
      <c r="G8" s="7" t="n">
        <v>32</v>
      </c>
      <c r="H8" s="7" t="n">
        <v>98</v>
      </c>
      <c r="I8" s="7" t="n">
        <v>66</v>
      </c>
      <c r="J8" s="8" t="n">
        <v>14676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NYM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810</v>
      </c>
      <c r="G9" s="7" t="n">
        <v>27</v>
      </c>
      <c r="H9" s="7" t="n">
        <v>139</v>
      </c>
      <c r="I9" s="7" t="n">
        <v>112</v>
      </c>
      <c r="J9" s="8" t="n">
        <v>13985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NYM</t>
        </is>
      </c>
      <c r="C10" s="5" t="inlineStr">
        <is>
          <t>00169477212</t>
        </is>
      </c>
      <c r="D10" s="5" t="inlineStr">
        <is>
          <t>OZEMPIC (2 MG/DOSE) 8 MG/3ML PEN-INJECTOR</t>
        </is>
      </c>
      <c r="E10" s="6" t="inlineStr">
        <is>
          <t>3.0</t>
        </is>
      </c>
      <c r="F10" s="7" t="n">
        <v>39</v>
      </c>
      <c r="G10" s="7" t="n">
        <v>13</v>
      </c>
      <c r="H10" s="7" t="n">
        <v>32</v>
      </c>
      <c r="I10" s="7" t="n">
        <v>19</v>
      </c>
      <c r="J10" s="8" t="n">
        <v>12863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NYM</t>
        </is>
      </c>
      <c r="C11" s="5" t="inlineStr">
        <is>
          <t>00002149580</t>
        </is>
      </c>
      <c r="D11" s="5" t="inlineStr">
        <is>
          <t>MOUNJARO 5 MG/0.5ML PEN-INJECTOR</t>
        </is>
      </c>
      <c r="E11" s="6" t="inlineStr">
        <is>
          <t>2.0</t>
        </is>
      </c>
      <c r="F11" s="7" t="n">
        <v>24</v>
      </c>
      <c r="G11" s="7" t="n">
        <v>12</v>
      </c>
      <c r="H11" s="7" t="n">
        <v>24</v>
      </c>
      <c r="I11" s="7" t="n">
        <v>12</v>
      </c>
      <c r="J11" s="8" t="n">
        <v>12817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NYM</t>
        </is>
      </c>
      <c r="C12" s="5" t="inlineStr">
        <is>
          <t>49702024213</t>
        </is>
      </c>
      <c r="D12" s="5" t="inlineStr">
        <is>
          <t>JULUCA 50-25MG TABLET</t>
        </is>
      </c>
      <c r="E12" s="6" t="inlineStr">
        <is>
          <t>30.0</t>
        </is>
      </c>
      <c r="F12" s="7" t="n">
        <v>90</v>
      </c>
      <c r="G12" s="7" t="n">
        <v>3</v>
      </c>
      <c r="H12" s="7" t="n">
        <v>4</v>
      </c>
      <c r="I12" s="7" t="n">
        <v>1</v>
      </c>
      <c r="J12" s="8" t="n">
        <v>10790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NYM</t>
        </is>
      </c>
      <c r="C13" s="5" t="inlineStr">
        <is>
          <t>61874011530</t>
        </is>
      </c>
      <c r="D13" s="5" t="inlineStr">
        <is>
          <t>VRAYLAR 1.5MG CAPSULE</t>
        </is>
      </c>
      <c r="E13" s="6" t="inlineStr">
        <is>
          <t>30.0</t>
        </is>
      </c>
      <c r="F13" s="7" t="n">
        <v>210</v>
      </c>
      <c r="G13" s="7" t="n">
        <v>7</v>
      </c>
      <c r="H13" s="7" t="n">
        <v>7</v>
      </c>
      <c r="I13" s="7" t="n">
        <v>0</v>
      </c>
      <c r="J13" s="8" t="n">
        <v>10483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NYM</t>
        </is>
      </c>
      <c r="C14" s="5" t="inlineStr">
        <is>
          <t>24208091112</t>
        </is>
      </c>
      <c r="D14" s="5" t="inlineStr">
        <is>
          <t>XIIDRA 5 % OPHTHALMIC SOLUTION</t>
        </is>
      </c>
      <c r="E14" s="6" t="inlineStr">
        <is>
          <t>60.0</t>
        </is>
      </c>
      <c r="F14" s="7" t="n">
        <v>840</v>
      </c>
      <c r="G14" s="7" t="n">
        <v>14</v>
      </c>
      <c r="H14" s="7" t="n">
        <v>84</v>
      </c>
      <c r="I14" s="7" t="n">
        <v>70</v>
      </c>
      <c r="J14" s="8" t="n">
        <v>9838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NYM</t>
        </is>
      </c>
      <c r="C15" s="5" t="inlineStr">
        <is>
          <t>61874013030</t>
        </is>
      </c>
      <c r="D15" s="5" t="inlineStr">
        <is>
          <t>VRAYLAR 3MG CAPSULE</t>
        </is>
      </c>
      <c r="E15" s="6" t="inlineStr">
        <is>
          <t>30.0</t>
        </is>
      </c>
      <c r="F15" s="7" t="n">
        <v>150</v>
      </c>
      <c r="G15" s="7" t="n">
        <v>5</v>
      </c>
      <c r="H15" s="7" t="n">
        <v>4</v>
      </c>
      <c r="I15" s="7" t="n">
        <v>-1</v>
      </c>
      <c r="J15" s="8" t="n">
        <v>7476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NYM</t>
        </is>
      </c>
      <c r="C16" s="5" t="inlineStr">
        <is>
          <t>00186037020</t>
        </is>
      </c>
      <c r="D16" s="5" t="inlineStr">
        <is>
          <t>SYMBICORT 160-4.5MCG/ACT AEROSOL</t>
        </is>
      </c>
      <c r="E16" s="6" t="inlineStr">
        <is>
          <t>10.2</t>
        </is>
      </c>
      <c r="F16" s="7" t="n">
        <v>306</v>
      </c>
      <c r="G16" s="7" t="n">
        <v>30</v>
      </c>
      <c r="H16" s="7" t="n">
        <v>15</v>
      </c>
      <c r="I16" s="7" t="n">
        <v>-15</v>
      </c>
      <c r="J16" s="8" t="n">
        <v>6981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NYM</t>
        </is>
      </c>
      <c r="C17" s="5" t="inlineStr">
        <is>
          <t>50242014301</t>
        </is>
      </c>
      <c r="D17" s="5" t="inlineStr">
        <is>
          <t>ACTEMRA ACTPEN 162 MG/0.9ML SUBCUTANEOUS SOLUTION AUTO-INJECTOR</t>
        </is>
      </c>
      <c r="E17" s="6" t="inlineStr">
        <is>
          <t>0.9</t>
        </is>
      </c>
      <c r="F17" s="7" t="n">
        <v>5.4</v>
      </c>
      <c r="G17" s="7" t="n">
        <v>6</v>
      </c>
      <c r="H17" s="7" t="n">
        <v>6</v>
      </c>
      <c r="I17" s="7" t="n">
        <v>0</v>
      </c>
      <c r="J17" s="8" t="n">
        <v>6927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NYM</t>
        </is>
      </c>
      <c r="C18" s="5" t="inlineStr">
        <is>
          <t>24208037705</t>
        </is>
      </c>
      <c r="D18" s="5" t="inlineStr">
        <is>
          <t>MIEBO 1.338 GM/ML OPHTHALMIC SOLUTION</t>
        </is>
      </c>
      <c r="E18" s="6" t="inlineStr">
        <is>
          <t>3.0</t>
        </is>
      </c>
      <c r="F18" s="7" t="n">
        <v>24</v>
      </c>
      <c r="G18" s="7" t="n">
        <v>8</v>
      </c>
      <c r="H18" s="7" t="n">
        <v>35</v>
      </c>
      <c r="I18" s="7" t="n">
        <v>27</v>
      </c>
      <c r="J18" s="8" t="n">
        <v>6274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NYM</t>
        </is>
      </c>
      <c r="C19" s="5" t="inlineStr">
        <is>
          <t>00456120330</t>
        </is>
      </c>
      <c r="D19" s="5" t="inlineStr">
        <is>
          <t>LINZESS 72 MCG ORAL CAPSULE</t>
        </is>
      </c>
      <c r="E19" s="6" t="inlineStr">
        <is>
          <t>30.0</t>
        </is>
      </c>
      <c r="F19" s="7" t="n">
        <v>390</v>
      </c>
      <c r="G19" s="7" t="n">
        <v>13</v>
      </c>
      <c r="H19" s="7" t="n">
        <v>14</v>
      </c>
      <c r="I19" s="7" t="n">
        <v>1</v>
      </c>
      <c r="J19" s="8" t="n">
        <v>6069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NYM</t>
        </is>
      </c>
      <c r="C20" s="5" t="inlineStr">
        <is>
          <t>00002143480</t>
        </is>
      </c>
      <c r="D20" s="5" t="inlineStr">
        <is>
          <t>TRULICITY 1.5MG/0.5ML INJECTION</t>
        </is>
      </c>
      <c r="E20" s="6" t="inlineStr">
        <is>
          <t>2.0</t>
        </is>
      </c>
      <c r="F20" s="7" t="n">
        <v>12</v>
      </c>
      <c r="G20" s="7" t="n">
        <v>6</v>
      </c>
      <c r="H20" s="7" t="n">
        <v>6</v>
      </c>
      <c r="I20" s="7" t="n">
        <v>0</v>
      </c>
      <c r="J20" s="8" t="n">
        <v>5815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NYM</t>
        </is>
      </c>
      <c r="C21" s="5" t="inlineStr">
        <is>
          <t>00002143380</t>
        </is>
      </c>
      <c r="D21" s="5" t="inlineStr">
        <is>
          <t>TRULICITY 0.75MG/0.5ML INJECTION</t>
        </is>
      </c>
      <c r="E21" s="6" t="inlineStr">
        <is>
          <t>2.0</t>
        </is>
      </c>
      <c r="F21" s="7" t="n">
        <v>12</v>
      </c>
      <c r="G21" s="7" t="n">
        <v>6</v>
      </c>
      <c r="H21" s="7" t="n">
        <v>23</v>
      </c>
      <c r="I21" s="7" t="n">
        <v>17</v>
      </c>
      <c r="J21" s="8" t="n">
        <v>5798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NYM</t>
        </is>
      </c>
      <c r="C22" s="5" t="inlineStr">
        <is>
          <t>00456120230</t>
        </is>
      </c>
      <c r="D22" s="5" t="inlineStr">
        <is>
          <t xml:space="preserve">LINZESS 290MCG CAP </t>
        </is>
      </c>
      <c r="E22" s="6" t="inlineStr">
        <is>
          <t>30.0</t>
        </is>
      </c>
      <c r="F22" s="7" t="n">
        <v>330</v>
      </c>
      <c r="G22" s="7" t="n">
        <v>11</v>
      </c>
      <c r="H22" s="7" t="n">
        <v>28</v>
      </c>
      <c r="I22" s="7" t="n">
        <v>17</v>
      </c>
      <c r="J22" s="8" t="n">
        <v>4665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NYM</t>
        </is>
      </c>
      <c r="C23" s="5" t="inlineStr">
        <is>
          <t>00002147180</t>
        </is>
      </c>
      <c r="D23" s="5" t="inlineStr">
        <is>
          <t>MOUNJARO 10 MG/0.5ML PEN-INJECTOR</t>
        </is>
      </c>
      <c r="E23" s="6" t="inlineStr">
        <is>
          <t>2.0</t>
        </is>
      </c>
      <c r="F23" s="7" t="n">
        <v>8</v>
      </c>
      <c r="G23" s="7" t="n">
        <v>4</v>
      </c>
      <c r="H23" s="7" t="n">
        <v>10</v>
      </c>
      <c r="I23" s="7" t="n">
        <v>6</v>
      </c>
      <c r="J23" s="8" t="n">
        <v>4256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NYM</t>
        </is>
      </c>
      <c r="C24" s="5" t="inlineStr">
        <is>
          <t>00173088710</t>
        </is>
      </c>
      <c r="D24" s="5" t="inlineStr">
        <is>
          <t>TRELEGY ELLIPTA 100-62.5-25MCG/INH AEROSOL</t>
        </is>
      </c>
      <c r="E24" s="6" t="inlineStr">
        <is>
          <t>60.0</t>
        </is>
      </c>
      <c r="F24" s="7" t="n">
        <v>360</v>
      </c>
      <c r="G24" s="7" t="n">
        <v>6</v>
      </c>
      <c r="H24" s="7" t="n">
        <v>6</v>
      </c>
      <c r="I24" s="7" t="n">
        <v>0</v>
      </c>
      <c r="J24" s="8" t="n">
        <v>4036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NYM</t>
        </is>
      </c>
      <c r="C25" s="5" t="inlineStr">
        <is>
          <t>00003089421</t>
        </is>
      </c>
      <c r="D25" s="5" t="inlineStr">
        <is>
          <t xml:space="preserve">ELIQUIS 5MG TAB </t>
        </is>
      </c>
      <c r="E25" s="6" t="inlineStr">
        <is>
          <t>60.0</t>
        </is>
      </c>
      <c r="F25" s="7" t="n">
        <v>540</v>
      </c>
      <c r="G25" s="7" t="n">
        <v>9</v>
      </c>
      <c r="H25" s="7" t="n">
        <v>83</v>
      </c>
      <c r="I25" s="7" t="n">
        <v>74</v>
      </c>
      <c r="J25" s="8" t="n">
        <v>3534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NYM</t>
        </is>
      </c>
      <c r="C26" s="5" t="inlineStr">
        <is>
          <t>00193731150</t>
        </is>
      </c>
      <c r="D26" s="5" t="inlineStr">
        <is>
          <t>CONTOUR NEXT TEST  STRIPS</t>
        </is>
      </c>
      <c r="E26" s="6" t="inlineStr">
        <is>
          <t>50.0</t>
        </is>
      </c>
      <c r="F26" s="7" t="n">
        <v>3000</v>
      </c>
      <c r="G26" s="7" t="n">
        <v>60</v>
      </c>
      <c r="H26" s="7" t="n">
        <v>0</v>
      </c>
      <c r="I26" s="7" t="n">
        <v>-60</v>
      </c>
      <c r="J26" s="8" t="n">
        <v>3299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NYM</t>
        </is>
      </c>
      <c r="C27" s="5" t="inlineStr">
        <is>
          <t>00003089321</t>
        </is>
      </c>
      <c r="D27" s="5" t="inlineStr">
        <is>
          <t xml:space="preserve">ELIQUIS 2.5MG TAB </t>
        </is>
      </c>
      <c r="E27" s="6" t="inlineStr">
        <is>
          <t>60.0</t>
        </is>
      </c>
      <c r="F27" s="7" t="n">
        <v>360</v>
      </c>
      <c r="G27" s="7" t="n">
        <v>6</v>
      </c>
      <c r="H27" s="7" t="n">
        <v>30</v>
      </c>
      <c r="I27" s="7" t="n">
        <v>24</v>
      </c>
      <c r="J27" s="8" t="n">
        <v>3279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NYM</t>
        </is>
      </c>
      <c r="C28" s="5" t="inlineStr">
        <is>
          <t>00310621030</t>
        </is>
      </c>
      <c r="D28" s="5" t="inlineStr">
        <is>
          <t>FARXIGA 10MG TABLET</t>
        </is>
      </c>
      <c r="E28" s="6" t="inlineStr">
        <is>
          <t>30.0</t>
        </is>
      </c>
      <c r="F28" s="7" t="n">
        <v>180</v>
      </c>
      <c r="G28" s="7" t="n">
        <v>6</v>
      </c>
      <c r="H28" s="7" t="n">
        <v>50</v>
      </c>
      <c r="I28" s="7" t="n">
        <v>44</v>
      </c>
      <c r="J28" s="8" t="n">
        <v>3279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NYM</t>
        </is>
      </c>
      <c r="C29" s="5" t="inlineStr">
        <is>
          <t>00002145780</t>
        </is>
      </c>
      <c r="D29" s="5" t="inlineStr">
        <is>
          <t>MOUNJARO 15 MG/0.5ML PEN-INJECTOR</t>
        </is>
      </c>
      <c r="E29" s="6" t="inlineStr">
        <is>
          <t>2.0</t>
        </is>
      </c>
      <c r="F29" s="7" t="n">
        <v>6</v>
      </c>
      <c r="G29" s="7" t="n">
        <v>3</v>
      </c>
      <c r="H29" s="7" t="n">
        <v>8</v>
      </c>
      <c r="I29" s="7" t="n">
        <v>5</v>
      </c>
      <c r="J29" s="8" t="n">
        <v>3200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NYM</t>
        </is>
      </c>
      <c r="C30" s="5" t="inlineStr">
        <is>
          <t>53436016830</t>
        </is>
      </c>
      <c r="D30" s="5" t="inlineStr">
        <is>
          <t>VELTASSA 16.8 GM ORAL PACKET</t>
        </is>
      </c>
      <c r="E30" s="6" t="inlineStr">
        <is>
          <t>30.0</t>
        </is>
      </c>
      <c r="F30" s="7" t="n">
        <v>90</v>
      </c>
      <c r="G30" s="7" t="n">
        <v>3</v>
      </c>
      <c r="H30" s="7" t="n">
        <v>3</v>
      </c>
      <c r="I30" s="7" t="n">
        <v>0</v>
      </c>
      <c r="J30" s="8" t="n">
        <v>3076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NYM</t>
        </is>
      </c>
      <c r="C31" s="5" t="inlineStr">
        <is>
          <t>53436008430</t>
        </is>
      </c>
      <c r="D31" s="5" t="inlineStr">
        <is>
          <t>VELTASSA 8.4GM PACK</t>
        </is>
      </c>
      <c r="E31" s="6" t="inlineStr">
        <is>
          <t>30.0</t>
        </is>
      </c>
      <c r="F31" s="7" t="n">
        <v>90</v>
      </c>
      <c r="G31" s="7" t="n">
        <v>3</v>
      </c>
      <c r="H31" s="7" t="n">
        <v>3</v>
      </c>
      <c r="I31" s="7" t="n">
        <v>0</v>
      </c>
      <c r="J31" s="8" t="n">
        <v>3073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NYM</t>
        </is>
      </c>
      <c r="C32" s="5" t="inlineStr">
        <is>
          <t>59148003713</t>
        </is>
      </c>
      <c r="D32" s="5" t="inlineStr">
        <is>
          <t>REXULTI 1MG TABLET</t>
        </is>
      </c>
      <c r="E32" s="6" t="inlineStr">
        <is>
          <t>30.0</t>
        </is>
      </c>
      <c r="F32" s="7" t="n">
        <v>60</v>
      </c>
      <c r="G32" s="7" t="n">
        <v>2</v>
      </c>
      <c r="H32" s="7" t="n">
        <v>2</v>
      </c>
      <c r="I32" s="7" t="n">
        <v>0</v>
      </c>
      <c r="J32" s="8" t="n">
        <v>2998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NYM</t>
        </is>
      </c>
      <c r="C33" s="5" t="inlineStr">
        <is>
          <t>80610013060</t>
        </is>
      </c>
      <c r="D33" s="5" t="inlineStr">
        <is>
          <t>ZORYVE 0.3 % EXTERNAL CREAM</t>
        </is>
      </c>
      <c r="E33" s="6" t="inlineStr">
        <is>
          <t>60.0</t>
        </is>
      </c>
      <c r="F33" s="7" t="n">
        <v>180</v>
      </c>
      <c r="G33" s="7" t="n">
        <v>3</v>
      </c>
      <c r="H33" s="7" t="n">
        <v>1</v>
      </c>
      <c r="I33" s="7" t="n">
        <v>-2</v>
      </c>
      <c r="J33" s="8" t="n">
        <v>2730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NYM</t>
        </is>
      </c>
      <c r="C34" s="5" t="inlineStr">
        <is>
          <t>71143037501</t>
        </is>
      </c>
      <c r="D34" s="5" t="inlineStr">
        <is>
          <t>XHANCE 93 MCG/ACT NASAL EXHALER SUSPENSION</t>
        </is>
      </c>
      <c r="E34" s="6" t="inlineStr">
        <is>
          <t>16.0</t>
        </is>
      </c>
      <c r="F34" s="7" t="n">
        <v>64</v>
      </c>
      <c r="G34" s="7" t="n">
        <v>4</v>
      </c>
      <c r="H34" s="7" t="n">
        <v>1</v>
      </c>
      <c r="I34" s="7" t="n">
        <v>-3</v>
      </c>
      <c r="J34" s="8" t="n">
        <v>2608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NYM</t>
        </is>
      </c>
      <c r="C35" s="5" t="inlineStr">
        <is>
          <t>08627007701</t>
        </is>
      </c>
      <c r="D35" s="5" t="inlineStr">
        <is>
          <t>DEXCOM G7 SENSOR</t>
        </is>
      </c>
      <c r="E35" s="6" t="inlineStr">
        <is>
          <t>1.0</t>
        </is>
      </c>
      <c r="F35" s="7" t="n">
        <v>18</v>
      </c>
      <c r="G35" s="7" t="n">
        <v>18</v>
      </c>
      <c r="H35" s="7" t="n">
        <v>32</v>
      </c>
      <c r="I35" s="7" t="n">
        <v>14</v>
      </c>
      <c r="J35" s="8" t="n">
        <v>2305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NYM</t>
        </is>
      </c>
      <c r="C36" s="5" t="inlineStr">
        <is>
          <t>59148000713</t>
        </is>
      </c>
      <c r="D36" s="5" t="inlineStr">
        <is>
          <t>ABILIFY 5MG TABLET</t>
        </is>
      </c>
      <c r="E36" s="6" t="inlineStr">
        <is>
          <t>30.0</t>
        </is>
      </c>
      <c r="F36" s="7" t="n">
        <v>120</v>
      </c>
      <c r="G36" s="7" t="n">
        <v>4</v>
      </c>
      <c r="H36" s="7" t="n">
        <v>2</v>
      </c>
      <c r="I36" s="7" t="n">
        <v>-2</v>
      </c>
      <c r="J36" s="8" t="n">
        <v>2278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NYM</t>
        </is>
      </c>
      <c r="C37" s="5" t="inlineStr">
        <is>
          <t>00002148480</t>
        </is>
      </c>
      <c r="D37" s="5" t="inlineStr">
        <is>
          <t>MOUNJARO 7.5 MG/0.5ML PEN-INJECTOR</t>
        </is>
      </c>
      <c r="E37" s="6" t="inlineStr">
        <is>
          <t>2.0</t>
        </is>
      </c>
      <c r="F37" s="7" t="n">
        <v>4</v>
      </c>
      <c r="G37" s="7" t="n">
        <v>2</v>
      </c>
      <c r="H37" s="7" t="n">
        <v>27</v>
      </c>
      <c r="I37" s="7" t="n">
        <v>25</v>
      </c>
      <c r="J37" s="8" t="n">
        <v>2138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NYM</t>
        </is>
      </c>
      <c r="C38" s="5" t="inlineStr">
        <is>
          <t>00173089310</t>
        </is>
      </c>
      <c r="D38" s="5" t="inlineStr">
        <is>
          <t>TRELEGY ELLIPTA 200-62.5-25 MCG/ACT INHALATION AER</t>
        </is>
      </c>
      <c r="E38" s="6" t="inlineStr">
        <is>
          <t>60.0</t>
        </is>
      </c>
      <c r="F38" s="7" t="n">
        <v>180</v>
      </c>
      <c r="G38" s="7" t="n">
        <v>3</v>
      </c>
      <c r="H38" s="7" t="n">
        <v>6</v>
      </c>
      <c r="I38" s="7" t="n">
        <v>3</v>
      </c>
      <c r="J38" s="8" t="n">
        <v>2001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NYM</t>
        </is>
      </c>
      <c r="C39" s="5" t="inlineStr">
        <is>
          <t>50419054101</t>
        </is>
      </c>
      <c r="D39" s="5" t="inlineStr">
        <is>
          <t>KERENDIA 20MG TABLET</t>
        </is>
      </c>
      <c r="E39" s="6" t="inlineStr">
        <is>
          <t>30.0</t>
        </is>
      </c>
      <c r="F39" s="7" t="n">
        <v>90</v>
      </c>
      <c r="G39" s="7" t="n">
        <v>3</v>
      </c>
      <c r="H39" s="7" t="n">
        <v>6</v>
      </c>
      <c r="I39" s="7" t="n">
        <v>3</v>
      </c>
      <c r="J39" s="8" t="n">
        <v>1985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NYM</t>
        </is>
      </c>
      <c r="C40" s="5" t="inlineStr">
        <is>
          <t>50419054001</t>
        </is>
      </c>
      <c r="D40" s="5" t="inlineStr">
        <is>
          <t>KERENDIA 10 MG TABLET</t>
        </is>
      </c>
      <c r="E40" s="6" t="inlineStr">
        <is>
          <t>30.0</t>
        </is>
      </c>
      <c r="F40" s="7" t="n">
        <v>90</v>
      </c>
      <c r="G40" s="7" t="n">
        <v>3</v>
      </c>
      <c r="H40" s="7" t="n">
        <v>31</v>
      </c>
      <c r="I40" s="7" t="n">
        <v>28</v>
      </c>
      <c r="J40" s="8" t="n">
        <v>1983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NYM</t>
        </is>
      </c>
      <c r="C41" s="5" t="inlineStr">
        <is>
          <t>00310461612</t>
        </is>
      </c>
      <c r="D41" s="5" t="inlineStr">
        <is>
          <t>BREZTRI AEROSPHERE 160-9-4.8 MCG/ACT INHALATION AEROSOL</t>
        </is>
      </c>
      <c r="E41" s="6" t="inlineStr">
        <is>
          <t>10.7</t>
        </is>
      </c>
      <c r="F41" s="7" t="n">
        <v>32.09999999999999</v>
      </c>
      <c r="G41" s="7" t="n">
        <v>3</v>
      </c>
      <c r="H41" s="7" t="n">
        <v>8</v>
      </c>
      <c r="I41" s="7" t="n">
        <v>5</v>
      </c>
      <c r="J41" s="8" t="n">
        <v>1978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NYM</t>
        </is>
      </c>
      <c r="C42" s="5" t="inlineStr">
        <is>
          <t>73154005060</t>
        </is>
      </c>
      <c r="D42" s="5" t="inlineStr">
        <is>
          <t>IBSRELA 50 MG ORAL TABLET</t>
        </is>
      </c>
      <c r="E42" s="6" t="inlineStr">
        <is>
          <t>60.0</t>
        </is>
      </c>
      <c r="F42" s="7" t="n">
        <v>60</v>
      </c>
      <c r="G42" s="7" t="n">
        <v>1</v>
      </c>
      <c r="H42" s="7" t="n">
        <v>0</v>
      </c>
      <c r="I42" s="7" t="n">
        <v>-1</v>
      </c>
      <c r="J42" s="8" t="n">
        <v>1965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NYM</t>
        </is>
      </c>
      <c r="C43" s="5" t="inlineStr">
        <is>
          <t>00597030045</t>
        </is>
      </c>
      <c r="D43" s="5" t="inlineStr">
        <is>
          <t>SYNJARDY XR 12.5-1000 MG TABLET ER</t>
        </is>
      </c>
      <c r="E43" s="6" t="inlineStr">
        <is>
          <t>60.0</t>
        </is>
      </c>
      <c r="F43" s="7" t="n">
        <v>270</v>
      </c>
      <c r="G43" s="7" t="n">
        <v>4.5</v>
      </c>
      <c r="H43" s="7" t="n">
        <v>7</v>
      </c>
      <c r="I43" s="7" t="n">
        <v>2.5</v>
      </c>
      <c r="J43" s="8" t="n">
        <v>1932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NYM</t>
        </is>
      </c>
      <c r="C44" s="5" t="inlineStr">
        <is>
          <t>00006027731</t>
        </is>
      </c>
      <c r="D44" s="5" t="inlineStr">
        <is>
          <t>JANUVIA 100MG TAB</t>
        </is>
      </c>
      <c r="E44" s="6" t="inlineStr">
        <is>
          <t>30.0</t>
        </is>
      </c>
      <c r="F44" s="7" t="n">
        <v>180</v>
      </c>
      <c r="G44" s="7" t="n">
        <v>6</v>
      </c>
      <c r="H44" s="7" t="n">
        <v>63</v>
      </c>
      <c r="I44" s="7" t="n">
        <v>57</v>
      </c>
      <c r="J44" s="8" t="n">
        <v>1920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NYM</t>
        </is>
      </c>
      <c r="C45" s="5" t="inlineStr">
        <is>
          <t>00597029074</t>
        </is>
      </c>
      <c r="D45" s="5" t="inlineStr">
        <is>
          <t>SYNJARDY 5-1000MG TABLET XR</t>
        </is>
      </c>
      <c r="E45" s="6" t="inlineStr">
        <is>
          <t>60.0</t>
        </is>
      </c>
      <c r="F45" s="7" t="n">
        <v>180</v>
      </c>
      <c r="G45" s="7" t="n">
        <v>3</v>
      </c>
      <c r="H45" s="7" t="n">
        <v>3</v>
      </c>
      <c r="I45" s="7" t="n">
        <v>0</v>
      </c>
      <c r="J45" s="8" t="n">
        <v>1826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NYM</t>
        </is>
      </c>
      <c r="C46" s="5" t="inlineStr">
        <is>
          <t>00469260230</t>
        </is>
      </c>
      <c r="D46" s="5" t="inlineStr">
        <is>
          <t>MYRBETRIQ 50MG TABLET</t>
        </is>
      </c>
      <c r="E46" s="6" t="inlineStr">
        <is>
          <t>30.0</t>
        </is>
      </c>
      <c r="F46" s="7" t="n">
        <v>120</v>
      </c>
      <c r="G46" s="7" t="n">
        <v>4</v>
      </c>
      <c r="H46" s="7" t="n">
        <v>9</v>
      </c>
      <c r="I46" s="7" t="n">
        <v>5</v>
      </c>
      <c r="J46" s="8" t="n">
        <v>1784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NYM</t>
        </is>
      </c>
      <c r="C47" s="5" t="inlineStr">
        <is>
          <t>00088221905</t>
        </is>
      </c>
      <c r="D47" s="5" t="inlineStr">
        <is>
          <t>LANTUS SOLOSTAR 100UNIT/ML INJECTION</t>
        </is>
      </c>
      <c r="E47" s="6" t="inlineStr">
        <is>
          <t>15.0</t>
        </is>
      </c>
      <c r="F47" s="7" t="n">
        <v>261</v>
      </c>
      <c r="G47" s="7" t="n">
        <v>17.4</v>
      </c>
      <c r="H47" s="7" t="n">
        <v>46</v>
      </c>
      <c r="I47" s="7" t="n">
        <v>28.6</v>
      </c>
      <c r="J47" s="8" t="n">
        <v>1748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NYM</t>
        </is>
      </c>
      <c r="C48" s="5" t="inlineStr">
        <is>
          <t>00430042014</t>
        </is>
      </c>
      <c r="D48" s="5" t="inlineStr">
        <is>
          <t>LO LOESTRIN FE 1 MG-10 MCG / 10 MCG ORAL TABLET</t>
        </is>
      </c>
      <c r="E48" s="6" t="inlineStr">
        <is>
          <t>140.0</t>
        </is>
      </c>
      <c r="F48" s="7" t="n">
        <v>252</v>
      </c>
      <c r="G48" s="7" t="n">
        <v>1.8</v>
      </c>
      <c r="H48" s="7" t="n">
        <v>1</v>
      </c>
      <c r="I48" s="7" t="n">
        <v>-0.8</v>
      </c>
      <c r="J48" s="8" t="n">
        <v>1683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NYM</t>
        </is>
      </c>
      <c r="C49" s="5" t="inlineStr">
        <is>
          <t>00023320508</t>
        </is>
      </c>
      <c r="D49" s="5" t="inlineStr">
        <is>
          <t>LUMIGAN 0.01% SOLUTION</t>
        </is>
      </c>
      <c r="E49" s="6" t="inlineStr">
        <is>
          <t>7.5</t>
        </is>
      </c>
      <c r="F49" s="7" t="n">
        <v>15</v>
      </c>
      <c r="G49" s="7" t="n">
        <v>2</v>
      </c>
      <c r="H49" s="7" t="n">
        <v>10</v>
      </c>
      <c r="I49" s="7" t="n">
        <v>8</v>
      </c>
      <c r="J49" s="8" t="n">
        <v>1554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NYM</t>
        </is>
      </c>
      <c r="C50" s="5" t="inlineStr">
        <is>
          <t>55724021121</t>
        </is>
      </c>
      <c r="D50" s="5" t="inlineStr">
        <is>
          <t>EUCRISA 2% OINTMENT</t>
        </is>
      </c>
      <c r="E50" s="6" t="inlineStr">
        <is>
          <t>60.0</t>
        </is>
      </c>
      <c r="F50" s="7" t="n">
        <v>120</v>
      </c>
      <c r="G50" s="7" t="n">
        <v>2</v>
      </c>
      <c r="H50" s="7" t="n">
        <v>0</v>
      </c>
      <c r="I50" s="7" t="n">
        <v>-2</v>
      </c>
      <c r="J50" s="8" t="n">
        <v>1536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NYM</t>
        </is>
      </c>
      <c r="C51" s="5" t="inlineStr">
        <is>
          <t>61874014530</t>
        </is>
      </c>
      <c r="D51" s="5" t="inlineStr">
        <is>
          <t>VRAYLAR 4.5 MG ORAL CAPSULE</t>
        </is>
      </c>
      <c r="E51" s="6" t="inlineStr">
        <is>
          <t>30.0</t>
        </is>
      </c>
      <c r="F51" s="7" t="n">
        <v>30</v>
      </c>
      <c r="G51" s="7" t="n">
        <v>1</v>
      </c>
      <c r="H51" s="7" t="n">
        <v>1</v>
      </c>
      <c r="I51" s="7" t="n">
        <v>0</v>
      </c>
      <c r="J51" s="8" t="n">
        <v>1466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NYM</t>
        </is>
      </c>
      <c r="C52" s="5" t="inlineStr">
        <is>
          <t>00310908012</t>
        </is>
      </c>
      <c r="D52" s="5" t="inlineStr">
        <is>
          <t>AIRSUPRA 90-80 MCG/ACT INHALATION AEROSOL</t>
        </is>
      </c>
      <c r="E52" s="6" t="inlineStr">
        <is>
          <t>10.7</t>
        </is>
      </c>
      <c r="F52" s="7" t="n">
        <v>32.09999999999999</v>
      </c>
      <c r="G52" s="7" t="n">
        <v>3</v>
      </c>
      <c r="H52" s="7" t="n">
        <v>4</v>
      </c>
      <c r="I52" s="7" t="n">
        <v>1</v>
      </c>
      <c r="J52" s="8" t="n">
        <v>1452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NYM</t>
        </is>
      </c>
      <c r="C53" s="5" t="inlineStr">
        <is>
          <t>00074732713</t>
        </is>
      </c>
      <c r="D53" s="5" t="inlineStr">
        <is>
          <t>DEPAKOTE 500MG TABLET DELAYED RELEASE</t>
        </is>
      </c>
      <c r="E53" s="6" t="inlineStr">
        <is>
          <t>100.0</t>
        </is>
      </c>
      <c r="F53" s="7" t="n">
        <v>180</v>
      </c>
      <c r="G53" s="7" t="n">
        <v>1.8</v>
      </c>
      <c r="H53" s="7" t="n">
        <v>2</v>
      </c>
      <c r="I53" s="7" t="n">
        <v>0.2</v>
      </c>
      <c r="J53" s="8" t="n">
        <v>1353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NYM</t>
        </is>
      </c>
      <c r="C54" s="5" t="inlineStr">
        <is>
          <t>57599081800</t>
        </is>
      </c>
      <c r="D54" s="5" t="inlineStr">
        <is>
          <t>FREESTYLE LIBRE 3 SENSOR</t>
        </is>
      </c>
      <c r="E54" s="6" t="inlineStr">
        <is>
          <t>1.0</t>
        </is>
      </c>
      <c r="F54" s="7" t="n">
        <v>18</v>
      </c>
      <c r="G54" s="7" t="n">
        <v>18</v>
      </c>
      <c r="H54" s="7" t="n">
        <v>16</v>
      </c>
      <c r="I54" s="7" t="n">
        <v>-2</v>
      </c>
      <c r="J54" s="8" t="n">
        <v>1316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NYM</t>
        </is>
      </c>
      <c r="C55" s="5" t="inlineStr">
        <is>
          <t>00597017560</t>
        </is>
      </c>
      <c r="D55" s="5" t="inlineStr">
        <is>
          <t>SYNJARDY 5-1000 MG TABLET</t>
        </is>
      </c>
      <c r="E55" s="6" t="inlineStr">
        <is>
          <t>60.0</t>
        </is>
      </c>
      <c r="F55" s="7" t="n">
        <v>180</v>
      </c>
      <c r="G55" s="7" t="n">
        <v>3</v>
      </c>
      <c r="H55" s="7" t="n">
        <v>3</v>
      </c>
      <c r="I55" s="7" t="n">
        <v>0</v>
      </c>
      <c r="J55" s="8" t="n">
        <v>1308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NYM</t>
        </is>
      </c>
      <c r="C56" s="5" t="inlineStr">
        <is>
          <t>00173071720</t>
        </is>
      </c>
      <c r="D56" s="5" t="inlineStr">
        <is>
          <t>ADVAIR HFA 230-21 MCG/ACT INHALATION AEROSOL</t>
        </is>
      </c>
      <c r="E56" s="6" t="inlineStr">
        <is>
          <t>12.0</t>
        </is>
      </c>
      <c r="F56" s="7" t="n">
        <v>36</v>
      </c>
      <c r="G56" s="7" t="n">
        <v>3</v>
      </c>
      <c r="H56" s="7" t="n">
        <v>3</v>
      </c>
      <c r="I56" s="7" t="n">
        <v>0</v>
      </c>
      <c r="J56" s="8" t="n">
        <v>1293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NYM</t>
        </is>
      </c>
      <c r="C57" s="5" t="inlineStr">
        <is>
          <t>00186037220</t>
        </is>
      </c>
      <c r="D57" s="5" t="inlineStr">
        <is>
          <t>SYMBICORT 80-4.5MCG/ACT AEROSOL</t>
        </is>
      </c>
      <c r="E57" s="6" t="inlineStr">
        <is>
          <t>10.2</t>
        </is>
      </c>
      <c r="F57" s="7" t="n">
        <v>61.2</v>
      </c>
      <c r="G57" s="7" t="n">
        <v>6</v>
      </c>
      <c r="H57" s="7" t="n">
        <v>0</v>
      </c>
      <c r="I57" s="7" t="n">
        <v>-6</v>
      </c>
      <c r="J57" s="8" t="n">
        <v>1240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NYM</t>
        </is>
      </c>
      <c r="C58" s="5" t="inlineStr">
        <is>
          <t>64764080530</t>
        </is>
      </c>
      <c r="D58" s="5" t="inlineStr">
        <is>
          <t>ROZEREM 8MG TABLET</t>
        </is>
      </c>
      <c r="E58" s="6" t="inlineStr">
        <is>
          <t>30.0</t>
        </is>
      </c>
      <c r="F58" s="7" t="n">
        <v>90</v>
      </c>
      <c r="G58" s="7" t="n">
        <v>3</v>
      </c>
      <c r="H58" s="7" t="n">
        <v>2</v>
      </c>
      <c r="I58" s="7" t="n">
        <v>-1</v>
      </c>
      <c r="J58" s="8" t="n">
        <v>1148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NYM</t>
        </is>
      </c>
      <c r="C59" s="5" t="inlineStr">
        <is>
          <t>00456120130</t>
        </is>
      </c>
      <c r="D59" s="5" t="inlineStr">
        <is>
          <t>LINZESS 145MCG CAPSULE</t>
        </is>
      </c>
      <c r="E59" s="6" t="inlineStr">
        <is>
          <t>30.0</t>
        </is>
      </c>
      <c r="F59" s="7" t="n">
        <v>90</v>
      </c>
      <c r="G59" s="7" t="n">
        <v>3</v>
      </c>
      <c r="H59" s="7" t="n">
        <v>30</v>
      </c>
      <c r="I59" s="7" t="n">
        <v>27</v>
      </c>
      <c r="J59" s="8" t="n">
        <v>1117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NYM</t>
        </is>
      </c>
      <c r="C60" s="5" t="inlineStr">
        <is>
          <t>00023649810</t>
        </is>
      </c>
      <c r="D60" s="5" t="inlineStr">
        <is>
          <t>UBRELVY 50 MG ORAL TABLET</t>
        </is>
      </c>
      <c r="E60" s="6" t="inlineStr">
        <is>
          <t>10.0</t>
        </is>
      </c>
      <c r="F60" s="7" t="n">
        <v>10</v>
      </c>
      <c r="G60" s="7" t="n">
        <v>1</v>
      </c>
      <c r="H60" s="7" t="n">
        <v>1</v>
      </c>
      <c r="I60" s="7" t="n">
        <v>0</v>
      </c>
      <c r="J60" s="8" t="n">
        <v>1101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NYM</t>
        </is>
      </c>
      <c r="C61" s="5" t="inlineStr">
        <is>
          <t>00006537303</t>
        </is>
      </c>
      <c r="D61" s="5" t="inlineStr">
        <is>
          <t>SEGLUROMET 2.5-1000MG TABLET</t>
        </is>
      </c>
      <c r="E61" s="6" t="inlineStr">
        <is>
          <t>60.0</t>
        </is>
      </c>
      <c r="F61" s="7" t="n">
        <v>180</v>
      </c>
      <c r="G61" s="7" t="n">
        <v>3</v>
      </c>
      <c r="H61" s="7" t="n">
        <v>1</v>
      </c>
      <c r="I61" s="7" t="n">
        <v>-2</v>
      </c>
      <c r="J61" s="8" t="n">
        <v>1059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NYM</t>
        </is>
      </c>
      <c r="C62" s="5" t="inlineStr">
        <is>
          <t>00002150680</t>
        </is>
      </c>
      <c r="D62" s="5" t="inlineStr">
        <is>
          <t>MOUNJARO 2.5 MG/0.5ML PEN-INJECTOR</t>
        </is>
      </c>
      <c r="E62" s="6" t="inlineStr">
        <is>
          <t>2.0</t>
        </is>
      </c>
      <c r="F62" s="7" t="n">
        <v>2</v>
      </c>
      <c r="G62" s="7" t="n">
        <v>1</v>
      </c>
      <c r="H62" s="7" t="n">
        <v>4</v>
      </c>
      <c r="I62" s="7" t="n">
        <v>3</v>
      </c>
      <c r="J62" s="8" t="n">
        <v>1056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NYM</t>
        </is>
      </c>
      <c r="C63" s="5" t="inlineStr">
        <is>
          <t>00597010061</t>
        </is>
      </c>
      <c r="D63" s="5" t="inlineStr">
        <is>
          <t>SPIRIVA RESPIMAT 2.5MCG/ACT AEROSOL</t>
        </is>
      </c>
      <c r="E63" s="6" t="inlineStr">
        <is>
          <t>4.0</t>
        </is>
      </c>
      <c r="F63" s="7" t="n">
        <v>8</v>
      </c>
      <c r="G63" s="7" t="n">
        <v>2</v>
      </c>
      <c r="H63" s="7" t="n">
        <v>2</v>
      </c>
      <c r="I63" s="7" t="n">
        <v>0</v>
      </c>
      <c r="J63" s="8" t="n">
        <v>1028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NYM</t>
        </is>
      </c>
      <c r="C64" s="5" t="inlineStr">
        <is>
          <t>00173087310</t>
        </is>
      </c>
      <c r="D64" s="5" t="inlineStr">
        <is>
          <t>INCRUSE ELLIPTA 62.5MCG/INH AEROSOL</t>
        </is>
      </c>
      <c r="E64" s="6" t="inlineStr">
        <is>
          <t>30.0</t>
        </is>
      </c>
      <c r="F64" s="7" t="n">
        <v>90</v>
      </c>
      <c r="G64" s="7" t="n">
        <v>3</v>
      </c>
      <c r="H64" s="7" t="n">
        <v>3</v>
      </c>
      <c r="I64" s="7" t="n">
        <v>0</v>
      </c>
      <c r="J64" s="8" t="n">
        <v>1028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NYM</t>
        </is>
      </c>
      <c r="C65" s="5" t="inlineStr">
        <is>
          <t>78206012601</t>
        </is>
      </c>
      <c r="D65" s="5" t="inlineStr">
        <is>
          <t>DULERA 200-5 MCG/ACT INH AEROSOL 13GM</t>
        </is>
      </c>
      <c r="E65" s="6" t="inlineStr">
        <is>
          <t>13.0</t>
        </is>
      </c>
      <c r="F65" s="7" t="n">
        <v>39</v>
      </c>
      <c r="G65" s="7" t="n">
        <v>3</v>
      </c>
      <c r="H65" s="7" t="n">
        <v>2</v>
      </c>
      <c r="I65" s="7" t="n">
        <v>-1</v>
      </c>
      <c r="J65" s="8" t="n">
        <v>995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NYM</t>
        </is>
      </c>
      <c r="C66" s="5" t="inlineStr">
        <is>
          <t>00597007541</t>
        </is>
      </c>
      <c r="D66" s="5" t="inlineStr">
        <is>
          <t>SPIRIVA HANDIHALER 18MCG CAPSULE</t>
        </is>
      </c>
      <c r="E66" s="6" t="inlineStr">
        <is>
          <t>30.0</t>
        </is>
      </c>
      <c r="F66" s="7" t="n">
        <v>90</v>
      </c>
      <c r="G66" s="7" t="n">
        <v>3</v>
      </c>
      <c r="H66" s="7" t="n">
        <v>0</v>
      </c>
      <c r="I66" s="7" t="n">
        <v>-3</v>
      </c>
      <c r="J66" s="8" t="n">
        <v>965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NYM</t>
        </is>
      </c>
      <c r="C67" s="5" t="inlineStr">
        <is>
          <t>00006057561</t>
        </is>
      </c>
      <c r="D67" s="5" t="inlineStr">
        <is>
          <t>JANUMET 50-500 MG ORAL TABLET</t>
        </is>
      </c>
      <c r="E67" s="6" t="inlineStr">
        <is>
          <t>60.0</t>
        </is>
      </c>
      <c r="F67" s="7" t="n">
        <v>180</v>
      </c>
      <c r="G67" s="7" t="n">
        <v>3</v>
      </c>
      <c r="H67" s="7" t="n">
        <v>3</v>
      </c>
      <c r="I67" s="7" t="n">
        <v>0</v>
      </c>
      <c r="J67" s="8" t="n">
        <v>961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NYM</t>
        </is>
      </c>
      <c r="C68" s="5" t="inlineStr">
        <is>
          <t>80610043060</t>
        </is>
      </c>
      <c r="D68" s="5" t="inlineStr">
        <is>
          <t>ZORYVE 0.3 % EXTERNAL FOAM</t>
        </is>
      </c>
      <c r="E68" s="6" t="inlineStr">
        <is>
          <t>60.0</t>
        </is>
      </c>
      <c r="F68" s="7" t="n">
        <v>60</v>
      </c>
      <c r="G68" s="7" t="n">
        <v>1</v>
      </c>
      <c r="H68" s="7" t="n">
        <v>0</v>
      </c>
      <c r="I68" s="7" t="n">
        <v>-1</v>
      </c>
      <c r="J68" s="8" t="n">
        <v>898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NYM</t>
        </is>
      </c>
      <c r="C69" s="5" t="inlineStr">
        <is>
          <t>59467067901</t>
        </is>
      </c>
      <c r="D69" s="5" t="inlineStr">
        <is>
          <t>KLOXXADO 8 MG/0.1ML NASAL LIQUID</t>
        </is>
      </c>
      <c r="E69" s="6" t="inlineStr">
        <is>
          <t>2.0</t>
        </is>
      </c>
      <c r="F69" s="7" t="n">
        <v>12</v>
      </c>
      <c r="G69" s="7" t="n">
        <v>6</v>
      </c>
      <c r="H69" s="7" t="n">
        <v>8</v>
      </c>
      <c r="I69" s="7" t="n">
        <v>2</v>
      </c>
      <c r="J69" s="8" t="n">
        <v>777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NYM</t>
        </is>
      </c>
      <c r="C70" s="5" t="inlineStr">
        <is>
          <t>59310030240</t>
        </is>
      </c>
      <c r="D70" s="5" t="inlineStr">
        <is>
          <t>QVAR REDIHALER 40MCG/ACT AEROSOL</t>
        </is>
      </c>
      <c r="E70" s="6" t="inlineStr">
        <is>
          <t>10.6</t>
        </is>
      </c>
      <c r="F70" s="7" t="n">
        <v>31.8</v>
      </c>
      <c r="G70" s="7" t="n">
        <v>3</v>
      </c>
      <c r="H70" s="7" t="n">
        <v>0</v>
      </c>
      <c r="I70" s="7" t="n">
        <v>-3</v>
      </c>
      <c r="J70" s="8" t="n">
        <v>668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NYM</t>
        </is>
      </c>
      <c r="C71" s="5" t="inlineStr">
        <is>
          <t>00006011231</t>
        </is>
      </c>
      <c r="D71" s="5" t="inlineStr">
        <is>
          <t>JANUVIA 50MG TABLET</t>
        </is>
      </c>
      <c r="E71" s="6" t="inlineStr">
        <is>
          <t>30.0</t>
        </is>
      </c>
      <c r="F71" s="7" t="n">
        <v>60</v>
      </c>
      <c r="G71" s="7" t="n">
        <v>2</v>
      </c>
      <c r="H71" s="7" t="n">
        <v>35</v>
      </c>
      <c r="I71" s="7" t="n">
        <v>33</v>
      </c>
      <c r="J71" s="8" t="n">
        <v>654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NYM</t>
        </is>
      </c>
      <c r="C72" s="5" t="inlineStr">
        <is>
          <t>57599084400</t>
        </is>
      </c>
      <c r="D72" s="5" t="inlineStr">
        <is>
          <t>FREESTYLE LIBRE 3 PLUS SENSOR</t>
        </is>
      </c>
      <c r="E72" s="6" t="inlineStr">
        <is>
          <t>1.0</t>
        </is>
      </c>
      <c r="F72" s="7" t="n">
        <v>8</v>
      </c>
      <c r="G72" s="7" t="n">
        <v>8</v>
      </c>
      <c r="H72" s="7" t="n">
        <v>0</v>
      </c>
      <c r="I72" s="7" t="n">
        <v>-8</v>
      </c>
      <c r="J72" s="8" t="n">
        <v>628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NYM</t>
        </is>
      </c>
      <c r="C73" s="5" t="inlineStr">
        <is>
          <t>00023917715</t>
        </is>
      </c>
      <c r="D73" s="5" t="inlineStr">
        <is>
          <t>ALPHAGAN P 0.15 % OPHTHALMIC SOLUTION</t>
        </is>
      </c>
      <c r="E73" s="6" t="inlineStr">
        <is>
          <t>15.0</t>
        </is>
      </c>
      <c r="F73" s="7" t="n">
        <v>15</v>
      </c>
      <c r="G73" s="7" t="n">
        <v>1</v>
      </c>
      <c r="H73" s="7" t="n">
        <v>0</v>
      </c>
      <c r="I73" s="7" t="n">
        <v>-1</v>
      </c>
      <c r="J73" s="8" t="n">
        <v>608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NYM</t>
        </is>
      </c>
      <c r="C74" s="5" t="inlineStr">
        <is>
          <t>49502010102</t>
        </is>
      </c>
      <c r="D74" s="5" t="inlineStr">
        <is>
          <t>EPINEPHRINE (JR) 0.15MG/0.3ML INJECTION 2ML</t>
        </is>
      </c>
      <c r="E74" s="6" t="inlineStr">
        <is>
          <t>2.0</t>
        </is>
      </c>
      <c r="F74" s="7" t="n">
        <v>4</v>
      </c>
      <c r="G74" s="7" t="n">
        <v>2</v>
      </c>
      <c r="H74" s="7" t="n">
        <v>0</v>
      </c>
      <c r="I74" s="7" t="n">
        <v>-2</v>
      </c>
      <c r="J74" s="8" t="n">
        <v>590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NYM</t>
        </is>
      </c>
      <c r="C75" s="5" t="inlineStr">
        <is>
          <t>00046087221</t>
        </is>
      </c>
      <c r="D75" s="5" t="inlineStr">
        <is>
          <t>PREMARIN 0.625 MG/GM VAGINAL CREAM</t>
        </is>
      </c>
      <c r="E75" s="6" t="inlineStr">
        <is>
          <t>30.0</t>
        </is>
      </c>
      <c r="F75" s="7" t="n">
        <v>30</v>
      </c>
      <c r="G75" s="7" t="n">
        <v>1</v>
      </c>
      <c r="H75" s="7" t="n">
        <v>2</v>
      </c>
      <c r="I75" s="7" t="n">
        <v>1</v>
      </c>
      <c r="J75" s="8" t="n">
        <v>463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NYM</t>
        </is>
      </c>
      <c r="C76" s="5" t="inlineStr">
        <is>
          <t>58160082311</t>
        </is>
      </c>
      <c r="D76" s="5" t="inlineStr">
        <is>
          <t>SHINGRIX 50 MCG/0.5ML IM SUSP RECON</t>
        </is>
      </c>
      <c r="E76" s="6" t="inlineStr">
        <is>
          <t>10.0</t>
        </is>
      </c>
      <c r="F76" s="7" t="n">
        <v>2</v>
      </c>
      <c r="G76" s="7" t="n">
        <v>0.2</v>
      </c>
      <c r="H76" s="7" t="n">
        <v>0</v>
      </c>
      <c r="I76" s="7" t="n">
        <v>-0.2</v>
      </c>
      <c r="J76" s="8" t="n">
        <v>422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NYM</t>
        </is>
      </c>
      <c r="C77" s="5" t="inlineStr">
        <is>
          <t>00002771559</t>
        </is>
      </c>
      <c r="D77" s="5" t="inlineStr">
        <is>
          <t>BASAGLAR KWIKPEN 100UNIT/ML INJECTION</t>
        </is>
      </c>
      <c r="E77" s="6" t="inlineStr">
        <is>
          <t>15.0</t>
        </is>
      </c>
      <c r="F77" s="7" t="n">
        <v>18</v>
      </c>
      <c r="G77" s="7" t="n">
        <v>1.2</v>
      </c>
      <c r="H77" s="7" t="n">
        <v>45</v>
      </c>
      <c r="I77" s="7" t="n">
        <v>43.8</v>
      </c>
      <c r="J77" s="8" t="n">
        <v>417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NYM</t>
        </is>
      </c>
      <c r="C78" s="5" t="inlineStr">
        <is>
          <t>17772013230</t>
        </is>
      </c>
      <c r="D78" s="5" t="inlineStr">
        <is>
          <t>QELBREE 150MG CAPSULE ER</t>
        </is>
      </c>
      <c r="E78" s="6" t="inlineStr">
        <is>
          <t>30.0</t>
        </is>
      </c>
      <c r="F78" s="7" t="n">
        <v>30</v>
      </c>
      <c r="G78" s="7" t="n">
        <v>1</v>
      </c>
      <c r="H78" s="7" t="n">
        <v>3</v>
      </c>
      <c r="I78" s="7" t="n">
        <v>2</v>
      </c>
      <c r="J78" s="8" t="n">
        <v>371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NYM</t>
        </is>
      </c>
      <c r="C79" s="5" t="inlineStr">
        <is>
          <t>00074740113</t>
        </is>
      </c>
      <c r="D79" s="5" t="inlineStr">
        <is>
          <t>DEPAKOTE ER 250 MG TABLET</t>
        </is>
      </c>
      <c r="E79" s="6" t="inlineStr">
        <is>
          <t>100.0</t>
        </is>
      </c>
      <c r="F79" s="7" t="n">
        <v>90</v>
      </c>
      <c r="G79" s="7" t="n">
        <v>0.9</v>
      </c>
      <c r="H79" s="7" t="n">
        <v>2</v>
      </c>
      <c r="I79" s="7" t="n">
        <v>1.1</v>
      </c>
      <c r="J79" s="8" t="n">
        <v>357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NYM</t>
        </is>
      </c>
      <c r="C80" s="5" t="inlineStr">
        <is>
          <t>65162035803</t>
        </is>
      </c>
      <c r="D80" s="5" t="inlineStr">
        <is>
          <t>ZAFEMY 150-35 MCG/24HR TRANSDERMAL PATCH WEEKLY</t>
        </is>
      </c>
      <c r="E80" s="6" t="inlineStr">
        <is>
          <t>3.0</t>
        </is>
      </c>
      <c r="F80" s="7" t="n">
        <v>9</v>
      </c>
      <c r="G80" s="7" t="n">
        <v>3</v>
      </c>
      <c r="H80" s="7" t="n">
        <v>1</v>
      </c>
      <c r="I80" s="7" t="n">
        <v>-2</v>
      </c>
      <c r="J80" s="8" t="n">
        <v>315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NYM</t>
        </is>
      </c>
      <c r="C81" s="5" t="inlineStr">
        <is>
          <t>54092018981</t>
        </is>
      </c>
      <c r="D81" s="5" t="inlineStr">
        <is>
          <t>PENTASA 250 MG ORAL CAPSULE EXTENDED RELEASE</t>
        </is>
      </c>
      <c r="E81" s="6" t="inlineStr">
        <is>
          <t>240.0</t>
        </is>
      </c>
      <c r="F81" s="7" t="n">
        <v>90</v>
      </c>
      <c r="G81" s="7" t="n">
        <v>0.375</v>
      </c>
      <c r="H81" s="7" t="n">
        <v>0</v>
      </c>
      <c r="I81" s="7" t="n">
        <v>-0.375</v>
      </c>
      <c r="J81" s="8" t="n">
        <v>292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NYM</t>
        </is>
      </c>
      <c r="C82" s="5" t="inlineStr">
        <is>
          <t>00065414727</t>
        </is>
      </c>
      <c r="D82" s="5" t="inlineStr">
        <is>
          <t>SIMBRINZA 1-0.2 % OPHTHALMIC SUSPENSION</t>
        </is>
      </c>
      <c r="E82" s="6" t="inlineStr">
        <is>
          <t>8.0</t>
        </is>
      </c>
      <c r="F82" s="7" t="n">
        <v>8</v>
      </c>
      <c r="G82" s="7" t="n">
        <v>1</v>
      </c>
      <c r="H82" s="7" t="n">
        <v>1</v>
      </c>
      <c r="I82" s="7" t="n">
        <v>0</v>
      </c>
      <c r="J82" s="8" t="n">
        <v>219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NYM</t>
        </is>
      </c>
      <c r="C83" s="5" t="inlineStr">
        <is>
          <t>00173088810</t>
        </is>
      </c>
      <c r="D83" s="5" t="inlineStr">
        <is>
          <t>ARNUITY ELLIPTA 50 MCG/ACT INHAEROSOL</t>
        </is>
      </c>
      <c r="E83" s="6" t="inlineStr">
        <is>
          <t>30.0</t>
        </is>
      </c>
      <c r="F83" s="7" t="n">
        <v>30</v>
      </c>
      <c r="G83" s="7" t="n">
        <v>1</v>
      </c>
      <c r="H83" s="7" t="n">
        <v>0</v>
      </c>
      <c r="I83" s="7" t="n">
        <v>-1</v>
      </c>
      <c r="J83" s="8" t="n">
        <v>210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NYM</t>
        </is>
      </c>
      <c r="C84" s="5" t="inlineStr">
        <is>
          <t>42023011101</t>
        </is>
      </c>
      <c r="D84" s="5" t="inlineStr">
        <is>
          <t>DELESTROGEN 20 MG/ML INTRAMUSCULAR OIL</t>
        </is>
      </c>
      <c r="E84" s="6" t="inlineStr">
        <is>
          <t>5.0</t>
        </is>
      </c>
      <c r="F84" s="7" t="n">
        <v>5</v>
      </c>
      <c r="G84" s="7" t="n">
        <v>1</v>
      </c>
      <c r="H84" s="7" t="n">
        <v>0</v>
      </c>
      <c r="I84" s="7" t="n">
        <v>-1</v>
      </c>
      <c r="J84" s="8" t="n">
        <v>187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NYM</t>
        </is>
      </c>
      <c r="C85" s="5" t="inlineStr">
        <is>
          <t>00074455290</t>
        </is>
      </c>
      <c r="D85" s="5" t="inlineStr">
        <is>
          <t>SYNTHROID 50MCG TABLET</t>
        </is>
      </c>
      <c r="E85" s="6" t="inlineStr">
        <is>
          <t>90.0</t>
        </is>
      </c>
      <c r="F85" s="7" t="n">
        <v>90</v>
      </c>
      <c r="G85" s="7" t="n">
        <v>1</v>
      </c>
      <c r="H85" s="7" t="n">
        <v>2</v>
      </c>
      <c r="I85" s="7" t="n">
        <v>1</v>
      </c>
      <c r="J85" s="8" t="n">
        <v>153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NYM</t>
        </is>
      </c>
      <c r="C86" s="5" t="inlineStr">
        <is>
          <t>57599082000</t>
        </is>
      </c>
      <c r="D86" s="5" t="inlineStr">
        <is>
          <t>FREESTYLE LIBRE 3 READER DEVICE</t>
        </is>
      </c>
      <c r="E86" s="6" t="inlineStr">
        <is>
          <t>1.0</t>
        </is>
      </c>
      <c r="F86" s="7" t="n">
        <v>1</v>
      </c>
      <c r="G86" s="7" t="n">
        <v>1</v>
      </c>
      <c r="H86" s="7" t="n">
        <v>1</v>
      </c>
      <c r="I86" s="7" t="n">
        <v>0</v>
      </c>
      <c r="J86" s="8" t="n">
        <v>70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NYM</t>
        </is>
      </c>
      <c r="C87" s="5" t="inlineStr">
        <is>
          <t>59630075050</t>
        </is>
      </c>
      <c r="D87" s="5" t="inlineStr">
        <is>
          <t>METHYLIN 5 MG/5ML ORAL SOLUTION</t>
        </is>
      </c>
      <c r="E87" s="6" t="inlineStr">
        <is>
          <t>500.0</t>
        </is>
      </c>
      <c r="F87" s="7" t="n">
        <v>600</v>
      </c>
      <c r="G87" s="7" t="n">
        <v>1.2</v>
      </c>
      <c r="H87" s="7" t="n">
        <v>2</v>
      </c>
      <c r="I87" s="7" t="n">
        <v>0.8</v>
      </c>
      <c r="J87" s="8" t="n">
        <v>67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NYM</t>
        </is>
      </c>
      <c r="C88" s="5" t="inlineStr">
        <is>
          <t>00173068220</t>
        </is>
      </c>
      <c r="D88" s="5" t="inlineStr">
        <is>
          <t xml:space="preserve">VENTOLIN HFA 108 (90 BASE) </t>
        </is>
      </c>
      <c r="E88" s="6" t="inlineStr">
        <is>
          <t>18.0</t>
        </is>
      </c>
      <c r="F88" s="7" t="n">
        <v>18</v>
      </c>
      <c r="G88" s="7" t="n">
        <v>1</v>
      </c>
      <c r="H88" s="7" t="n">
        <v>0</v>
      </c>
      <c r="I88" s="7" t="n">
        <v>-1</v>
      </c>
      <c r="J88" s="8" t="n">
        <v>65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NYM</t>
        </is>
      </c>
      <c r="C89" s="5" t="inlineStr">
        <is>
          <t>65162099708</t>
        </is>
      </c>
      <c r="D89" s="5" t="inlineStr">
        <is>
          <t>DOTTI 0.1 MG/24HR TRANSDERMAL PATCH TWICE WEEKLY</t>
        </is>
      </c>
      <c r="E89" s="6" t="inlineStr">
        <is>
          <t>8.0</t>
        </is>
      </c>
      <c r="F89" s="7" t="n">
        <v>8</v>
      </c>
      <c r="G89" s="7" t="n">
        <v>1</v>
      </c>
      <c r="H89" s="7" t="n">
        <v>2</v>
      </c>
      <c r="I89" s="7" t="n">
        <v>1</v>
      </c>
      <c r="J89" s="8" t="n">
        <v>63</v>
      </c>
      <c r="K89" s="9">
        <f>IFERROR(IF((ROUND((J89/G89)*I89,1))&lt;0,(ROUND((J89/G89)*I89,1)),0),0)</f>
        <v/>
      </c>
    </row>
    <row r="90">
      <c r="E90" s="10" t="inlineStr">
        <is>
          <t>TOTAL</t>
        </is>
      </c>
      <c r="F90" s="11">
        <f>SUM(F4:F89)</f>
        <v/>
      </c>
      <c r="G90" s="11">
        <f>SUM(G4:G89)</f>
        <v/>
      </c>
      <c r="H90" s="11">
        <f>SUM(H4:H89)</f>
        <v/>
      </c>
      <c r="I90" s="11">
        <f>SUM(I4:I89)</f>
        <v/>
      </c>
      <c r="J90" s="12">
        <f>SUM(J4:J89)</f>
        <v/>
      </c>
      <c r="K90" s="13">
        <f>SUM(K4:K89)</f>
        <v/>
      </c>
    </row>
    <row r="91">
      <c r="J91" s="14" t="inlineStr">
        <is>
          <t>Audited Drugs Count</t>
        </is>
      </c>
      <c r="K91" s="15">
        <f>COUNTIF(K4:K89,"&lt;0")</f>
        <v/>
      </c>
    </row>
    <row r="92">
      <c r="J92" s="14" t="inlineStr">
        <is>
          <t>Total Audit Exposure</t>
        </is>
      </c>
      <c r="K92" s="16">
        <f>SUMIF(K4:K89,"&lt;0",K4:K89)</f>
        <v/>
      </c>
    </row>
  </sheetData>
  <autoFilter ref="A3:K89"/>
  <mergeCells count="2">
    <mergeCell ref="A2:K2"/>
    <mergeCell ref="A1:K1"/>
  </mergeCells>
  <conditionalFormatting sqref="E4:K8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Hil — hh — OPTUM</t>
        </is>
      </c>
    </row>
    <row r="2" ht="24" customHeight="1">
      <c r="A2" s="2" t="inlineStr">
        <is>
          <t>Overall OPTUM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OPTUM</t>
        </is>
      </c>
      <c r="G3" s="3" t="inlineStr">
        <is>
          <t>Packages Billed to OPTUM</t>
        </is>
      </c>
      <c r="H3" s="3" t="inlineStr">
        <is>
          <t>Total Qty Purchased</t>
        </is>
      </c>
      <c r="I3" s="3" t="inlineStr">
        <is>
          <t>Qty Difference for OPTUM</t>
        </is>
      </c>
      <c r="J3" s="3" t="inlineStr">
        <is>
          <t>Actual $ Paid by OPTUM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OPTUM</t>
        </is>
      </c>
      <c r="C4" s="5" t="inlineStr">
        <is>
          <t>00002247180</t>
        </is>
      </c>
      <c r="D4" s="5" t="inlineStr">
        <is>
          <t>ZEPBOUND 10 MG/0.5ML AUTO-INJECTOR</t>
        </is>
      </c>
      <c r="E4" s="6" t="inlineStr">
        <is>
          <t>2.0</t>
        </is>
      </c>
      <c r="F4" s="7" t="n">
        <v>10</v>
      </c>
      <c r="G4" s="7" t="n">
        <v>5</v>
      </c>
      <c r="H4" s="7" t="n">
        <v>5</v>
      </c>
      <c r="I4" s="7" t="n">
        <v>0</v>
      </c>
      <c r="J4" s="8" t="n">
        <v>4899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OPTUM</t>
        </is>
      </c>
      <c r="C5" s="5" t="inlineStr">
        <is>
          <t>00187540008</t>
        </is>
      </c>
      <c r="D5" s="5" t="inlineStr">
        <is>
          <t>JUBLIA 10 % EXTERNAL SOLUTION</t>
        </is>
      </c>
      <c r="E5" s="6" t="inlineStr">
        <is>
          <t>8.0</t>
        </is>
      </c>
      <c r="F5" s="7" t="n">
        <v>24</v>
      </c>
      <c r="G5" s="7" t="n">
        <v>3</v>
      </c>
      <c r="H5" s="7" t="n">
        <v>2</v>
      </c>
      <c r="I5" s="7" t="n">
        <v>-1</v>
      </c>
      <c r="J5" s="8" t="n">
        <v>4825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OPTUM</t>
        </is>
      </c>
      <c r="C6" s="5" t="inlineStr">
        <is>
          <t>00169431430</t>
        </is>
      </c>
      <c r="D6" s="5" t="inlineStr">
        <is>
          <t>RYBELSUS 14MG TABLET</t>
        </is>
      </c>
      <c r="E6" s="6" t="inlineStr">
        <is>
          <t>30.0</t>
        </is>
      </c>
      <c r="F6" s="7" t="n">
        <v>90</v>
      </c>
      <c r="G6" s="7" t="n">
        <v>3</v>
      </c>
      <c r="H6" s="7" t="n">
        <v>15</v>
      </c>
      <c r="I6" s="7" t="n">
        <v>12</v>
      </c>
      <c r="J6" s="8" t="n">
        <v>3001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OPTUM</t>
        </is>
      </c>
      <c r="C7" s="5" t="inlineStr">
        <is>
          <t>00023916360</t>
        </is>
      </c>
      <c r="D7" s="5" t="inlineStr">
        <is>
          <t xml:space="preserve">RESTASIS 0.05% EMULSION </t>
        </is>
      </c>
      <c r="E7" s="6" t="inlineStr">
        <is>
          <t>60.0</t>
        </is>
      </c>
      <c r="F7" s="7" t="n">
        <v>300</v>
      </c>
      <c r="G7" s="7" t="n">
        <v>5</v>
      </c>
      <c r="H7" s="7" t="n">
        <v>176</v>
      </c>
      <c r="I7" s="7" t="n">
        <v>171</v>
      </c>
      <c r="J7" s="8" t="n">
        <v>2813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OPTUM</t>
        </is>
      </c>
      <c r="C8" s="5" t="inlineStr">
        <is>
          <t>00310111030</t>
        </is>
      </c>
      <c r="D8" s="5" t="inlineStr">
        <is>
          <t>LOKELMA 10GM PACK</t>
        </is>
      </c>
      <c r="E8" s="6" t="inlineStr">
        <is>
          <t>30.0</t>
        </is>
      </c>
      <c r="F8" s="7" t="n">
        <v>90</v>
      </c>
      <c r="G8" s="7" t="n">
        <v>3</v>
      </c>
      <c r="H8" s="7" t="n">
        <v>12</v>
      </c>
      <c r="I8" s="7" t="n">
        <v>9</v>
      </c>
      <c r="J8" s="8" t="n">
        <v>2639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OPTUM</t>
        </is>
      </c>
      <c r="C9" s="5" t="inlineStr">
        <is>
          <t>00002146080</t>
        </is>
      </c>
      <c r="D9" s="5" t="inlineStr">
        <is>
          <t>MOUNJARO 12.5 MG/0.5ML PEN-INJECTOR</t>
        </is>
      </c>
      <c r="E9" s="6" t="inlineStr">
        <is>
          <t>2.0</t>
        </is>
      </c>
      <c r="F9" s="7" t="n">
        <v>4</v>
      </c>
      <c r="G9" s="7" t="n">
        <v>2</v>
      </c>
      <c r="H9" s="7" t="n">
        <v>9</v>
      </c>
      <c r="I9" s="7" t="n">
        <v>7</v>
      </c>
      <c r="J9" s="8" t="n">
        <v>2167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OPTUM</t>
        </is>
      </c>
      <c r="C10" s="5" t="inlineStr">
        <is>
          <t>00310461612</t>
        </is>
      </c>
      <c r="D10" s="5" t="inlineStr">
        <is>
          <t>BREZTRI AEROSPHERE 160-9-4.8 MCG/ACT INHALATION AEROSOL</t>
        </is>
      </c>
      <c r="E10" s="6" t="inlineStr">
        <is>
          <t>10.7</t>
        </is>
      </c>
      <c r="F10" s="7" t="n">
        <v>32.1</v>
      </c>
      <c r="G10" s="7" t="n">
        <v>3</v>
      </c>
      <c r="H10" s="7" t="n">
        <v>8</v>
      </c>
      <c r="I10" s="7" t="n">
        <v>5</v>
      </c>
      <c r="J10" s="8" t="n">
        <v>1999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OPTUM</t>
        </is>
      </c>
      <c r="C11" s="5" t="inlineStr">
        <is>
          <t>00597015330</t>
        </is>
      </c>
      <c r="D11" s="5" t="inlineStr">
        <is>
          <t xml:space="preserve">JARDIANCE 25MG TAB </t>
        </is>
      </c>
      <c r="E11" s="6" t="inlineStr">
        <is>
          <t>30.0</t>
        </is>
      </c>
      <c r="F11" s="7" t="n">
        <v>90</v>
      </c>
      <c r="G11" s="7" t="n">
        <v>3</v>
      </c>
      <c r="H11" s="7" t="n">
        <v>139</v>
      </c>
      <c r="I11" s="7" t="n">
        <v>136</v>
      </c>
      <c r="J11" s="8" t="n">
        <v>1894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OPTUM</t>
        </is>
      </c>
      <c r="C12" s="5" t="inlineStr">
        <is>
          <t>00597015230</t>
        </is>
      </c>
      <c r="D12" s="5" t="inlineStr">
        <is>
          <t xml:space="preserve">JARDIANCE 10MG TAB </t>
        </is>
      </c>
      <c r="E12" s="6" t="inlineStr">
        <is>
          <t>30.0</t>
        </is>
      </c>
      <c r="F12" s="7" t="n">
        <v>90</v>
      </c>
      <c r="G12" s="7" t="n">
        <v>3</v>
      </c>
      <c r="H12" s="7" t="n">
        <v>98</v>
      </c>
      <c r="I12" s="7" t="n">
        <v>95</v>
      </c>
      <c r="J12" s="8" t="n">
        <v>1894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OPTUM</t>
        </is>
      </c>
      <c r="C13" s="5" t="inlineStr">
        <is>
          <t>50458057930</t>
        </is>
      </c>
      <c r="D13" s="5" t="inlineStr">
        <is>
          <t>XARELTO 20MG TAB</t>
        </is>
      </c>
      <c r="E13" s="6" t="inlineStr">
        <is>
          <t>30.0</t>
        </is>
      </c>
      <c r="F13" s="7" t="n">
        <v>90</v>
      </c>
      <c r="G13" s="7" t="n">
        <v>3</v>
      </c>
      <c r="H13" s="7" t="n">
        <v>23</v>
      </c>
      <c r="I13" s="7" t="n">
        <v>20</v>
      </c>
      <c r="J13" s="8" t="n">
        <v>1800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OPTUM</t>
        </is>
      </c>
      <c r="C14" s="5" t="inlineStr">
        <is>
          <t>24208091112</t>
        </is>
      </c>
      <c r="D14" s="5" t="inlineStr">
        <is>
          <t>XIIDRA 5 % OPHTHALMIC SOLUTION</t>
        </is>
      </c>
      <c r="E14" s="6" t="inlineStr">
        <is>
          <t>60.0</t>
        </is>
      </c>
      <c r="F14" s="7" t="n">
        <v>120</v>
      </c>
      <c r="G14" s="7" t="n">
        <v>2</v>
      </c>
      <c r="H14" s="7" t="n">
        <v>84</v>
      </c>
      <c r="I14" s="7" t="n">
        <v>82</v>
      </c>
      <c r="J14" s="8" t="n">
        <v>1369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OPTUM</t>
        </is>
      </c>
      <c r="C15" s="5" t="inlineStr">
        <is>
          <t>00002150680</t>
        </is>
      </c>
      <c r="D15" s="5" t="inlineStr">
        <is>
          <t>MOUNJARO 2.5 MG/0.5ML PEN-INJECTOR</t>
        </is>
      </c>
      <c r="E15" s="6" t="inlineStr">
        <is>
          <t>2.0</t>
        </is>
      </c>
      <c r="F15" s="7" t="n">
        <v>2</v>
      </c>
      <c r="G15" s="7" t="n">
        <v>1</v>
      </c>
      <c r="H15" s="7" t="n">
        <v>4</v>
      </c>
      <c r="I15" s="7" t="n">
        <v>3</v>
      </c>
      <c r="J15" s="8" t="n">
        <v>1115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OPTUM</t>
        </is>
      </c>
      <c r="C16" s="5" t="inlineStr">
        <is>
          <t>72511039302</t>
        </is>
      </c>
      <c r="D16" s="5" t="inlineStr">
        <is>
          <t>REPATHA SURECLICK 140 MG/ML SUBCUTANEOUS SOLUTION AUTO-INJECTOR</t>
        </is>
      </c>
      <c r="E16" s="6" t="inlineStr">
        <is>
          <t>2.0</t>
        </is>
      </c>
      <c r="F16" s="7" t="n">
        <v>4</v>
      </c>
      <c r="G16" s="7" t="n">
        <v>2</v>
      </c>
      <c r="H16" s="7" t="n">
        <v>11</v>
      </c>
      <c r="I16" s="7" t="n">
        <v>9</v>
      </c>
      <c r="J16" s="8" t="n">
        <v>1056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OPTUM</t>
        </is>
      </c>
      <c r="C17" s="5" t="inlineStr">
        <is>
          <t>08627007701</t>
        </is>
      </c>
      <c r="D17" s="5" t="inlineStr">
        <is>
          <t>DEXCOM G7 SENSOR</t>
        </is>
      </c>
      <c r="E17" s="6" t="inlineStr">
        <is>
          <t>1.0</t>
        </is>
      </c>
      <c r="F17" s="7" t="n">
        <v>9</v>
      </c>
      <c r="G17" s="7" t="n">
        <v>9</v>
      </c>
      <c r="H17" s="7" t="n">
        <v>32</v>
      </c>
      <c r="I17" s="7" t="n">
        <v>23</v>
      </c>
      <c r="J17" s="8" t="n">
        <v>1056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OPTUM</t>
        </is>
      </c>
      <c r="C18" s="5" t="inlineStr">
        <is>
          <t>00002248480</t>
        </is>
      </c>
      <c r="D18" s="5" t="inlineStr">
        <is>
          <t>ZEPBOUND 7.5 MG/0.5ML AUTO-INJECTOR</t>
        </is>
      </c>
      <c r="E18" s="6" t="inlineStr">
        <is>
          <t>2.0</t>
        </is>
      </c>
      <c r="F18" s="7" t="n">
        <v>2</v>
      </c>
      <c r="G18" s="7" t="n">
        <v>1</v>
      </c>
      <c r="H18" s="7" t="n">
        <v>2</v>
      </c>
      <c r="I18" s="7" t="n">
        <v>1</v>
      </c>
      <c r="J18" s="8" t="n">
        <v>1025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OPTUM</t>
        </is>
      </c>
      <c r="C19" s="5" t="inlineStr">
        <is>
          <t>00002246080</t>
        </is>
      </c>
      <c r="D19" s="5" t="inlineStr">
        <is>
          <t>ZEPBOUND 12.5 MG/0.5ML AUTO-INJECTOR</t>
        </is>
      </c>
      <c r="E19" s="6" t="inlineStr">
        <is>
          <t>2.0</t>
        </is>
      </c>
      <c r="F19" s="7" t="n">
        <v>2</v>
      </c>
      <c r="G19" s="7" t="n">
        <v>1</v>
      </c>
      <c r="H19" s="7" t="n">
        <v>1</v>
      </c>
      <c r="I19" s="7" t="n">
        <v>0</v>
      </c>
      <c r="J19" s="8" t="n">
        <v>960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OPTUM</t>
        </is>
      </c>
      <c r="C20" s="5" t="inlineStr">
        <is>
          <t>00456120130</t>
        </is>
      </c>
      <c r="D20" s="5" t="inlineStr">
        <is>
          <t>LINZESS 145MCG CAPSULE</t>
        </is>
      </c>
      <c r="E20" s="6" t="inlineStr">
        <is>
          <t>30.0</t>
        </is>
      </c>
      <c r="F20" s="7" t="n">
        <v>60</v>
      </c>
      <c r="G20" s="7" t="n">
        <v>2</v>
      </c>
      <c r="H20" s="7" t="n">
        <v>30</v>
      </c>
      <c r="I20" s="7" t="n">
        <v>28</v>
      </c>
      <c r="J20" s="8" t="n">
        <v>849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OPTUM</t>
        </is>
      </c>
      <c r="C21" s="5" t="inlineStr">
        <is>
          <t>81968035101</t>
        </is>
      </c>
      <c r="D21" s="5" t="inlineStr">
        <is>
          <t>SUNOSI 150 MG ORAL TABLET</t>
        </is>
      </c>
      <c r="E21" s="6" t="inlineStr">
        <is>
          <t>30.0</t>
        </is>
      </c>
      <c r="F21" s="7" t="n">
        <v>30</v>
      </c>
      <c r="G21" s="7" t="n">
        <v>1</v>
      </c>
      <c r="H21" s="7" t="n">
        <v>1</v>
      </c>
      <c r="I21" s="7" t="n">
        <v>0</v>
      </c>
      <c r="J21" s="8" t="n">
        <v>847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OPTUM</t>
        </is>
      </c>
      <c r="C22" s="5" t="inlineStr">
        <is>
          <t>00023320508</t>
        </is>
      </c>
      <c r="D22" s="5" t="inlineStr">
        <is>
          <t>LUMIGAN 0.01% SOLUTION</t>
        </is>
      </c>
      <c r="E22" s="6" t="inlineStr">
        <is>
          <t>7.5</t>
        </is>
      </c>
      <c r="F22" s="7" t="n">
        <v>7.5</v>
      </c>
      <c r="G22" s="7" t="n">
        <v>1</v>
      </c>
      <c r="H22" s="7" t="n">
        <v>10</v>
      </c>
      <c r="I22" s="7" t="n">
        <v>9</v>
      </c>
      <c r="J22" s="8" t="n">
        <v>794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OPTUM</t>
        </is>
      </c>
      <c r="C23" s="5" t="inlineStr">
        <is>
          <t>00310621030</t>
        </is>
      </c>
      <c r="D23" s="5" t="inlineStr">
        <is>
          <t>FARXIGA 10MG TABLET</t>
        </is>
      </c>
      <c r="E23" s="6" t="inlineStr">
        <is>
          <t>30.0</t>
        </is>
      </c>
      <c r="F23" s="7" t="n">
        <v>60</v>
      </c>
      <c r="G23" s="7" t="n">
        <v>2</v>
      </c>
      <c r="H23" s="7" t="n">
        <v>50</v>
      </c>
      <c r="I23" s="7" t="n">
        <v>48</v>
      </c>
      <c r="J23" s="8" t="n">
        <v>662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OPTUM</t>
        </is>
      </c>
      <c r="C24" s="5" t="inlineStr">
        <is>
          <t>00193731150</t>
        </is>
      </c>
      <c r="D24" s="5" t="inlineStr">
        <is>
          <t>CONTOUR NEXT TEST  STRIPS</t>
        </is>
      </c>
      <c r="E24" s="6" t="inlineStr">
        <is>
          <t>50.0</t>
        </is>
      </c>
      <c r="F24" s="7" t="n">
        <v>600</v>
      </c>
      <c r="G24" s="7" t="n">
        <v>12</v>
      </c>
      <c r="H24" s="7" t="n">
        <v>0</v>
      </c>
      <c r="I24" s="7" t="n">
        <v>-12</v>
      </c>
      <c r="J24" s="8" t="n">
        <v>654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OPTUM</t>
        </is>
      </c>
      <c r="C25" s="5" t="inlineStr">
        <is>
          <t>00065414727</t>
        </is>
      </c>
      <c r="D25" s="5" t="inlineStr">
        <is>
          <t>SIMBRINZA 1-0.2 % OPHTHALMIC SUSPENSION</t>
        </is>
      </c>
      <c r="E25" s="6" t="inlineStr">
        <is>
          <t>8.0</t>
        </is>
      </c>
      <c r="F25" s="7" t="n">
        <v>24</v>
      </c>
      <c r="G25" s="7" t="n">
        <v>3</v>
      </c>
      <c r="H25" s="7" t="n">
        <v>1</v>
      </c>
      <c r="I25" s="7" t="n">
        <v>-2</v>
      </c>
      <c r="J25" s="8" t="n">
        <v>650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OPTUM</t>
        </is>
      </c>
      <c r="C26" s="5" t="inlineStr">
        <is>
          <t>00574062105</t>
        </is>
      </c>
      <c r="D26" s="5" t="inlineStr">
        <is>
          <t>PODOFILOX 0.5 % EXTERNAL GEL</t>
        </is>
      </c>
      <c r="E26" s="6" t="inlineStr">
        <is>
          <t>3.5</t>
        </is>
      </c>
      <c r="F26" s="7" t="n">
        <v>3.5</v>
      </c>
      <c r="G26" s="7" t="n">
        <v>1</v>
      </c>
      <c r="H26" s="7" t="n">
        <v>0</v>
      </c>
      <c r="I26" s="7" t="n">
        <v>-1</v>
      </c>
      <c r="J26" s="8" t="n">
        <v>470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OPTUM</t>
        </is>
      </c>
      <c r="C27" s="5" t="inlineStr">
        <is>
          <t>00046087221</t>
        </is>
      </c>
      <c r="D27" s="5" t="inlineStr">
        <is>
          <t>PREMARIN 0.625 MG/GM VAGINAL CREAM</t>
        </is>
      </c>
      <c r="E27" s="6" t="inlineStr">
        <is>
          <t>30.0</t>
        </is>
      </c>
      <c r="F27" s="7" t="n">
        <v>30</v>
      </c>
      <c r="G27" s="7" t="n">
        <v>1</v>
      </c>
      <c r="H27" s="7" t="n">
        <v>2</v>
      </c>
      <c r="I27" s="7" t="n">
        <v>1</v>
      </c>
      <c r="J27" s="8" t="n">
        <v>463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OPTUM</t>
        </is>
      </c>
      <c r="C28" s="5" t="inlineStr">
        <is>
          <t>08627007801</t>
        </is>
      </c>
      <c r="D28" s="5" t="inlineStr">
        <is>
          <t>DEXCOM G7 RECEIVER DEVICE</t>
        </is>
      </c>
      <c r="E28" s="6" t="inlineStr">
        <is>
          <t>1.0</t>
        </is>
      </c>
      <c r="F28" s="7" t="n">
        <v>1</v>
      </c>
      <c r="G28" s="7" t="n">
        <v>1</v>
      </c>
      <c r="H28" s="7" t="n">
        <v>1</v>
      </c>
      <c r="I28" s="7" t="n">
        <v>0</v>
      </c>
      <c r="J28" s="8" t="n">
        <v>272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OPTUM</t>
        </is>
      </c>
      <c r="C29" s="5" t="inlineStr">
        <is>
          <t>24208050402</t>
        </is>
      </c>
      <c r="D29" s="5" t="inlineStr">
        <is>
          <t>VYZULTA 0.024 % OPHTHALMIC SOLUTION</t>
        </is>
      </c>
      <c r="E29" s="6" t="inlineStr">
        <is>
          <t>2.5</t>
        </is>
      </c>
      <c r="F29" s="7" t="n">
        <v>2.5</v>
      </c>
      <c r="G29" s="7" t="n">
        <v>1</v>
      </c>
      <c r="H29" s="7" t="n">
        <v>0</v>
      </c>
      <c r="I29" s="7" t="n">
        <v>-1</v>
      </c>
      <c r="J29" s="8" t="n">
        <v>261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OPTUM</t>
        </is>
      </c>
      <c r="C30" s="5" t="inlineStr">
        <is>
          <t>58160082311</t>
        </is>
      </c>
      <c r="D30" s="5" t="inlineStr">
        <is>
          <t>SHINGRIX 50 MCG/0.5ML IM SUSP RECON</t>
        </is>
      </c>
      <c r="E30" s="6" t="inlineStr">
        <is>
          <t>10.0</t>
        </is>
      </c>
      <c r="F30" s="7" t="n">
        <v>1</v>
      </c>
      <c r="G30" s="7" t="n">
        <v>0.1</v>
      </c>
      <c r="H30" s="7" t="n">
        <v>0</v>
      </c>
      <c r="I30" s="7" t="n">
        <v>-0.1</v>
      </c>
      <c r="J30" s="8" t="n">
        <v>217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OPTUM</t>
        </is>
      </c>
      <c r="C31" s="5" t="inlineStr">
        <is>
          <t>00186037220</t>
        </is>
      </c>
      <c r="D31" s="5" t="inlineStr">
        <is>
          <t>SYMBICORT 80-4.5MCG/ACT AEROSOL</t>
        </is>
      </c>
      <c r="E31" s="6" t="inlineStr">
        <is>
          <t>10.2</t>
        </is>
      </c>
      <c r="F31" s="7" t="n">
        <v>10.2</v>
      </c>
      <c r="G31" s="7" t="n">
        <v>1</v>
      </c>
      <c r="H31" s="7" t="n">
        <v>0</v>
      </c>
      <c r="I31" s="7" t="n">
        <v>-1</v>
      </c>
      <c r="J31" s="8" t="n">
        <v>206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OPTUM</t>
        </is>
      </c>
      <c r="C32" s="5" t="inlineStr">
        <is>
          <t>59467067901</t>
        </is>
      </c>
      <c r="D32" s="5" t="inlineStr">
        <is>
          <t>KLOXXADO 8 MG/0.1ML NASAL LIQUID</t>
        </is>
      </c>
      <c r="E32" s="6" t="inlineStr">
        <is>
          <t>2.0</t>
        </is>
      </c>
      <c r="F32" s="7" t="n">
        <v>2</v>
      </c>
      <c r="G32" s="7" t="n">
        <v>1</v>
      </c>
      <c r="H32" s="7" t="n">
        <v>8</v>
      </c>
      <c r="I32" s="7" t="n">
        <v>7</v>
      </c>
      <c r="J32" s="8" t="n">
        <v>126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OPTUM</t>
        </is>
      </c>
      <c r="C33" s="5" t="inlineStr">
        <is>
          <t>65702071110</t>
        </is>
      </c>
      <c r="D33" s="5" t="inlineStr">
        <is>
          <t>ACCU-CHEK GUIDE IN VITRO STRIP</t>
        </is>
      </c>
      <c r="E33" s="6" t="inlineStr">
        <is>
          <t>50.0</t>
        </is>
      </c>
      <c r="F33" s="7" t="n">
        <v>100</v>
      </c>
      <c r="G33" s="7" t="n">
        <v>2</v>
      </c>
      <c r="H33" s="7" t="n">
        <v>22</v>
      </c>
      <c r="I33" s="7" t="n">
        <v>20</v>
      </c>
      <c r="J33" s="8" t="n">
        <v>41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OPTUM</t>
        </is>
      </c>
      <c r="C34" s="5" t="inlineStr">
        <is>
          <t>73302045601</t>
        </is>
      </c>
      <c r="D34" s="5" t="inlineStr">
        <is>
          <t>ELLA 30 MG ORAL TABLET</t>
        </is>
      </c>
      <c r="E34" s="6" t="inlineStr">
        <is>
          <t>1.0</t>
        </is>
      </c>
      <c r="F34" s="7" t="n">
        <v>1</v>
      </c>
      <c r="G34" s="7" t="n">
        <v>1</v>
      </c>
      <c r="H34" s="7" t="n">
        <v>0</v>
      </c>
      <c r="I34" s="7" t="n">
        <v>-1</v>
      </c>
      <c r="J34" s="8" t="n">
        <v>38</v>
      </c>
      <c r="K34" s="9">
        <f>IFERROR(IF((ROUND((J34/G34)*I34,1))&lt;0,(ROUND((J34/G34)*I34,1)),0),0)</f>
        <v/>
      </c>
    </row>
    <row r="35">
      <c r="E35" s="10" t="inlineStr">
        <is>
          <t>TOTAL</t>
        </is>
      </c>
      <c r="F35" s="11">
        <f>SUM(F4:F34)</f>
        <v/>
      </c>
      <c r="G35" s="11">
        <f>SUM(G4:G34)</f>
        <v/>
      </c>
      <c r="H35" s="11">
        <f>SUM(H4:H34)</f>
        <v/>
      </c>
      <c r="I35" s="11">
        <f>SUM(I4:I34)</f>
        <v/>
      </c>
      <c r="J35" s="12">
        <f>SUM(J4:J34)</f>
        <v/>
      </c>
      <c r="K35" s="13">
        <f>SUM(K4:K34)</f>
        <v/>
      </c>
    </row>
    <row r="36">
      <c r="J36" s="14" t="inlineStr">
        <is>
          <t>Audited Drugs Count</t>
        </is>
      </c>
      <c r="K36" s="15">
        <f>COUNTIF(K4:K34,"&lt;0")</f>
        <v/>
      </c>
    </row>
    <row r="37">
      <c r="J37" s="14" t="inlineStr">
        <is>
          <t>Total Audit Exposure</t>
        </is>
      </c>
      <c r="K37" s="16">
        <f>SUMIF(K4:K34,"&lt;0",K4:K34)</f>
        <v/>
      </c>
    </row>
  </sheetData>
  <autoFilter ref="A3:K34"/>
  <mergeCells count="2">
    <mergeCell ref="A2:K2"/>
    <mergeCell ref="A1:K1"/>
  </mergeCells>
  <conditionalFormatting sqref="E4:K3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0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Hil — hh — PRIMECAPRX</t>
        </is>
      </c>
    </row>
    <row r="2" ht="24" customHeight="1">
      <c r="A2" s="2" t="inlineStr">
        <is>
          <t>Overall PRIMECAPRX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PRIMECAPRX</t>
        </is>
      </c>
      <c r="G3" s="3" t="inlineStr">
        <is>
          <t>Packages Billed to PRIMECAPRX</t>
        </is>
      </c>
      <c r="H3" s="3" t="inlineStr">
        <is>
          <t>Total Qty Purchased</t>
        </is>
      </c>
      <c r="I3" s="3" t="inlineStr">
        <is>
          <t>Qty Difference for PRIMECAPRX</t>
        </is>
      </c>
      <c r="J3" s="3" t="inlineStr">
        <is>
          <t>Actual $ Paid by PRIMECAPRX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PRIMECAPRX</t>
        </is>
      </c>
      <c r="C4" s="5" t="inlineStr">
        <is>
          <t>00597015230</t>
        </is>
      </c>
      <c r="D4" s="5" t="inlineStr">
        <is>
          <t xml:space="preserve">JARDIANCE 10MG TAB </t>
        </is>
      </c>
      <c r="E4" s="6" t="inlineStr">
        <is>
          <t>30.0</t>
        </is>
      </c>
      <c r="F4" s="7" t="n">
        <v>90</v>
      </c>
      <c r="G4" s="7" t="n">
        <v>3</v>
      </c>
      <c r="H4" s="7" t="n">
        <v>98</v>
      </c>
      <c r="I4" s="7" t="n">
        <v>95</v>
      </c>
      <c r="J4" s="8" t="n">
        <v>913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PRIMECAPRX</t>
        </is>
      </c>
      <c r="C5" s="5" t="inlineStr">
        <is>
          <t>00169418113</t>
        </is>
      </c>
      <c r="D5" s="5" t="inlineStr">
        <is>
          <t>OZEMPIC (0.25 OR 0.5 MG/DOSE) 2 MG/3ML PEN-INJECTOR</t>
        </is>
      </c>
      <c r="E5" s="6" t="inlineStr">
        <is>
          <t>3.0</t>
        </is>
      </c>
      <c r="F5" s="7" t="n">
        <v>3</v>
      </c>
      <c r="G5" s="7" t="n">
        <v>1</v>
      </c>
      <c r="H5" s="7" t="n">
        <v>69</v>
      </c>
      <c r="I5" s="7" t="n">
        <v>68</v>
      </c>
      <c r="J5" s="8" t="n">
        <v>904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PRIMECAPRX</t>
        </is>
      </c>
      <c r="C6" s="5" t="inlineStr">
        <is>
          <t>00006011231</t>
        </is>
      </c>
      <c r="D6" s="5" t="inlineStr">
        <is>
          <t>JANUVIA 50MG TABLET</t>
        </is>
      </c>
      <c r="E6" s="6" t="inlineStr">
        <is>
          <t>30.0</t>
        </is>
      </c>
      <c r="F6" s="7" t="n">
        <v>90</v>
      </c>
      <c r="G6" s="7" t="n">
        <v>3</v>
      </c>
      <c r="H6" s="7" t="n">
        <v>35</v>
      </c>
      <c r="I6" s="7" t="n">
        <v>32</v>
      </c>
      <c r="J6" s="8" t="n">
        <v>317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PRIMECAPRX</t>
        </is>
      </c>
      <c r="C7" s="5" t="inlineStr">
        <is>
          <t>99073070822</t>
        </is>
      </c>
      <c r="D7" s="5" t="inlineStr">
        <is>
          <t>FREESTYLE LITE TEST  STRIP</t>
        </is>
      </c>
      <c r="E7" s="6" t="inlineStr">
        <is>
          <t>50.0</t>
        </is>
      </c>
      <c r="F7" s="7" t="n">
        <v>100</v>
      </c>
      <c r="G7" s="7" t="n">
        <v>2</v>
      </c>
      <c r="H7" s="7" t="n">
        <v>10</v>
      </c>
      <c r="I7" s="7" t="n">
        <v>8</v>
      </c>
      <c r="J7" s="8" t="n">
        <v>134</v>
      </c>
      <c r="K7" s="9">
        <f>IFERROR(IF((ROUND((J7/G7)*I7,1))&lt;0,(ROUND((J7/G7)*I7,1)),0),0)</f>
        <v/>
      </c>
    </row>
    <row r="8">
      <c r="E8" s="10" t="inlineStr">
        <is>
          <t>TOTAL</t>
        </is>
      </c>
      <c r="F8" s="11">
        <f>SUM(F4:F7)</f>
        <v/>
      </c>
      <c r="G8" s="11">
        <f>SUM(G4:G7)</f>
        <v/>
      </c>
      <c r="H8" s="11">
        <f>SUM(H4:H7)</f>
        <v/>
      </c>
      <c r="I8" s="11">
        <f>SUM(I4:I7)</f>
        <v/>
      </c>
      <c r="J8" s="12">
        <f>SUM(J4:J7)</f>
        <v/>
      </c>
      <c r="K8" s="13">
        <f>SUM(K4:K7)</f>
        <v/>
      </c>
    </row>
    <row r="9">
      <c r="J9" s="14" t="inlineStr">
        <is>
          <t>Audited Drugs Count</t>
        </is>
      </c>
      <c r="K9" s="15">
        <f>COUNTIF(K4:K7,"&lt;0")</f>
        <v/>
      </c>
    </row>
    <row r="10">
      <c r="J10" s="14" t="inlineStr">
        <is>
          <t>Total Audit Exposure</t>
        </is>
      </c>
      <c r="K10" s="16">
        <f>SUMIF(K4:K7,"&lt;0",K4:K7)</f>
        <v/>
      </c>
    </row>
  </sheetData>
  <autoFilter ref="A3:K7"/>
  <mergeCells count="2">
    <mergeCell ref="A2:K2"/>
    <mergeCell ref="A1:K1"/>
  </mergeCells>
  <conditionalFormatting sqref="E4:K7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Hil — hh — RELAYHLTH</t>
        </is>
      </c>
    </row>
    <row r="2" ht="24" customHeight="1">
      <c r="A2" s="2" t="inlineStr">
        <is>
          <t>Overall RELAYHLTH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RELAYHLTH</t>
        </is>
      </c>
      <c r="G3" s="3" t="inlineStr">
        <is>
          <t>Packages Billed to RELAYHLTH</t>
        </is>
      </c>
      <c r="H3" s="3" t="inlineStr">
        <is>
          <t>Total Qty Purchased</t>
        </is>
      </c>
      <c r="I3" s="3" t="inlineStr">
        <is>
          <t>Qty Difference for RELAYHLTH</t>
        </is>
      </c>
      <c r="J3" s="3" t="inlineStr">
        <is>
          <t>Actual $ Paid by RELAYHLTH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RELAYHLTH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90</v>
      </c>
      <c r="G4" s="7" t="n">
        <v>3</v>
      </c>
      <c r="H4" s="7" t="n">
        <v>7</v>
      </c>
      <c r="I4" s="7" t="n">
        <v>4</v>
      </c>
      <c r="J4" s="8" t="n">
        <v>12608</v>
      </c>
      <c r="K4" s="9">
        <f>IFERROR(IF((ROUND((J4/G4)*I4,1))&lt;0,(ROUND((J4/G4)*I4,1)),0),0)</f>
        <v/>
      </c>
    </row>
    <row r="5">
      <c r="E5" s="10" t="inlineStr">
        <is>
          <t>TOTAL</t>
        </is>
      </c>
      <c r="F5" s="11">
        <f>SUM(F4:F4)</f>
        <v/>
      </c>
      <c r="G5" s="11">
        <f>SUM(G4:G4)</f>
        <v/>
      </c>
      <c r="H5" s="11">
        <f>SUM(H4:H4)</f>
        <v/>
      </c>
      <c r="I5" s="11">
        <f>SUM(I4:I4)</f>
        <v/>
      </c>
      <c r="J5" s="12">
        <f>SUM(J4:J4)</f>
        <v/>
      </c>
      <c r="K5" s="13">
        <f>SUM(K4:K4)</f>
        <v/>
      </c>
    </row>
    <row r="6">
      <c r="J6" s="14" t="inlineStr">
        <is>
          <t>Audited Drugs Count</t>
        </is>
      </c>
      <c r="K6" s="15">
        <f>COUNTIF(K4:K4,"&lt;0")</f>
        <v/>
      </c>
    </row>
    <row r="7">
      <c r="J7" s="14" t="inlineStr">
        <is>
          <t>Total Audit Exposure</t>
        </is>
      </c>
      <c r="K7" s="16">
        <f>SUMIF(K4:K4,"&lt;0",K4:K4)</f>
        <v/>
      </c>
    </row>
  </sheetData>
  <autoFilter ref="A3:K4"/>
  <mergeCells count="2">
    <mergeCell ref="A2:K2"/>
    <mergeCell ref="A1:K1"/>
  </mergeCells>
  <conditionalFormatting sqref="E4:K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2026-03-26T18:59:22Z</dcterms:created>
  <dcterms:modified xsi:type="dcterms:W3CDTF">2026-03-26T18:59:22Z</dcterms:modified>
</cp:coreProperties>
</file>