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NVISIONRX" sheetId="5" state="visible" r:id="rId5"/>
    <sheet name="ESI" sheetId="6" state="visible" r:id="rId6"/>
    <sheet name="MEDIMP" sheetId="7" state="visible" r:id="rId7"/>
    <sheet name="NAVITUS" sheetId="8" state="visible" r:id="rId8"/>
    <sheet name="NYM" sheetId="9" state="visible" r:id="rId9"/>
    <sheet name="OPTUM" sheetId="10" state="visible" r:id="rId10"/>
    <sheet name="PRIME THER" sheetId="11" state="visible" r:id="rId11"/>
    <sheet name="PRIMECAPRX" sheetId="12" state="visible" r:id="rId12"/>
    <sheet name="TREDIUM" sheetId="13" state="visible" r:id="rId13"/>
  </sheets>
  <definedNames>
    <definedName name="_xlnm._FilterDatabase" localSheetId="0" hidden="1">'ADAP'!$A$3:$K$4</definedName>
    <definedName name="_xlnm._FilterDatabase" localSheetId="1" hidden="1">'ALL_PBM'!$A$3:$K$830</definedName>
    <definedName name="_xlnm._FilterDatabase" localSheetId="2" hidden="1">'ARG_HUM'!$A$3:$K$11</definedName>
    <definedName name="_xlnm._FilterDatabase" localSheetId="3" hidden="1">'CVS'!$A$3:$K$565</definedName>
    <definedName name="_xlnm._FilterDatabase" localSheetId="4" hidden="1">'ENVISIONRX'!$A$3:$K$6</definedName>
    <definedName name="_xlnm._FilterDatabase" localSheetId="5" hidden="1">'ESI'!$A$3:$K$184</definedName>
    <definedName name="_xlnm._FilterDatabase" localSheetId="6" hidden="1">'MEDIMP'!$A$3:$K$87</definedName>
    <definedName name="_xlnm._FilterDatabase" localSheetId="7" hidden="1">'NAVITUS'!$A$3:$K$4</definedName>
    <definedName name="_xlnm._FilterDatabase" localSheetId="8" hidden="1">'NYM'!$A$3:$K$478</definedName>
    <definedName name="_xlnm._FilterDatabase" localSheetId="9" hidden="1">'OPTUM'!$A$3:$K$77</definedName>
    <definedName name="_xlnm._FilterDatabase" localSheetId="11" hidden="1">'PRIMECAPRX'!$A$3:$K$27</definedName>
    <definedName name="_xlnm._FilterDatabase" localSheetId="12" hidden="1">'TREDIUM'!$A$3:$K$5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1</v>
      </c>
      <c r="I4" s="7" t="n">
        <v>0</v>
      </c>
      <c r="J4" s="8" t="n">
        <v>4203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3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126</v>
      </c>
      <c r="G4" s="7" t="n">
        <v>42</v>
      </c>
      <c r="H4" s="7" t="n">
        <v>30</v>
      </c>
      <c r="I4" s="7" t="n">
        <v>-12</v>
      </c>
      <c r="J4" s="8" t="n">
        <v>40816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81</v>
      </c>
      <c r="G5" s="7" t="n">
        <v>27</v>
      </c>
      <c r="H5" s="7" t="n">
        <v>34</v>
      </c>
      <c r="I5" s="7" t="n">
        <v>7</v>
      </c>
      <c r="J5" s="8" t="n">
        <v>26206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2400</v>
      </c>
      <c r="G6" s="7" t="n">
        <v>40</v>
      </c>
      <c r="H6" s="7" t="n">
        <v>16</v>
      </c>
      <c r="I6" s="7" t="n">
        <v>-24</v>
      </c>
      <c r="J6" s="8" t="n">
        <v>24475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24208037705</t>
        </is>
      </c>
      <c r="D7" s="5" t="inlineStr">
        <is>
          <t>MIEBO 1.338 GM/ML OPHTHALMIC SOLUTION</t>
        </is>
      </c>
      <c r="E7" s="6" t="inlineStr">
        <is>
          <t>3.0</t>
        </is>
      </c>
      <c r="F7" s="7" t="n">
        <v>84</v>
      </c>
      <c r="G7" s="7" t="n">
        <v>28</v>
      </c>
      <c r="H7" s="7" t="n">
        <v>24</v>
      </c>
      <c r="I7" s="7" t="n">
        <v>-4</v>
      </c>
      <c r="J7" s="8" t="n">
        <v>21895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24208091112</t>
        </is>
      </c>
      <c r="D8" s="5" t="inlineStr">
        <is>
          <t>XIIDRA 5 % OPHTHALMIC SOLUTION</t>
        </is>
      </c>
      <c r="E8" s="6" t="inlineStr">
        <is>
          <t>60.0</t>
        </is>
      </c>
      <c r="F8" s="7" t="n">
        <v>1620</v>
      </c>
      <c r="G8" s="7" t="n">
        <v>27</v>
      </c>
      <c r="H8" s="7" t="n">
        <v>0</v>
      </c>
      <c r="I8" s="7" t="n">
        <v>-27</v>
      </c>
      <c r="J8" s="8" t="n">
        <v>18864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00169477212</t>
        </is>
      </c>
      <c r="D9" s="5" t="inlineStr">
        <is>
          <t>OZEMPIC (2 MG/DOSE) 8 MG/3ML PEN-INJECTOR</t>
        </is>
      </c>
      <c r="E9" s="6" t="inlineStr">
        <is>
          <t>3.0</t>
        </is>
      </c>
      <c r="F9" s="7" t="n">
        <v>48</v>
      </c>
      <c r="G9" s="7" t="n">
        <v>16</v>
      </c>
      <c r="H9" s="7" t="n">
        <v>7</v>
      </c>
      <c r="I9" s="7" t="n">
        <v>-9</v>
      </c>
      <c r="J9" s="8" t="n">
        <v>15432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00002148480</t>
        </is>
      </c>
      <c r="D10" s="5" t="inlineStr">
        <is>
          <t>MOUNJARO 7.5 MG/0.5ML PEN-INJECTOR</t>
        </is>
      </c>
      <c r="E10" s="6" t="inlineStr">
        <is>
          <t>2.0</t>
        </is>
      </c>
      <c r="F10" s="7" t="n">
        <v>28</v>
      </c>
      <c r="G10" s="7" t="n">
        <v>14</v>
      </c>
      <c r="H10" s="7" t="n">
        <v>11</v>
      </c>
      <c r="I10" s="7" t="n">
        <v>-3</v>
      </c>
      <c r="J10" s="8" t="n">
        <v>14694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24</v>
      </c>
      <c r="G11" s="7" t="n">
        <v>12</v>
      </c>
      <c r="H11" s="7" t="n">
        <v>9</v>
      </c>
      <c r="I11" s="7" t="n">
        <v>-3</v>
      </c>
      <c r="J11" s="8" t="n">
        <v>12560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50419054001</t>
        </is>
      </c>
      <c r="D12" s="5" t="inlineStr">
        <is>
          <t>KERENDIA 10 MG TABLET</t>
        </is>
      </c>
      <c r="E12" s="6" t="inlineStr">
        <is>
          <t>30.0</t>
        </is>
      </c>
      <c r="F12" s="7" t="n">
        <v>540</v>
      </c>
      <c r="G12" s="7" t="n">
        <v>18</v>
      </c>
      <c r="H12" s="7" t="n">
        <v>0</v>
      </c>
      <c r="I12" s="7" t="n">
        <v>-18</v>
      </c>
      <c r="J12" s="8" t="n">
        <v>12199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00597015330</t>
        </is>
      </c>
      <c r="D13" s="5" t="inlineStr">
        <is>
          <t xml:space="preserve">JARDIANCE 25MG TAB </t>
        </is>
      </c>
      <c r="E13" s="6" t="inlineStr">
        <is>
          <t>30.0</t>
        </is>
      </c>
      <c r="F13" s="7" t="n">
        <v>1380</v>
      </c>
      <c r="G13" s="7" t="n">
        <v>46</v>
      </c>
      <c r="H13" s="7" t="n">
        <v>36</v>
      </c>
      <c r="I13" s="7" t="n">
        <v>-10</v>
      </c>
      <c r="J13" s="8" t="n">
        <v>10983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2460</v>
      </c>
      <c r="G14" s="7" t="n">
        <v>41</v>
      </c>
      <c r="H14" s="7" t="n">
        <v>21</v>
      </c>
      <c r="I14" s="7" t="n">
        <v>-20</v>
      </c>
      <c r="J14" s="8" t="n">
        <v>10606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00597015230</t>
        </is>
      </c>
      <c r="D15" s="5" t="inlineStr">
        <is>
          <t xml:space="preserve">JARDIANCE 10MG TAB </t>
        </is>
      </c>
      <c r="E15" s="6" t="inlineStr">
        <is>
          <t>30.0</t>
        </is>
      </c>
      <c r="F15" s="7" t="n">
        <v>1110</v>
      </c>
      <c r="G15" s="7" t="n">
        <v>37</v>
      </c>
      <c r="H15" s="7" t="n">
        <v>38</v>
      </c>
      <c r="I15" s="7" t="n">
        <v>1</v>
      </c>
      <c r="J15" s="8" t="n">
        <v>9412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59676080030</t>
        </is>
      </c>
      <c r="D16" s="5" t="inlineStr">
        <is>
          <t>SYMTUZA 800-150-200-10MG TABLET</t>
        </is>
      </c>
      <c r="E16" s="6" t="inlineStr">
        <is>
          <t>30.0</t>
        </is>
      </c>
      <c r="F16" s="7" t="n">
        <v>60</v>
      </c>
      <c r="G16" s="7" t="n">
        <v>2</v>
      </c>
      <c r="H16" s="7" t="n">
        <v>1</v>
      </c>
      <c r="I16" s="7" t="n">
        <v>-1</v>
      </c>
      <c r="J16" s="8" t="n">
        <v>8977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61958250101</t>
        </is>
      </c>
      <c r="D17" s="5" t="inlineStr">
        <is>
          <t>BIKTARVY 50-200-25MG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1</v>
      </c>
      <c r="I17" s="7" t="n">
        <v>-1</v>
      </c>
      <c r="J17" s="8" t="n">
        <v>8200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72618300002</t>
        </is>
      </c>
      <c r="D18" s="5" t="inlineStr">
        <is>
          <t>NURTEC 75MG TABLET DISINTEGRATING</t>
        </is>
      </c>
      <c r="E18" s="6" t="inlineStr">
        <is>
          <t>8.0</t>
        </is>
      </c>
      <c r="F18" s="7" t="n">
        <v>64</v>
      </c>
      <c r="G18" s="7" t="n">
        <v>8</v>
      </c>
      <c r="H18" s="7" t="n">
        <v>4</v>
      </c>
      <c r="I18" s="7" t="n">
        <v>-4</v>
      </c>
      <c r="J18" s="8" t="n">
        <v>8185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00193731150</t>
        </is>
      </c>
      <c r="D19" s="5" t="inlineStr">
        <is>
          <t>CONTOUR NEXT TEST  STRIPS</t>
        </is>
      </c>
      <c r="E19" s="6" t="inlineStr">
        <is>
          <t>50.0</t>
        </is>
      </c>
      <c r="F19" s="7" t="n">
        <v>7650</v>
      </c>
      <c r="G19" s="7" t="n">
        <v>153</v>
      </c>
      <c r="H19" s="7" t="n">
        <v>0</v>
      </c>
      <c r="I19" s="7" t="n">
        <v>-153</v>
      </c>
      <c r="J19" s="8" t="n">
        <v>8004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00002143380</t>
        </is>
      </c>
      <c r="D20" s="5" t="inlineStr">
        <is>
          <t>TRULICITY 0.75MG/0.5ML INJECTION</t>
        </is>
      </c>
      <c r="E20" s="6" t="inlineStr">
        <is>
          <t>2.0</t>
        </is>
      </c>
      <c r="F20" s="7" t="n">
        <v>16</v>
      </c>
      <c r="G20" s="7" t="n">
        <v>8</v>
      </c>
      <c r="H20" s="7" t="n">
        <v>0</v>
      </c>
      <c r="I20" s="7" t="n">
        <v>-8</v>
      </c>
      <c r="J20" s="8" t="n">
        <v>7744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00169431430</t>
        </is>
      </c>
      <c r="D21" s="5" t="inlineStr">
        <is>
          <t>RYBELSUS 14MG TABLET</t>
        </is>
      </c>
      <c r="E21" s="6" t="inlineStr">
        <is>
          <t>30.0</t>
        </is>
      </c>
      <c r="F21" s="7" t="n">
        <v>240</v>
      </c>
      <c r="G21" s="7" t="n">
        <v>8</v>
      </c>
      <c r="H21" s="7" t="n">
        <v>3</v>
      </c>
      <c r="I21" s="7" t="n">
        <v>-5</v>
      </c>
      <c r="J21" s="8" t="n">
        <v>7652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00002146080</t>
        </is>
      </c>
      <c r="D22" s="5" t="inlineStr">
        <is>
          <t>MOUNJARO 12.5 MG/0.5ML PEN-INJECTOR</t>
        </is>
      </c>
      <c r="E22" s="6" t="inlineStr">
        <is>
          <t>2.0</t>
        </is>
      </c>
      <c r="F22" s="7" t="n">
        <v>14</v>
      </c>
      <c r="G22" s="7" t="n">
        <v>7</v>
      </c>
      <c r="H22" s="7" t="n">
        <v>6</v>
      </c>
      <c r="I22" s="7" t="n">
        <v>-1</v>
      </c>
      <c r="J22" s="8" t="n">
        <v>7388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49702024213</t>
        </is>
      </c>
      <c r="D23" s="5" t="inlineStr">
        <is>
          <t>JULUCA 50-25MG TABLET</t>
        </is>
      </c>
      <c r="E23" s="6" t="inlineStr">
        <is>
          <t>30.0</t>
        </is>
      </c>
      <c r="F23" s="7" t="n">
        <v>60</v>
      </c>
      <c r="G23" s="7" t="n">
        <v>2</v>
      </c>
      <c r="H23" s="7" t="n">
        <v>2</v>
      </c>
      <c r="I23" s="7" t="n">
        <v>0</v>
      </c>
      <c r="J23" s="8" t="n">
        <v>7271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00169430730</t>
        </is>
      </c>
      <c r="D24" s="5" t="inlineStr">
        <is>
          <t>RYBELSUS 7MG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4</v>
      </c>
      <c r="I24" s="7" t="n">
        <v>-3</v>
      </c>
      <c r="J24" s="8" t="n">
        <v>6775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00456120230</t>
        </is>
      </c>
      <c r="D25" s="5" t="inlineStr">
        <is>
          <t xml:space="preserve">LINZESS 290MCG CAP </t>
        </is>
      </c>
      <c r="E25" s="6" t="inlineStr">
        <is>
          <t>30.0</t>
        </is>
      </c>
      <c r="F25" s="7" t="n">
        <v>720</v>
      </c>
      <c r="G25" s="7" t="n">
        <v>24</v>
      </c>
      <c r="H25" s="7" t="n">
        <v>14</v>
      </c>
      <c r="I25" s="7" t="n">
        <v>-10</v>
      </c>
      <c r="J25" s="8" t="n">
        <v>6442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00310461612</t>
        </is>
      </c>
      <c r="D26" s="5" t="inlineStr">
        <is>
          <t>BREZTRI AEROSPHERE 160-9-4.8 MCG/ACT INHALATION AEROSOL</t>
        </is>
      </c>
      <c r="E26" s="6" t="inlineStr">
        <is>
          <t>10.7</t>
        </is>
      </c>
      <c r="F26" s="7" t="n">
        <v>96.29998000000001</v>
      </c>
      <c r="G26" s="7" t="n">
        <v>8.999998130841123</v>
      </c>
      <c r="H26" s="7" t="n">
        <v>5</v>
      </c>
      <c r="I26" s="7" t="n">
        <v>-3.999998130841123</v>
      </c>
      <c r="J26" s="8" t="n">
        <v>5838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1020</v>
      </c>
      <c r="G27" s="7" t="n">
        <v>34</v>
      </c>
      <c r="H27" s="7" t="n">
        <v>25</v>
      </c>
      <c r="I27" s="7" t="n">
        <v>-9</v>
      </c>
      <c r="J27" s="8" t="n">
        <v>5798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1020</v>
      </c>
      <c r="G28" s="7" t="n">
        <v>17</v>
      </c>
      <c r="H28" s="7" t="n">
        <v>0</v>
      </c>
      <c r="I28" s="7" t="n">
        <v>-17</v>
      </c>
      <c r="J28" s="8" t="n">
        <v>5294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00173089310</t>
        </is>
      </c>
      <c r="D29" s="5" t="inlineStr">
        <is>
          <t>TRELEGY ELLIPTA 200-62.5-25 MCG/ACT INHALATION AER</t>
        </is>
      </c>
      <c r="E29" s="6" t="inlineStr">
        <is>
          <t>60.0</t>
        </is>
      </c>
      <c r="F29" s="7" t="n">
        <v>480</v>
      </c>
      <c r="G29" s="7" t="n">
        <v>8</v>
      </c>
      <c r="H29" s="7" t="n">
        <v>3</v>
      </c>
      <c r="I29" s="7" t="n">
        <v>-5</v>
      </c>
      <c r="J29" s="8" t="n">
        <v>5211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66993045730</t>
        </is>
      </c>
      <c r="D30" s="5" t="inlineStr">
        <is>
          <t>DAPAGLIFLOZIN PROPANEDIOL 10MG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25</v>
      </c>
      <c r="I30" s="7" t="n">
        <v>-2</v>
      </c>
      <c r="J30" s="8" t="n">
        <v>4909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00002143480</t>
        </is>
      </c>
      <c r="D31" s="5" t="inlineStr">
        <is>
          <t>TRULICITY 1.5MG/0.5ML INJECTION</t>
        </is>
      </c>
      <c r="E31" s="6" t="inlineStr">
        <is>
          <t>2.0</t>
        </is>
      </c>
      <c r="F31" s="7" t="n">
        <v>10</v>
      </c>
      <c r="G31" s="7" t="n">
        <v>5</v>
      </c>
      <c r="H31" s="7" t="n">
        <v>4</v>
      </c>
      <c r="I31" s="7" t="n">
        <v>-1</v>
      </c>
      <c r="J31" s="8" t="n">
        <v>4879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00169430330</t>
        </is>
      </c>
      <c r="D32" s="5" t="inlineStr">
        <is>
          <t>RYBELSUS 3MG TABLET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3</v>
      </c>
      <c r="I32" s="7" t="n">
        <v>-2</v>
      </c>
      <c r="J32" s="8" t="n">
        <v>4837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00023320508</t>
        </is>
      </c>
      <c r="D33" s="5" t="inlineStr">
        <is>
          <t>LUMIGAN 0.01% SOLUTION</t>
        </is>
      </c>
      <c r="E33" s="6" t="inlineStr">
        <is>
          <t>7.5</t>
        </is>
      </c>
      <c r="F33" s="7" t="n">
        <v>45</v>
      </c>
      <c r="G33" s="7" t="n">
        <v>6</v>
      </c>
      <c r="H33" s="7" t="n">
        <v>1</v>
      </c>
      <c r="I33" s="7" t="n">
        <v>-5</v>
      </c>
      <c r="J33" s="8" t="n">
        <v>4613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61874011530</t>
        </is>
      </c>
      <c r="D34" s="5" t="inlineStr">
        <is>
          <t>VRAYLAR 1.5MG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3</v>
      </c>
      <c r="I34" s="7" t="n">
        <v>0</v>
      </c>
      <c r="J34" s="8" t="n">
        <v>4590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73154005060</t>
        </is>
      </c>
      <c r="D35" s="5" t="inlineStr">
        <is>
          <t>IBSRELA 50 MG ORAL TABLET</t>
        </is>
      </c>
      <c r="E35" s="6" t="inlineStr">
        <is>
          <t>60.0</t>
        </is>
      </c>
      <c r="F35" s="7" t="n">
        <v>120</v>
      </c>
      <c r="G35" s="7" t="n">
        <v>2</v>
      </c>
      <c r="H35" s="7" t="n">
        <v>0</v>
      </c>
      <c r="I35" s="7" t="n">
        <v>-2</v>
      </c>
      <c r="J35" s="8" t="n">
        <v>3931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72511039302</t>
        </is>
      </c>
      <c r="D36" s="5" t="inlineStr">
        <is>
          <t>REPATHA SURECLICK 140 MG/ML SUBCUTANEOUS SOLUTION AUTO-INJECTOR</t>
        </is>
      </c>
      <c r="E36" s="6" t="inlineStr">
        <is>
          <t>2.0</t>
        </is>
      </c>
      <c r="F36" s="7" t="n">
        <v>14</v>
      </c>
      <c r="G36" s="7" t="n">
        <v>7</v>
      </c>
      <c r="H36" s="7" t="n">
        <v>7</v>
      </c>
      <c r="I36" s="7" t="n">
        <v>0</v>
      </c>
      <c r="J36" s="8" t="n">
        <v>3819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8</v>
      </c>
      <c r="G37" s="7" t="n">
        <v>4</v>
      </c>
      <c r="H37" s="7" t="n">
        <v>7</v>
      </c>
      <c r="I37" s="7" t="n">
        <v>3</v>
      </c>
      <c r="J37" s="8" t="n">
        <v>3785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72252051005</t>
        </is>
      </c>
      <c r="D38" s="5" t="inlineStr">
        <is>
          <t>VALTOCO 10 MG DOSE 10 MG/0.1ML NASAL LIQUID</t>
        </is>
      </c>
      <c r="E38" s="6" t="inlineStr">
        <is>
          <t>5.0</t>
        </is>
      </c>
      <c r="F38" s="7" t="n">
        <v>10</v>
      </c>
      <c r="G38" s="7" t="n">
        <v>2</v>
      </c>
      <c r="H38" s="7" t="n">
        <v>2</v>
      </c>
      <c r="I38" s="7" t="n">
        <v>0</v>
      </c>
      <c r="J38" s="8" t="n">
        <v>3670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00469260230</t>
        </is>
      </c>
      <c r="D39" s="5" t="inlineStr">
        <is>
          <t>MYRBETRIQ 50MG TABLET</t>
        </is>
      </c>
      <c r="E39" s="6" t="inlineStr">
        <is>
          <t>30.0</t>
        </is>
      </c>
      <c r="F39" s="7" t="n">
        <v>240</v>
      </c>
      <c r="G39" s="7" t="n">
        <v>8</v>
      </c>
      <c r="H39" s="7" t="n">
        <v>3</v>
      </c>
      <c r="I39" s="7" t="n">
        <v>-5</v>
      </c>
      <c r="J39" s="8" t="n">
        <v>3556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65649030302</t>
        </is>
      </c>
      <c r="D40" s="5" t="inlineStr">
        <is>
          <t>XIFAXAN 550MG TABLET</t>
        </is>
      </c>
      <c r="E40" s="6" t="inlineStr">
        <is>
          <t>60.0</t>
        </is>
      </c>
      <c r="F40" s="7" t="n">
        <v>60</v>
      </c>
      <c r="G40" s="7" t="n">
        <v>1</v>
      </c>
      <c r="H40" s="7" t="n">
        <v>1</v>
      </c>
      <c r="I40" s="7" t="n">
        <v>0</v>
      </c>
      <c r="J40" s="8" t="n">
        <v>3549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00456120130</t>
        </is>
      </c>
      <c r="D41" s="5" t="inlineStr">
        <is>
          <t>LINZESS 145MCG CAPSULE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20</v>
      </c>
      <c r="I41" s="7" t="n">
        <v>7</v>
      </c>
      <c r="J41" s="8" t="n">
        <v>3450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00310111030</t>
        </is>
      </c>
      <c r="D42" s="5" t="inlineStr">
        <is>
          <t>LOKELMA 10GM PACK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0</v>
      </c>
      <c r="I42" s="7" t="n">
        <v>-4</v>
      </c>
      <c r="J42" s="8" t="n">
        <v>3427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73336007530</t>
        </is>
      </c>
      <c r="D43" s="5" t="inlineStr">
        <is>
          <t>GEMTESA 75MG TABLET</t>
        </is>
      </c>
      <c r="E43" s="6" t="inlineStr">
        <is>
          <t>30.0</t>
        </is>
      </c>
      <c r="F43" s="7" t="n">
        <v>210</v>
      </c>
      <c r="G43" s="7" t="n">
        <v>7</v>
      </c>
      <c r="H43" s="7" t="n">
        <v>7</v>
      </c>
      <c r="I43" s="7" t="n">
        <v>0</v>
      </c>
      <c r="J43" s="8" t="n">
        <v>3391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00310628030</t>
        </is>
      </c>
      <c r="D44" s="5" t="inlineStr">
        <is>
          <t>XIGDUO XR 10-1000MG TABLET</t>
        </is>
      </c>
      <c r="E44" s="6" t="inlineStr">
        <is>
          <t>30.0</t>
        </is>
      </c>
      <c r="F44" s="7" t="n">
        <v>180</v>
      </c>
      <c r="G44" s="7" t="n">
        <v>6</v>
      </c>
      <c r="H44" s="7" t="n">
        <v>5</v>
      </c>
      <c r="I44" s="7" t="n">
        <v>-1</v>
      </c>
      <c r="J44" s="8" t="n">
        <v>3367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00032301613</t>
        </is>
      </c>
      <c r="D45" s="5" t="inlineStr">
        <is>
          <t>CREON 36000UNIT CAPSULE</t>
        </is>
      </c>
      <c r="E45" s="6" t="inlineStr">
        <is>
          <t>100.0</t>
        </is>
      </c>
      <c r="F45" s="7" t="n">
        <v>270</v>
      </c>
      <c r="G45" s="7" t="n">
        <v>2.7</v>
      </c>
      <c r="H45" s="7" t="n">
        <v>0</v>
      </c>
      <c r="I45" s="7" t="n">
        <v>-2.7</v>
      </c>
      <c r="J45" s="8" t="n">
        <v>3348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00002246080</t>
        </is>
      </c>
      <c r="D46" s="5" t="inlineStr">
        <is>
          <t>ZEPBOUND 12.5 MG/0.5ML AUTO-INJECTOR</t>
        </is>
      </c>
      <c r="E46" s="6" t="inlineStr">
        <is>
          <t>2.0</t>
        </is>
      </c>
      <c r="F46" s="7" t="n">
        <v>6</v>
      </c>
      <c r="G46" s="7" t="n">
        <v>3</v>
      </c>
      <c r="H46" s="7" t="n">
        <v>2</v>
      </c>
      <c r="I46" s="7" t="n">
        <v>-1</v>
      </c>
      <c r="J46" s="8" t="n">
        <v>3282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6</v>
      </c>
      <c r="G47" s="7" t="n">
        <v>3</v>
      </c>
      <c r="H47" s="7" t="n">
        <v>4</v>
      </c>
      <c r="I47" s="7" t="n">
        <v>1</v>
      </c>
      <c r="J47" s="8" t="n">
        <v>3210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00187540008</t>
        </is>
      </c>
      <c r="D48" s="5" t="inlineStr">
        <is>
          <t>JUBLIA 10 % EXTERNAL SOLUTION</t>
        </is>
      </c>
      <c r="E48" s="6" t="inlineStr">
        <is>
          <t>8.0</t>
        </is>
      </c>
      <c r="F48" s="7" t="n">
        <v>16</v>
      </c>
      <c r="G48" s="7" t="n">
        <v>2</v>
      </c>
      <c r="H48" s="7" t="n">
        <v>0</v>
      </c>
      <c r="I48" s="7" t="n">
        <v>-2</v>
      </c>
      <c r="J48" s="8" t="n">
        <v>3195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49702024613</t>
        </is>
      </c>
      <c r="D49" s="5" t="inlineStr">
        <is>
          <t>DOVATO 50-300 MG ORAL TABLET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1</v>
      </c>
      <c r="I49" s="7" t="n">
        <v>0</v>
      </c>
      <c r="J49" s="8" t="n">
        <v>3093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59148003713</t>
        </is>
      </c>
      <c r="D50" s="5" t="inlineStr">
        <is>
          <t>REXULTI 1MG TABLET</t>
        </is>
      </c>
      <c r="E50" s="6" t="inlineStr">
        <is>
          <t>30.0</t>
        </is>
      </c>
      <c r="F50" s="7" t="n">
        <v>60</v>
      </c>
      <c r="G50" s="7" t="n">
        <v>2</v>
      </c>
      <c r="H50" s="7" t="n">
        <v>0</v>
      </c>
      <c r="I50" s="7" t="n">
        <v>-2</v>
      </c>
      <c r="J50" s="8" t="n">
        <v>2979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50458057930</t>
        </is>
      </c>
      <c r="D51" s="5" t="inlineStr">
        <is>
          <t>XARELTO 20MG TAB</t>
        </is>
      </c>
      <c r="E51" s="6" t="inlineStr">
        <is>
          <t>30.0</t>
        </is>
      </c>
      <c r="F51" s="7" t="n">
        <v>270</v>
      </c>
      <c r="G51" s="7" t="n">
        <v>9</v>
      </c>
      <c r="H51" s="7" t="n">
        <v>9</v>
      </c>
      <c r="I51" s="7" t="n">
        <v>0</v>
      </c>
      <c r="J51" s="8" t="n">
        <v>2834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00002318280</t>
        </is>
      </c>
      <c r="D52" s="5" t="inlineStr">
        <is>
          <t>TRULICITY 4.5 MG/0.5ML SOLUTION</t>
        </is>
      </c>
      <c r="E52" s="6" t="inlineStr">
        <is>
          <t>2.0</t>
        </is>
      </c>
      <c r="F52" s="7" t="n">
        <v>6</v>
      </c>
      <c r="G52" s="7" t="n">
        <v>3</v>
      </c>
      <c r="H52" s="7" t="n">
        <v>3</v>
      </c>
      <c r="I52" s="7" t="n">
        <v>0</v>
      </c>
      <c r="J52" s="8" t="n">
        <v>2827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64.2</v>
      </c>
      <c r="G53" s="7" t="n">
        <v>6.000000000000001</v>
      </c>
      <c r="H53" s="7" t="n">
        <v>3</v>
      </c>
      <c r="I53" s="7" t="n">
        <v>-3.000000000000001</v>
      </c>
      <c r="J53" s="8" t="n">
        <v>2810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52937000120</t>
        </is>
      </c>
      <c r="D54" s="5" t="inlineStr">
        <is>
          <t>VASCEPA 1GM CAPSULE</t>
        </is>
      </c>
      <c r="E54" s="6" t="inlineStr">
        <is>
          <t>120.0</t>
        </is>
      </c>
      <c r="F54" s="7" t="n">
        <v>990</v>
      </c>
      <c r="G54" s="7" t="n">
        <v>8.25</v>
      </c>
      <c r="H54" s="7" t="n">
        <v>10</v>
      </c>
      <c r="I54" s="7" t="n">
        <v>1.75</v>
      </c>
      <c r="J54" s="8" t="n">
        <v>2752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00088221905</t>
        </is>
      </c>
      <c r="D55" s="5" t="inlineStr">
        <is>
          <t>LANTUS SOLOSTAR 100UNIT/ML INJECTION</t>
        </is>
      </c>
      <c r="E55" s="6" t="inlineStr">
        <is>
          <t>15.0</t>
        </is>
      </c>
      <c r="F55" s="7" t="n">
        <v>435</v>
      </c>
      <c r="G55" s="7" t="n">
        <v>29</v>
      </c>
      <c r="H55" s="7" t="n">
        <v>27</v>
      </c>
      <c r="I55" s="7" t="n">
        <v>-2</v>
      </c>
      <c r="J55" s="8" t="n">
        <v>2644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00173088710</t>
        </is>
      </c>
      <c r="D56" s="5" t="inlineStr">
        <is>
          <t>TRELEGY ELLIPTA 100-62.5-25MCG/INH AEROSOL</t>
        </is>
      </c>
      <c r="E56" s="6" t="inlineStr">
        <is>
          <t>60.0</t>
        </is>
      </c>
      <c r="F56" s="7" t="n">
        <v>240</v>
      </c>
      <c r="G56" s="7" t="n">
        <v>4</v>
      </c>
      <c r="H56" s="7" t="n">
        <v>4</v>
      </c>
      <c r="I56" s="7" t="n">
        <v>0</v>
      </c>
      <c r="J56" s="8" t="n">
        <v>2535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00169451714</t>
        </is>
      </c>
      <c r="D57" s="5" t="inlineStr">
        <is>
          <t>WEGOVY 1.7 MG/0.75ML AUTO-INJECTOR</t>
        </is>
      </c>
      <c r="E57" s="6" t="inlineStr">
        <is>
          <t>3.0</t>
        </is>
      </c>
      <c r="F57" s="7" t="n">
        <v>6</v>
      </c>
      <c r="G57" s="7" t="n">
        <v>2</v>
      </c>
      <c r="H57" s="7" t="n">
        <v>1</v>
      </c>
      <c r="I57" s="7" t="n">
        <v>-1</v>
      </c>
      <c r="J57" s="8" t="n">
        <v>2520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50242014301</t>
        </is>
      </c>
      <c r="D58" s="5" t="inlineStr">
        <is>
          <t>ACTEMRA ACTPEN 162 MG/0.9ML SUBCUTANEOUS SOLUTION AUTO-INJECTOR</t>
        </is>
      </c>
      <c r="E58" s="6" t="inlineStr">
        <is>
          <t>0.9</t>
        </is>
      </c>
      <c r="F58" s="7" t="n">
        <v>1.8</v>
      </c>
      <c r="G58" s="7" t="n">
        <v>2</v>
      </c>
      <c r="H58" s="7" t="n">
        <v>0</v>
      </c>
      <c r="I58" s="7" t="n">
        <v>-2</v>
      </c>
      <c r="J58" s="8" t="n">
        <v>2312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00173085910</t>
        </is>
      </c>
      <c r="D59" s="5" t="inlineStr">
        <is>
          <t>BREO ELLIPTA 100-25 MCG/ACT INH AEROSOL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4</v>
      </c>
      <c r="I59" s="7" t="n">
        <v>-2</v>
      </c>
      <c r="J59" s="8" t="n">
        <v>2278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00002150680</t>
        </is>
      </c>
      <c r="D60" s="5" t="inlineStr">
        <is>
          <t>MOUNJARO 2.5 MG/0.5ML PEN-INJECTOR</t>
        </is>
      </c>
      <c r="E60" s="6" t="inlineStr">
        <is>
          <t>2.0</t>
        </is>
      </c>
      <c r="F60" s="7" t="n">
        <v>4</v>
      </c>
      <c r="G60" s="7" t="n">
        <v>2</v>
      </c>
      <c r="H60" s="7" t="n">
        <v>1</v>
      </c>
      <c r="I60" s="7" t="n">
        <v>-1</v>
      </c>
      <c r="J60" s="8" t="n">
        <v>2173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00310737020</t>
        </is>
      </c>
      <c r="D61" s="5" t="inlineStr">
        <is>
          <t>BUDESONIDE/FORMOTEROL 160 /4.5 MCG (SYMBICORT)</t>
        </is>
      </c>
      <c r="E61" s="6" t="inlineStr">
        <is>
          <t>10.2</t>
        </is>
      </c>
      <c r="F61" s="7" t="n">
        <v>112.2</v>
      </c>
      <c r="G61" s="7" t="n">
        <v>11</v>
      </c>
      <c r="H61" s="7" t="n">
        <v>2</v>
      </c>
      <c r="I61" s="7" t="n">
        <v>-9.000000000000002</v>
      </c>
      <c r="J61" s="8" t="n">
        <v>2143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00023649810</t>
        </is>
      </c>
      <c r="D62" s="5" t="inlineStr">
        <is>
          <t>UBRELVY 50 MG ORAL TABLET</t>
        </is>
      </c>
      <c r="E62" s="6" t="inlineStr">
        <is>
          <t>10.0</t>
        </is>
      </c>
      <c r="F62" s="7" t="n">
        <v>20</v>
      </c>
      <c r="G62" s="7" t="n">
        <v>2</v>
      </c>
      <c r="H62" s="7" t="n">
        <v>2</v>
      </c>
      <c r="I62" s="7" t="n">
        <v>0</v>
      </c>
      <c r="J62" s="8" t="n">
        <v>2137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00002147180</t>
        </is>
      </c>
      <c r="D63" s="5" t="inlineStr">
        <is>
          <t>MOUNJARO 10 MG/0.5ML PEN-INJECTOR</t>
        </is>
      </c>
      <c r="E63" s="6" t="inlineStr">
        <is>
          <t>2.0</t>
        </is>
      </c>
      <c r="F63" s="7" t="n">
        <v>4</v>
      </c>
      <c r="G63" s="7" t="n">
        <v>2</v>
      </c>
      <c r="H63" s="7" t="n">
        <v>1</v>
      </c>
      <c r="I63" s="7" t="n">
        <v>-1</v>
      </c>
      <c r="J63" s="8" t="n">
        <v>2112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00002247180</t>
        </is>
      </c>
      <c r="D64" s="5" t="inlineStr">
        <is>
          <t>ZEPBOUND 10 MG/0.5ML AUTO-INJECTOR</t>
        </is>
      </c>
      <c r="E64" s="6" t="inlineStr">
        <is>
          <t>2.0</t>
        </is>
      </c>
      <c r="F64" s="7" t="n">
        <v>4</v>
      </c>
      <c r="G64" s="7" t="n">
        <v>2</v>
      </c>
      <c r="H64" s="7" t="n">
        <v>1</v>
      </c>
      <c r="I64" s="7" t="n">
        <v>-1</v>
      </c>
      <c r="J64" s="8" t="n">
        <v>2098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00186037020</t>
        </is>
      </c>
      <c r="D65" s="5" t="inlineStr">
        <is>
          <t>SYMBICORT 160-4.5MCG/ACT AEROSOL</t>
        </is>
      </c>
      <c r="E65" s="6" t="inlineStr">
        <is>
          <t>10.2</t>
        </is>
      </c>
      <c r="F65" s="7" t="n">
        <v>91.8</v>
      </c>
      <c r="G65" s="7" t="n">
        <v>9</v>
      </c>
      <c r="H65" s="7" t="n">
        <v>0</v>
      </c>
      <c r="I65" s="7" t="n">
        <v>-9</v>
      </c>
      <c r="J65" s="8" t="n">
        <v>2093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00003089321</t>
        </is>
      </c>
      <c r="D66" s="5" t="inlineStr">
        <is>
          <t xml:space="preserve">ELIQUIS 2.5MG TAB </t>
        </is>
      </c>
      <c r="E66" s="6" t="inlineStr">
        <is>
          <t>60.0</t>
        </is>
      </c>
      <c r="F66" s="7" t="n">
        <v>480</v>
      </c>
      <c r="G66" s="7" t="n">
        <v>8</v>
      </c>
      <c r="H66" s="7" t="n">
        <v>0</v>
      </c>
      <c r="I66" s="7" t="n">
        <v>-8</v>
      </c>
      <c r="J66" s="8" t="n">
        <v>1989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50419054101</t>
        </is>
      </c>
      <c r="D67" s="5" t="inlineStr">
        <is>
          <t>KERENDIA 20MG TABLET</t>
        </is>
      </c>
      <c r="E67" s="6" t="inlineStr">
        <is>
          <t>30.0</t>
        </is>
      </c>
      <c r="F67" s="7" t="n">
        <v>90</v>
      </c>
      <c r="G67" s="7" t="n">
        <v>3</v>
      </c>
      <c r="H67" s="7" t="n">
        <v>3</v>
      </c>
      <c r="I67" s="7" t="n">
        <v>0</v>
      </c>
      <c r="J67" s="8" t="n">
        <v>1919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08627007701</t>
        </is>
      </c>
      <c r="D68" s="5" t="inlineStr">
        <is>
          <t>DEXCOM G7 SENSOR</t>
        </is>
      </c>
      <c r="E68" s="6" t="inlineStr">
        <is>
          <t>1.0</t>
        </is>
      </c>
      <c r="F68" s="7" t="n">
        <v>15</v>
      </c>
      <c r="G68" s="7" t="n">
        <v>15</v>
      </c>
      <c r="H68" s="7" t="n">
        <v>10</v>
      </c>
      <c r="I68" s="7" t="n">
        <v>-5</v>
      </c>
      <c r="J68" s="8" t="n">
        <v>1907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00023530105</t>
        </is>
      </c>
      <c r="D69" s="5" t="inlineStr">
        <is>
          <t>RESTASIS MULTIDOSE 0.05 % OPHTHALMIC EMULSION</t>
        </is>
      </c>
      <c r="E69" s="6" t="inlineStr">
        <is>
          <t>5.5</t>
        </is>
      </c>
      <c r="F69" s="7" t="n">
        <v>16.5</v>
      </c>
      <c r="G69" s="7" t="n">
        <v>3</v>
      </c>
      <c r="H69" s="7" t="n">
        <v>0</v>
      </c>
      <c r="I69" s="7" t="n">
        <v>-3</v>
      </c>
      <c r="J69" s="8" t="n">
        <v>1842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00006011231</t>
        </is>
      </c>
      <c r="D70" s="5" t="inlineStr">
        <is>
          <t>JANUVIA 50MG TABLET</t>
        </is>
      </c>
      <c r="E70" s="6" t="inlineStr">
        <is>
          <t>30.0</t>
        </is>
      </c>
      <c r="F70" s="7" t="n">
        <v>300</v>
      </c>
      <c r="G70" s="7" t="n">
        <v>10</v>
      </c>
      <c r="H70" s="7" t="n">
        <v>15</v>
      </c>
      <c r="I70" s="7" t="n">
        <v>5</v>
      </c>
      <c r="J70" s="8" t="n">
        <v>1786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00310110530</t>
        </is>
      </c>
      <c r="D71" s="5" t="inlineStr">
        <is>
          <t>LOKELMA 5GM PACK</t>
        </is>
      </c>
      <c r="E71" s="6" t="inlineStr">
        <is>
          <t>30.0</t>
        </is>
      </c>
      <c r="F71" s="7" t="n">
        <v>60</v>
      </c>
      <c r="G71" s="7" t="n">
        <v>2</v>
      </c>
      <c r="H71" s="7" t="n">
        <v>2</v>
      </c>
      <c r="I71" s="7" t="n">
        <v>0</v>
      </c>
      <c r="J71" s="8" t="n">
        <v>1688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00006057561</t>
        </is>
      </c>
      <c r="D72" s="5" t="inlineStr">
        <is>
          <t>JANUMET 50-500 MG ORAL TABLET</t>
        </is>
      </c>
      <c r="E72" s="6" t="inlineStr">
        <is>
          <t>60.0</t>
        </is>
      </c>
      <c r="F72" s="7" t="n">
        <v>300</v>
      </c>
      <c r="G72" s="7" t="n">
        <v>5</v>
      </c>
      <c r="H72" s="7" t="n">
        <v>6</v>
      </c>
      <c r="I72" s="7" t="n">
        <v>1</v>
      </c>
      <c r="J72" s="8" t="n">
        <v>1586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61874013030</t>
        </is>
      </c>
      <c r="D73" s="5" t="inlineStr">
        <is>
          <t>VRAYLAR 3MG CAPSULE</t>
        </is>
      </c>
      <c r="E73" s="6" t="inlineStr">
        <is>
          <t>30.0</t>
        </is>
      </c>
      <c r="F73" s="7" t="n">
        <v>30</v>
      </c>
      <c r="G73" s="7" t="n">
        <v>1</v>
      </c>
      <c r="H73" s="7" t="n">
        <v>0</v>
      </c>
      <c r="I73" s="7" t="n">
        <v>-1</v>
      </c>
      <c r="J73" s="8" t="n">
        <v>1539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61958230101</t>
        </is>
      </c>
      <c r="D74" s="5" t="inlineStr">
        <is>
          <t>VEMLIDY 25 MG ORAL TABLET</t>
        </is>
      </c>
      <c r="E74" s="6" t="inlineStr">
        <is>
          <t>30.0</t>
        </is>
      </c>
      <c r="F74" s="7" t="n">
        <v>30</v>
      </c>
      <c r="G74" s="7" t="n">
        <v>1</v>
      </c>
      <c r="H74" s="7" t="n">
        <v>1</v>
      </c>
      <c r="I74" s="7" t="n">
        <v>0</v>
      </c>
      <c r="J74" s="8" t="n">
        <v>1538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59148003613</t>
        </is>
      </c>
      <c r="D75" s="5" t="inlineStr">
        <is>
          <t>REXULTI 0.5 MG ORAL TABLET</t>
        </is>
      </c>
      <c r="E75" s="6" t="inlineStr">
        <is>
          <t>30.0</t>
        </is>
      </c>
      <c r="F75" s="7" t="n">
        <v>30</v>
      </c>
      <c r="G75" s="7" t="n">
        <v>1</v>
      </c>
      <c r="H75" s="7" t="n">
        <v>1</v>
      </c>
      <c r="I75" s="7" t="n">
        <v>0</v>
      </c>
      <c r="J75" s="8" t="n">
        <v>1480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00310621030</t>
        </is>
      </c>
      <c r="D76" s="5" t="inlineStr">
        <is>
          <t>FARXIGA 10MG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4</v>
      </c>
      <c r="I76" s="7" t="n">
        <v>0</v>
      </c>
      <c r="J76" s="8" t="n">
        <v>1470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68180096301</t>
        </is>
      </c>
      <c r="D77" s="5" t="inlineStr">
        <is>
          <t>ALBUTEROL SULFATE HFA 108 (90 BASE)MCG/ACT AEROSOL</t>
        </is>
      </c>
      <c r="E77" s="6" t="inlineStr">
        <is>
          <t>8.5</t>
        </is>
      </c>
      <c r="F77" s="7" t="n">
        <v>663</v>
      </c>
      <c r="G77" s="7" t="n">
        <v>78</v>
      </c>
      <c r="H77" s="7" t="n">
        <v>36</v>
      </c>
      <c r="I77" s="7" t="n">
        <v>-42</v>
      </c>
      <c r="J77" s="8" t="n">
        <v>1451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00115169449</t>
        </is>
      </c>
      <c r="D78" s="5" t="inlineStr">
        <is>
          <t>EPINEPHRINE 0.3MG/0.3ML INJECTION 2ML</t>
        </is>
      </c>
      <c r="E78" s="6" t="inlineStr">
        <is>
          <t>2.0</t>
        </is>
      </c>
      <c r="F78" s="7" t="n">
        <v>12</v>
      </c>
      <c r="G78" s="7" t="n">
        <v>6</v>
      </c>
      <c r="H78" s="7" t="n">
        <v>3</v>
      </c>
      <c r="I78" s="7" t="n">
        <v>-3</v>
      </c>
      <c r="J78" s="8" t="n">
        <v>1436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00310737220</t>
        </is>
      </c>
      <c r="D79" s="5" t="inlineStr">
        <is>
          <t>BUDESONIDE-FORMOTEROL FUMARATE 80-4.5MCG/ACT AEROSOL</t>
        </is>
      </c>
      <c r="E79" s="6" t="inlineStr">
        <is>
          <t>10.2</t>
        </is>
      </c>
      <c r="F79" s="7" t="n">
        <v>102</v>
      </c>
      <c r="G79" s="7" t="n">
        <v>10</v>
      </c>
      <c r="H79" s="7" t="n">
        <v>8</v>
      </c>
      <c r="I79" s="7" t="n">
        <v>-2</v>
      </c>
      <c r="J79" s="8" t="n">
        <v>1359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00169452514</t>
        </is>
      </c>
      <c r="D80" s="5" t="inlineStr">
        <is>
          <t>WEGOVY 0.25 MG/0.5ML AUTO-INJECTOR</t>
        </is>
      </c>
      <c r="E80" s="6" t="inlineStr">
        <is>
          <t>2.0</t>
        </is>
      </c>
      <c r="F80" s="7" t="n">
        <v>2</v>
      </c>
      <c r="G80" s="7" t="n">
        <v>1</v>
      </c>
      <c r="H80" s="7" t="n">
        <v>1</v>
      </c>
      <c r="I80" s="7" t="n">
        <v>0</v>
      </c>
      <c r="J80" s="8" t="n">
        <v>1317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00169452414</t>
        </is>
      </c>
      <c r="D81" s="5" t="inlineStr">
        <is>
          <t>WEGOVY 2.4 MG/0.75ML AUTO-INJECTOR</t>
        </is>
      </c>
      <c r="E81" s="6" t="inlineStr">
        <is>
          <t>3.0</t>
        </is>
      </c>
      <c r="F81" s="7" t="n">
        <v>3</v>
      </c>
      <c r="G81" s="7" t="n">
        <v>1</v>
      </c>
      <c r="H81" s="7" t="n">
        <v>1</v>
      </c>
      <c r="I81" s="7" t="n">
        <v>0</v>
      </c>
      <c r="J81" s="8" t="n">
        <v>1283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72426081803</t>
        </is>
      </c>
      <c r="D82" s="5" t="inlineStr">
        <is>
          <t>NEXLIZET 180-10MG TABLET</t>
        </is>
      </c>
      <c r="E82" s="6" t="inlineStr">
        <is>
          <t>30.0</t>
        </is>
      </c>
      <c r="F82" s="7" t="n">
        <v>90</v>
      </c>
      <c r="G82" s="7" t="n">
        <v>3</v>
      </c>
      <c r="H82" s="7" t="n">
        <v>0</v>
      </c>
      <c r="I82" s="7" t="n">
        <v>-3</v>
      </c>
      <c r="J82" s="8" t="n">
        <v>1256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00169633910</t>
        </is>
      </c>
      <c r="D83" s="5" t="inlineStr">
        <is>
          <t>NOVOLOG FLEXPEN 100UNIT/ML INJECTION</t>
        </is>
      </c>
      <c r="E83" s="6" t="inlineStr">
        <is>
          <t>15.0</t>
        </is>
      </c>
      <c r="F83" s="7" t="n">
        <v>135</v>
      </c>
      <c r="G83" s="7" t="n">
        <v>9</v>
      </c>
      <c r="H83" s="7" t="n">
        <v>6</v>
      </c>
      <c r="I83" s="7" t="n">
        <v>-3</v>
      </c>
      <c r="J83" s="8" t="n">
        <v>1214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00093598627</t>
        </is>
      </c>
      <c r="D84" s="5" t="inlineStr">
        <is>
          <t>EPINEPHRINE 0.3MG/0.3ML INJECTION</t>
        </is>
      </c>
      <c r="E84" s="6" t="inlineStr">
        <is>
          <t>2.0</t>
        </is>
      </c>
      <c r="F84" s="7" t="n">
        <v>8</v>
      </c>
      <c r="G84" s="7" t="n">
        <v>4</v>
      </c>
      <c r="H84" s="7" t="n">
        <v>0</v>
      </c>
      <c r="I84" s="7" t="n">
        <v>-4</v>
      </c>
      <c r="J84" s="8" t="n">
        <v>1192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00002771559</t>
        </is>
      </c>
      <c r="D85" s="5" t="inlineStr">
        <is>
          <t>BASAGLAR KWIKPEN 100UNIT/ML INJECTION</t>
        </is>
      </c>
      <c r="E85" s="6" t="inlineStr">
        <is>
          <t>15.0</t>
        </is>
      </c>
      <c r="F85" s="7" t="n">
        <v>57</v>
      </c>
      <c r="G85" s="7" t="n">
        <v>3.8</v>
      </c>
      <c r="H85" s="7" t="n">
        <v>10</v>
      </c>
      <c r="I85" s="7" t="n">
        <v>6.2</v>
      </c>
      <c r="J85" s="8" t="n">
        <v>1187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00597029074</t>
        </is>
      </c>
      <c r="D86" s="5" t="inlineStr">
        <is>
          <t>SYNJARDY 5-1000MG TABLET XR</t>
        </is>
      </c>
      <c r="E86" s="6" t="inlineStr">
        <is>
          <t>60.0</t>
        </is>
      </c>
      <c r="F86" s="7" t="n">
        <v>210</v>
      </c>
      <c r="G86" s="7" t="n">
        <v>3.5</v>
      </c>
      <c r="H86" s="7" t="n">
        <v>3</v>
      </c>
      <c r="I86" s="7" t="n">
        <v>-0.5</v>
      </c>
      <c r="J86" s="8" t="n">
        <v>1186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08290320122</t>
        </is>
      </c>
      <c r="D87" s="5" t="inlineStr">
        <is>
          <t>PEN NEEDLES ALL</t>
        </is>
      </c>
      <c r="E87" s="6" t="inlineStr">
        <is>
          <t>100.0</t>
        </is>
      </c>
      <c r="F87" s="7" t="n">
        <v>1900</v>
      </c>
      <c r="G87" s="7" t="n">
        <v>19</v>
      </c>
      <c r="H87" s="7" t="n">
        <v>0</v>
      </c>
      <c r="I87" s="7" t="n">
        <v>-19</v>
      </c>
      <c r="J87" s="8" t="n">
        <v>1169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00074709430</t>
        </is>
      </c>
      <c r="D88" s="5" t="inlineStr">
        <is>
          <t>QULIPTA 60 MG ORAL TABLET</t>
        </is>
      </c>
      <c r="E88" s="6" t="inlineStr">
        <is>
          <t>30.0</t>
        </is>
      </c>
      <c r="F88" s="7" t="n">
        <v>30</v>
      </c>
      <c r="G88" s="7" t="n">
        <v>1</v>
      </c>
      <c r="H88" s="7" t="n">
        <v>1</v>
      </c>
      <c r="I88" s="7" t="n">
        <v>0</v>
      </c>
      <c r="J88" s="8" t="n">
        <v>1166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00074709630</t>
        </is>
      </c>
      <c r="D89" s="5" t="inlineStr">
        <is>
          <t>QULIPTA 30 MG ORAL TABLET</t>
        </is>
      </c>
      <c r="E89" s="6" t="inlineStr">
        <is>
          <t>30.0</t>
        </is>
      </c>
      <c r="F89" s="7" t="n">
        <v>30</v>
      </c>
      <c r="G89" s="7" t="n">
        <v>1</v>
      </c>
      <c r="H89" s="7" t="n">
        <v>1</v>
      </c>
      <c r="I89" s="7" t="n">
        <v>0</v>
      </c>
      <c r="J89" s="8" t="n">
        <v>1134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72511076002</t>
        </is>
      </c>
      <c r="D90" s="5" t="inlineStr">
        <is>
          <t>REPATHA SURECLICK 140MG/ML INJECTION</t>
        </is>
      </c>
      <c r="E90" s="6" t="inlineStr">
        <is>
          <t>2.0</t>
        </is>
      </c>
      <c r="F90" s="7" t="n">
        <v>4</v>
      </c>
      <c r="G90" s="7" t="n">
        <v>2</v>
      </c>
      <c r="H90" s="7" t="n">
        <v>0</v>
      </c>
      <c r="I90" s="7" t="n">
        <v>-2</v>
      </c>
      <c r="J90" s="8" t="n">
        <v>1116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00002250680</t>
        </is>
      </c>
      <c r="D91" s="5" t="inlineStr">
        <is>
          <t>ZEPBOUND 2.5 MG/0.5ML AUTO-INJECTOR</t>
        </is>
      </c>
      <c r="E91" s="6" t="inlineStr">
        <is>
          <t>2.0</t>
        </is>
      </c>
      <c r="F91" s="7" t="n">
        <v>2</v>
      </c>
      <c r="G91" s="7" t="n">
        <v>1</v>
      </c>
      <c r="H91" s="7" t="n">
        <v>1</v>
      </c>
      <c r="I91" s="7" t="n">
        <v>0</v>
      </c>
      <c r="J91" s="8" t="n">
        <v>1037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00023320505</t>
        </is>
      </c>
      <c r="D92" s="5" t="inlineStr">
        <is>
          <t>LUMIGAN 0.01 % OPHTHALMIC SOLUTION</t>
        </is>
      </c>
      <c r="E92" s="6" t="inlineStr">
        <is>
          <t>5.0</t>
        </is>
      </c>
      <c r="F92" s="7" t="n">
        <v>10</v>
      </c>
      <c r="G92" s="7" t="n">
        <v>2</v>
      </c>
      <c r="H92" s="7" t="n">
        <v>1</v>
      </c>
      <c r="I92" s="7" t="n">
        <v>-1</v>
      </c>
      <c r="J92" s="8" t="n">
        <v>1025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50484001090</t>
        </is>
      </c>
      <c r="D93" s="5" t="inlineStr">
        <is>
          <t>SANTYL 250 UNIT/GM EXTERNAL OINTMENT</t>
        </is>
      </c>
      <c r="E93" s="6" t="inlineStr">
        <is>
          <t>90.0</t>
        </is>
      </c>
      <c r="F93" s="7" t="n">
        <v>90</v>
      </c>
      <c r="G93" s="7" t="n">
        <v>1</v>
      </c>
      <c r="H93" s="7" t="n">
        <v>1</v>
      </c>
      <c r="I93" s="7" t="n">
        <v>0</v>
      </c>
      <c r="J93" s="8" t="n">
        <v>958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0</v>
      </c>
      <c r="I94" s="7" t="n">
        <v>-4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58160082311</t>
        </is>
      </c>
      <c r="D96" s="5" t="inlineStr">
        <is>
          <t>SHINGRIX 50 MCG/0.5ML IM SUSP RECON</t>
        </is>
      </c>
      <c r="E96" s="6" t="inlineStr">
        <is>
          <t>10.0</t>
        </is>
      </c>
      <c r="F96" s="7" t="n">
        <v>4</v>
      </c>
      <c r="G96" s="7" t="n">
        <v>0.4</v>
      </c>
      <c r="H96" s="7" t="n">
        <v>0</v>
      </c>
      <c r="I96" s="7" t="n">
        <v>-0.4</v>
      </c>
      <c r="J96" s="8" t="n">
        <v>941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00006008131</t>
        </is>
      </c>
      <c r="D97" s="5" t="inlineStr">
        <is>
          <t>JANUMET XR 100-1000MG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0</v>
      </c>
      <c r="I97" s="7" t="n">
        <v>-3</v>
      </c>
      <c r="J97" s="8" t="n">
        <v>938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70121250301</t>
        </is>
      </c>
      <c r="D98" s="5" t="inlineStr">
        <is>
          <t>LIORESAL 40 MG/20ML INTRATHECAL SOLUTION</t>
        </is>
      </c>
      <c r="E98" s="6" t="inlineStr">
        <is>
          <t>20.0</t>
        </is>
      </c>
      <c r="F98" s="7" t="n">
        <v>20</v>
      </c>
      <c r="G98" s="7" t="n">
        <v>1</v>
      </c>
      <c r="H98" s="7" t="n">
        <v>1</v>
      </c>
      <c r="I98" s="7" t="n">
        <v>0</v>
      </c>
      <c r="J98" s="8" t="n">
        <v>899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70710116003</t>
        </is>
      </c>
      <c r="D99" s="5" t="inlineStr">
        <is>
          <t>MIRABEGRON ER 50 MG ORAL TABLET EXTENDED RELEASE 24 HOUR</t>
        </is>
      </c>
      <c r="E99" s="6" t="inlineStr">
        <is>
          <t>30.0</t>
        </is>
      </c>
      <c r="F99" s="7" t="n">
        <v>90</v>
      </c>
      <c r="G99" s="7" t="n">
        <v>3</v>
      </c>
      <c r="H99" s="7" t="n">
        <v>3</v>
      </c>
      <c r="I99" s="7" t="n">
        <v>0</v>
      </c>
      <c r="J99" s="8" t="n">
        <v>850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00186037220</t>
        </is>
      </c>
      <c r="D100" s="5" t="inlineStr">
        <is>
          <t>SYMBICORT 80-4.5MCG/ACT AEROSOL</t>
        </is>
      </c>
      <c r="E100" s="6" t="inlineStr">
        <is>
          <t>10.2</t>
        </is>
      </c>
      <c r="F100" s="7" t="n">
        <v>40.8</v>
      </c>
      <c r="G100" s="7" t="n">
        <v>4</v>
      </c>
      <c r="H100" s="7" t="n">
        <v>0</v>
      </c>
      <c r="I100" s="7" t="n">
        <v>-4</v>
      </c>
      <c r="J100" s="8" t="n">
        <v>827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55724021121</t>
        </is>
      </c>
      <c r="D101" s="5" t="inlineStr">
        <is>
          <t>EUCRISA 2% OINTMENT</t>
        </is>
      </c>
      <c r="E101" s="6" t="inlineStr">
        <is>
          <t>60.0</t>
        </is>
      </c>
      <c r="F101" s="7" t="n">
        <v>60</v>
      </c>
      <c r="G101" s="7" t="n">
        <v>1</v>
      </c>
      <c r="H101" s="7" t="n">
        <v>0</v>
      </c>
      <c r="I101" s="7" t="n">
        <v>-1</v>
      </c>
      <c r="J101" s="8" t="n">
        <v>770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00023921110</t>
        </is>
      </c>
      <c r="D102" s="5" t="inlineStr">
        <is>
          <t>COMBIGAN 0.2-0.5% OPTH SOLUTION 10ML</t>
        </is>
      </c>
      <c r="E102" s="6" t="inlineStr">
        <is>
          <t>10.0</t>
        </is>
      </c>
      <c r="F102" s="7" t="n">
        <v>20</v>
      </c>
      <c r="G102" s="7" t="n">
        <v>2</v>
      </c>
      <c r="H102" s="7" t="n">
        <v>0</v>
      </c>
      <c r="I102" s="7" t="n">
        <v>-2</v>
      </c>
      <c r="J102" s="8" t="n">
        <v>769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24208050402</t>
        </is>
      </c>
      <c r="D103" s="5" t="inlineStr">
        <is>
          <t>VYZULTA 0.024 % OPHTHALMIC SOLUTION</t>
        </is>
      </c>
      <c r="E103" s="6" t="inlineStr">
        <is>
          <t>2.5</t>
        </is>
      </c>
      <c r="F103" s="7" t="n">
        <v>7.5</v>
      </c>
      <c r="G103" s="7" t="n">
        <v>3</v>
      </c>
      <c r="H103" s="7" t="n">
        <v>0</v>
      </c>
      <c r="I103" s="7" t="n">
        <v>-3</v>
      </c>
      <c r="J103" s="8" t="n">
        <v>760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66993007996</t>
        </is>
      </c>
      <c r="D104" s="5" t="inlineStr">
        <is>
          <t>FLUTICASONE PROPIONATE HFA 110 MCG/ACT INHAEROSOL</t>
        </is>
      </c>
      <c r="E104" s="6" t="inlineStr">
        <is>
          <t>12.0</t>
        </is>
      </c>
      <c r="F104" s="7" t="n">
        <v>48</v>
      </c>
      <c r="G104" s="7" t="n">
        <v>4</v>
      </c>
      <c r="H104" s="7" t="n">
        <v>2</v>
      </c>
      <c r="I104" s="7" t="n">
        <v>-2</v>
      </c>
      <c r="J104" s="8" t="n">
        <v>753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00032263601</t>
        </is>
      </c>
      <c r="D105" s="5" t="inlineStr">
        <is>
          <t>CREON 24000-76000 UNIT CAPSULE DR</t>
        </is>
      </c>
      <c r="E105" s="6" t="inlineStr">
        <is>
          <t>100.0</t>
        </is>
      </c>
      <c r="F105" s="7" t="n">
        <v>90</v>
      </c>
      <c r="G105" s="7" t="n">
        <v>0.9</v>
      </c>
      <c r="H105" s="7" t="n">
        <v>0</v>
      </c>
      <c r="I105" s="7" t="n">
        <v>-0.9</v>
      </c>
      <c r="J105" s="8" t="n">
        <v>747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82667090002</t>
        </is>
      </c>
      <c r="D106" s="5" t="inlineStr">
        <is>
          <t>VEVYE 0.1 % OPHTHALMIC SOLUTION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732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60505082901</t>
        </is>
      </c>
      <c r="D107" s="5" t="inlineStr">
        <is>
          <t>FLUTICASONE 50MCG (NASAL) SUSPENSION</t>
        </is>
      </c>
      <c r="E107" s="6" t="inlineStr">
        <is>
          <t>16.0</t>
        </is>
      </c>
      <c r="F107" s="7" t="n">
        <v>1120</v>
      </c>
      <c r="G107" s="7" t="n">
        <v>70</v>
      </c>
      <c r="H107" s="7" t="n">
        <v>42</v>
      </c>
      <c r="I107" s="7" t="n">
        <v>-28</v>
      </c>
      <c r="J107" s="8" t="n">
        <v>731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13</v>
      </c>
      <c r="I108" s="7" t="n">
        <v>9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1</v>
      </c>
      <c r="I109" s="7" t="n">
        <v>-1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81520010030</t>
        </is>
      </c>
      <c r="D110" s="5" t="inlineStr">
        <is>
          <t>VOQUEZNA 10 MG ORAL TABLET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669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00173087310</t>
        </is>
      </c>
      <c r="D111" s="5" t="inlineStr">
        <is>
          <t>INCRUSE ELLIPTA 62.5MCG/INH AEROSOL</t>
        </is>
      </c>
      <c r="E111" s="6" t="inlineStr">
        <is>
          <t>30.0</t>
        </is>
      </c>
      <c r="F111" s="7" t="n">
        <v>60</v>
      </c>
      <c r="G111" s="7" t="n">
        <v>2</v>
      </c>
      <c r="H111" s="7" t="n">
        <v>0</v>
      </c>
      <c r="I111" s="7" t="n">
        <v>-2</v>
      </c>
      <c r="J111" s="8" t="n">
        <v>665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60505451803</t>
        </is>
      </c>
      <c r="D112" s="5" t="inlineStr">
        <is>
          <t>PAXIL 20 MG ORAL TABLET</t>
        </is>
      </c>
      <c r="E112" s="6" t="inlineStr">
        <is>
          <t>30.0</t>
        </is>
      </c>
      <c r="F112" s="7" t="n">
        <v>60</v>
      </c>
      <c r="G112" s="7" t="n">
        <v>2</v>
      </c>
      <c r="H112" s="7" t="n">
        <v>2</v>
      </c>
      <c r="I112" s="7" t="n">
        <v>0</v>
      </c>
      <c r="J112" s="8" t="n">
        <v>642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57599081800</t>
        </is>
      </c>
      <c r="D113" s="5" t="inlineStr">
        <is>
          <t>FREESTYLE LIBRE 3 SENSOR</t>
        </is>
      </c>
      <c r="E113" s="6" t="inlineStr">
        <is>
          <t>1.0</t>
        </is>
      </c>
      <c r="F113" s="7" t="n">
        <v>8</v>
      </c>
      <c r="G113" s="7" t="n">
        <v>8</v>
      </c>
      <c r="H113" s="7" t="n">
        <v>6</v>
      </c>
      <c r="I113" s="7" t="n">
        <v>-2</v>
      </c>
      <c r="J113" s="8" t="n">
        <v>640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00378876091</t>
        </is>
      </c>
      <c r="D114" s="5" t="inlineStr">
        <is>
          <t>CYCLOSPORINE 0.05 % OPHTHALMIC EMULSION</t>
        </is>
      </c>
      <c r="E114" s="6" t="inlineStr">
        <is>
          <t>60.0</t>
        </is>
      </c>
      <c r="F114" s="7" t="n">
        <v>300</v>
      </c>
      <c r="G114" s="7" t="n">
        <v>5</v>
      </c>
      <c r="H114" s="7" t="n">
        <v>0</v>
      </c>
      <c r="I114" s="7" t="n">
        <v>-5</v>
      </c>
      <c r="J114" s="8" t="n">
        <v>635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50458057830</t>
        </is>
      </c>
      <c r="D115" s="5" t="inlineStr">
        <is>
          <t>XARELTO 15MG TAB</t>
        </is>
      </c>
      <c r="E115" s="6" t="inlineStr">
        <is>
          <t>30.0</t>
        </is>
      </c>
      <c r="F115" s="7" t="n">
        <v>90</v>
      </c>
      <c r="G115" s="7" t="n">
        <v>3</v>
      </c>
      <c r="H115" s="7" t="n">
        <v>4</v>
      </c>
      <c r="I115" s="7" t="n">
        <v>1</v>
      </c>
      <c r="J115" s="8" t="n">
        <v>629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72205028060</t>
        </is>
      </c>
      <c r="D116" s="5" t="inlineStr">
        <is>
          <t>SACUBITRIL-VALSARTAN 24-26 MG ORAL TABLET</t>
        </is>
      </c>
      <c r="E116" s="6" t="inlineStr">
        <is>
          <t>60.0</t>
        </is>
      </c>
      <c r="F116" s="7" t="n">
        <v>480</v>
      </c>
      <c r="G116" s="7" t="n">
        <v>8</v>
      </c>
      <c r="H116" s="7" t="n">
        <v>0</v>
      </c>
      <c r="I116" s="7" t="n">
        <v>-8</v>
      </c>
      <c r="J116" s="8" t="n">
        <v>621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00005200002</t>
        </is>
      </c>
      <c r="D117" s="5" t="inlineStr">
        <is>
          <t>PREVNAR 20 0.5 ML INTRAMUSCULAR SUSPENSION PREFILLED SYRINGE</t>
        </is>
      </c>
      <c r="E117" s="6" t="inlineStr">
        <is>
          <t>0.5</t>
        </is>
      </c>
      <c r="F117" s="7" t="n">
        <v>1</v>
      </c>
      <c r="G117" s="7" t="n">
        <v>2</v>
      </c>
      <c r="H117" s="7" t="n">
        <v>0</v>
      </c>
      <c r="I117" s="7" t="n">
        <v>-2</v>
      </c>
      <c r="J117" s="8" t="n">
        <v>613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82584000330</t>
        </is>
      </c>
      <c r="D118" s="5" t="inlineStr">
        <is>
          <t>IYUZEH 0.005 % OPHTHALMIC SOLUTION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6</v>
      </c>
      <c r="I118" s="7" t="n">
        <v>4</v>
      </c>
      <c r="J118" s="8" t="n">
        <v>603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00005200010</t>
        </is>
      </c>
      <c r="D119" s="5" t="inlineStr">
        <is>
          <t>PREVNAR 20 0.5 ML PREFILLED SYRINGE</t>
        </is>
      </c>
      <c r="E119" s="6" t="inlineStr">
        <is>
          <t>5.0</t>
        </is>
      </c>
      <c r="F119" s="7" t="n">
        <v>1</v>
      </c>
      <c r="G119" s="7" t="n">
        <v>0.2</v>
      </c>
      <c r="H119" s="7" t="n">
        <v>0</v>
      </c>
      <c r="I119" s="7" t="n">
        <v>-0.2</v>
      </c>
      <c r="J119" s="8" t="n">
        <v>597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52427063230</t>
        </is>
      </c>
      <c r="D120" s="5" t="inlineStr">
        <is>
          <t>VENLAFAXINE BESYLATE ER 112.5 MG TABLET</t>
        </is>
      </c>
      <c r="E120" s="6" t="inlineStr">
        <is>
          <t>30.0</t>
        </is>
      </c>
      <c r="F120" s="7" t="n">
        <v>90</v>
      </c>
      <c r="G120" s="7" t="n">
        <v>3</v>
      </c>
      <c r="H120" s="7" t="n">
        <v>3</v>
      </c>
      <c r="I120" s="7" t="n">
        <v>0</v>
      </c>
      <c r="J120" s="8" t="n">
        <v>593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00023921115</t>
        </is>
      </c>
      <c r="D121" s="5" t="inlineStr">
        <is>
          <t>COMBIGAN 0.2-0.5% OPTH SOLUTION 15ML</t>
        </is>
      </c>
      <c r="E121" s="6" t="inlineStr">
        <is>
          <t>15.0</t>
        </is>
      </c>
      <c r="F121" s="7" t="n">
        <v>15</v>
      </c>
      <c r="G121" s="7" t="n">
        <v>1</v>
      </c>
      <c r="H121" s="7" t="n">
        <v>0</v>
      </c>
      <c r="I121" s="7" t="n">
        <v>-1</v>
      </c>
      <c r="J121" s="8" t="n">
        <v>582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00430042014</t>
        </is>
      </c>
      <c r="D122" s="5" t="inlineStr">
        <is>
          <t>LO LOESTRIN FE 1 MG-10 MCG / 10 MCG ORAL TABLET</t>
        </is>
      </c>
      <c r="E122" s="6" t="inlineStr">
        <is>
          <t>140.0</t>
        </is>
      </c>
      <c r="F122" s="7" t="n">
        <v>84</v>
      </c>
      <c r="G122" s="7" t="n">
        <v>0.6</v>
      </c>
      <c r="H122" s="7" t="n">
        <v>0</v>
      </c>
      <c r="I122" s="7" t="n">
        <v>-0.6</v>
      </c>
      <c r="J122" s="8" t="n">
        <v>579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66993001968</t>
        </is>
      </c>
      <c r="D123" s="5" t="inlineStr">
        <is>
          <t xml:space="preserve">ALBUTEROL HFA 108  MCG/AC (VENTOLIN 18GM) </t>
        </is>
      </c>
      <c r="E123" s="6" t="inlineStr">
        <is>
          <t>18.0</t>
        </is>
      </c>
      <c r="F123" s="7" t="n">
        <v>396</v>
      </c>
      <c r="G123" s="7" t="n">
        <v>22</v>
      </c>
      <c r="H123" s="7" t="n">
        <v>12</v>
      </c>
      <c r="I123" s="7" t="n">
        <v>-10</v>
      </c>
      <c r="J123" s="8" t="n">
        <v>573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59148000713</t>
        </is>
      </c>
      <c r="D124" s="5" t="inlineStr">
        <is>
          <t>ABILIFY 5MG TABLET</t>
        </is>
      </c>
      <c r="E124" s="6" t="inlineStr">
        <is>
          <t>30.0</t>
        </is>
      </c>
      <c r="F124" s="7" t="n">
        <v>30</v>
      </c>
      <c r="G124" s="7" t="n">
        <v>1</v>
      </c>
      <c r="H124" s="7" t="n">
        <v>1</v>
      </c>
      <c r="I124" s="7" t="n">
        <v>0</v>
      </c>
      <c r="J124" s="8" t="n">
        <v>571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00310626060</t>
        </is>
      </c>
      <c r="D125" s="5" t="inlineStr">
        <is>
          <t>XIGDUO XR 5-1000 MG TABLET ER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570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59137053004</t>
        </is>
      </c>
      <c r="D126" s="5" t="inlineStr">
        <is>
          <t>RASUVO 20MG/0.4ML INJECTION</t>
        </is>
      </c>
      <c r="E126" s="6" t="inlineStr">
        <is>
          <t>1.6</t>
        </is>
      </c>
      <c r="F126" s="7" t="n">
        <v>1.6</v>
      </c>
      <c r="G126" s="7" t="n">
        <v>1</v>
      </c>
      <c r="H126" s="7" t="n">
        <v>1</v>
      </c>
      <c r="I126" s="7" t="n">
        <v>0</v>
      </c>
      <c r="J126" s="8" t="n">
        <v>553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6</v>
      </c>
      <c r="G127" s="7" t="n">
        <v>1</v>
      </c>
      <c r="H127" s="7" t="n">
        <v>0</v>
      </c>
      <c r="I127" s="7" t="n">
        <v>-1</v>
      </c>
      <c r="J127" s="8" t="n">
        <v>546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72205028118</t>
        </is>
      </c>
      <c r="D128" s="5" t="inlineStr">
        <is>
          <t>SACUBITRIL-VALSARTAN 49-51 MG ORAL TABLET</t>
        </is>
      </c>
      <c r="E128" s="6" t="inlineStr">
        <is>
          <t>180.0</t>
        </is>
      </c>
      <c r="F128" s="7" t="n">
        <v>360</v>
      </c>
      <c r="G128" s="7" t="n">
        <v>2</v>
      </c>
      <c r="H128" s="7" t="n">
        <v>8</v>
      </c>
      <c r="I128" s="7" t="n">
        <v>6</v>
      </c>
      <c r="J128" s="8" t="n">
        <v>546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00456120330</t>
        </is>
      </c>
      <c r="D129" s="5" t="inlineStr">
        <is>
          <t>LINZESS 72 MCG ORAL CAPSULE</t>
        </is>
      </c>
      <c r="E129" s="6" t="inlineStr">
        <is>
          <t>30.0</t>
        </is>
      </c>
      <c r="F129" s="7" t="n">
        <v>60</v>
      </c>
      <c r="G129" s="7" t="n">
        <v>2</v>
      </c>
      <c r="H129" s="7" t="n">
        <v>3</v>
      </c>
      <c r="I129" s="7" t="n">
        <v>1</v>
      </c>
      <c r="J129" s="8" t="n">
        <v>544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00186504031</t>
        </is>
      </c>
      <c r="D130" s="5" t="inlineStr">
        <is>
          <t>NEXIUM 40MG CAPSULE</t>
        </is>
      </c>
      <c r="E130" s="6" t="inlineStr">
        <is>
          <t>30.0</t>
        </is>
      </c>
      <c r="F130" s="7" t="n">
        <v>60</v>
      </c>
      <c r="G130" s="7" t="n">
        <v>2</v>
      </c>
      <c r="H130" s="7" t="n">
        <v>5</v>
      </c>
      <c r="I130" s="7" t="n">
        <v>3</v>
      </c>
      <c r="J130" s="8" t="n">
        <v>524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99073070822</t>
        </is>
      </c>
      <c r="D131" s="5" t="inlineStr">
        <is>
          <t>FREESTYLE LITE TEST  STRIP</t>
        </is>
      </c>
      <c r="E131" s="6" t="inlineStr">
        <is>
          <t>50.0</t>
        </is>
      </c>
      <c r="F131" s="7" t="n">
        <v>400</v>
      </c>
      <c r="G131" s="7" t="n">
        <v>8</v>
      </c>
      <c r="H131" s="7" t="n">
        <v>10</v>
      </c>
      <c r="I131" s="7" t="n">
        <v>2</v>
      </c>
      <c r="J131" s="8" t="n">
        <v>523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70377007913</t>
        </is>
      </c>
      <c r="D132" s="5" t="inlineStr">
        <is>
          <t>ATORVASTATIN 40MG TABLET</t>
        </is>
      </c>
      <c r="E132" s="6" t="inlineStr">
        <is>
          <t>1000.0</t>
        </is>
      </c>
      <c r="F132" s="7" t="n">
        <v>4950</v>
      </c>
      <c r="G132" s="7" t="n">
        <v>4.95</v>
      </c>
      <c r="H132" s="7" t="n">
        <v>2</v>
      </c>
      <c r="I132" s="7" t="n">
        <v>-2.95</v>
      </c>
      <c r="J132" s="8" t="n">
        <v>519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00597010061</t>
        </is>
      </c>
      <c r="D133" s="5" t="inlineStr">
        <is>
          <t>SPIRIVA RESPIMAT 2.5MCG/ACT AEROSOL</t>
        </is>
      </c>
      <c r="E133" s="6" t="inlineStr">
        <is>
          <t>4.0</t>
        </is>
      </c>
      <c r="F133" s="7" t="n">
        <v>4</v>
      </c>
      <c r="G133" s="7" t="n">
        <v>1</v>
      </c>
      <c r="H133" s="7" t="n">
        <v>0</v>
      </c>
      <c r="I133" s="7" t="n">
        <v>-1</v>
      </c>
      <c r="J133" s="8" t="n">
        <v>515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00597030045</t>
        </is>
      </c>
      <c r="D134" s="5" t="inlineStr">
        <is>
          <t>SYNJARDY XR 12.5-1000 MG TABLET ER</t>
        </is>
      </c>
      <c r="E134" s="6" t="inlineStr">
        <is>
          <t>60.0</t>
        </is>
      </c>
      <c r="F134" s="7" t="n">
        <v>90</v>
      </c>
      <c r="G134" s="7" t="n">
        <v>1.5</v>
      </c>
      <c r="H134" s="7" t="n">
        <v>0</v>
      </c>
      <c r="I134" s="7" t="n">
        <v>-1.5</v>
      </c>
      <c r="J134" s="8" t="n">
        <v>514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64764073030</t>
        </is>
      </c>
      <c r="D135" s="5" t="inlineStr">
        <is>
          <t>TRINTELLIX 10MG TABLET</t>
        </is>
      </c>
      <c r="E135" s="6" t="inlineStr">
        <is>
          <t>30.0</t>
        </is>
      </c>
      <c r="F135" s="7" t="n">
        <v>30</v>
      </c>
      <c r="G135" s="7" t="n">
        <v>1</v>
      </c>
      <c r="H135" s="7" t="n">
        <v>0</v>
      </c>
      <c r="I135" s="7" t="n">
        <v>-1</v>
      </c>
      <c r="J135" s="8" t="n">
        <v>513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71571033383</t>
        </is>
      </c>
      <c r="D136" s="5" t="inlineStr">
        <is>
          <t>EYSUVIS 0.25 % OPHTHALMIC SUSPENSION</t>
        </is>
      </c>
      <c r="E136" s="6" t="inlineStr">
        <is>
          <t>8.3</t>
        </is>
      </c>
      <c r="F136" s="7" t="n">
        <v>8.300000000000001</v>
      </c>
      <c r="G136" s="7" t="n">
        <v>1</v>
      </c>
      <c r="H136" s="7" t="n">
        <v>0</v>
      </c>
      <c r="I136" s="7" t="n">
        <v>-1</v>
      </c>
      <c r="J136" s="8" t="n">
        <v>508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00054032856</t>
        </is>
      </c>
      <c r="D137" s="5" t="inlineStr">
        <is>
          <t>FLUTICASONE-SALMETEROL 500-50 MCG/ACT INH AEROSOL</t>
        </is>
      </c>
      <c r="E137" s="6" t="inlineStr">
        <is>
          <t>60.0</t>
        </is>
      </c>
      <c r="F137" s="7" t="n">
        <v>180</v>
      </c>
      <c r="G137" s="7" t="n">
        <v>3</v>
      </c>
      <c r="H137" s="7" t="n">
        <v>0</v>
      </c>
      <c r="I137" s="7" t="n">
        <v>-3</v>
      </c>
      <c r="J137" s="8" t="n">
        <v>508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51672125903</t>
        </is>
      </c>
      <c r="D138" s="5" t="inlineStr">
        <is>
          <t>CLOBETASOL PROPIONATE 0.05% OINTMENT</t>
        </is>
      </c>
      <c r="E138" s="6" t="inlineStr">
        <is>
          <t>60.0</t>
        </is>
      </c>
      <c r="F138" s="7" t="n">
        <v>180</v>
      </c>
      <c r="G138" s="7" t="n">
        <v>3</v>
      </c>
      <c r="H138" s="7" t="n">
        <v>0</v>
      </c>
      <c r="I138" s="7" t="n">
        <v>-3</v>
      </c>
      <c r="J138" s="8" t="n">
        <v>484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00574062105</t>
        </is>
      </c>
      <c r="D139" s="5" t="inlineStr">
        <is>
          <t>PODOFILOX 0.5 % EXTERNAL GEL</t>
        </is>
      </c>
      <c r="E139" s="6" t="inlineStr">
        <is>
          <t>3.5</t>
        </is>
      </c>
      <c r="F139" s="7" t="n">
        <v>3.5</v>
      </c>
      <c r="G139" s="7" t="n">
        <v>1</v>
      </c>
      <c r="H139" s="7" t="n">
        <v>0</v>
      </c>
      <c r="I139" s="7" t="n">
        <v>-1</v>
      </c>
      <c r="J139" s="8" t="n">
        <v>480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00006022131</t>
        </is>
      </c>
      <c r="D140" s="5" t="inlineStr">
        <is>
          <t>JANUVIA 25MG TABLET</t>
        </is>
      </c>
      <c r="E140" s="6" t="inlineStr">
        <is>
          <t>30.0</t>
        </is>
      </c>
      <c r="F140" s="7" t="n">
        <v>120</v>
      </c>
      <c r="G140" s="7" t="n">
        <v>4</v>
      </c>
      <c r="H140" s="7" t="n">
        <v>0</v>
      </c>
      <c r="I140" s="7" t="n">
        <v>-4</v>
      </c>
      <c r="J140" s="8" t="n">
        <v>479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00173086910</t>
        </is>
      </c>
      <c r="D141" s="5" t="inlineStr">
        <is>
          <t>ANORO ELLIPTA 62.5-25MCG/INH AEROSOL 60EA</t>
        </is>
      </c>
      <c r="E141" s="6" t="inlineStr">
        <is>
          <t>60.0</t>
        </is>
      </c>
      <c r="F141" s="7" t="n">
        <v>60</v>
      </c>
      <c r="G141" s="7" t="n">
        <v>1</v>
      </c>
      <c r="H141" s="7" t="n">
        <v>1</v>
      </c>
      <c r="I141" s="7" t="n">
        <v>0</v>
      </c>
      <c r="J141" s="8" t="n">
        <v>465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00074732713</t>
        </is>
      </c>
      <c r="D142" s="5" t="inlineStr">
        <is>
          <t>DEPAKOTE 500MG TABLET DELAYED RELEASE</t>
        </is>
      </c>
      <c r="E142" s="6" t="inlineStr">
        <is>
          <t>100.0</t>
        </is>
      </c>
      <c r="F142" s="7" t="n">
        <v>60</v>
      </c>
      <c r="G142" s="7" t="n">
        <v>0.6</v>
      </c>
      <c r="H142" s="7" t="n">
        <v>1</v>
      </c>
      <c r="I142" s="7" t="n">
        <v>0.4</v>
      </c>
      <c r="J142" s="8" t="n">
        <v>458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59310030240</t>
        </is>
      </c>
      <c r="D143" s="5" t="inlineStr">
        <is>
          <t>QVAR REDIHALER 40MCG/ACT AEROSOL</t>
        </is>
      </c>
      <c r="E143" s="6" t="inlineStr">
        <is>
          <t>10.6</t>
        </is>
      </c>
      <c r="F143" s="7" t="n">
        <v>21.2</v>
      </c>
      <c r="G143" s="7" t="n">
        <v>2</v>
      </c>
      <c r="H143" s="7" t="n">
        <v>0</v>
      </c>
      <c r="I143" s="7" t="n">
        <v>-2</v>
      </c>
      <c r="J143" s="8" t="n">
        <v>438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00173071720</t>
        </is>
      </c>
      <c r="D144" s="5" t="inlineStr">
        <is>
          <t>ADVAIR HFA 230-21 MCG/ACT INHALATION AEROSOL</t>
        </is>
      </c>
      <c r="E144" s="6" t="inlineStr">
        <is>
          <t>12.0</t>
        </is>
      </c>
      <c r="F144" s="7" t="n">
        <v>12</v>
      </c>
      <c r="G144" s="7" t="n">
        <v>1</v>
      </c>
      <c r="H144" s="7" t="n">
        <v>0</v>
      </c>
      <c r="I144" s="7" t="n">
        <v>-1</v>
      </c>
      <c r="J144" s="8" t="n">
        <v>431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00093598527</t>
        </is>
      </c>
      <c r="D145" s="5" t="inlineStr">
        <is>
          <t>EPINEPHRINE (JR) 0.15MG/0.3ML</t>
        </is>
      </c>
      <c r="E145" s="6" t="inlineStr">
        <is>
          <t>2.0</t>
        </is>
      </c>
      <c r="F145" s="7" t="n">
        <v>4</v>
      </c>
      <c r="G145" s="7" t="n">
        <v>2</v>
      </c>
      <c r="H145" s="7" t="n">
        <v>2</v>
      </c>
      <c r="I145" s="7" t="n">
        <v>0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00173088810</t>
        </is>
      </c>
      <c r="D146" s="5" t="inlineStr">
        <is>
          <t>ARNUITY ELLIPTA 50 MCG/ACT INHAEROSOL</t>
        </is>
      </c>
      <c r="E146" s="6" t="inlineStr">
        <is>
          <t>30.0</t>
        </is>
      </c>
      <c r="F146" s="7" t="n">
        <v>60</v>
      </c>
      <c r="G146" s="7" t="n">
        <v>2</v>
      </c>
      <c r="H146" s="7" t="n">
        <v>0</v>
      </c>
      <c r="I146" s="7" t="n">
        <v>-2</v>
      </c>
      <c r="J146" s="8" t="n">
        <v>408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65162035803</t>
        </is>
      </c>
      <c r="D147" s="5" t="inlineStr">
        <is>
          <t>ZAFEMY 150-35 MCG/24HR TRANSDERMAL PATCH WEEKLY</t>
        </is>
      </c>
      <c r="E147" s="6" t="inlineStr">
        <is>
          <t>3.0</t>
        </is>
      </c>
      <c r="F147" s="7" t="n">
        <v>12</v>
      </c>
      <c r="G147" s="7" t="n">
        <v>4</v>
      </c>
      <c r="H147" s="7" t="n">
        <v>3</v>
      </c>
      <c r="I147" s="7" t="n">
        <v>-1</v>
      </c>
      <c r="J147" s="8" t="n">
        <v>401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66993007896</t>
        </is>
      </c>
      <c r="D148" s="5" t="inlineStr">
        <is>
          <t>FLUTICASONE PROPIONATE HFA 44 MCG/ACT INH AEROSOL</t>
        </is>
      </c>
      <c r="E148" s="6" t="inlineStr">
        <is>
          <t>10.6</t>
        </is>
      </c>
      <c r="F148" s="7" t="n">
        <v>31.8</v>
      </c>
      <c r="G148" s="7" t="n">
        <v>3</v>
      </c>
      <c r="H148" s="7" t="n">
        <v>0</v>
      </c>
      <c r="I148" s="7" t="n">
        <v>-3</v>
      </c>
      <c r="J148" s="8" t="n">
        <v>399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00168041699</t>
        </is>
      </c>
      <c r="D149" s="5" t="inlineStr">
        <is>
          <t>TACROLIMUS 0.1% OINTMENT</t>
        </is>
      </c>
      <c r="E149" s="6" t="inlineStr">
        <is>
          <t>100.0</t>
        </is>
      </c>
      <c r="F149" s="7" t="n">
        <v>100</v>
      </c>
      <c r="G149" s="7" t="n">
        <v>1</v>
      </c>
      <c r="H149" s="7" t="n">
        <v>1</v>
      </c>
      <c r="I149" s="7" t="n">
        <v>0</v>
      </c>
      <c r="J149" s="8" t="n">
        <v>390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00173088210</t>
        </is>
      </c>
      <c r="D150" s="5" t="inlineStr">
        <is>
          <t>BREO ELLIPTA 200-25MCG/INH AEROSOL 60EA</t>
        </is>
      </c>
      <c r="E150" s="6" t="inlineStr">
        <is>
          <t>60.0</t>
        </is>
      </c>
      <c r="F150" s="7" t="n">
        <v>60</v>
      </c>
      <c r="G150" s="7" t="n">
        <v>1</v>
      </c>
      <c r="H150" s="7" t="n">
        <v>0</v>
      </c>
      <c r="I150" s="7" t="n">
        <v>-1</v>
      </c>
      <c r="J150" s="8" t="n">
        <v>387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59762033302</t>
        </is>
      </c>
      <c r="D152" s="5" t="inlineStr">
        <is>
          <t>LATANOPROST 0.005 % OPHTHALMIC SOLUTION</t>
        </is>
      </c>
      <c r="E152" s="6" t="inlineStr">
        <is>
          <t>2.5</t>
        </is>
      </c>
      <c r="F152" s="7" t="n">
        <v>197.5</v>
      </c>
      <c r="G152" s="7" t="n">
        <v>79</v>
      </c>
      <c r="H152" s="7" t="n">
        <v>48</v>
      </c>
      <c r="I152" s="7" t="n">
        <v>-31</v>
      </c>
      <c r="J152" s="8" t="n">
        <v>382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47781023005</t>
        </is>
      </c>
      <c r="D153" s="5" t="inlineStr">
        <is>
          <t>OXYCODONE-APAP 10-325MG TABLET</t>
        </is>
      </c>
      <c r="E153" s="6" t="inlineStr">
        <is>
          <t>500.0</t>
        </is>
      </c>
      <c r="F153" s="7" t="n">
        <v>1990</v>
      </c>
      <c r="G153" s="7" t="n">
        <v>3.98</v>
      </c>
      <c r="H153" s="7" t="n">
        <v>4</v>
      </c>
      <c r="I153" s="7" t="n">
        <v>0.02000000000000002</v>
      </c>
      <c r="J153" s="8" t="n">
        <v>380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00006537303</t>
        </is>
      </c>
      <c r="D154" s="5" t="inlineStr">
        <is>
          <t>SEGLUROMET 2.5-1000MG TABLET</t>
        </is>
      </c>
      <c r="E154" s="6" t="inlineStr">
        <is>
          <t>60.0</t>
        </is>
      </c>
      <c r="F154" s="7" t="n">
        <v>60</v>
      </c>
      <c r="G154" s="7" t="n">
        <v>1</v>
      </c>
      <c r="H154" s="7" t="n">
        <v>0</v>
      </c>
      <c r="I154" s="7" t="n">
        <v>-1</v>
      </c>
      <c r="J154" s="8" t="n">
        <v>353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270</v>
      </c>
      <c r="G155" s="7" t="n">
        <v>6</v>
      </c>
      <c r="H155" s="7" t="n">
        <v>0</v>
      </c>
      <c r="I155" s="7" t="n">
        <v>-6</v>
      </c>
      <c r="J155" s="8" t="n">
        <v>349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00597017560</t>
        </is>
      </c>
      <c r="D156" s="5" t="inlineStr">
        <is>
          <t>SYNJARDY 5-1000 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2</v>
      </c>
      <c r="I156" s="7" t="n">
        <v>1</v>
      </c>
      <c r="J156" s="8" t="n">
        <v>346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62856040530</t>
        </is>
      </c>
      <c r="D157" s="5" t="inlineStr">
        <is>
          <t>DAYVIGO 5 MG ORAL TABLET</t>
        </is>
      </c>
      <c r="E157" s="6" t="inlineStr">
        <is>
          <t>30.0</t>
        </is>
      </c>
      <c r="F157" s="7" t="n">
        <v>30</v>
      </c>
      <c r="G157" s="7" t="n">
        <v>1</v>
      </c>
      <c r="H157" s="7" t="n">
        <v>1</v>
      </c>
      <c r="I157" s="7" t="n">
        <v>0</v>
      </c>
      <c r="J157" s="8" t="n">
        <v>345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64380073706</t>
        </is>
      </c>
      <c r="D158" s="5" t="inlineStr">
        <is>
          <t>VITAMIN D 50 000 U CAPSULE</t>
        </is>
      </c>
      <c r="E158" s="6" t="inlineStr">
        <is>
          <t>100.0</t>
        </is>
      </c>
      <c r="F158" s="7" t="n">
        <v>317</v>
      </c>
      <c r="G158" s="7" t="n">
        <v>3.17</v>
      </c>
      <c r="H158" s="7" t="n">
        <v>4</v>
      </c>
      <c r="I158" s="7" t="n">
        <v>0.8300000000000001</v>
      </c>
      <c r="J158" s="8" t="n">
        <v>343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68462031065</t>
        </is>
      </c>
      <c r="D159" s="5" t="inlineStr">
        <is>
          <t>CALCIPOTRIENE 0.005 % EXTERNAL OINTMENT</t>
        </is>
      </c>
      <c r="E159" s="6" t="inlineStr">
        <is>
          <t>60.0</t>
        </is>
      </c>
      <c r="F159" s="7" t="n">
        <v>120</v>
      </c>
      <c r="G159" s="7" t="n">
        <v>2</v>
      </c>
      <c r="H159" s="7" t="n">
        <v>1</v>
      </c>
      <c r="I159" s="7" t="n">
        <v>-1</v>
      </c>
      <c r="J159" s="8" t="n">
        <v>339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00597016860</t>
        </is>
      </c>
      <c r="D160" s="5" t="inlineStr">
        <is>
          <t>SYNJARDY 12.5-1000MG TABLET</t>
        </is>
      </c>
      <c r="E160" s="6" t="inlineStr">
        <is>
          <t>60.0</t>
        </is>
      </c>
      <c r="F160" s="7" t="n">
        <v>60</v>
      </c>
      <c r="G160" s="7" t="n">
        <v>1</v>
      </c>
      <c r="H160" s="7" t="n">
        <v>0</v>
      </c>
      <c r="I160" s="7" t="n">
        <v>-1</v>
      </c>
      <c r="J160" s="8" t="n">
        <v>333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31722062921</t>
        </is>
      </c>
      <c r="D161" s="5" t="inlineStr">
        <is>
          <t>ATOVAQUONE 750 MG/5ML ORAL SUSPENSION</t>
        </is>
      </c>
      <c r="E161" s="6" t="inlineStr">
        <is>
          <t>210.0</t>
        </is>
      </c>
      <c r="F161" s="7" t="n">
        <v>510</v>
      </c>
      <c r="G161" s="7" t="n">
        <v>2.428571428571428</v>
      </c>
      <c r="H161" s="7" t="n">
        <v>1</v>
      </c>
      <c r="I161" s="7" t="n">
        <v>-1.428571428571428</v>
      </c>
      <c r="J161" s="8" t="n">
        <v>323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00591352530</t>
        </is>
      </c>
      <c r="D162" s="5" t="inlineStr">
        <is>
          <t xml:space="preserve">LIDOCAINE 5% PATCH </t>
        </is>
      </c>
      <c r="E162" s="6" t="inlineStr">
        <is>
          <t>30.0</t>
        </is>
      </c>
      <c r="F162" s="7" t="n">
        <v>120</v>
      </c>
      <c r="G162" s="7" t="n">
        <v>4</v>
      </c>
      <c r="H162" s="7" t="n">
        <v>0</v>
      </c>
      <c r="I162" s="7" t="n">
        <v>-4</v>
      </c>
      <c r="J162" s="8" t="n">
        <v>323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52817080030</t>
        </is>
      </c>
      <c r="D163" s="5" t="inlineStr">
        <is>
          <t xml:space="preserve">CLOTRIMAZOLE 1 % SOLUTION </t>
        </is>
      </c>
      <c r="E163" s="6" t="inlineStr">
        <is>
          <t>30.0</t>
        </is>
      </c>
      <c r="F163" s="7" t="n">
        <v>330</v>
      </c>
      <c r="G163" s="7" t="n">
        <v>11</v>
      </c>
      <c r="H163" s="7" t="n">
        <v>0</v>
      </c>
      <c r="I163" s="7" t="n">
        <v>-11</v>
      </c>
      <c r="J163" s="8" t="n">
        <v>316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00003376474</t>
        </is>
      </c>
      <c r="D164" s="5" t="inlineStr">
        <is>
          <t>ELIQUIS DVT/PE STARTER PACK 5 MG ORAL TABLET THERAPY PACK</t>
        </is>
      </c>
      <c r="E164" s="6" t="inlineStr">
        <is>
          <t>74.0</t>
        </is>
      </c>
      <c r="F164" s="7" t="n">
        <v>74</v>
      </c>
      <c r="G164" s="7" t="n">
        <v>1</v>
      </c>
      <c r="H164" s="7" t="n">
        <v>1</v>
      </c>
      <c r="I164" s="7" t="n">
        <v>0</v>
      </c>
      <c r="J164" s="8" t="n">
        <v>306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72205028260</t>
        </is>
      </c>
      <c r="D165" s="5" t="inlineStr">
        <is>
          <t>SACUBITRIL-VALSARTAN 97-103 MG ORAL TABLET</t>
        </is>
      </c>
      <c r="E165" s="6" t="inlineStr">
        <is>
          <t>60.0</t>
        </is>
      </c>
      <c r="F165" s="7" t="n">
        <v>540</v>
      </c>
      <c r="G165" s="7" t="n">
        <v>9</v>
      </c>
      <c r="H165" s="7" t="n">
        <v>0</v>
      </c>
      <c r="I165" s="7" t="n">
        <v>-9</v>
      </c>
      <c r="J165" s="8" t="n">
        <v>304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08627007801</t>
        </is>
      </c>
      <c r="D166" s="5" t="inlineStr">
        <is>
          <t>DEXCOM G7 RECEIVER DEVICE</t>
        </is>
      </c>
      <c r="E166" s="6" t="inlineStr">
        <is>
          <t>1.0</t>
        </is>
      </c>
      <c r="F166" s="7" t="n">
        <v>1</v>
      </c>
      <c r="G166" s="7" t="n">
        <v>1</v>
      </c>
      <c r="H166" s="7" t="n">
        <v>1</v>
      </c>
      <c r="I166" s="7" t="n">
        <v>0</v>
      </c>
      <c r="J166" s="8" t="n">
        <v>299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64764017530</t>
        </is>
      </c>
      <c r="D167" s="5" t="inlineStr">
        <is>
          <t xml:space="preserve">DEXILANT 60MG CAP </t>
        </is>
      </c>
      <c r="E167" s="6" t="inlineStr">
        <is>
          <t>30.0</t>
        </is>
      </c>
      <c r="F167" s="7" t="n">
        <v>30</v>
      </c>
      <c r="G167" s="7" t="n">
        <v>1</v>
      </c>
      <c r="H167" s="7" t="n">
        <v>0</v>
      </c>
      <c r="I167" s="7" t="n">
        <v>-1</v>
      </c>
      <c r="J167" s="8" t="n">
        <v>293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00093372755</t>
        </is>
      </c>
      <c r="D168" s="5" t="inlineStr">
        <is>
          <t>DICLOFENAC EPOLAMINE 1.3 % PATCH</t>
        </is>
      </c>
      <c r="E168" s="6" t="inlineStr">
        <is>
          <t>30.0</t>
        </is>
      </c>
      <c r="F168" s="7" t="n">
        <v>60</v>
      </c>
      <c r="G168" s="7" t="n">
        <v>2</v>
      </c>
      <c r="H168" s="7" t="n">
        <v>1</v>
      </c>
      <c r="I168" s="7" t="n">
        <v>-1</v>
      </c>
      <c r="J168" s="8" t="n">
        <v>284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43598098160</t>
        </is>
      </c>
      <c r="D169" s="5" t="inlineStr">
        <is>
          <t>RIVAROXABAN 2.5 MG ORAL TABLET</t>
        </is>
      </c>
      <c r="E169" s="6" t="inlineStr">
        <is>
          <t>60.0</t>
        </is>
      </c>
      <c r="F169" s="7" t="n">
        <v>60</v>
      </c>
      <c r="G169" s="7" t="n">
        <v>1</v>
      </c>
      <c r="H169" s="7" t="n">
        <v>1</v>
      </c>
      <c r="I169" s="7" t="n">
        <v>0</v>
      </c>
      <c r="J169" s="8" t="n">
        <v>278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72205028018</t>
        </is>
      </c>
      <c r="D170" s="5" t="inlineStr">
        <is>
          <t>SACUBITRIL-VALSARTAN 24-26 MG ORAL TABLET</t>
        </is>
      </c>
      <c r="E170" s="6" t="inlineStr">
        <is>
          <t>180.0</t>
        </is>
      </c>
      <c r="F170" s="7" t="n">
        <v>420</v>
      </c>
      <c r="G170" s="7" t="n">
        <v>2.333333333333333</v>
      </c>
      <c r="H170" s="7" t="n">
        <v>9</v>
      </c>
      <c r="I170" s="7" t="n">
        <v>6.666666666666666</v>
      </c>
      <c r="J170" s="8" t="n">
        <v>273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69238173306</t>
        </is>
      </c>
      <c r="D171" s="5" t="inlineStr">
        <is>
          <t>DOXEPIN HCL 5 % EXTERNAL CREAM</t>
        </is>
      </c>
      <c r="E171" s="6" t="inlineStr">
        <is>
          <t>45.0</t>
        </is>
      </c>
      <c r="F171" s="7" t="n">
        <v>45</v>
      </c>
      <c r="G171" s="7" t="n">
        <v>1</v>
      </c>
      <c r="H171" s="7" t="n">
        <v>1</v>
      </c>
      <c r="I171" s="7" t="n">
        <v>0</v>
      </c>
      <c r="J171" s="8" t="n">
        <v>271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51672130009</t>
        </is>
      </c>
      <c r="D172" s="5" t="inlineStr">
        <is>
          <t>AMMONIUM LACTATE 12 % EXTERNAL LOTION</t>
        </is>
      </c>
      <c r="E172" s="6" t="inlineStr">
        <is>
          <t>400.0</t>
        </is>
      </c>
      <c r="F172" s="7" t="n">
        <v>5600</v>
      </c>
      <c r="G172" s="7" t="n">
        <v>14</v>
      </c>
      <c r="H172" s="7" t="n">
        <v>0</v>
      </c>
      <c r="I172" s="7" t="n">
        <v>-14</v>
      </c>
      <c r="J172" s="8" t="n">
        <v>264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91237000178</t>
        </is>
      </c>
      <c r="D173" s="5" t="inlineStr">
        <is>
          <t>BLOOD PRESSURE MACHINE ***  *TALKING SENSE</t>
        </is>
      </c>
      <c r="E173" s="6" t="inlineStr">
        <is>
          <t>1.0</t>
        </is>
      </c>
      <c r="F173" s="7" t="n">
        <v>5</v>
      </c>
      <c r="G173" s="7" t="n">
        <v>5</v>
      </c>
      <c r="H173" s="7" t="n">
        <v>0</v>
      </c>
      <c r="I173" s="7" t="n">
        <v>-5</v>
      </c>
      <c r="J173" s="8" t="n">
        <v>252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68462039710</t>
        </is>
      </c>
      <c r="D174" s="5" t="inlineStr">
        <is>
          <t>OMEPRAZOLE 40MG CAPSULE DR</t>
        </is>
      </c>
      <c r="E174" s="6" t="inlineStr">
        <is>
          <t>1000.0</t>
        </is>
      </c>
      <c r="F174" s="7" t="n">
        <v>2587</v>
      </c>
      <c r="G174" s="7" t="n">
        <v>2.587</v>
      </c>
      <c r="H174" s="7" t="n">
        <v>0</v>
      </c>
      <c r="I174" s="7" t="n">
        <v>-2.587</v>
      </c>
      <c r="J174" s="8" t="n">
        <v>248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00054032756</t>
        </is>
      </c>
      <c r="D175" s="5" t="inlineStr">
        <is>
          <t>FLUTICASONE-SALMETEROL 250-50 MCG/ACT INH AEROSOL</t>
        </is>
      </c>
      <c r="E175" s="6" t="inlineStr">
        <is>
          <t>60.0</t>
        </is>
      </c>
      <c r="F175" s="7" t="n">
        <v>240</v>
      </c>
      <c r="G175" s="7" t="n">
        <v>4</v>
      </c>
      <c r="H175" s="7" t="n">
        <v>6</v>
      </c>
      <c r="I175" s="7" t="n">
        <v>2</v>
      </c>
      <c r="J175" s="8" t="n">
        <v>247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68462028132</t>
        </is>
      </c>
      <c r="D176" s="5" t="inlineStr">
        <is>
          <t>BRIMONIDINE TARTRATE-TIMOLOL 0.2-0.5 % OPHTHALMIC SOLUTION</t>
        </is>
      </c>
      <c r="E176" s="6" t="inlineStr">
        <is>
          <t>10.0</t>
        </is>
      </c>
      <c r="F176" s="7" t="n">
        <v>20</v>
      </c>
      <c r="G176" s="7" t="n">
        <v>2</v>
      </c>
      <c r="H176" s="7" t="n">
        <v>1</v>
      </c>
      <c r="I176" s="7" t="n">
        <v>-1</v>
      </c>
      <c r="J176" s="8" t="n">
        <v>247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00378932232</t>
        </is>
      </c>
      <c r="D177" s="5" t="inlineStr">
        <is>
          <t>WIXELA INHUB 500-50 MCG/ACT INH AEROSOL</t>
        </is>
      </c>
      <c r="E177" s="6" t="inlineStr">
        <is>
          <t>60.0</t>
        </is>
      </c>
      <c r="F177" s="7" t="n">
        <v>180</v>
      </c>
      <c r="G177" s="7" t="n">
        <v>3</v>
      </c>
      <c r="H177" s="7" t="n">
        <v>0</v>
      </c>
      <c r="I177" s="7" t="n">
        <v>-3</v>
      </c>
      <c r="J177" s="8" t="n">
        <v>244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00173071520</t>
        </is>
      </c>
      <c r="D178" s="5" t="inlineStr">
        <is>
          <t>ADVAIR HFA 45-21 MCG/ACT INHALATION AEROSOL 12GM</t>
        </is>
      </c>
      <c r="E178" s="6" t="inlineStr">
        <is>
          <t>12.0</t>
        </is>
      </c>
      <c r="F178" s="7" t="n">
        <v>12</v>
      </c>
      <c r="G178" s="7" t="n">
        <v>1</v>
      </c>
      <c r="H178" s="7" t="n">
        <v>3</v>
      </c>
      <c r="I178" s="7" t="n">
        <v>2</v>
      </c>
      <c r="J178" s="8" t="n">
        <v>238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00480268806</t>
        </is>
      </c>
      <c r="D179" s="5" t="inlineStr">
        <is>
          <t>TICAGRELOR 60 MG ORAL TABLET</t>
        </is>
      </c>
      <c r="E179" s="6" t="inlineStr">
        <is>
          <t>60.0</t>
        </is>
      </c>
      <c r="F179" s="7" t="n">
        <v>60</v>
      </c>
      <c r="G179" s="7" t="n">
        <v>1</v>
      </c>
      <c r="H179" s="7" t="n">
        <v>0</v>
      </c>
      <c r="I179" s="7" t="n">
        <v>-1</v>
      </c>
      <c r="J179" s="8" t="n">
        <v>238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00002822259</t>
        </is>
      </c>
      <c r="D180" s="5" t="inlineStr">
        <is>
          <t>INSULIN LISPRO 100 UNIT/ML SQ SOLUTION</t>
        </is>
      </c>
      <c r="E180" s="6" t="inlineStr">
        <is>
          <t>15.0</t>
        </is>
      </c>
      <c r="F180" s="7" t="n">
        <v>21</v>
      </c>
      <c r="G180" s="7" t="n">
        <v>1.4</v>
      </c>
      <c r="H180" s="7" t="n">
        <v>0</v>
      </c>
      <c r="I180" s="7" t="n">
        <v>-1.4</v>
      </c>
      <c r="J180" s="8" t="n">
        <v>235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65702071110</t>
        </is>
      </c>
      <c r="D181" s="5" t="inlineStr">
        <is>
          <t>ACCU-CHEK GUIDE IN VITRO STRIP</t>
        </is>
      </c>
      <c r="E181" s="6" t="inlineStr">
        <is>
          <t>50.0</t>
        </is>
      </c>
      <c r="F181" s="7" t="n">
        <v>600</v>
      </c>
      <c r="G181" s="7" t="n">
        <v>12</v>
      </c>
      <c r="H181" s="7" t="n">
        <v>4</v>
      </c>
      <c r="I181" s="7" t="n">
        <v>-8</v>
      </c>
      <c r="J181" s="8" t="n">
        <v>228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33342032186</t>
        </is>
      </c>
      <c r="D182" s="5" t="inlineStr">
        <is>
          <t>CLOBETASOL PROPIONATE 0.05 % SOLUTION</t>
        </is>
      </c>
      <c r="E182" s="6" t="inlineStr">
        <is>
          <t>50.0</t>
        </is>
      </c>
      <c r="F182" s="7" t="n">
        <v>250</v>
      </c>
      <c r="G182" s="7" t="n">
        <v>5</v>
      </c>
      <c r="H182" s="7" t="n">
        <v>5</v>
      </c>
      <c r="I182" s="7" t="n">
        <v>0</v>
      </c>
      <c r="J182" s="8" t="n">
        <v>227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00002773701</t>
        </is>
      </c>
      <c r="D183" s="5" t="inlineStr">
        <is>
          <t>INSULIN LISPRO 100 UNIT/ML INJECTION SOLUTION</t>
        </is>
      </c>
      <c r="E183" s="6" t="inlineStr">
        <is>
          <t>10.0</t>
        </is>
      </c>
      <c r="F183" s="7" t="n">
        <v>90</v>
      </c>
      <c r="G183" s="7" t="n">
        <v>9</v>
      </c>
      <c r="H183" s="7" t="n">
        <v>9</v>
      </c>
      <c r="I183" s="7" t="n">
        <v>0</v>
      </c>
      <c r="J183" s="8" t="n">
        <v>227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00168025846</t>
        </is>
      </c>
      <c r="D184" s="5" t="inlineStr">
        <is>
          <t>CLOTRIMAZOLE-BETAMETHASONE 1-0.05 % EXTERNAL CREAM</t>
        </is>
      </c>
      <c r="E184" s="6" t="inlineStr">
        <is>
          <t>45.0</t>
        </is>
      </c>
      <c r="F184" s="7" t="n">
        <v>540</v>
      </c>
      <c r="G184" s="7" t="n">
        <v>12</v>
      </c>
      <c r="H184" s="7" t="n">
        <v>6</v>
      </c>
      <c r="I184" s="7" t="n">
        <v>-6</v>
      </c>
      <c r="J184" s="8" t="n">
        <v>224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65862059805</t>
        </is>
      </c>
      <c r="D185" s="5" t="inlineStr">
        <is>
          <t>TAMSULOSIN 0.4MG CAPSULE</t>
        </is>
      </c>
      <c r="E185" s="6" t="inlineStr">
        <is>
          <t>500.0</t>
        </is>
      </c>
      <c r="F185" s="7" t="n">
        <v>1950</v>
      </c>
      <c r="G185" s="7" t="n">
        <v>3.9</v>
      </c>
      <c r="H185" s="7" t="n">
        <v>5</v>
      </c>
      <c r="I185" s="7" t="n">
        <v>1.1</v>
      </c>
      <c r="J185" s="8" t="n">
        <v>222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67877022305</t>
        </is>
      </c>
      <c r="D186" s="5" t="inlineStr">
        <is>
          <t>GABAPENTIN 300 MG CAPSULE</t>
        </is>
      </c>
      <c r="E186" s="6" t="inlineStr">
        <is>
          <t>500.0</t>
        </is>
      </c>
      <c r="F186" s="7" t="n">
        <v>3600</v>
      </c>
      <c r="G186" s="7" t="n">
        <v>7.2</v>
      </c>
      <c r="H186" s="7" t="n">
        <v>0</v>
      </c>
      <c r="I186" s="7" t="n">
        <v>-7.2</v>
      </c>
      <c r="J186" s="8" t="n">
        <v>222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23155076701</t>
        </is>
      </c>
      <c r="D187" s="5" t="inlineStr">
        <is>
          <t>TETRACYCLINE HCL 500 MG ORAL CAPSULE</t>
        </is>
      </c>
      <c r="E187" s="6" t="inlineStr">
        <is>
          <t>100.0</t>
        </is>
      </c>
      <c r="F187" s="7" t="n">
        <v>168</v>
      </c>
      <c r="G187" s="7" t="n">
        <v>1.68</v>
      </c>
      <c r="H187" s="7" t="n">
        <v>0</v>
      </c>
      <c r="I187" s="7" t="n">
        <v>-1.68</v>
      </c>
      <c r="J187" s="8" t="n">
        <v>220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00065414727</t>
        </is>
      </c>
      <c r="D188" s="5" t="inlineStr">
        <is>
          <t>SIMBRINZA 1-0.2 % OPHTHALMIC SUSPENSION</t>
        </is>
      </c>
      <c r="E188" s="6" t="inlineStr">
        <is>
          <t>8.0</t>
        </is>
      </c>
      <c r="F188" s="7" t="n">
        <v>8</v>
      </c>
      <c r="G188" s="7" t="n">
        <v>1</v>
      </c>
      <c r="H188" s="7" t="n">
        <v>0</v>
      </c>
      <c r="I188" s="7" t="n">
        <v>-1</v>
      </c>
      <c r="J188" s="8" t="n">
        <v>219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66993008096</t>
        </is>
      </c>
      <c r="D189" s="5" t="inlineStr">
        <is>
          <t>FLUTICASONE PROPIONATE HFA 220 MCG/ACT INHALATION AEROSOL</t>
        </is>
      </c>
      <c r="E189" s="6" t="inlineStr">
        <is>
          <t>12.0</t>
        </is>
      </c>
      <c r="F189" s="7" t="n">
        <v>12</v>
      </c>
      <c r="G189" s="7" t="n">
        <v>1</v>
      </c>
      <c r="H189" s="7" t="n">
        <v>0</v>
      </c>
      <c r="I189" s="7" t="n">
        <v>-1</v>
      </c>
      <c r="J189" s="8" t="n">
        <v>218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70377007813</t>
        </is>
      </c>
      <c r="D190" s="5" t="inlineStr">
        <is>
          <t>ATORVASTATIN 20MG TABLET</t>
        </is>
      </c>
      <c r="E190" s="6" t="inlineStr">
        <is>
          <t>1000.0</t>
        </is>
      </c>
      <c r="F190" s="7" t="n">
        <v>3120</v>
      </c>
      <c r="G190" s="7" t="n">
        <v>3.12</v>
      </c>
      <c r="H190" s="7" t="n">
        <v>4</v>
      </c>
      <c r="I190" s="7" t="n">
        <v>0.8799999999999999</v>
      </c>
      <c r="J190" s="8" t="n">
        <v>217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61314063710</t>
        </is>
      </c>
      <c r="D191" s="5" t="inlineStr">
        <is>
          <t>PREDNISOLONE ACETATE 1% SUSPENSION</t>
        </is>
      </c>
      <c r="E191" s="6" t="inlineStr">
        <is>
          <t>10.0</t>
        </is>
      </c>
      <c r="F191" s="7" t="n">
        <v>40</v>
      </c>
      <c r="G191" s="7" t="n">
        <v>4</v>
      </c>
      <c r="H191" s="7" t="n">
        <v>0</v>
      </c>
      <c r="I191" s="7" t="n">
        <v>-4</v>
      </c>
      <c r="J191" s="8" t="n">
        <v>216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08222440006</t>
        </is>
      </c>
      <c r="D192" s="5" t="inlineStr">
        <is>
          <t>ALCOHOL PADS ULTICARE</t>
        </is>
      </c>
      <c r="E192" s="6" t="inlineStr">
        <is>
          <t>100.0</t>
        </is>
      </c>
      <c r="F192" s="7" t="n">
        <v>4500</v>
      </c>
      <c r="G192" s="7" t="n">
        <v>45</v>
      </c>
      <c r="H192" s="7" t="n">
        <v>0</v>
      </c>
      <c r="I192" s="7" t="n">
        <v>-45</v>
      </c>
      <c r="J192" s="8" t="n">
        <v>215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00169255013</t>
        </is>
      </c>
      <c r="D193" s="5" t="inlineStr">
        <is>
          <t>TRESIBA FLEXTOUCH 200UNIT/ML INJECTION</t>
        </is>
      </c>
      <c r="E193" s="6" t="inlineStr">
        <is>
          <t>9.0</t>
        </is>
      </c>
      <c r="F193" s="7" t="n">
        <v>12</v>
      </c>
      <c r="G193" s="7" t="n">
        <v>1.333333333333333</v>
      </c>
      <c r="H193" s="7" t="n">
        <v>2</v>
      </c>
      <c r="I193" s="7" t="n">
        <v>0.6666666666666667</v>
      </c>
      <c r="J193" s="8" t="n">
        <v>211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31722000530</t>
        </is>
      </c>
      <c r="D194" s="5" t="inlineStr">
        <is>
          <t>MESALAMINE 1000 MG RECTAL SUPPOSITORY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2</v>
      </c>
      <c r="I194" s="7" t="n">
        <v>0</v>
      </c>
      <c r="J194" s="8" t="n">
        <v>206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61314063715</t>
        </is>
      </c>
      <c r="D195" s="5" t="inlineStr">
        <is>
          <t>PREDNISOLONE ACETATE 1% SUSPENSION</t>
        </is>
      </c>
      <c r="E195" s="6" t="inlineStr">
        <is>
          <t>15.0</t>
        </is>
      </c>
      <c r="F195" s="7" t="n">
        <v>45</v>
      </c>
      <c r="G195" s="7" t="n">
        <v>3</v>
      </c>
      <c r="H195" s="7" t="n">
        <v>0</v>
      </c>
      <c r="I195" s="7" t="n">
        <v>-3</v>
      </c>
      <c r="J195" s="8" t="n">
        <v>204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70010078005</t>
        </is>
      </c>
      <c r="D196" s="5" t="inlineStr">
        <is>
          <t>METOPROLOL SUCCINATE ER 25MG TABLET</t>
        </is>
      </c>
      <c r="E196" s="6" t="inlineStr">
        <is>
          <t>500.0</t>
        </is>
      </c>
      <c r="F196" s="7" t="n">
        <v>1590</v>
      </c>
      <c r="G196" s="7" t="n">
        <v>3.18</v>
      </c>
      <c r="H196" s="7" t="n">
        <v>2</v>
      </c>
      <c r="I196" s="7" t="n">
        <v>-1.18</v>
      </c>
      <c r="J196" s="8" t="n">
        <v>203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00074706890</t>
        </is>
      </c>
      <c r="D197" s="5" t="inlineStr">
        <is>
          <t>SYNTHROID 125 MCG ORAL TABLET</t>
        </is>
      </c>
      <c r="E197" s="6" t="inlineStr">
        <is>
          <t>90.0</t>
        </is>
      </c>
      <c r="F197" s="7" t="n">
        <v>120</v>
      </c>
      <c r="G197" s="7" t="n">
        <v>1.333333333333333</v>
      </c>
      <c r="H197" s="7" t="n">
        <v>1</v>
      </c>
      <c r="I197" s="7" t="n">
        <v>-0.3333333333333333</v>
      </c>
      <c r="J197" s="8" t="n">
        <v>202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83257001532</t>
        </is>
      </c>
      <c r="D198" s="5" t="inlineStr">
        <is>
          <t>INSULIN GLARGINE 100 UNIT/ML YFGN</t>
        </is>
      </c>
      <c r="E198" s="6" t="inlineStr">
        <is>
          <t>15.0</t>
        </is>
      </c>
      <c r="F198" s="7" t="n">
        <v>39</v>
      </c>
      <c r="G198" s="7" t="n">
        <v>2.6</v>
      </c>
      <c r="H198" s="7" t="n">
        <v>3</v>
      </c>
      <c r="I198" s="7" t="n">
        <v>0.3999999999999999</v>
      </c>
      <c r="J198" s="8" t="n">
        <v>198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70010078205</t>
        </is>
      </c>
      <c r="D199" s="5" t="inlineStr">
        <is>
          <t>METOPROLOL SUCCINATE ER 100MG TABLET</t>
        </is>
      </c>
      <c r="E199" s="6" t="inlineStr">
        <is>
          <t>500.0</t>
        </is>
      </c>
      <c r="F199" s="7" t="n">
        <v>1050</v>
      </c>
      <c r="G199" s="7" t="n">
        <v>2.1</v>
      </c>
      <c r="H199" s="7" t="n">
        <v>2</v>
      </c>
      <c r="I199" s="7" t="n">
        <v>-0.1000000000000001</v>
      </c>
      <c r="J199" s="8" t="n">
        <v>198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51672130100</t>
        </is>
      </c>
      <c r="D200" s="5" t="inlineStr">
        <is>
          <t>AMMONIUM LACTATE 12 % EXTERNAL CREAM</t>
        </is>
      </c>
      <c r="E200" s="6" t="inlineStr">
        <is>
          <t>385.0</t>
        </is>
      </c>
      <c r="F200" s="7" t="n">
        <v>3080</v>
      </c>
      <c r="G200" s="7" t="n">
        <v>8</v>
      </c>
      <c r="H200" s="7" t="n">
        <v>0</v>
      </c>
      <c r="I200" s="7" t="n">
        <v>-8</v>
      </c>
      <c r="J200" s="8" t="n">
        <v>196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70954066210</t>
        </is>
      </c>
      <c r="D201" s="5" t="inlineStr">
        <is>
          <t>KETOCONAZOLE 2 % EXTERNAL SHAMPOO</t>
        </is>
      </c>
      <c r="E201" s="6" t="inlineStr">
        <is>
          <t>120.0</t>
        </is>
      </c>
      <c r="F201" s="7" t="n">
        <v>2040</v>
      </c>
      <c r="G201" s="7" t="n">
        <v>17</v>
      </c>
      <c r="H201" s="7" t="n">
        <v>17</v>
      </c>
      <c r="I201" s="7" t="n">
        <v>0</v>
      </c>
      <c r="J201" s="8" t="n">
        <v>193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64380019801</t>
        </is>
      </c>
      <c r="D202" s="5" t="inlineStr">
        <is>
          <t>AMLODIPINE-VALSARTAN-HCTZ 5-160-25 MG ORAL TABLET</t>
        </is>
      </c>
      <c r="E202" s="6" t="inlineStr">
        <is>
          <t>30.0</t>
        </is>
      </c>
      <c r="F202" s="7" t="n">
        <v>30</v>
      </c>
      <c r="G202" s="7" t="n">
        <v>1</v>
      </c>
      <c r="H202" s="7" t="n">
        <v>0</v>
      </c>
      <c r="I202" s="7" t="n">
        <v>-1</v>
      </c>
      <c r="J202" s="8" t="n">
        <v>187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70010006599</t>
        </is>
      </c>
      <c r="D203" s="5" t="inlineStr">
        <is>
          <t>METFORMIN 1000MG TABLET</t>
        </is>
      </c>
      <c r="E203" s="6" t="inlineStr">
        <is>
          <t>1000.0</t>
        </is>
      </c>
      <c r="F203" s="7" t="n">
        <v>3450</v>
      </c>
      <c r="G203" s="7" t="n">
        <v>3.45</v>
      </c>
      <c r="H203" s="7" t="n">
        <v>4</v>
      </c>
      <c r="I203" s="7" t="n">
        <v>0.5499999999999998</v>
      </c>
      <c r="J203" s="8" t="n">
        <v>186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00169266015</t>
        </is>
      </c>
      <c r="D204" s="5" t="inlineStr">
        <is>
          <t>TRESIBA FLEXTOUCH 100UNIT/ML INJECTION</t>
        </is>
      </c>
      <c r="E204" s="6" t="inlineStr">
        <is>
          <t>15.0</t>
        </is>
      </c>
      <c r="F204" s="7" t="n">
        <v>21</v>
      </c>
      <c r="G204" s="7" t="n">
        <v>1.4</v>
      </c>
      <c r="H204" s="7" t="n">
        <v>4</v>
      </c>
      <c r="I204" s="7" t="n">
        <v>2.6</v>
      </c>
      <c r="J204" s="8" t="n">
        <v>183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00173069600</t>
        </is>
      </c>
      <c r="D205" s="5" t="inlineStr">
        <is>
          <t>ADVAIR DISKUS 250-50MCG/DOSE AEROSOL 60EA</t>
        </is>
      </c>
      <c r="E205" s="6" t="inlineStr">
        <is>
          <t>60.0</t>
        </is>
      </c>
      <c r="F205" s="7" t="n">
        <v>60</v>
      </c>
      <c r="G205" s="7" t="n">
        <v>1</v>
      </c>
      <c r="H205" s="7" t="n">
        <v>0</v>
      </c>
      <c r="I205" s="7" t="n">
        <v>-1</v>
      </c>
      <c r="J205" s="8" t="n">
        <v>183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47781023001</t>
        </is>
      </c>
      <c r="D206" s="5" t="inlineStr">
        <is>
          <t>OXYCODONE-ACETAMINOPHEN 10-325MG TABLET</t>
        </is>
      </c>
      <c r="E206" s="6" t="inlineStr">
        <is>
          <t>100.0</t>
        </is>
      </c>
      <c r="F206" s="7" t="n">
        <v>975</v>
      </c>
      <c r="G206" s="7" t="n">
        <v>9.75</v>
      </c>
      <c r="H206" s="7" t="n">
        <v>14</v>
      </c>
      <c r="I206" s="7" t="n">
        <v>4.25</v>
      </c>
      <c r="J206" s="8" t="n">
        <v>181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68462071171</t>
        </is>
      </c>
      <c r="D207" s="5" t="inlineStr">
        <is>
          <t>ESTRADIOL 10 MCG VAGINAL TABLET</t>
        </is>
      </c>
      <c r="E207" s="6" t="inlineStr">
        <is>
          <t>8.0</t>
        </is>
      </c>
      <c r="F207" s="7" t="n">
        <v>24</v>
      </c>
      <c r="G207" s="7" t="n">
        <v>3</v>
      </c>
      <c r="H207" s="7" t="n">
        <v>0</v>
      </c>
      <c r="I207" s="7" t="n">
        <v>-3</v>
      </c>
      <c r="J207" s="8" t="n">
        <v>176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59651043908</t>
        </is>
      </c>
      <c r="D208" s="5" t="inlineStr">
        <is>
          <t>ESTRADIOL 10 MCG VAGINAL TABLET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3</v>
      </c>
      <c r="I208" s="7" t="n">
        <v>0</v>
      </c>
      <c r="J208" s="8" t="n">
        <v>176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70377000913</t>
        </is>
      </c>
      <c r="D209" s="5" t="inlineStr">
        <is>
          <t>ROSUVASTATIN 40MG TABLET</t>
        </is>
      </c>
      <c r="E209" s="6" t="inlineStr">
        <is>
          <t>500.0</t>
        </is>
      </c>
      <c r="F209" s="7" t="n">
        <v>1050</v>
      </c>
      <c r="G209" s="7" t="n">
        <v>2.1</v>
      </c>
      <c r="H209" s="7" t="n">
        <v>0</v>
      </c>
      <c r="I209" s="7" t="n">
        <v>-2.1</v>
      </c>
      <c r="J209" s="8" t="n">
        <v>176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60505403301</t>
        </is>
      </c>
      <c r="D210" s="5" t="inlineStr">
        <is>
          <t>ICOSAPENT ETHYL 1GM CAPSULE</t>
        </is>
      </c>
      <c r="E210" s="6" t="inlineStr">
        <is>
          <t>120.0</t>
        </is>
      </c>
      <c r="F210" s="7" t="n">
        <v>360</v>
      </c>
      <c r="G210" s="7" t="n">
        <v>3</v>
      </c>
      <c r="H210" s="7" t="n">
        <v>0</v>
      </c>
      <c r="I210" s="7" t="n">
        <v>-3</v>
      </c>
      <c r="J210" s="8" t="n">
        <v>175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31722083330</t>
        </is>
      </c>
      <c r="D211" s="5" t="inlineStr">
        <is>
          <t>ENTECAVIR 0.5 MG ORAL TABLET</t>
        </is>
      </c>
      <c r="E211" s="6" t="inlineStr">
        <is>
          <t>30.0</t>
        </is>
      </c>
      <c r="F211" s="7" t="n">
        <v>180</v>
      </c>
      <c r="G211" s="7" t="n">
        <v>6</v>
      </c>
      <c r="H211" s="7" t="n">
        <v>7</v>
      </c>
      <c r="I211" s="7" t="n">
        <v>1</v>
      </c>
      <c r="J211" s="8" t="n">
        <v>168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00065043133</t>
        </is>
      </c>
      <c r="D212" s="5" t="inlineStr">
        <is>
          <t>SYSTANE PRESERVATIVE FREE 0.4-0.3 % OPHTHALMIC SOLUTION</t>
        </is>
      </c>
      <c r="E212" s="6" t="inlineStr">
        <is>
          <t>30.0</t>
        </is>
      </c>
      <c r="F212" s="7" t="n">
        <v>390</v>
      </c>
      <c r="G212" s="7" t="n">
        <v>13</v>
      </c>
      <c r="H212" s="7" t="n">
        <v>3</v>
      </c>
      <c r="I212" s="7" t="n">
        <v>-10</v>
      </c>
      <c r="J212" s="8" t="n">
        <v>166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57599084400</t>
        </is>
      </c>
      <c r="D213" s="5" t="inlineStr">
        <is>
          <t>FREESTYLE LIBRE 3 PLUS SENSOR</t>
        </is>
      </c>
      <c r="E213" s="6" t="inlineStr">
        <is>
          <t>1.0</t>
        </is>
      </c>
      <c r="F213" s="7" t="n">
        <v>2</v>
      </c>
      <c r="G213" s="7" t="n">
        <v>2</v>
      </c>
      <c r="H213" s="7" t="n">
        <v>0</v>
      </c>
      <c r="I213" s="7" t="n">
        <v>-2</v>
      </c>
      <c r="J213" s="8" t="n">
        <v>164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54092017312</t>
        </is>
      </c>
      <c r="D214" s="5" t="inlineStr">
        <is>
          <t>CARBATROL 300MG EXT-RELEASE CAPSULE</t>
        </is>
      </c>
      <c r="E214" s="6" t="inlineStr">
        <is>
          <t>120.0</t>
        </is>
      </c>
      <c r="F214" s="7" t="n">
        <v>90</v>
      </c>
      <c r="G214" s="7" t="n">
        <v>0.75</v>
      </c>
      <c r="H214" s="7" t="n">
        <v>1</v>
      </c>
      <c r="I214" s="7" t="n">
        <v>0.25</v>
      </c>
      <c r="J214" s="8" t="n">
        <v>163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72888017830</t>
        </is>
      </c>
      <c r="D215" s="5" t="inlineStr">
        <is>
          <t>TRANEXAMIC ACID 650 MG ORAL TABLET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4</v>
      </c>
      <c r="I215" s="7" t="n">
        <v>0</v>
      </c>
      <c r="J215" s="8" t="n">
        <v>162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49884014811</t>
        </is>
      </c>
      <c r="D216" s="5" t="inlineStr">
        <is>
          <t>DEXLANSOPRAZOLE 60 MG CAPSULE DR</t>
        </is>
      </c>
      <c r="E216" s="6" t="inlineStr">
        <is>
          <t>30.0</t>
        </is>
      </c>
      <c r="F216" s="7" t="n">
        <v>30</v>
      </c>
      <c r="G216" s="7" t="n">
        <v>1</v>
      </c>
      <c r="H216" s="7" t="n">
        <v>0</v>
      </c>
      <c r="I216" s="7" t="n">
        <v>-1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00074455290</t>
        </is>
      </c>
      <c r="D217" s="5" t="inlineStr">
        <is>
          <t>SYNTHROID 50MCG TABLET</t>
        </is>
      </c>
      <c r="E217" s="6" t="inlineStr">
        <is>
          <t>90.0</t>
        </is>
      </c>
      <c r="F217" s="7" t="n">
        <v>90</v>
      </c>
      <c r="G217" s="7" t="n">
        <v>1</v>
      </c>
      <c r="H217" s="7" t="n">
        <v>1</v>
      </c>
      <c r="I217" s="7" t="n">
        <v>0</v>
      </c>
      <c r="J217" s="8" t="n">
        <v>160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60505083001</t>
        </is>
      </c>
      <c r="D218" s="5" t="inlineStr">
        <is>
          <t>MOMETASONE FUROATE 50MCG/ACT SUSPENSION</t>
        </is>
      </c>
      <c r="E218" s="6" t="inlineStr">
        <is>
          <t>17.0</t>
        </is>
      </c>
      <c r="F218" s="7" t="n">
        <v>51</v>
      </c>
      <c r="G218" s="7" t="n">
        <v>3</v>
      </c>
      <c r="H218" s="7" t="n">
        <v>0</v>
      </c>
      <c r="I218" s="7" t="n">
        <v>-3</v>
      </c>
      <c r="J218" s="8" t="n">
        <v>159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45802040049</t>
        </is>
      </c>
      <c r="D219" s="5" t="inlineStr">
        <is>
          <t>CICLOPIROX 0.77 % EXTERNAL SUSPENSION</t>
        </is>
      </c>
      <c r="E219" s="6" t="inlineStr">
        <is>
          <t>30.0</t>
        </is>
      </c>
      <c r="F219" s="7" t="n">
        <v>150</v>
      </c>
      <c r="G219" s="7" t="n">
        <v>5</v>
      </c>
      <c r="H219" s="7" t="n">
        <v>0</v>
      </c>
      <c r="I219" s="7" t="n">
        <v>-5</v>
      </c>
      <c r="J219" s="8" t="n">
        <v>158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65162003416</t>
        </is>
      </c>
      <c r="D220" s="5" t="inlineStr">
        <is>
          <t>OMEGA-3-ACID ETHYL ESTERS 1 GM ORAL CAPSULE</t>
        </is>
      </c>
      <c r="E220" s="6" t="inlineStr">
        <is>
          <t>120.0</t>
        </is>
      </c>
      <c r="F220" s="7" t="n">
        <v>840</v>
      </c>
      <c r="G220" s="7" t="n">
        <v>7</v>
      </c>
      <c r="H220" s="7" t="n">
        <v>0</v>
      </c>
      <c r="I220" s="7" t="n">
        <v>-7</v>
      </c>
      <c r="J220" s="8" t="n">
        <v>158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69097012715</t>
        </is>
      </c>
      <c r="D221" s="5" t="inlineStr">
        <is>
          <t xml:space="preserve">AMLODIPINE 5MG TABLET </t>
        </is>
      </c>
      <c r="E221" s="6" t="inlineStr">
        <is>
          <t>1000.0</t>
        </is>
      </c>
      <c r="F221" s="7" t="n">
        <v>3990</v>
      </c>
      <c r="G221" s="7" t="n">
        <v>3.99</v>
      </c>
      <c r="H221" s="7" t="n">
        <v>5</v>
      </c>
      <c r="I221" s="7" t="n">
        <v>1.01</v>
      </c>
      <c r="J221" s="8" t="n">
        <v>157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82260029905</t>
        </is>
      </c>
      <c r="D222" s="5" t="inlineStr">
        <is>
          <t>LOTEPREDNOL ETABONATE 0.5 % OPHTHALMIC SUSPENSION</t>
        </is>
      </c>
      <c r="E222" s="6" t="inlineStr">
        <is>
          <t>5.0</t>
        </is>
      </c>
      <c r="F222" s="7" t="n">
        <v>10</v>
      </c>
      <c r="G222" s="7" t="n">
        <v>2</v>
      </c>
      <c r="H222" s="7" t="n">
        <v>0</v>
      </c>
      <c r="I222" s="7" t="n">
        <v>-2</v>
      </c>
      <c r="J222" s="8" t="n">
        <v>151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73070020315</t>
        </is>
      </c>
      <c r="D223" s="5" t="inlineStr">
        <is>
          <t>INSULIN PROT &amp; ASP FLEXPEN (70-30) 100 UNIT/ML</t>
        </is>
      </c>
      <c r="E223" s="6" t="inlineStr">
        <is>
          <t>15.0</t>
        </is>
      </c>
      <c r="F223" s="7" t="n">
        <v>15</v>
      </c>
      <c r="G223" s="7" t="n">
        <v>1</v>
      </c>
      <c r="H223" s="7" t="n">
        <v>0</v>
      </c>
      <c r="I223" s="7" t="n">
        <v>-1</v>
      </c>
      <c r="J223" s="8" t="n">
        <v>150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69315012710</t>
        </is>
      </c>
      <c r="D224" s="5" t="inlineStr">
        <is>
          <t xml:space="preserve">FOLIC ACID 1MG TABLET </t>
        </is>
      </c>
      <c r="E224" s="6" t="inlineStr">
        <is>
          <t>1000.0</t>
        </is>
      </c>
      <c r="F224" s="7" t="n">
        <v>840</v>
      </c>
      <c r="G224" s="7" t="n">
        <v>0.84</v>
      </c>
      <c r="H224" s="7" t="n">
        <v>1</v>
      </c>
      <c r="I224" s="7" t="n">
        <v>0.16</v>
      </c>
      <c r="J224" s="8" t="n">
        <v>149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00591294430</t>
        </is>
      </c>
      <c r="D225" s="5" t="inlineStr">
        <is>
          <t>PIMECROLIMUS 1 % EXTERNAL CREAM</t>
        </is>
      </c>
      <c r="E225" s="6" t="inlineStr">
        <is>
          <t>30.0</t>
        </is>
      </c>
      <c r="F225" s="7" t="n">
        <v>30</v>
      </c>
      <c r="G225" s="7" t="n">
        <v>1</v>
      </c>
      <c r="H225" s="7" t="n">
        <v>1</v>
      </c>
      <c r="I225" s="7" t="n">
        <v>0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33342050615</t>
        </is>
      </c>
      <c r="D226" s="5" t="inlineStr">
        <is>
          <t>CLOBETASOL PROPIONATE 0.05 % EXTERNAL OINTMENT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3</v>
      </c>
      <c r="I226" s="7" t="n">
        <v>1</v>
      </c>
      <c r="J226" s="8" t="n">
        <v>140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67877049005</t>
        </is>
      </c>
      <c r="D227" s="5" t="inlineStr">
        <is>
          <t>EZETIMIBE 10MG TABLET</t>
        </is>
      </c>
      <c r="E227" s="6" t="inlineStr">
        <is>
          <t>500.0</t>
        </is>
      </c>
      <c r="F227" s="7" t="n">
        <v>780</v>
      </c>
      <c r="G227" s="7" t="n">
        <v>1.56</v>
      </c>
      <c r="H227" s="7" t="n">
        <v>0</v>
      </c>
      <c r="I227" s="7" t="n">
        <v>-1.56</v>
      </c>
      <c r="J227" s="8" t="n">
        <v>138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69367039505</t>
        </is>
      </c>
      <c r="D228" s="5" t="inlineStr">
        <is>
          <t>IBUPROFEN 600 MG TABLET</t>
        </is>
      </c>
      <c r="E228" s="6" t="inlineStr">
        <is>
          <t>500.0</t>
        </is>
      </c>
      <c r="F228" s="7" t="n">
        <v>1255</v>
      </c>
      <c r="G228" s="7" t="n">
        <v>2.51</v>
      </c>
      <c r="H228" s="7" t="n">
        <v>2</v>
      </c>
      <c r="I228" s="7" t="n">
        <v>-0.5099999999999998</v>
      </c>
      <c r="J228" s="8" t="n">
        <v>137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2430</v>
      </c>
      <c r="G229" s="7" t="n">
        <v>2.43</v>
      </c>
      <c r="H229" s="7" t="n">
        <v>5</v>
      </c>
      <c r="I229" s="7" t="n">
        <v>2.57</v>
      </c>
      <c r="J229" s="8" t="n">
        <v>136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00378107593</t>
        </is>
      </c>
      <c r="D230" s="5" t="inlineStr">
        <is>
          <t>TELMISARTAN-AMLODIPINE 40-5 MG ORAL TABLET</t>
        </is>
      </c>
      <c r="E230" s="6" t="inlineStr">
        <is>
          <t>30.0</t>
        </is>
      </c>
      <c r="F230" s="7" t="n">
        <v>90</v>
      </c>
      <c r="G230" s="7" t="n">
        <v>3</v>
      </c>
      <c r="H230" s="7" t="n">
        <v>3</v>
      </c>
      <c r="I230" s="7" t="n">
        <v>0</v>
      </c>
      <c r="J230" s="8" t="n">
        <v>136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00378932132</t>
        </is>
      </c>
      <c r="D231" s="5" t="inlineStr">
        <is>
          <t>WIXELA (ADVAIR) 250-50MCG/DOSE AEROSOL</t>
        </is>
      </c>
      <c r="E231" s="6" t="inlineStr">
        <is>
          <t>60.0</t>
        </is>
      </c>
      <c r="F231" s="7" t="n">
        <v>180</v>
      </c>
      <c r="G231" s="7" t="n">
        <v>3</v>
      </c>
      <c r="H231" s="7" t="n">
        <v>0</v>
      </c>
      <c r="I231" s="7" t="n">
        <v>-3</v>
      </c>
      <c r="J231" s="8" t="n">
        <v>135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45802010365</t>
        </is>
      </c>
      <c r="D232" s="5" t="inlineStr">
        <is>
          <t>ALOGLIPTIN BENZOATE 12.5 MG ORAL TABLET</t>
        </is>
      </c>
      <c r="E232" s="6" t="inlineStr">
        <is>
          <t>30.0</t>
        </is>
      </c>
      <c r="F232" s="7" t="n">
        <v>30</v>
      </c>
      <c r="G232" s="7" t="n">
        <v>1</v>
      </c>
      <c r="H232" s="7" t="n">
        <v>0</v>
      </c>
      <c r="I232" s="7" t="n">
        <v>-1</v>
      </c>
      <c r="J232" s="8" t="n">
        <v>133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61314063705</t>
        </is>
      </c>
      <c r="D233" s="5" t="inlineStr">
        <is>
          <t>PREDNISOLONE ACETATE 1% SUSPENSION</t>
        </is>
      </c>
      <c r="E233" s="6" t="inlineStr">
        <is>
          <t>5.0</t>
        </is>
      </c>
      <c r="F233" s="7" t="n">
        <v>25</v>
      </c>
      <c r="G233" s="7" t="n">
        <v>5</v>
      </c>
      <c r="H233" s="7" t="n">
        <v>0</v>
      </c>
      <c r="I233" s="7" t="n">
        <v>-5</v>
      </c>
      <c r="J233" s="8" t="n">
        <v>130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61314014315</t>
        </is>
      </c>
      <c r="D234" s="5" t="inlineStr">
        <is>
          <t>BRIMONIDINE TARTRATE 0.2 % OPHTHALMIC SOLUTION</t>
        </is>
      </c>
      <c r="E234" s="6" t="inlineStr">
        <is>
          <t>15.0</t>
        </is>
      </c>
      <c r="F234" s="7" t="n">
        <v>105</v>
      </c>
      <c r="G234" s="7" t="n">
        <v>7</v>
      </c>
      <c r="H234" s="7" t="n">
        <v>3</v>
      </c>
      <c r="I234" s="7" t="n">
        <v>-4</v>
      </c>
      <c r="J234" s="8" t="n">
        <v>129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43598064418</t>
        </is>
      </c>
      <c r="D235" s="5" t="inlineStr">
        <is>
          <t>SACUBITRIL-VALSARTAN 49-51 MG ORAL TABLET</t>
        </is>
      </c>
      <c r="E235" s="6" t="inlineStr">
        <is>
          <t>180.0</t>
        </is>
      </c>
      <c r="F235" s="7" t="n">
        <v>180</v>
      </c>
      <c r="G235" s="7" t="n">
        <v>1</v>
      </c>
      <c r="H235" s="7" t="n">
        <v>0</v>
      </c>
      <c r="I235" s="7" t="n">
        <v>-1</v>
      </c>
      <c r="J235" s="8" t="n">
        <v>129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00603188016</t>
        </is>
      </c>
      <c r="D236" s="5" t="inlineStr">
        <is>
          <t>LIDOCAINE 5 % EXTERNAL PATCH</t>
        </is>
      </c>
      <c r="E236" s="6" t="inlineStr">
        <is>
          <t>30.0</t>
        </is>
      </c>
      <c r="F236" s="7" t="n">
        <v>30</v>
      </c>
      <c r="G236" s="7" t="n">
        <v>1</v>
      </c>
      <c r="H236" s="7" t="n">
        <v>4</v>
      </c>
      <c r="I236" s="7" t="n">
        <v>3</v>
      </c>
      <c r="J236" s="8" t="n">
        <v>129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00378581577</t>
        </is>
      </c>
      <c r="D237" s="5" t="inlineStr">
        <is>
          <t>VALSARTAN 320MG TABLET</t>
        </is>
      </c>
      <c r="E237" s="6" t="inlineStr">
        <is>
          <t>90.0</t>
        </is>
      </c>
      <c r="F237" s="7" t="n">
        <v>270</v>
      </c>
      <c r="G237" s="7" t="n">
        <v>3</v>
      </c>
      <c r="H237" s="7" t="n">
        <v>0</v>
      </c>
      <c r="I237" s="7" t="n">
        <v>-3</v>
      </c>
      <c r="J237" s="8" t="n">
        <v>125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72888002410</t>
        </is>
      </c>
      <c r="D238" s="5" t="inlineStr">
        <is>
          <t>POTASSIUM CHLORIDE 20 MEQ ORAL PACKET</t>
        </is>
      </c>
      <c r="E238" s="6" t="inlineStr">
        <is>
          <t>100.0</t>
        </is>
      </c>
      <c r="F238" s="7" t="n">
        <v>180</v>
      </c>
      <c r="G238" s="7" t="n">
        <v>1.8</v>
      </c>
      <c r="H238" s="7" t="n">
        <v>0</v>
      </c>
      <c r="I238" s="7" t="n">
        <v>-1.8</v>
      </c>
      <c r="J238" s="8" t="n">
        <v>124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70377008013</t>
        </is>
      </c>
      <c r="D239" s="5" t="inlineStr">
        <is>
          <t>ATORVASTATIN 80MG  TABLET</t>
        </is>
      </c>
      <c r="E239" s="6" t="inlineStr">
        <is>
          <t>1000.0</t>
        </is>
      </c>
      <c r="F239" s="7" t="n">
        <v>1470</v>
      </c>
      <c r="G239" s="7" t="n">
        <v>1.47</v>
      </c>
      <c r="H239" s="7" t="n">
        <v>2</v>
      </c>
      <c r="I239" s="7" t="n">
        <v>0.53</v>
      </c>
      <c r="J239" s="8" t="n">
        <v>123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76204020030</t>
        </is>
      </c>
      <c r="D240" s="5" t="inlineStr">
        <is>
          <t>ALBUTEROL SULFATE (2.5 MG/3ML) 0.083% INHALATION NEBULIZATION SOLUTION</t>
        </is>
      </c>
      <c r="E240" s="6" t="inlineStr">
        <is>
          <t>90.0</t>
        </is>
      </c>
      <c r="F240" s="7" t="n">
        <v>1350</v>
      </c>
      <c r="G240" s="7" t="n">
        <v>15</v>
      </c>
      <c r="H240" s="7" t="n">
        <v>0</v>
      </c>
      <c r="I240" s="7" t="n">
        <v>-15</v>
      </c>
      <c r="J240" s="8" t="n">
        <v>123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65862056099</t>
        </is>
      </c>
      <c r="D241" s="5" t="inlineStr">
        <is>
          <t xml:space="preserve">PANTOPRAZOLE 40MG TAB </t>
        </is>
      </c>
      <c r="E241" s="6" t="inlineStr">
        <is>
          <t>1000.0</t>
        </is>
      </c>
      <c r="F241" s="7" t="n">
        <v>1230</v>
      </c>
      <c r="G241" s="7" t="n">
        <v>1.23</v>
      </c>
      <c r="H241" s="7" t="n">
        <v>0</v>
      </c>
      <c r="I241" s="7" t="n">
        <v>-1.23</v>
      </c>
      <c r="J241" s="8" t="n">
        <v>123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00093736810</t>
        </is>
      </c>
      <c r="D242" s="5" t="inlineStr">
        <is>
          <t>LOSARTAN HCTZ 100-25MG TABLET</t>
        </is>
      </c>
      <c r="E242" s="6" t="inlineStr">
        <is>
          <t>1000.0</t>
        </is>
      </c>
      <c r="F242" s="7" t="n">
        <v>750</v>
      </c>
      <c r="G242" s="7" t="n">
        <v>0.75</v>
      </c>
      <c r="H242" s="7" t="n">
        <v>0</v>
      </c>
      <c r="I242" s="7" t="n">
        <v>-0.75</v>
      </c>
      <c r="J242" s="8" t="n">
        <v>122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00074740113</t>
        </is>
      </c>
      <c r="D243" s="5" t="inlineStr">
        <is>
          <t>DEPAKOTE ER 250 MG TABLET</t>
        </is>
      </c>
      <c r="E243" s="6" t="inlineStr">
        <is>
          <t>100.0</t>
        </is>
      </c>
      <c r="F243" s="7" t="n">
        <v>30</v>
      </c>
      <c r="G243" s="7" t="n">
        <v>0.3</v>
      </c>
      <c r="H243" s="7" t="n">
        <v>0</v>
      </c>
      <c r="I243" s="7" t="n">
        <v>-0.3</v>
      </c>
      <c r="J243" s="8" t="n">
        <v>121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43547046009</t>
        </is>
      </c>
      <c r="D244" s="5" t="inlineStr">
        <is>
          <t>CANDESARTAN CILEXETIL-HCTZ 32-12.5 MG ORAL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119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50111091703</t>
        </is>
      </c>
      <c r="D245" s="5" t="inlineStr">
        <is>
          <t>TORSEMIDE 20MG TABLET</t>
        </is>
      </c>
      <c r="E245" s="6" t="inlineStr">
        <is>
          <t>1000.0</t>
        </is>
      </c>
      <c r="F245" s="7" t="n">
        <v>390</v>
      </c>
      <c r="G245" s="7" t="n">
        <v>0.39</v>
      </c>
      <c r="H245" s="7" t="n">
        <v>0</v>
      </c>
      <c r="I245" s="7" t="n">
        <v>-0.39</v>
      </c>
      <c r="J245" s="8" t="n">
        <v>119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29300022010</t>
        </is>
      </c>
      <c r="D246" s="5" t="inlineStr">
        <is>
          <t xml:space="preserve">MONTELUKAST 10MG TAB </t>
        </is>
      </c>
      <c r="E246" s="6" t="inlineStr">
        <is>
          <t>1000.0</t>
        </is>
      </c>
      <c r="F246" s="7" t="n">
        <v>870</v>
      </c>
      <c r="G246" s="7" t="n">
        <v>0.87</v>
      </c>
      <c r="H246" s="7" t="n">
        <v>2</v>
      </c>
      <c r="I246" s="7" t="n">
        <v>1.13</v>
      </c>
      <c r="J246" s="8" t="n">
        <v>117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59651003212</t>
        </is>
      </c>
      <c r="D247" s="5" t="inlineStr">
        <is>
          <t>IBUPROFEN 100 MG/5ML SUSPENSION</t>
        </is>
      </c>
      <c r="E247" s="6" t="inlineStr">
        <is>
          <t>120.0</t>
        </is>
      </c>
      <c r="F247" s="7" t="n">
        <v>1440</v>
      </c>
      <c r="G247" s="7" t="n">
        <v>12</v>
      </c>
      <c r="H247" s="7" t="n">
        <v>0</v>
      </c>
      <c r="I247" s="7" t="n">
        <v>-12</v>
      </c>
      <c r="J247" s="8" t="n">
        <v>116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00093681655</t>
        </is>
      </c>
      <c r="D248" s="5" t="inlineStr">
        <is>
          <t>BUDESONIDE 0.5 MG/2ML INHALATION SUSPENSION</t>
        </is>
      </c>
      <c r="E248" s="6" t="inlineStr">
        <is>
          <t>60.0</t>
        </is>
      </c>
      <c r="F248" s="7" t="n">
        <v>120</v>
      </c>
      <c r="G248" s="7" t="n">
        <v>2</v>
      </c>
      <c r="H248" s="7" t="n">
        <v>0</v>
      </c>
      <c r="I248" s="7" t="n">
        <v>-2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56151211401</t>
        </is>
      </c>
      <c r="D249" s="5" t="inlineStr">
        <is>
          <t>PEN NEEDLES 32G X 4 MM</t>
        </is>
      </c>
      <c r="E249" s="6" t="inlineStr">
        <is>
          <t>100.0</t>
        </is>
      </c>
      <c r="F249" s="7" t="n">
        <v>400</v>
      </c>
      <c r="G249" s="7" t="n">
        <v>4</v>
      </c>
      <c r="H249" s="7" t="n">
        <v>0</v>
      </c>
      <c r="I249" s="7" t="n">
        <v>-4</v>
      </c>
      <c r="J249" s="8" t="n">
        <v>113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00093365740</t>
        </is>
      </c>
      <c r="D250" s="5" t="inlineStr">
        <is>
          <t>BUPRENORPHINE 10 MCG/HR TRANSDERMAL PATCH WEEKLY</t>
        </is>
      </c>
      <c r="E250" s="6" t="inlineStr">
        <is>
          <t>4.0</t>
        </is>
      </c>
      <c r="F250" s="7" t="n">
        <v>4</v>
      </c>
      <c r="G250" s="7" t="n">
        <v>1</v>
      </c>
      <c r="H250" s="7" t="n">
        <v>2</v>
      </c>
      <c r="I250" s="7" t="n">
        <v>1</v>
      </c>
      <c r="J250" s="8" t="n">
        <v>110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50742026103</t>
        </is>
      </c>
      <c r="D251" s="5" t="inlineStr">
        <is>
          <t>NIFEDIPINE 60MG TABLET ER</t>
        </is>
      </c>
      <c r="E251" s="6" t="inlineStr">
        <is>
          <t>300.0</t>
        </is>
      </c>
      <c r="F251" s="7" t="n">
        <v>630</v>
      </c>
      <c r="G251" s="7" t="n">
        <v>2.1</v>
      </c>
      <c r="H251" s="7" t="n">
        <v>2</v>
      </c>
      <c r="I251" s="7" t="n">
        <v>-0.1000000000000001</v>
      </c>
      <c r="J251" s="8" t="n">
        <v>109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21922003601</t>
        </is>
      </c>
      <c r="D252" s="5" t="inlineStr">
        <is>
          <t>CLINDAMYCIN PHOSPHATE 1 % EXTERNAL LOTION</t>
        </is>
      </c>
      <c r="E252" s="6" t="inlineStr">
        <is>
          <t>60.0</t>
        </is>
      </c>
      <c r="F252" s="7" t="n">
        <v>360</v>
      </c>
      <c r="G252" s="7" t="n">
        <v>6</v>
      </c>
      <c r="H252" s="7" t="n">
        <v>3</v>
      </c>
      <c r="I252" s="7" t="n">
        <v>-3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72205028160</t>
        </is>
      </c>
      <c r="D253" s="5" t="inlineStr">
        <is>
          <t>SACUBITRIL-VALSARTAN 49-51 MG ORAL TABLET</t>
        </is>
      </c>
      <c r="E253" s="6" t="inlineStr">
        <is>
          <t>60.0</t>
        </is>
      </c>
      <c r="F253" s="7" t="n">
        <v>60</v>
      </c>
      <c r="G253" s="7" t="n">
        <v>1</v>
      </c>
      <c r="H253" s="7" t="n">
        <v>0</v>
      </c>
      <c r="I253" s="7" t="n">
        <v>-1</v>
      </c>
      <c r="J253" s="8" t="n">
        <v>108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60505059304</t>
        </is>
      </c>
      <c r="D254" s="5" t="inlineStr">
        <is>
          <t>TRAVOPROST  0.004% SOLUTION</t>
        </is>
      </c>
      <c r="E254" s="6" t="inlineStr">
        <is>
          <t>2.5</t>
        </is>
      </c>
      <c r="F254" s="7" t="n">
        <v>7.5</v>
      </c>
      <c r="G254" s="7" t="n">
        <v>3</v>
      </c>
      <c r="H254" s="7" t="n">
        <v>0</v>
      </c>
      <c r="I254" s="7" t="n">
        <v>-3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71921019033</t>
        </is>
      </c>
      <c r="D255" s="5" t="inlineStr">
        <is>
          <t>EXEMESTANE 25MG TABLET</t>
        </is>
      </c>
      <c r="E255" s="6" t="inlineStr">
        <is>
          <t>30.0</t>
        </is>
      </c>
      <c r="F255" s="7" t="n">
        <v>90</v>
      </c>
      <c r="G255" s="7" t="n">
        <v>3</v>
      </c>
      <c r="H255" s="7" t="n">
        <v>0</v>
      </c>
      <c r="I255" s="7" t="n">
        <v>-3</v>
      </c>
      <c r="J255" s="8" t="n">
        <v>106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24208048610</t>
        </is>
      </c>
      <c r="D256" s="5" t="inlineStr">
        <is>
          <t xml:space="preserve">DORZOLAMID-TIMOLO 22.3-6.8MG/ML (EYE) </t>
        </is>
      </c>
      <c r="E256" s="6" t="inlineStr">
        <is>
          <t>10.0</t>
        </is>
      </c>
      <c r="F256" s="7" t="n">
        <v>110</v>
      </c>
      <c r="G256" s="7" t="n">
        <v>11</v>
      </c>
      <c r="H256" s="7" t="n">
        <v>11</v>
      </c>
      <c r="I256" s="7" t="n">
        <v>0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70436005504</t>
        </is>
      </c>
      <c r="D257" s="5" t="inlineStr">
        <is>
          <t>MEMANTINE 14MG CAPSULE ER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2</v>
      </c>
      <c r="I257" s="7" t="n">
        <v>-1</v>
      </c>
      <c r="J257" s="8" t="n">
        <v>105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35</v>
      </c>
      <c r="G258" s="7" t="n">
        <v>7</v>
      </c>
      <c r="H258" s="7" t="n">
        <v>5</v>
      </c>
      <c r="I258" s="7" t="n">
        <v>-2</v>
      </c>
      <c r="J258" s="8" t="n">
        <v>104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51672127304</t>
        </is>
      </c>
      <c r="D259" s="5" t="inlineStr">
        <is>
          <t>FLUOCINONIDE 0.05% EXTERNAL SOLUTION</t>
        </is>
      </c>
      <c r="E259" s="6" t="inlineStr">
        <is>
          <t>60.0</t>
        </is>
      </c>
      <c r="F259" s="7" t="n">
        <v>240</v>
      </c>
      <c r="G259" s="7" t="n">
        <v>4</v>
      </c>
      <c r="H259" s="7" t="n">
        <v>3</v>
      </c>
      <c r="I259" s="7" t="n">
        <v>-1</v>
      </c>
      <c r="J259" s="8" t="n">
        <v>103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67877072592</t>
        </is>
      </c>
      <c r="D260" s="5" t="inlineStr">
        <is>
          <t>NA SULFATE-K SULFATE-MG SULF 17.5-3.13-1.6 GM/177ML ORAL SOLUTION</t>
        </is>
      </c>
      <c r="E260" s="6" t="inlineStr">
        <is>
          <t>354.0</t>
        </is>
      </c>
      <c r="F260" s="7" t="n">
        <v>708</v>
      </c>
      <c r="G260" s="7" t="n">
        <v>2</v>
      </c>
      <c r="H260" s="7" t="n">
        <v>2</v>
      </c>
      <c r="I260" s="7" t="n">
        <v>0</v>
      </c>
      <c r="J260" s="8" t="n">
        <v>102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66993000210</t>
        </is>
      </c>
      <c r="D261" s="5" t="inlineStr">
        <is>
          <t>ESTRADIOL 0.1 MG/GM VAGINAL CREAM</t>
        </is>
      </c>
      <c r="E261" s="6" t="inlineStr">
        <is>
          <t>42.5</t>
        </is>
      </c>
      <c r="F261" s="7" t="n">
        <v>42.5</v>
      </c>
      <c r="G261" s="7" t="n">
        <v>1</v>
      </c>
      <c r="H261" s="7" t="n">
        <v>0</v>
      </c>
      <c r="I261" s="7" t="n">
        <v>-1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16729001901</t>
        </is>
      </c>
      <c r="D262" s="5" t="inlineStr">
        <is>
          <t xml:space="preserve">MYCOPHENOLATE MOFETIL 500MG TAB </t>
        </is>
      </c>
      <c r="E262" s="6" t="inlineStr">
        <is>
          <t>100.0</t>
        </is>
      </c>
      <c r="F262" s="7" t="n">
        <v>120</v>
      </c>
      <c r="G262" s="7" t="n">
        <v>1.2</v>
      </c>
      <c r="H262" s="7" t="n">
        <v>0</v>
      </c>
      <c r="I262" s="7" t="n">
        <v>-1.2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43598012105</t>
        </is>
      </c>
      <c r="D263" s="5" t="inlineStr">
        <is>
          <t>CLOPIDOGREL BISULFATE 75 MG ORAL TABLET</t>
        </is>
      </c>
      <c r="E263" s="6" t="inlineStr">
        <is>
          <t>500.0</t>
        </is>
      </c>
      <c r="F263" s="7" t="n">
        <v>990</v>
      </c>
      <c r="G263" s="7" t="n">
        <v>1.98</v>
      </c>
      <c r="H263" s="7" t="n">
        <v>4</v>
      </c>
      <c r="I263" s="7" t="n">
        <v>2.02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52937000340</t>
        </is>
      </c>
      <c r="D264" s="5" t="inlineStr">
        <is>
          <t>VASCEPA 0.5 GM ORAL CAPSULE</t>
        </is>
      </c>
      <c r="E264" s="6" t="inlineStr">
        <is>
          <t>240.0</t>
        </is>
      </c>
      <c r="F264" s="7" t="n">
        <v>60</v>
      </c>
      <c r="G264" s="7" t="n">
        <v>0.25</v>
      </c>
      <c r="H264" s="7" t="n">
        <v>0</v>
      </c>
      <c r="I264" s="7" t="n">
        <v>-0.25</v>
      </c>
      <c r="J264" s="8" t="n">
        <v>99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65862020399</t>
        </is>
      </c>
      <c r="D265" s="5" t="inlineStr">
        <is>
          <t>LOSARTAN 100MG TABLET</t>
        </is>
      </c>
      <c r="E265" s="6" t="inlineStr">
        <is>
          <t>1000.0</t>
        </is>
      </c>
      <c r="F265" s="7" t="n">
        <v>1140</v>
      </c>
      <c r="G265" s="7" t="n">
        <v>1.14</v>
      </c>
      <c r="H265" s="7" t="n">
        <v>0</v>
      </c>
      <c r="I265" s="7" t="n">
        <v>-1.14</v>
      </c>
      <c r="J265" s="8" t="n">
        <v>99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51672131808</t>
        </is>
      </c>
      <c r="D266" s="5" t="inlineStr">
        <is>
          <t xml:space="preserve">CICLOPIROX 0.77% CREAM </t>
        </is>
      </c>
      <c r="E266" s="6" t="inlineStr">
        <is>
          <t>90.0</t>
        </is>
      </c>
      <c r="F266" s="7" t="n">
        <v>270</v>
      </c>
      <c r="G266" s="7" t="n">
        <v>3</v>
      </c>
      <c r="H266" s="7" t="n">
        <v>1</v>
      </c>
      <c r="I266" s="7" t="n">
        <v>-2</v>
      </c>
      <c r="J266" s="8" t="n">
        <v>98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51672130104</t>
        </is>
      </c>
      <c r="D267" s="5" t="inlineStr">
        <is>
          <t>AMMONIUM LACTATE 12 % EXTERNAL CREAM</t>
        </is>
      </c>
      <c r="E267" s="6" t="inlineStr">
        <is>
          <t>280.0</t>
        </is>
      </c>
      <c r="F267" s="7" t="n">
        <v>1400</v>
      </c>
      <c r="G267" s="7" t="n">
        <v>5</v>
      </c>
      <c r="H267" s="7" t="n">
        <v>0</v>
      </c>
      <c r="I267" s="7" t="n">
        <v>-5</v>
      </c>
      <c r="J267" s="8" t="n">
        <v>98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91237000116</t>
        </is>
      </c>
      <c r="D268" s="5" t="inlineStr">
        <is>
          <t>LANCETS EASY COMFORT</t>
        </is>
      </c>
      <c r="E268" s="6" t="inlineStr">
        <is>
          <t>100.0</t>
        </is>
      </c>
      <c r="F268" s="7" t="n">
        <v>300</v>
      </c>
      <c r="G268" s="7" t="n">
        <v>3</v>
      </c>
      <c r="H268" s="7" t="n">
        <v>0</v>
      </c>
      <c r="I268" s="7" t="n">
        <v>-3</v>
      </c>
      <c r="J268" s="8" t="n">
        <v>95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50742050504</t>
        </is>
      </c>
      <c r="D269" s="5" t="inlineStr">
        <is>
          <t>SCOPOLAMINE 1 MG/3DAYS TRANSDERMAL PATCH 72 HOUR</t>
        </is>
      </c>
      <c r="E269" s="6" t="inlineStr">
        <is>
          <t>4.0</t>
        </is>
      </c>
      <c r="F269" s="7" t="n">
        <v>13</v>
      </c>
      <c r="G269" s="7" t="n">
        <v>3.25</v>
      </c>
      <c r="H269" s="7" t="n">
        <v>2</v>
      </c>
      <c r="I269" s="7" t="n">
        <v>-1.25</v>
      </c>
      <c r="J269" s="8" t="n">
        <v>95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68462038730</t>
        </is>
      </c>
      <c r="D270" s="5" t="inlineStr">
        <is>
          <t>SOLIFENACIN SUCCINATE 10MG TABLET</t>
        </is>
      </c>
      <c r="E270" s="6" t="inlineStr">
        <is>
          <t>30.0</t>
        </is>
      </c>
      <c r="F270" s="7" t="n">
        <v>180</v>
      </c>
      <c r="G270" s="7" t="n">
        <v>6</v>
      </c>
      <c r="H270" s="7" t="n">
        <v>8</v>
      </c>
      <c r="I270" s="7" t="n">
        <v>2</v>
      </c>
      <c r="J270" s="8" t="n">
        <v>94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00378087399</t>
        </is>
      </c>
      <c r="D271" s="5" t="inlineStr">
        <is>
          <t>CLONIDINE 0.3MG/24HR PATCH</t>
        </is>
      </c>
      <c r="E271" s="6" t="inlineStr">
        <is>
          <t>4.0</t>
        </is>
      </c>
      <c r="F271" s="7" t="n">
        <v>12</v>
      </c>
      <c r="G271" s="7" t="n">
        <v>3</v>
      </c>
      <c r="H271" s="7" t="n">
        <v>0</v>
      </c>
      <c r="I271" s="7" t="n">
        <v>-3</v>
      </c>
      <c r="J271" s="8" t="n">
        <v>93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67877084210</t>
        </is>
      </c>
      <c r="D272" s="5" t="inlineStr">
        <is>
          <t>FAMOTIDINE 20MG TABLET</t>
        </is>
      </c>
      <c r="E272" s="6" t="inlineStr">
        <is>
          <t>1000.0</t>
        </is>
      </c>
      <c r="F272" s="7" t="n">
        <v>1858</v>
      </c>
      <c r="G272" s="7" t="n">
        <v>1.858</v>
      </c>
      <c r="H272" s="7" t="n">
        <v>2</v>
      </c>
      <c r="I272" s="7" t="n">
        <v>0.1419999999999999</v>
      </c>
      <c r="J272" s="8" t="n">
        <v>93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70377007713</t>
        </is>
      </c>
      <c r="D273" s="5" t="inlineStr">
        <is>
          <t>ATORVASTATIN 10MG TABLET</t>
        </is>
      </c>
      <c r="E273" s="6" t="inlineStr">
        <is>
          <t>1000.0</t>
        </is>
      </c>
      <c r="F273" s="7" t="n">
        <v>1380</v>
      </c>
      <c r="G273" s="7" t="n">
        <v>1.38</v>
      </c>
      <c r="H273" s="7" t="n">
        <v>2</v>
      </c>
      <c r="I273" s="7" t="n">
        <v>0.6200000000000001</v>
      </c>
      <c r="J273" s="8" t="n">
        <v>93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00713063437</t>
        </is>
      </c>
      <c r="D274" s="5" t="inlineStr">
        <is>
          <t>MOMETASONE FUROATE 0.1 % EXTERNAL CREAM</t>
        </is>
      </c>
      <c r="E274" s="6" t="inlineStr">
        <is>
          <t>45.0</t>
        </is>
      </c>
      <c r="F274" s="7" t="n">
        <v>180</v>
      </c>
      <c r="G274" s="7" t="n">
        <v>4</v>
      </c>
      <c r="H274" s="7" t="n">
        <v>5</v>
      </c>
      <c r="I274" s="7" t="n">
        <v>1</v>
      </c>
      <c r="J274" s="8" t="n">
        <v>93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51672130406</t>
        </is>
      </c>
      <c r="D275" s="5" t="inlineStr">
        <is>
          <t>TERCONAZOLE 0.4% CREAM</t>
        </is>
      </c>
      <c r="E275" s="6" t="inlineStr">
        <is>
          <t>45.0</t>
        </is>
      </c>
      <c r="F275" s="7" t="n">
        <v>135</v>
      </c>
      <c r="G275" s="7" t="n">
        <v>3</v>
      </c>
      <c r="H275" s="7" t="n">
        <v>4</v>
      </c>
      <c r="I275" s="7" t="n">
        <v>1</v>
      </c>
      <c r="J275" s="8" t="n">
        <v>91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68382066010</t>
        </is>
      </c>
      <c r="D276" s="5" t="inlineStr">
        <is>
          <t>SPIRONOLACTONE 25MG TABLET</t>
        </is>
      </c>
      <c r="E276" s="6" t="inlineStr">
        <is>
          <t>1000.0</t>
        </is>
      </c>
      <c r="F276" s="7" t="n">
        <v>900</v>
      </c>
      <c r="G276" s="7" t="n">
        <v>0.9</v>
      </c>
      <c r="H276" s="7" t="n">
        <v>0</v>
      </c>
      <c r="I276" s="7" t="n">
        <v>-0.9</v>
      </c>
      <c r="J276" s="8" t="n">
        <v>91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43547028211</t>
        </is>
      </c>
      <c r="D277" s="5" t="inlineStr">
        <is>
          <t>ESCITALOPRAM 20MG TABLET</t>
        </is>
      </c>
      <c r="E277" s="6" t="inlineStr">
        <is>
          <t>1000.0</t>
        </is>
      </c>
      <c r="F277" s="7" t="n">
        <v>390</v>
      </c>
      <c r="G277" s="7" t="n">
        <v>0.39</v>
      </c>
      <c r="H277" s="7" t="n">
        <v>0</v>
      </c>
      <c r="I277" s="7" t="n">
        <v>-0.39</v>
      </c>
      <c r="J277" s="8" t="n">
        <v>91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00378907293</t>
        </is>
      </c>
      <c r="D278" s="5" t="inlineStr">
        <is>
          <t>RIVASTIGMINE 13.3 MG/24HR TRANSDERMAL PATCH 24 HOUR</t>
        </is>
      </c>
      <c r="E278" s="6" t="inlineStr">
        <is>
          <t>30.0</t>
        </is>
      </c>
      <c r="F278" s="7" t="n">
        <v>30</v>
      </c>
      <c r="G278" s="7" t="n">
        <v>1</v>
      </c>
      <c r="H278" s="7" t="n">
        <v>0</v>
      </c>
      <c r="I278" s="7" t="n">
        <v>-1</v>
      </c>
      <c r="J278" s="8" t="n">
        <v>89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00378632577</t>
        </is>
      </c>
      <c r="D279" s="5" t="inlineStr">
        <is>
          <t>VALSARTAN-HCTZ 320-25MG TABLET</t>
        </is>
      </c>
      <c r="E279" s="6" t="inlineStr">
        <is>
          <t>90.0</t>
        </is>
      </c>
      <c r="F279" s="7" t="n">
        <v>120</v>
      </c>
      <c r="G279" s="7" t="n">
        <v>1.333333333333333</v>
      </c>
      <c r="H279" s="7" t="n">
        <v>0</v>
      </c>
      <c r="I279" s="7" t="n">
        <v>-1.333333333333333</v>
      </c>
      <c r="J279" s="8" t="n">
        <v>88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68462026310</t>
        </is>
      </c>
      <c r="D280" s="5" t="inlineStr">
        <is>
          <t>ROSUVASTATIN 20MG TABLET</t>
        </is>
      </c>
      <c r="E280" s="6" t="inlineStr">
        <is>
          <t>1000.0</t>
        </is>
      </c>
      <c r="F280" s="7" t="n">
        <v>930</v>
      </c>
      <c r="G280" s="7" t="n">
        <v>0.93</v>
      </c>
      <c r="H280" s="7" t="n">
        <v>0</v>
      </c>
      <c r="I280" s="7" t="n">
        <v>-0.93</v>
      </c>
      <c r="J280" s="8" t="n">
        <v>88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45963067696</t>
        </is>
      </c>
      <c r="D281" s="5" t="inlineStr">
        <is>
          <t>METOPROLOL SUCCINATE 50MG TABLET ER</t>
        </is>
      </c>
      <c r="E281" s="6" t="inlineStr">
        <is>
          <t>1000.0</t>
        </is>
      </c>
      <c r="F281" s="7" t="n">
        <v>750</v>
      </c>
      <c r="G281" s="7" t="n">
        <v>0.75</v>
      </c>
      <c r="H281" s="7" t="n">
        <v>0</v>
      </c>
      <c r="I281" s="7" t="n">
        <v>-0.75</v>
      </c>
      <c r="J281" s="8" t="n">
        <v>87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70756001112</t>
        </is>
      </c>
      <c r="D282" s="5" t="inlineStr">
        <is>
          <t>CHLORTHALIDONE 25MG TABLET</t>
        </is>
      </c>
      <c r="E282" s="6" t="inlineStr">
        <is>
          <t>1000.0</t>
        </is>
      </c>
      <c r="F282" s="7" t="n">
        <v>510</v>
      </c>
      <c r="G282" s="7" t="n">
        <v>0.51</v>
      </c>
      <c r="H282" s="7" t="n">
        <v>0</v>
      </c>
      <c r="I282" s="7" t="n">
        <v>-0.51</v>
      </c>
      <c r="J282" s="8" t="n">
        <v>86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51672131201</t>
        </is>
      </c>
      <c r="D283" s="5" t="inlineStr">
        <is>
          <t>MUPIROCIN 2 % EXTERNAL OINTMENT</t>
        </is>
      </c>
      <c r="E283" s="6" t="inlineStr">
        <is>
          <t>15.0</t>
        </is>
      </c>
      <c r="F283" s="7" t="n">
        <v>225</v>
      </c>
      <c r="G283" s="7" t="n">
        <v>15</v>
      </c>
      <c r="H283" s="7" t="n">
        <v>14</v>
      </c>
      <c r="I283" s="7" t="n">
        <v>-1</v>
      </c>
      <c r="J283" s="8" t="n">
        <v>85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00093354143</t>
        </is>
      </c>
      <c r="D284" s="5" t="inlineStr">
        <is>
          <t>ESTRADIOL 0.1MG/GM CREAM</t>
        </is>
      </c>
      <c r="E284" s="6" t="inlineStr">
        <is>
          <t>42.5</t>
        </is>
      </c>
      <c r="F284" s="7" t="n">
        <v>127.5</v>
      </c>
      <c r="G284" s="7" t="n">
        <v>3</v>
      </c>
      <c r="H284" s="7" t="n">
        <v>0</v>
      </c>
      <c r="I284" s="7" t="n">
        <v>-3</v>
      </c>
      <c r="J284" s="8" t="n">
        <v>84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49884015676</t>
        </is>
      </c>
      <c r="D285" s="5" t="inlineStr">
        <is>
          <t>VARENICLINE TARTRATE 1MG TABLET</t>
        </is>
      </c>
      <c r="E285" s="6" t="inlineStr">
        <is>
          <t>56.0</t>
        </is>
      </c>
      <c r="F285" s="7" t="n">
        <v>168</v>
      </c>
      <c r="G285" s="7" t="n">
        <v>3</v>
      </c>
      <c r="H285" s="7" t="n">
        <v>0</v>
      </c>
      <c r="I285" s="7" t="n">
        <v>-3</v>
      </c>
      <c r="J285" s="8" t="n">
        <v>84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13668013610</t>
        </is>
      </c>
      <c r="D287" s="5" t="inlineStr">
        <is>
          <t>ESCITALOPRAM 10MG TABLET</t>
        </is>
      </c>
      <c r="E287" s="6" t="inlineStr">
        <is>
          <t>1000.0</t>
        </is>
      </c>
      <c r="F287" s="7" t="n">
        <v>765</v>
      </c>
      <c r="G287" s="7" t="n">
        <v>0.765</v>
      </c>
      <c r="H287" s="7" t="n">
        <v>0</v>
      </c>
      <c r="I287" s="7" t="n">
        <v>-0.765</v>
      </c>
      <c r="J287" s="8" t="n">
        <v>80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42806071405</t>
        </is>
      </c>
      <c r="D288" s="5" t="inlineStr">
        <is>
          <t>BENZONATATE 100MG CAPSULE NYM</t>
        </is>
      </c>
      <c r="E288" s="6" t="inlineStr">
        <is>
          <t>500.0</t>
        </is>
      </c>
      <c r="F288" s="7" t="n">
        <v>262</v>
      </c>
      <c r="G288" s="7" t="n">
        <v>0.524</v>
      </c>
      <c r="H288" s="7" t="n">
        <v>0</v>
      </c>
      <c r="I288" s="7" t="n">
        <v>-0.524</v>
      </c>
      <c r="J288" s="8" t="n">
        <v>79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00378581377</t>
        </is>
      </c>
      <c r="D289" s="5" t="inlineStr">
        <is>
          <t>VALSARTAN 80MG TABLET</t>
        </is>
      </c>
      <c r="E289" s="6" t="inlineStr">
        <is>
          <t>90.0</t>
        </is>
      </c>
      <c r="F289" s="7" t="n">
        <v>270</v>
      </c>
      <c r="G289" s="7" t="n">
        <v>3</v>
      </c>
      <c r="H289" s="7" t="n">
        <v>0</v>
      </c>
      <c r="I289" s="7" t="n">
        <v>-3</v>
      </c>
      <c r="J289" s="8" t="n">
        <v>78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00781286810</t>
        </is>
      </c>
      <c r="D290" s="5" t="inlineStr">
        <is>
          <t>OMEPRAZOLE 20MG CAPSULE DR</t>
        </is>
      </c>
      <c r="E290" s="6" t="inlineStr">
        <is>
          <t>1000.0</t>
        </is>
      </c>
      <c r="F290" s="7" t="n">
        <v>1286</v>
      </c>
      <c r="G290" s="7" t="n">
        <v>1.286</v>
      </c>
      <c r="H290" s="7" t="n">
        <v>0</v>
      </c>
      <c r="I290" s="7" t="n">
        <v>-1.286</v>
      </c>
      <c r="J290" s="8" t="n">
        <v>77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00054032656</t>
        </is>
      </c>
      <c r="D291" s="5" t="inlineStr">
        <is>
          <t>FLUTICASONE-SALMETEROL 100-50 MCG/ACT INH AEROSOL</t>
        </is>
      </c>
      <c r="E291" s="6" t="inlineStr">
        <is>
          <t>60.0</t>
        </is>
      </c>
      <c r="F291" s="7" t="n">
        <v>120</v>
      </c>
      <c r="G291" s="7" t="n">
        <v>2</v>
      </c>
      <c r="H291" s="7" t="n">
        <v>0</v>
      </c>
      <c r="I291" s="7" t="n">
        <v>-2</v>
      </c>
      <c r="J291" s="8" t="n">
        <v>76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42192071506</t>
        </is>
      </c>
      <c r="D292" s="5" t="inlineStr">
        <is>
          <t>CICLOPIROX 8 % EXTERNAL SOLUTION</t>
        </is>
      </c>
      <c r="E292" s="6" t="inlineStr">
        <is>
          <t>6.6</t>
        </is>
      </c>
      <c r="F292" s="7" t="n">
        <v>33</v>
      </c>
      <c r="G292" s="7" t="n">
        <v>5</v>
      </c>
      <c r="H292" s="7" t="n">
        <v>0</v>
      </c>
      <c r="I292" s="7" t="n">
        <v>-5</v>
      </c>
      <c r="J292" s="8" t="n">
        <v>76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45802059701</t>
        </is>
      </c>
      <c r="D293" s="5" t="inlineStr">
        <is>
          <t>CLINDAMYCIN PHOS-BENZOYL PEROX 1.2-2.5 % EXTERNAL GEL</t>
        </is>
      </c>
      <c r="E293" s="6" t="inlineStr">
        <is>
          <t>50.0</t>
        </is>
      </c>
      <c r="F293" s="7" t="n">
        <v>100</v>
      </c>
      <c r="G293" s="7" t="n">
        <v>2</v>
      </c>
      <c r="H293" s="7" t="n">
        <v>0</v>
      </c>
      <c r="I293" s="7" t="n">
        <v>-2</v>
      </c>
      <c r="J293" s="8" t="n">
        <v>75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68180096703</t>
        </is>
      </c>
      <c r="D294" s="5" t="inlineStr">
        <is>
          <t>LEVOTHYROXINE 75MCG TABLET</t>
        </is>
      </c>
      <c r="E294" s="6" t="inlineStr">
        <is>
          <t>1000.0</t>
        </is>
      </c>
      <c r="F294" s="7" t="n">
        <v>330</v>
      </c>
      <c r="G294" s="7" t="n">
        <v>0.33</v>
      </c>
      <c r="H294" s="7" t="n">
        <v>0</v>
      </c>
      <c r="I294" s="7" t="n">
        <v>-0.33</v>
      </c>
      <c r="J294" s="8" t="n">
        <v>75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72266014201</t>
        </is>
      </c>
      <c r="D295" s="5" t="inlineStr">
        <is>
          <t>BROMFENAC SODIUM (ONCE-DAILY) 0.09% SOLUTION</t>
        </is>
      </c>
      <c r="E295" s="6" t="inlineStr">
        <is>
          <t>1.7</t>
        </is>
      </c>
      <c r="F295" s="7" t="n">
        <v>1.7</v>
      </c>
      <c r="G295" s="7" t="n">
        <v>1</v>
      </c>
      <c r="H295" s="7" t="n">
        <v>0</v>
      </c>
      <c r="I295" s="7" t="n">
        <v>-1</v>
      </c>
      <c r="J295" s="8" t="n">
        <v>75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64380091906</t>
        </is>
      </c>
      <c r="D296" s="5" t="inlineStr">
        <is>
          <t>URSODIOL 500MG TABLET</t>
        </is>
      </c>
      <c r="E296" s="6" t="inlineStr">
        <is>
          <t>100.0</t>
        </is>
      </c>
      <c r="F296" s="7" t="n">
        <v>180</v>
      </c>
      <c r="G296" s="7" t="n">
        <v>1.8</v>
      </c>
      <c r="H296" s="7" t="n">
        <v>0</v>
      </c>
      <c r="I296" s="7" t="n">
        <v>-1.8</v>
      </c>
      <c r="J296" s="8" t="n">
        <v>74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68180097003</t>
        </is>
      </c>
      <c r="D297" s="5" t="inlineStr">
        <is>
          <t>LEVOTHYROXINE 112MCG TABLET</t>
        </is>
      </c>
      <c r="E297" s="6" t="inlineStr">
        <is>
          <t>1000.0</t>
        </is>
      </c>
      <c r="F297" s="7" t="n">
        <v>360</v>
      </c>
      <c r="G297" s="7" t="n">
        <v>0.36</v>
      </c>
      <c r="H297" s="7" t="n">
        <v>0</v>
      </c>
      <c r="I297" s="7" t="n">
        <v>-0.36</v>
      </c>
      <c r="J297" s="8" t="n">
        <v>74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67877052660</t>
        </is>
      </c>
      <c r="D298" s="5" t="inlineStr">
        <is>
          <t>RANOLAZINE ER 1000MG TABLET</t>
        </is>
      </c>
      <c r="E298" s="6" t="inlineStr">
        <is>
          <t>60.0</t>
        </is>
      </c>
      <c r="F298" s="7" t="n">
        <v>180</v>
      </c>
      <c r="G298" s="7" t="n">
        <v>3</v>
      </c>
      <c r="H298" s="7" t="n">
        <v>0</v>
      </c>
      <c r="I298" s="7" t="n">
        <v>-3</v>
      </c>
      <c r="J298" s="8" t="n">
        <v>73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67877031905</t>
        </is>
      </c>
      <c r="D299" s="5" t="inlineStr">
        <is>
          <t>IBUPROFEN 400MG TABLET</t>
        </is>
      </c>
      <c r="E299" s="6" t="inlineStr">
        <is>
          <t>500.0</t>
        </is>
      </c>
      <c r="F299" s="7" t="n">
        <v>400</v>
      </c>
      <c r="G299" s="7" t="n">
        <v>0.8</v>
      </c>
      <c r="H299" s="7" t="n">
        <v>0</v>
      </c>
      <c r="I299" s="7" t="n">
        <v>-0.8</v>
      </c>
      <c r="J299" s="8" t="n">
        <v>73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67877049160</t>
        </is>
      </c>
      <c r="D300" s="5" t="inlineStr">
        <is>
          <t>TICAGRELOR 90 MG ORAL TABLET</t>
        </is>
      </c>
      <c r="E300" s="6" t="inlineStr">
        <is>
          <t>60.0</t>
        </is>
      </c>
      <c r="F300" s="7" t="n">
        <v>180</v>
      </c>
      <c r="G300" s="7" t="n">
        <v>3</v>
      </c>
      <c r="H300" s="7" t="n">
        <v>4</v>
      </c>
      <c r="I300" s="7" t="n">
        <v>1</v>
      </c>
      <c r="J300" s="8" t="n">
        <v>73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45802010284</t>
        </is>
      </c>
      <c r="D301" s="5" t="inlineStr">
        <is>
          <t>IVERMECTIN 1 % EXTERNAL CREAM</t>
        </is>
      </c>
      <c r="E301" s="6" t="inlineStr">
        <is>
          <t>45.0</t>
        </is>
      </c>
      <c r="F301" s="7" t="n">
        <v>45</v>
      </c>
      <c r="G301" s="7" t="n">
        <v>1</v>
      </c>
      <c r="H301" s="7" t="n">
        <v>0</v>
      </c>
      <c r="I301" s="7" t="n">
        <v>-1</v>
      </c>
      <c r="J301" s="8" t="n">
        <v>72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68180096803</t>
        </is>
      </c>
      <c r="D302" s="5" t="inlineStr">
        <is>
          <t>LEVOTHYROXINE 88MCG TABLET</t>
        </is>
      </c>
      <c r="E302" s="6" t="inlineStr">
        <is>
          <t>1000.0</t>
        </is>
      </c>
      <c r="F302" s="7" t="n">
        <v>330</v>
      </c>
      <c r="G302" s="7" t="n">
        <v>0.33</v>
      </c>
      <c r="H302" s="7" t="n">
        <v>0</v>
      </c>
      <c r="I302" s="7" t="n">
        <v>-0.33</v>
      </c>
      <c r="J302" s="8" t="n">
        <v>72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67877032105</t>
        </is>
      </c>
      <c r="D303" s="5" t="inlineStr">
        <is>
          <t xml:space="preserve">IBUPROFEN 800MG TAB </t>
        </is>
      </c>
      <c r="E303" s="6" t="inlineStr">
        <is>
          <t>500.0</t>
        </is>
      </c>
      <c r="F303" s="7" t="n">
        <v>784</v>
      </c>
      <c r="G303" s="7" t="n">
        <v>1.568</v>
      </c>
      <c r="H303" s="7" t="n">
        <v>0</v>
      </c>
      <c r="I303" s="7" t="n">
        <v>-1.568</v>
      </c>
      <c r="J303" s="8" t="n">
        <v>72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65862020299</t>
        </is>
      </c>
      <c r="D304" s="5" t="inlineStr">
        <is>
          <t>LOSARTAN 50MG TABLET</t>
        </is>
      </c>
      <c r="E304" s="6" t="inlineStr">
        <is>
          <t>1000.0</t>
        </is>
      </c>
      <c r="F304" s="7" t="n">
        <v>780</v>
      </c>
      <c r="G304" s="7" t="n">
        <v>0.78</v>
      </c>
      <c r="H304" s="7" t="n">
        <v>0</v>
      </c>
      <c r="I304" s="7" t="n">
        <v>-0.78</v>
      </c>
      <c r="J304" s="8" t="n">
        <v>71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00193755301</t>
        </is>
      </c>
      <c r="D305" s="5" t="inlineStr">
        <is>
          <t>CONTOUR NEXT EZ W/DEVICE KIT</t>
        </is>
      </c>
      <c r="E305" s="6" t="inlineStr">
        <is>
          <t>1.0</t>
        </is>
      </c>
      <c r="F305" s="7" t="n">
        <v>5</v>
      </c>
      <c r="G305" s="7" t="n">
        <v>5</v>
      </c>
      <c r="H305" s="7" t="n">
        <v>8</v>
      </c>
      <c r="I305" s="7" t="n">
        <v>3</v>
      </c>
      <c r="J305" s="8" t="n">
        <v>71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69367036005</t>
        </is>
      </c>
      <c r="D306" s="5" t="inlineStr">
        <is>
          <t>ROSUVASTATIN 10 MG ORAL TABLET</t>
        </is>
      </c>
      <c r="E306" s="6" t="inlineStr">
        <is>
          <t>500.0</t>
        </is>
      </c>
      <c r="F306" s="7" t="n">
        <v>750</v>
      </c>
      <c r="G306" s="7" t="n">
        <v>1.5</v>
      </c>
      <c r="H306" s="7" t="n">
        <v>0</v>
      </c>
      <c r="I306" s="7" t="n">
        <v>-1.5</v>
      </c>
      <c r="J306" s="8" t="n">
        <v>71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70710135103</t>
        </is>
      </c>
      <c r="D307" s="5" t="inlineStr">
        <is>
          <t>COLCHICINE 0.6MG TABLET</t>
        </is>
      </c>
      <c r="E307" s="6" t="inlineStr">
        <is>
          <t>30.0</t>
        </is>
      </c>
      <c r="F307" s="7" t="n">
        <v>105</v>
      </c>
      <c r="G307" s="7" t="n">
        <v>3.5</v>
      </c>
      <c r="H307" s="7" t="n">
        <v>0</v>
      </c>
      <c r="I307" s="7" t="n">
        <v>-3.5</v>
      </c>
      <c r="J307" s="8" t="n">
        <v>71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68382064006</t>
        </is>
      </c>
      <c r="D308" s="5" t="inlineStr">
        <is>
          <t>DUTASTERIDE-TAMSULOSIN HCL 0.5-0.4 MG ORAL CAPSULE</t>
        </is>
      </c>
      <c r="E308" s="6" t="inlineStr">
        <is>
          <t>30.0</t>
        </is>
      </c>
      <c r="F308" s="7" t="n">
        <v>30</v>
      </c>
      <c r="G308" s="7" t="n">
        <v>1</v>
      </c>
      <c r="H308" s="7" t="n">
        <v>0</v>
      </c>
      <c r="I308" s="7" t="n">
        <v>-1</v>
      </c>
      <c r="J308" s="8" t="n">
        <v>70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33342005044</t>
        </is>
      </c>
      <c r="D309" s="5" t="inlineStr">
        <is>
          <t>LOSARTAN-HCTZ 50-12.5 MG TABLET</t>
        </is>
      </c>
      <c r="E309" s="6" t="inlineStr">
        <is>
          <t>1000.0</t>
        </is>
      </c>
      <c r="F309" s="7" t="n">
        <v>720</v>
      </c>
      <c r="G309" s="7" t="n">
        <v>0.72</v>
      </c>
      <c r="H309" s="7" t="n">
        <v>0</v>
      </c>
      <c r="I309" s="7" t="n">
        <v>-0.72</v>
      </c>
      <c r="J309" s="8" t="n">
        <v>70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57664051083</t>
        </is>
      </c>
      <c r="D310" s="5" t="inlineStr">
        <is>
          <t>MIRTAZAPINE 7.5MG TABLET</t>
        </is>
      </c>
      <c r="E310" s="6" t="inlineStr">
        <is>
          <t>30.0</t>
        </is>
      </c>
      <c r="F310" s="7" t="n">
        <v>210</v>
      </c>
      <c r="G310" s="7" t="n">
        <v>7</v>
      </c>
      <c r="H310" s="7" t="n">
        <v>0</v>
      </c>
      <c r="I310" s="7" t="n">
        <v>-7</v>
      </c>
      <c r="J310" s="8" t="n">
        <v>69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61442019205</t>
        </is>
      </c>
      <c r="D311" s="5" t="inlineStr">
        <is>
          <t>MEMANTINE 5MG TABLET</t>
        </is>
      </c>
      <c r="E311" s="6" t="inlineStr">
        <is>
          <t>500.0</t>
        </is>
      </c>
      <c r="F311" s="7" t="n">
        <v>390</v>
      </c>
      <c r="G311" s="7" t="n">
        <v>0.78</v>
      </c>
      <c r="H311" s="7" t="n">
        <v>0</v>
      </c>
      <c r="I311" s="7" t="n">
        <v>-0.78</v>
      </c>
      <c r="J311" s="8" t="n">
        <v>68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69097007212</t>
        </is>
      </c>
      <c r="D312" s="5" t="inlineStr">
        <is>
          <t>BUPROPION HCL ER (XL) 300MG TABLET</t>
        </is>
      </c>
      <c r="E312" s="6" t="inlineStr">
        <is>
          <t>500.0</t>
        </is>
      </c>
      <c r="F312" s="7" t="n">
        <v>300</v>
      </c>
      <c r="G312" s="7" t="n">
        <v>0.6</v>
      </c>
      <c r="H312" s="7" t="n">
        <v>0</v>
      </c>
      <c r="I312" s="7" t="n">
        <v>-0.6</v>
      </c>
      <c r="J312" s="8" t="n">
        <v>67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68180029603</t>
        </is>
      </c>
      <c r="D313" s="5" t="inlineStr">
        <is>
          <t>DULOXETINE 60MG CAPSULE DR</t>
        </is>
      </c>
      <c r="E313" s="6" t="inlineStr">
        <is>
          <t>1000.0</t>
        </is>
      </c>
      <c r="F313" s="7" t="n">
        <v>300</v>
      </c>
      <c r="G313" s="7" t="n">
        <v>0.3</v>
      </c>
      <c r="H313" s="7" t="n">
        <v>0</v>
      </c>
      <c r="I313" s="7" t="n">
        <v>-0.3</v>
      </c>
      <c r="J313" s="8" t="n">
        <v>67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68180028101</t>
        </is>
      </c>
      <c r="D314" s="5" t="inlineStr">
        <is>
          <t>ETHAMBUTOL HCL 400MG TABLET</t>
        </is>
      </c>
      <c r="E314" s="6" t="inlineStr">
        <is>
          <t>100.0</t>
        </is>
      </c>
      <c r="F314" s="7" t="n">
        <v>162</v>
      </c>
      <c r="G314" s="7" t="n">
        <v>1.62</v>
      </c>
      <c r="H314" s="7" t="n">
        <v>2</v>
      </c>
      <c r="I314" s="7" t="n">
        <v>0.3799999999999999</v>
      </c>
      <c r="J314" s="8" t="n">
        <v>67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65162067684</t>
        </is>
      </c>
      <c r="D315" s="5" t="inlineStr">
        <is>
          <t>AZELASTINE HCL 137 MCG/SPRAY NASAL SOLUTION</t>
        </is>
      </c>
      <c r="E315" s="6" t="inlineStr">
        <is>
          <t>30.0</t>
        </is>
      </c>
      <c r="F315" s="7" t="n">
        <v>180</v>
      </c>
      <c r="G315" s="7" t="n">
        <v>6</v>
      </c>
      <c r="H315" s="7" t="n">
        <v>0</v>
      </c>
      <c r="I315" s="7" t="n">
        <v>-6</v>
      </c>
      <c r="J315" s="8" t="n">
        <v>66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16729000617</t>
        </is>
      </c>
      <c r="D316" s="5" t="inlineStr">
        <is>
          <t>SIMVASTATIN 40MG TABLET</t>
        </is>
      </c>
      <c r="E316" s="6" t="inlineStr">
        <is>
          <t>1000.0</t>
        </is>
      </c>
      <c r="F316" s="7" t="n">
        <v>570</v>
      </c>
      <c r="G316" s="7" t="n">
        <v>0.57</v>
      </c>
      <c r="H316" s="7" t="n">
        <v>0</v>
      </c>
      <c r="I316" s="7" t="n">
        <v>-0.57</v>
      </c>
      <c r="J316" s="8" t="n">
        <v>66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00173068220</t>
        </is>
      </c>
      <c r="D317" s="5" t="inlineStr">
        <is>
          <t xml:space="preserve">VENTOLIN HFA 108 (90 BASE) </t>
        </is>
      </c>
      <c r="E317" s="6" t="inlineStr">
        <is>
          <t>18.0</t>
        </is>
      </c>
      <c r="F317" s="7" t="n">
        <v>18</v>
      </c>
      <c r="G317" s="7" t="n">
        <v>1</v>
      </c>
      <c r="H317" s="7" t="n">
        <v>0</v>
      </c>
      <c r="I317" s="7" t="n">
        <v>-1</v>
      </c>
      <c r="J317" s="8" t="n">
        <v>65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51672300701</t>
        </is>
      </c>
      <c r="D318" s="5" t="inlineStr">
        <is>
          <t>HYDROCORTISONE-ACETIC ACID 1-2 % OTIC SOLUTION</t>
        </is>
      </c>
      <c r="E318" s="6" t="inlineStr">
        <is>
          <t>10.0</t>
        </is>
      </c>
      <c r="F318" s="7" t="n">
        <v>10</v>
      </c>
      <c r="G318" s="7" t="n">
        <v>1</v>
      </c>
      <c r="H318" s="7" t="n">
        <v>0</v>
      </c>
      <c r="I318" s="7" t="n">
        <v>-1</v>
      </c>
      <c r="J318" s="8" t="n">
        <v>65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59746012110</t>
        </is>
      </c>
      <c r="D319" s="5" t="inlineStr">
        <is>
          <t>MECLIZINE HCL 25MG TABLET</t>
        </is>
      </c>
      <c r="E319" s="6" t="inlineStr">
        <is>
          <t>1000.0</t>
        </is>
      </c>
      <c r="F319" s="7" t="n">
        <v>360</v>
      </c>
      <c r="G319" s="7" t="n">
        <v>0.36</v>
      </c>
      <c r="H319" s="7" t="n">
        <v>0</v>
      </c>
      <c r="I319" s="7" t="n">
        <v>-0.36</v>
      </c>
      <c r="J319" s="8" t="n">
        <v>65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57237003105</t>
        </is>
      </c>
      <c r="D320" s="5" t="inlineStr">
        <is>
          <t>AMOXICILLIN 500 MG CAPSULE</t>
        </is>
      </c>
      <c r="E320" s="6" t="inlineStr">
        <is>
          <t>500.0</t>
        </is>
      </c>
      <c r="F320" s="7" t="n">
        <v>372</v>
      </c>
      <c r="G320" s="7" t="n">
        <v>0.744</v>
      </c>
      <c r="H320" s="7" t="n">
        <v>1</v>
      </c>
      <c r="I320" s="7" t="n">
        <v>0.256</v>
      </c>
      <c r="J320" s="8" t="n">
        <v>63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69315031228</t>
        </is>
      </c>
      <c r="D321" s="5" t="inlineStr">
        <is>
          <t>PROCTO-MED HC 2.5 % EXTERNAL CREAM</t>
        </is>
      </c>
      <c r="E321" s="6" t="inlineStr">
        <is>
          <t>28.0</t>
        </is>
      </c>
      <c r="F321" s="7" t="n">
        <v>168</v>
      </c>
      <c r="G321" s="7" t="n">
        <v>6</v>
      </c>
      <c r="H321" s="7" t="n">
        <v>3</v>
      </c>
      <c r="I321" s="7" t="n">
        <v>-3</v>
      </c>
      <c r="J321" s="8" t="n">
        <v>62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13107003105</t>
        </is>
      </c>
      <c r="D322" s="5" t="inlineStr">
        <is>
          <t>MIRTAZAPINE 15MG TABLET</t>
        </is>
      </c>
      <c r="E322" s="6" t="inlineStr">
        <is>
          <t>500.0</t>
        </is>
      </c>
      <c r="F322" s="7" t="n">
        <v>270</v>
      </c>
      <c r="G322" s="7" t="n">
        <v>0.54</v>
      </c>
      <c r="H322" s="7" t="n">
        <v>1</v>
      </c>
      <c r="I322" s="7" t="n">
        <v>0.46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50111056003</t>
        </is>
      </c>
      <c r="D323" s="5" t="inlineStr">
        <is>
          <t>TRAZODONE 50MG TABLET</t>
        </is>
      </c>
      <c r="E323" s="6" t="inlineStr">
        <is>
          <t>1000.0</t>
        </is>
      </c>
      <c r="F323" s="7" t="n">
        <v>1035</v>
      </c>
      <c r="G323" s="7" t="n">
        <v>1.035</v>
      </c>
      <c r="H323" s="7" t="n">
        <v>1</v>
      </c>
      <c r="I323" s="7" t="n">
        <v>-0.03499999999999992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00378050501</t>
        </is>
      </c>
      <c r="D324" s="5" t="inlineStr">
        <is>
          <t>BISOPROLOL-HCTZ 10-6.25MG TABLET</t>
        </is>
      </c>
      <c r="E324" s="6" t="inlineStr">
        <is>
          <t>100.0</t>
        </is>
      </c>
      <c r="F324" s="7" t="n">
        <v>270</v>
      </c>
      <c r="G324" s="7" t="n">
        <v>2.7</v>
      </c>
      <c r="H324" s="7" t="n">
        <v>1</v>
      </c>
      <c r="I324" s="7" t="n">
        <v>-1.7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61442010201</t>
        </is>
      </c>
      <c r="D325" s="5" t="inlineStr">
        <is>
          <t xml:space="preserve">DICLOFENAC SOD 50MG TAB DR </t>
        </is>
      </c>
      <c r="E325" s="6" t="inlineStr">
        <is>
          <t>100.0</t>
        </is>
      </c>
      <c r="F325" s="7" t="n">
        <v>330</v>
      </c>
      <c r="G325" s="7" t="n">
        <v>3.3</v>
      </c>
      <c r="H325" s="7" t="n">
        <v>0</v>
      </c>
      <c r="I325" s="7" t="n">
        <v>-3.3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68180097903</t>
        </is>
      </c>
      <c r="D326" s="5" t="inlineStr">
        <is>
          <t>LISINOPRIL 40MG TABLET</t>
        </is>
      </c>
      <c r="E326" s="6" t="inlineStr">
        <is>
          <t>1000.0</t>
        </is>
      </c>
      <c r="F326" s="7" t="n">
        <v>1350</v>
      </c>
      <c r="G326" s="7" t="n">
        <v>1.35</v>
      </c>
      <c r="H326" s="7" t="n">
        <v>0</v>
      </c>
      <c r="I326" s="7" t="n">
        <v>-1.35</v>
      </c>
      <c r="J326" s="8" t="n">
        <v>61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70752013812</t>
        </is>
      </c>
      <c r="D327" s="5" t="inlineStr">
        <is>
          <t>PROMETHAZINE HCL 6.25 MG/5ML ORAL SOLUTION</t>
        </is>
      </c>
      <c r="E327" s="6" t="inlineStr">
        <is>
          <t>473.0</t>
        </is>
      </c>
      <c r="F327" s="7" t="n">
        <v>1093</v>
      </c>
      <c r="G327" s="7" t="n">
        <v>2.310782241014799</v>
      </c>
      <c r="H327" s="7" t="n">
        <v>0</v>
      </c>
      <c r="I327" s="7" t="n">
        <v>-2.310782241014799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68180069806</t>
        </is>
      </c>
      <c r="D328" s="5" t="inlineStr">
        <is>
          <t>TRAMADOL HCL ER 200MG TABLET</t>
        </is>
      </c>
      <c r="E328" s="6" t="inlineStr">
        <is>
          <t>30.0</t>
        </is>
      </c>
      <c r="F328" s="7" t="n">
        <v>30</v>
      </c>
      <c r="G328" s="7" t="n">
        <v>1</v>
      </c>
      <c r="H328" s="7" t="n">
        <v>2</v>
      </c>
      <c r="I328" s="7" t="n">
        <v>1</v>
      </c>
      <c r="J328" s="8" t="n">
        <v>59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59651078205</t>
        </is>
      </c>
      <c r="D329" s="5" t="inlineStr">
        <is>
          <t>GLIPIZIDE ER 10MG TABLET</t>
        </is>
      </c>
      <c r="E329" s="6" t="inlineStr">
        <is>
          <t>500.0</t>
        </is>
      </c>
      <c r="F329" s="7" t="n">
        <v>420</v>
      </c>
      <c r="G329" s="7" t="n">
        <v>0.84</v>
      </c>
      <c r="H329" s="7" t="n">
        <v>0</v>
      </c>
      <c r="I329" s="7" t="n">
        <v>-0.84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00116200116</t>
        </is>
      </c>
      <c r="D330" s="5" t="inlineStr">
        <is>
          <t xml:space="preserve">CHLORHEXIDINE 0.12% SOLUTION </t>
        </is>
      </c>
      <c r="E330" s="6" t="inlineStr">
        <is>
          <t>473.0</t>
        </is>
      </c>
      <c r="F330" s="7" t="n">
        <v>4730</v>
      </c>
      <c r="G330" s="7" t="n">
        <v>10</v>
      </c>
      <c r="H330" s="7" t="n">
        <v>9</v>
      </c>
      <c r="I330" s="7" t="n">
        <v>-1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45802040109</t>
        </is>
      </c>
      <c r="D331" s="5" t="inlineStr">
        <is>
          <t>CICLOPIROX 1 % EXTERNAL SHAMPOO</t>
        </is>
      </c>
      <c r="E331" s="6" t="inlineStr">
        <is>
          <t>120.0</t>
        </is>
      </c>
      <c r="F331" s="7" t="n">
        <v>240</v>
      </c>
      <c r="G331" s="7" t="n">
        <v>2</v>
      </c>
      <c r="H331" s="7" t="n">
        <v>0</v>
      </c>
      <c r="I331" s="7" t="n">
        <v>-2</v>
      </c>
      <c r="J331" s="8" t="n">
        <v>58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68180096903</t>
        </is>
      </c>
      <c r="D332" s="5" t="inlineStr">
        <is>
          <t>LEVOTHYROXINE 100MCG TABLET</t>
        </is>
      </c>
      <c r="E332" s="6" t="inlineStr">
        <is>
          <t>1000.0</t>
        </is>
      </c>
      <c r="F332" s="7" t="n">
        <v>210</v>
      </c>
      <c r="G332" s="7" t="n">
        <v>0.21</v>
      </c>
      <c r="H332" s="7" t="n">
        <v>0</v>
      </c>
      <c r="I332" s="7" t="n">
        <v>-0.21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68180097103</t>
        </is>
      </c>
      <c r="D333" s="5" t="inlineStr">
        <is>
          <t>LEVOTHYROXINE 125MCG TABLET</t>
        </is>
      </c>
      <c r="E333" s="6" t="inlineStr">
        <is>
          <t>1000.0</t>
        </is>
      </c>
      <c r="F333" s="7" t="n">
        <v>240</v>
      </c>
      <c r="G333" s="7" t="n">
        <v>0.24</v>
      </c>
      <c r="H333" s="7" t="n">
        <v>0</v>
      </c>
      <c r="I333" s="7" t="n">
        <v>-0.24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00378632277</t>
        </is>
      </c>
      <c r="D334" s="5" t="inlineStr">
        <is>
          <t>VALSARTAN-HCTZ 160-12.5MG TABLET</t>
        </is>
      </c>
      <c r="E334" s="6" t="inlineStr">
        <is>
          <t>90.0</t>
        </is>
      </c>
      <c r="F334" s="7" t="n">
        <v>270</v>
      </c>
      <c r="G334" s="7" t="n">
        <v>3</v>
      </c>
      <c r="H334" s="7" t="n">
        <v>3</v>
      </c>
      <c r="I334" s="7" t="n">
        <v>0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43547044103</t>
        </is>
      </c>
      <c r="D335" s="5" t="inlineStr">
        <is>
          <t>TELMISARTAN-HCTZ 40-12.5 MG ORAL TABLET</t>
        </is>
      </c>
      <c r="E335" s="6" t="inlineStr">
        <is>
          <t>30.0</t>
        </is>
      </c>
      <c r="F335" s="7" t="n">
        <v>90</v>
      </c>
      <c r="G335" s="7" t="n">
        <v>3</v>
      </c>
      <c r="H335" s="7" t="n">
        <v>0</v>
      </c>
      <c r="I335" s="7" t="n">
        <v>-3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65862001105</t>
        </is>
      </c>
      <c r="D336" s="5" t="inlineStr">
        <is>
          <t>SERTRALINE 25MG TABLET</t>
        </is>
      </c>
      <c r="E336" s="6" t="inlineStr">
        <is>
          <t>500.0</t>
        </is>
      </c>
      <c r="F336" s="7" t="n">
        <v>210</v>
      </c>
      <c r="G336" s="7" t="n">
        <v>0.42</v>
      </c>
      <c r="H336" s="7" t="n">
        <v>2</v>
      </c>
      <c r="I336" s="7" t="n">
        <v>1.58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50742050510</t>
        </is>
      </c>
      <c r="D337" s="5" t="inlineStr">
        <is>
          <t>SCOPOLAMINE 1 MG/3DAYS TRANSDERMAL PATCH 72 HOUR</t>
        </is>
      </c>
      <c r="E337" s="6" t="inlineStr">
        <is>
          <t>10.0</t>
        </is>
      </c>
      <c r="F337" s="7" t="n">
        <v>10</v>
      </c>
      <c r="G337" s="7" t="n">
        <v>1</v>
      </c>
      <c r="H337" s="7" t="n">
        <v>0</v>
      </c>
      <c r="I337" s="7" t="n">
        <v>-1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51672138903</t>
        </is>
      </c>
      <c r="D338" s="5" t="inlineStr">
        <is>
          <t>AZELAIC ACID 15 % EXTERNAL GEL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08484081028</t>
        </is>
      </c>
      <c r="D340" s="5" t="inlineStr">
        <is>
          <t>LANCETS PRODIGY</t>
        </is>
      </c>
      <c r="E340" s="6" t="inlineStr">
        <is>
          <t>100.0</t>
        </is>
      </c>
      <c r="F340" s="7" t="n">
        <v>600</v>
      </c>
      <c r="G340" s="7" t="n">
        <v>6</v>
      </c>
      <c r="H340" s="7" t="n">
        <v>0</v>
      </c>
      <c r="I340" s="7" t="n">
        <v>-6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62332063260</t>
        </is>
      </c>
      <c r="D341" s="5" t="inlineStr">
        <is>
          <t>DESONIDE 0.05 % EXTERNAL CREAM</t>
        </is>
      </c>
      <c r="E341" s="6" t="inlineStr">
        <is>
          <t>60.0</t>
        </is>
      </c>
      <c r="F341" s="7" t="n">
        <v>60</v>
      </c>
      <c r="G341" s="7" t="n">
        <v>1</v>
      </c>
      <c r="H341" s="7" t="n">
        <v>0</v>
      </c>
      <c r="I341" s="7" t="n">
        <v>-1</v>
      </c>
      <c r="J341" s="8" t="n">
        <v>55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64980027801</t>
        </is>
      </c>
      <c r="D342" s="5" t="inlineStr">
        <is>
          <t>LITHIUM CARBONATE ER 45 MG TABLET</t>
        </is>
      </c>
      <c r="E342" s="6" t="inlineStr">
        <is>
          <t>100.0</t>
        </is>
      </c>
      <c r="F342" s="7" t="n">
        <v>180</v>
      </c>
      <c r="G342" s="7" t="n">
        <v>1.8</v>
      </c>
      <c r="H342" s="7" t="n">
        <v>2</v>
      </c>
      <c r="I342" s="7" t="n">
        <v>0.2</v>
      </c>
      <c r="J342" s="8" t="n">
        <v>55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00116400516</t>
        </is>
      </c>
      <c r="D343" s="5" t="inlineStr">
        <is>
          <t>LACTULOSE 10 GM/15ML ORAL SOLUTION</t>
        </is>
      </c>
      <c r="E343" s="6" t="inlineStr">
        <is>
          <t>473.0</t>
        </is>
      </c>
      <c r="F343" s="7" t="n">
        <v>1892</v>
      </c>
      <c r="G343" s="7" t="n">
        <v>4</v>
      </c>
      <c r="H343" s="7" t="n">
        <v>2</v>
      </c>
      <c r="I343" s="7" t="n">
        <v>-2</v>
      </c>
      <c r="J343" s="8" t="n">
        <v>54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00093221005</t>
        </is>
      </c>
      <c r="D344" s="5" t="inlineStr">
        <is>
          <t xml:space="preserve">SUCRALFATE 1GM TAB </t>
        </is>
      </c>
      <c r="E344" s="6" t="inlineStr">
        <is>
          <t>500.0</t>
        </is>
      </c>
      <c r="F344" s="7" t="n">
        <v>420</v>
      </c>
      <c r="G344" s="7" t="n">
        <v>0.84</v>
      </c>
      <c r="H344" s="7" t="n">
        <v>2</v>
      </c>
      <c r="I344" s="7" t="n">
        <v>1.16</v>
      </c>
      <c r="J344" s="8" t="n">
        <v>54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70756005212</t>
        </is>
      </c>
      <c r="D345" s="5" t="inlineStr">
        <is>
          <t>FAMOTIDINE 40MG TABLET</t>
        </is>
      </c>
      <c r="E345" s="6" t="inlineStr">
        <is>
          <t>1000.0</t>
        </is>
      </c>
      <c r="F345" s="7" t="n">
        <v>690</v>
      </c>
      <c r="G345" s="7" t="n">
        <v>0.6899999999999999</v>
      </c>
      <c r="H345" s="7" t="n">
        <v>2</v>
      </c>
      <c r="I345" s="7" t="n">
        <v>1.31</v>
      </c>
      <c r="J345" s="8" t="n">
        <v>53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23155050110</t>
        </is>
      </c>
      <c r="D346" s="5" t="inlineStr">
        <is>
          <t>HYDROXYZINE HCL 25MG TABLET</t>
        </is>
      </c>
      <c r="E346" s="6" t="inlineStr">
        <is>
          <t>1000.0</t>
        </is>
      </c>
      <c r="F346" s="7" t="n">
        <v>570</v>
      </c>
      <c r="G346" s="7" t="n">
        <v>0.57</v>
      </c>
      <c r="H346" s="7" t="n">
        <v>0</v>
      </c>
      <c r="I346" s="7" t="n">
        <v>-0.57</v>
      </c>
      <c r="J346" s="8" t="n">
        <v>53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91237000128</t>
        </is>
      </c>
      <c r="D347" s="5" t="inlineStr">
        <is>
          <t xml:space="preserve">ALCOHOL PADS EASY COMFORT  ALPINE </t>
        </is>
      </c>
      <c r="E347" s="6" t="inlineStr">
        <is>
          <t>100.0</t>
        </is>
      </c>
      <c r="F347" s="7" t="n">
        <v>300</v>
      </c>
      <c r="G347" s="7" t="n">
        <v>3</v>
      </c>
      <c r="H347" s="7" t="n">
        <v>0</v>
      </c>
      <c r="I347" s="7" t="n">
        <v>-3</v>
      </c>
      <c r="J347" s="8" t="n">
        <v>53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72888001400</t>
        </is>
      </c>
      <c r="D348" s="5" t="inlineStr">
        <is>
          <t>CYCLOBENZAPRINE 10MG TABLET</t>
        </is>
      </c>
      <c r="E348" s="6" t="inlineStr">
        <is>
          <t>1000.0</t>
        </is>
      </c>
      <c r="F348" s="7" t="n">
        <v>565</v>
      </c>
      <c r="G348" s="7" t="n">
        <v>0.5649999999999999</v>
      </c>
      <c r="H348" s="7" t="n">
        <v>2</v>
      </c>
      <c r="I348" s="7" t="n">
        <v>1.435</v>
      </c>
      <c r="J348" s="8" t="n">
        <v>53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00115521116</t>
        </is>
      </c>
      <c r="D349" s="5" t="inlineStr">
        <is>
          <t>COLESTIPOL HCL 1 GM ORAL TABLET</t>
        </is>
      </c>
      <c r="E349" s="6" t="inlineStr">
        <is>
          <t>120.0</t>
        </is>
      </c>
      <c r="F349" s="7" t="n">
        <v>90</v>
      </c>
      <c r="G349" s="7" t="n">
        <v>0.75</v>
      </c>
      <c r="H349" s="7" t="n">
        <v>0</v>
      </c>
      <c r="I349" s="7" t="n">
        <v>-0.75</v>
      </c>
      <c r="J349" s="8" t="n">
        <v>52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3</v>
      </c>
      <c r="I350" s="7" t="n">
        <v>1.2</v>
      </c>
      <c r="J350" s="8" t="n">
        <v>52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51672131200</t>
        </is>
      </c>
      <c r="D351" s="5" t="inlineStr">
        <is>
          <t>MUPIROCIN 2% OINTMENT</t>
        </is>
      </c>
      <c r="E351" s="6" t="inlineStr">
        <is>
          <t>22.0</t>
        </is>
      </c>
      <c r="F351" s="7" t="n">
        <v>88</v>
      </c>
      <c r="G351" s="7" t="n">
        <v>4</v>
      </c>
      <c r="H351" s="7" t="n">
        <v>12</v>
      </c>
      <c r="I351" s="7" t="n">
        <v>8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16571065710</t>
        </is>
      </c>
      <c r="D352" s="5" t="inlineStr">
        <is>
          <t xml:space="preserve">CEVIMELINE 30MG CAP </t>
        </is>
      </c>
      <c r="E352" s="6" t="inlineStr">
        <is>
          <t>100.0</t>
        </is>
      </c>
      <c r="F352" s="7" t="n">
        <v>90</v>
      </c>
      <c r="G352" s="7" t="n">
        <v>0.9</v>
      </c>
      <c r="H352" s="7" t="n">
        <v>0</v>
      </c>
      <c r="I352" s="7" t="n">
        <v>-0.9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43598032675</t>
        </is>
      </c>
      <c r="D353" s="5" t="inlineStr">
        <is>
          <t>CIPROFLOXACIN-DEXA 0.3-0.1% OTIC SUSP (EAR)</t>
        </is>
      </c>
      <c r="E353" s="6" t="inlineStr">
        <is>
          <t>7.5</t>
        </is>
      </c>
      <c r="F353" s="7" t="n">
        <v>7.5</v>
      </c>
      <c r="G353" s="7" t="n">
        <v>1</v>
      </c>
      <c r="H353" s="7" t="n">
        <v>0</v>
      </c>
      <c r="I353" s="7" t="n">
        <v>-1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60219174903</t>
        </is>
      </c>
      <c r="D354" s="5" t="inlineStr">
        <is>
          <t>ATROPINE SULFATE 1 % OPHTHALMIC SOLUTION</t>
        </is>
      </c>
      <c r="E354" s="6" t="inlineStr">
        <is>
          <t>5.0</t>
        </is>
      </c>
      <c r="F354" s="7" t="n">
        <v>10</v>
      </c>
      <c r="G354" s="7" t="n">
        <v>2</v>
      </c>
      <c r="H354" s="7" t="n">
        <v>0</v>
      </c>
      <c r="I354" s="7" t="n">
        <v>-2</v>
      </c>
      <c r="J354" s="8" t="n">
        <v>51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42806071501</t>
        </is>
      </c>
      <c r="D355" s="5" t="inlineStr">
        <is>
          <t>BENZONATATE 200MG CAPSULE</t>
        </is>
      </c>
      <c r="E355" s="6" t="inlineStr">
        <is>
          <t>100.0</t>
        </is>
      </c>
      <c r="F355" s="7" t="n">
        <v>101</v>
      </c>
      <c r="G355" s="7" t="n">
        <v>1.01</v>
      </c>
      <c r="H355" s="7" t="n">
        <v>0</v>
      </c>
      <c r="I355" s="7" t="n">
        <v>-1.01</v>
      </c>
      <c r="J355" s="8" t="n">
        <v>51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24208034425</t>
        </is>
      </c>
      <c r="D356" s="5" t="inlineStr">
        <is>
          <t>FLUNISOLIDE 25 MCG/ACT (0.025%) NASAL SOLUTION</t>
        </is>
      </c>
      <c r="E356" s="6" t="inlineStr">
        <is>
          <t>25.0</t>
        </is>
      </c>
      <c r="F356" s="7" t="n">
        <v>25</v>
      </c>
      <c r="G356" s="7" t="n">
        <v>1</v>
      </c>
      <c r="H356" s="7" t="n">
        <v>0</v>
      </c>
      <c r="I356" s="7" t="n">
        <v>-1</v>
      </c>
      <c r="J356" s="8" t="n">
        <v>51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00378172193</t>
        </is>
      </c>
      <c r="D357" s="5" t="inlineStr">
        <is>
          <t>AMLODIPINE-VALSARTAN 5-160 MG TABLET</t>
        </is>
      </c>
      <c r="E357" s="6" t="inlineStr">
        <is>
          <t>30.0</t>
        </is>
      </c>
      <c r="F357" s="7" t="n">
        <v>90</v>
      </c>
      <c r="G357" s="7" t="n">
        <v>3</v>
      </c>
      <c r="H357" s="7" t="n">
        <v>0</v>
      </c>
      <c r="I357" s="7" t="n">
        <v>-3</v>
      </c>
      <c r="J357" s="8" t="n">
        <v>50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00143980305</t>
        </is>
      </c>
      <c r="D358" s="5" t="inlineStr">
        <is>
          <t>DOXYCYCLINE HYCLATE 100MG CAPSULE</t>
        </is>
      </c>
      <c r="E358" s="6" t="inlineStr">
        <is>
          <t>500.0</t>
        </is>
      </c>
      <c r="F358" s="7" t="n">
        <v>192</v>
      </c>
      <c r="G358" s="7" t="n">
        <v>0.384</v>
      </c>
      <c r="H358" s="7" t="n">
        <v>0</v>
      </c>
      <c r="I358" s="7" t="n">
        <v>-0.384</v>
      </c>
      <c r="J358" s="8" t="n">
        <v>50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68462015713</t>
        </is>
      </c>
      <c r="D359" s="5" t="inlineStr">
        <is>
          <t xml:space="preserve">ONDANSETRON ODT  4MG TAB </t>
        </is>
      </c>
      <c r="E359" s="6" t="inlineStr">
        <is>
          <t>30.0</t>
        </is>
      </c>
      <c r="F359" s="7" t="n">
        <v>71</v>
      </c>
      <c r="G359" s="7" t="n">
        <v>2.366666666666667</v>
      </c>
      <c r="H359" s="7" t="n">
        <v>0</v>
      </c>
      <c r="I359" s="7" t="n">
        <v>-2.366666666666667</v>
      </c>
      <c r="J359" s="8" t="n">
        <v>50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00168014630</t>
        </is>
      </c>
      <c r="D360" s="5" t="inlineStr">
        <is>
          <t>HYDROCORTISONE 2.5% OINTMENT</t>
        </is>
      </c>
      <c r="E360" s="6" t="inlineStr">
        <is>
          <t>28.35</t>
        </is>
      </c>
      <c r="F360" s="7" t="n">
        <v>113.4</v>
      </c>
      <c r="G360" s="7" t="n">
        <v>4</v>
      </c>
      <c r="H360" s="7" t="n">
        <v>0</v>
      </c>
      <c r="I360" s="7" t="n">
        <v>-4</v>
      </c>
      <c r="J360" s="8" t="n">
        <v>49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50111056103</t>
        </is>
      </c>
      <c r="D361" s="5" t="inlineStr">
        <is>
          <t>TRAZODONE 100MG TABLET</t>
        </is>
      </c>
      <c r="E361" s="6" t="inlineStr">
        <is>
          <t>1000.0</t>
        </is>
      </c>
      <c r="F361" s="7" t="n">
        <v>405</v>
      </c>
      <c r="G361" s="7" t="n">
        <v>0.405</v>
      </c>
      <c r="H361" s="7" t="n">
        <v>0</v>
      </c>
      <c r="I361" s="7" t="n">
        <v>-0.405</v>
      </c>
      <c r="J361" s="8" t="n">
        <v>49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70010006310</t>
        </is>
      </c>
      <c r="D362" s="5" t="inlineStr">
        <is>
          <t>METFORMIN HCL 500 MG TABLET</t>
        </is>
      </c>
      <c r="E362" s="6" t="inlineStr">
        <is>
          <t>1000.0</t>
        </is>
      </c>
      <c r="F362" s="7" t="n">
        <v>3090</v>
      </c>
      <c r="G362" s="7" t="n">
        <v>3.09</v>
      </c>
      <c r="H362" s="7" t="n">
        <v>4</v>
      </c>
      <c r="I362" s="7" t="n">
        <v>0.9100000000000001</v>
      </c>
      <c r="J362" s="8" t="n">
        <v>49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55111025660</t>
        </is>
      </c>
      <c r="D363" s="5" t="inlineStr">
        <is>
          <t xml:space="preserve">ZIPRASIDONE 20MG CAP </t>
        </is>
      </c>
      <c r="E363" s="6" t="inlineStr">
        <is>
          <t>60.0</t>
        </is>
      </c>
      <c r="F363" s="7" t="n">
        <v>90</v>
      </c>
      <c r="G363" s="7" t="n">
        <v>1.5</v>
      </c>
      <c r="H363" s="7" t="n">
        <v>1</v>
      </c>
      <c r="I363" s="7" t="n">
        <v>-0.5</v>
      </c>
      <c r="J363" s="8" t="n">
        <v>49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00832532510</t>
        </is>
      </c>
      <c r="D364" s="5" t="inlineStr">
        <is>
          <t>POTASSIUM ER 20MEQ TABLET</t>
        </is>
      </c>
      <c r="E364" s="6" t="inlineStr">
        <is>
          <t>1000.0</t>
        </is>
      </c>
      <c r="F364" s="7" t="n">
        <v>360</v>
      </c>
      <c r="G364" s="7" t="n">
        <v>0.36</v>
      </c>
      <c r="H364" s="7" t="n">
        <v>0</v>
      </c>
      <c r="I364" s="7" t="n">
        <v>-0.36</v>
      </c>
      <c r="J364" s="8" t="n">
        <v>49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69097085907</t>
        </is>
      </c>
      <c r="D365" s="5" t="inlineStr">
        <is>
          <t>TERBINAFINE 250MG TABLET</t>
        </is>
      </c>
      <c r="E365" s="6" t="inlineStr">
        <is>
          <t>100.0</t>
        </is>
      </c>
      <c r="F365" s="7" t="n">
        <v>120</v>
      </c>
      <c r="G365" s="7" t="n">
        <v>1.2</v>
      </c>
      <c r="H365" s="7" t="n">
        <v>1</v>
      </c>
      <c r="I365" s="7" t="n">
        <v>-0.2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00781543920</t>
        </is>
      </c>
      <c r="D366" s="5" t="inlineStr">
        <is>
          <t xml:space="preserve">CEFPODOXIME 200MG TAB </t>
        </is>
      </c>
      <c r="E366" s="6" t="inlineStr">
        <is>
          <t>20.0</t>
        </is>
      </c>
      <c r="F366" s="7" t="n">
        <v>28</v>
      </c>
      <c r="G366" s="7" t="n">
        <v>1.4</v>
      </c>
      <c r="H366" s="7" t="n">
        <v>0</v>
      </c>
      <c r="I366" s="7" t="n">
        <v>-1.4</v>
      </c>
      <c r="J366" s="8" t="n">
        <v>47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24208063110</t>
        </is>
      </c>
      <c r="D367" s="5" t="inlineStr">
        <is>
          <t>NEOMYCIN-POLYMYXIN-HC 1 % OTIC SOLUTION</t>
        </is>
      </c>
      <c r="E367" s="6" t="inlineStr">
        <is>
          <t>10.0</t>
        </is>
      </c>
      <c r="F367" s="7" t="n">
        <v>10</v>
      </c>
      <c r="G367" s="7" t="n">
        <v>1</v>
      </c>
      <c r="H367" s="7" t="n">
        <v>2</v>
      </c>
      <c r="I367" s="7" t="n">
        <v>1</v>
      </c>
      <c r="J367" s="8" t="n">
        <v>47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52817026830</t>
        </is>
      </c>
      <c r="D368" s="5" t="inlineStr">
        <is>
          <t>BISOPROLOL FUMARATE 2.5 MG ORAL TABLET</t>
        </is>
      </c>
      <c r="E368" s="6" t="inlineStr">
        <is>
          <t>30.0</t>
        </is>
      </c>
      <c r="F368" s="7" t="n">
        <v>30</v>
      </c>
      <c r="G368" s="7" t="n">
        <v>1</v>
      </c>
      <c r="H368" s="7" t="n">
        <v>0</v>
      </c>
      <c r="I368" s="7" t="n">
        <v>-1</v>
      </c>
      <c r="J368" s="8" t="n">
        <v>46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50742026003</t>
        </is>
      </c>
      <c r="D369" s="5" t="inlineStr">
        <is>
          <t>NIFEDIPINE 30MG TABLET ER</t>
        </is>
      </c>
      <c r="E369" s="6" t="inlineStr">
        <is>
          <t>300.0</t>
        </is>
      </c>
      <c r="F369" s="7" t="n">
        <v>210</v>
      </c>
      <c r="G369" s="7" t="n">
        <v>0.7</v>
      </c>
      <c r="H369" s="7" t="n">
        <v>2</v>
      </c>
      <c r="I369" s="7" t="n">
        <v>1.3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65162099708</t>
        </is>
      </c>
      <c r="D370" s="5" t="inlineStr">
        <is>
          <t>DOTTI 0.1 MG/24HR TRANSDERMAL PATCH TWICE WEEKLY</t>
        </is>
      </c>
      <c r="E370" s="6" t="inlineStr">
        <is>
          <t>8.0</t>
        </is>
      </c>
      <c r="F370" s="7" t="n">
        <v>8</v>
      </c>
      <c r="G370" s="7" t="n">
        <v>1</v>
      </c>
      <c r="H370" s="7" t="n">
        <v>0</v>
      </c>
      <c r="I370" s="7" t="n">
        <v>-1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00555902658</t>
        </is>
      </c>
      <c r="D371" s="5" t="inlineStr">
        <is>
          <t>JUNEL FE 1/20 1-20MG TABLET</t>
        </is>
      </c>
      <c r="E371" s="6" t="inlineStr">
        <is>
          <t>28.0</t>
        </is>
      </c>
      <c r="F371" s="7" t="n">
        <v>196</v>
      </c>
      <c r="G371" s="7" t="n">
        <v>7</v>
      </c>
      <c r="H371" s="7" t="n">
        <v>1</v>
      </c>
      <c r="I371" s="7" t="n">
        <v>-6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08373982600</t>
        </is>
      </c>
      <c r="D372" s="5" t="inlineStr">
        <is>
          <t>OPTICHAMBER DIAMOND-MD MASK</t>
        </is>
      </c>
      <c r="E372" s="6" t="inlineStr">
        <is>
          <t>1.0</t>
        </is>
      </c>
      <c r="F372" s="7" t="n">
        <v>2</v>
      </c>
      <c r="G372" s="7" t="n">
        <v>2</v>
      </c>
      <c r="H372" s="7" t="n">
        <v>2</v>
      </c>
      <c r="I372" s="7" t="n">
        <v>0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61314014310</t>
        </is>
      </c>
      <c r="D373" s="5" t="inlineStr">
        <is>
          <t>BRIMONIDINE TARTRATE 0.2% SOLUTION</t>
        </is>
      </c>
      <c r="E373" s="6" t="inlineStr">
        <is>
          <t>10.0</t>
        </is>
      </c>
      <c r="F373" s="7" t="n">
        <v>40</v>
      </c>
      <c r="G373" s="7" t="n">
        <v>4</v>
      </c>
      <c r="H373" s="7" t="n">
        <v>3</v>
      </c>
      <c r="I373" s="7" t="n">
        <v>-1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68180098103</t>
        </is>
      </c>
      <c r="D374" s="5" t="inlineStr">
        <is>
          <t>LISINOPRIL 20MG TABLET</t>
        </is>
      </c>
      <c r="E374" s="6" t="inlineStr">
        <is>
          <t>1000.0</t>
        </is>
      </c>
      <c r="F374" s="7" t="n">
        <v>600</v>
      </c>
      <c r="G374" s="7" t="n">
        <v>0.6</v>
      </c>
      <c r="H374" s="7" t="n">
        <v>0</v>
      </c>
      <c r="I374" s="7" t="n">
        <v>-0.6</v>
      </c>
      <c r="J374" s="8" t="n">
        <v>45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69315011610</t>
        </is>
      </c>
      <c r="D375" s="5" t="inlineStr">
        <is>
          <t xml:space="preserve">FUROSEMIDE 20MG TAB </t>
        </is>
      </c>
      <c r="E375" s="6" t="inlineStr">
        <is>
          <t>1000.0</t>
        </is>
      </c>
      <c r="F375" s="7" t="n">
        <v>490</v>
      </c>
      <c r="G375" s="7" t="n">
        <v>0.49</v>
      </c>
      <c r="H375" s="7" t="n">
        <v>0</v>
      </c>
      <c r="I375" s="7" t="n">
        <v>-0.49</v>
      </c>
      <c r="J375" s="8" t="n">
        <v>45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00713063737</t>
        </is>
      </c>
      <c r="D376" s="5" t="inlineStr">
        <is>
          <t>METRONIDAZOLE 0.75 % EXTERNAL GEL</t>
        </is>
      </c>
      <c r="E376" s="6" t="inlineStr">
        <is>
          <t>45.0</t>
        </is>
      </c>
      <c r="F376" s="7" t="n">
        <v>45</v>
      </c>
      <c r="G376" s="7" t="n">
        <v>1</v>
      </c>
      <c r="H376" s="7" t="n">
        <v>0</v>
      </c>
      <c r="I376" s="7" t="n">
        <v>-1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43386009019</t>
        </is>
      </c>
      <c r="D377" s="5" t="inlineStr">
        <is>
          <t xml:space="preserve">GAVILYTE G SOLUTION </t>
        </is>
      </c>
      <c r="E377" s="6" t="inlineStr">
        <is>
          <t>4000.0</t>
        </is>
      </c>
      <c r="F377" s="7" t="n">
        <v>16000</v>
      </c>
      <c r="G377" s="7" t="n">
        <v>4</v>
      </c>
      <c r="H377" s="7" t="n">
        <v>6</v>
      </c>
      <c r="I377" s="7" t="n">
        <v>2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68180029503</t>
        </is>
      </c>
      <c r="D378" s="5" t="inlineStr">
        <is>
          <t>DULOXETINE 30MG  CAPSULE DR</t>
        </is>
      </c>
      <c r="E378" s="6" t="inlineStr">
        <is>
          <t>1000.0</t>
        </is>
      </c>
      <c r="F378" s="7" t="n">
        <v>180</v>
      </c>
      <c r="G378" s="7" t="n">
        <v>0.18</v>
      </c>
      <c r="H378" s="7" t="n">
        <v>0</v>
      </c>
      <c r="I378" s="7" t="n">
        <v>-0.18</v>
      </c>
      <c r="J378" s="8" t="n">
        <v>44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64980032430</t>
        </is>
      </c>
      <c r="D379" s="5" t="inlineStr">
        <is>
          <t>PROCTOZONE-HC 2.5% CREAM</t>
        </is>
      </c>
      <c r="E379" s="6" t="inlineStr">
        <is>
          <t>30.0</t>
        </is>
      </c>
      <c r="F379" s="7" t="n">
        <v>150</v>
      </c>
      <c r="G379" s="7" t="n">
        <v>5</v>
      </c>
      <c r="H379" s="7" t="n">
        <v>0</v>
      </c>
      <c r="I379" s="7" t="n">
        <v>-5</v>
      </c>
      <c r="J379" s="8" t="n">
        <v>44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68180096603</t>
        </is>
      </c>
      <c r="D380" s="5" t="inlineStr">
        <is>
          <t>LEVOTHYROXINE 50MCG TABLET</t>
        </is>
      </c>
      <c r="E380" s="6" t="inlineStr">
        <is>
          <t>1000.0</t>
        </is>
      </c>
      <c r="F380" s="7" t="n">
        <v>180</v>
      </c>
      <c r="G380" s="7" t="n">
        <v>0.18</v>
      </c>
      <c r="H380" s="7" t="n">
        <v>0</v>
      </c>
      <c r="I380" s="7" t="n">
        <v>-0.18</v>
      </c>
      <c r="J380" s="8" t="n">
        <v>44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69238154001</t>
        </is>
      </c>
      <c r="D381" s="5" t="inlineStr">
        <is>
          <t>URSODIOL 300MG CAPSULE</t>
        </is>
      </c>
      <c r="E381" s="6" t="inlineStr">
        <is>
          <t>100.0</t>
        </is>
      </c>
      <c r="F381" s="7" t="n">
        <v>120</v>
      </c>
      <c r="G381" s="7" t="n">
        <v>1.2</v>
      </c>
      <c r="H381" s="7" t="n">
        <v>0</v>
      </c>
      <c r="I381" s="7" t="n">
        <v>-1.2</v>
      </c>
      <c r="J381" s="8" t="n">
        <v>44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61314022715</t>
        </is>
      </c>
      <c r="D382" s="5" t="inlineStr">
        <is>
          <t>TIMOLOL MALEATE 0.5 % OPHTHALMIC SOLUTION</t>
        </is>
      </c>
      <c r="E382" s="6" t="inlineStr">
        <is>
          <t>15.0</t>
        </is>
      </c>
      <c r="F382" s="7" t="n">
        <v>30</v>
      </c>
      <c r="G382" s="7" t="n">
        <v>2</v>
      </c>
      <c r="H382" s="7" t="n">
        <v>0</v>
      </c>
      <c r="I382" s="7" t="n">
        <v>-2</v>
      </c>
      <c r="J382" s="8" t="n">
        <v>43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31722053201</t>
        </is>
      </c>
      <c r="D383" s="5" t="inlineStr">
        <is>
          <t>TORSEMIDE 100MG TABLET</t>
        </is>
      </c>
      <c r="E383" s="6" t="inlineStr">
        <is>
          <t>100.0</t>
        </is>
      </c>
      <c r="F383" s="7" t="n">
        <v>180</v>
      </c>
      <c r="G383" s="7" t="n">
        <v>1.8</v>
      </c>
      <c r="H383" s="7" t="n">
        <v>0</v>
      </c>
      <c r="I383" s="7" t="n">
        <v>-1.8</v>
      </c>
      <c r="J383" s="8" t="n">
        <v>43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57237000511</t>
        </is>
      </c>
      <c r="D384" s="5" t="inlineStr">
        <is>
          <t xml:space="preserve">FLUCONAZOLE 150MG TAB </t>
        </is>
      </c>
      <c r="E384" s="6" t="inlineStr">
        <is>
          <t>12.0</t>
        </is>
      </c>
      <c r="F384" s="7" t="n">
        <v>19</v>
      </c>
      <c r="G384" s="7" t="n">
        <v>1.583333333333333</v>
      </c>
      <c r="H384" s="7" t="n">
        <v>2</v>
      </c>
      <c r="I384" s="7" t="n">
        <v>0.4166666666666667</v>
      </c>
      <c r="J384" s="8" t="n">
        <v>43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45802005911</t>
        </is>
      </c>
      <c r="D385" s="5" t="inlineStr">
        <is>
          <t>NYSTATIN 100000UNIT/GM CREAM</t>
        </is>
      </c>
      <c r="E385" s="6" t="inlineStr">
        <is>
          <t>30.0</t>
        </is>
      </c>
      <c r="F385" s="7" t="n">
        <v>120</v>
      </c>
      <c r="G385" s="7" t="n">
        <v>4</v>
      </c>
      <c r="H385" s="7" t="n">
        <v>0</v>
      </c>
      <c r="I385" s="7" t="n">
        <v>-4</v>
      </c>
      <c r="J385" s="8" t="n">
        <v>43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68462043890</t>
        </is>
      </c>
      <c r="D386" s="5" t="inlineStr">
        <is>
          <t>OLMESARTAN 40MG TABLET</t>
        </is>
      </c>
      <c r="E386" s="6" t="inlineStr">
        <is>
          <t>90.0</t>
        </is>
      </c>
      <c r="F386" s="7" t="n">
        <v>270</v>
      </c>
      <c r="G386" s="7" t="n">
        <v>3</v>
      </c>
      <c r="H386" s="7" t="n">
        <v>0</v>
      </c>
      <c r="I386" s="7" t="n">
        <v>-3</v>
      </c>
      <c r="J386" s="8" t="n">
        <v>43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62332017460</t>
        </is>
      </c>
      <c r="D388" s="5" t="inlineStr">
        <is>
          <t>LACOSAMIDE 200 MG ORAL TABLET</t>
        </is>
      </c>
      <c r="E388" s="6" t="inlineStr">
        <is>
          <t>60.0</t>
        </is>
      </c>
      <c r="F388" s="7" t="n">
        <v>120</v>
      </c>
      <c r="G388" s="7" t="n">
        <v>2</v>
      </c>
      <c r="H388" s="7" t="n">
        <v>0</v>
      </c>
      <c r="I388" s="7" t="n">
        <v>-2</v>
      </c>
      <c r="J388" s="8" t="n">
        <v>42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68180037603</t>
        </is>
      </c>
      <c r="D389" s="5" t="inlineStr">
        <is>
          <t>LOSARTAN POTASSIUM 25MG TABLET</t>
        </is>
      </c>
      <c r="E389" s="6" t="inlineStr">
        <is>
          <t>1000.0</t>
        </is>
      </c>
      <c r="F389" s="7" t="n">
        <v>720</v>
      </c>
      <c r="G389" s="7" t="n">
        <v>0.72</v>
      </c>
      <c r="H389" s="7" t="n">
        <v>0</v>
      </c>
      <c r="I389" s="7" t="n">
        <v>-0.72</v>
      </c>
      <c r="J389" s="8" t="n">
        <v>42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00378042401</t>
        </is>
      </c>
      <c r="D390" s="5" t="inlineStr">
        <is>
          <t>METOPROLOL-HCTZ 50-25MG TABLET</t>
        </is>
      </c>
      <c r="E390" s="6" t="inlineStr">
        <is>
          <t>100.0</t>
        </is>
      </c>
      <c r="F390" s="7" t="n">
        <v>90</v>
      </c>
      <c r="G390" s="7" t="n">
        <v>0.9</v>
      </c>
      <c r="H390" s="7" t="n">
        <v>0</v>
      </c>
      <c r="I390" s="7" t="n">
        <v>-0.9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72578000805</t>
        </is>
      </c>
      <c r="D391" s="5" t="inlineStr">
        <is>
          <t>METRONIDAZOLE 500MG TABLET</t>
        </is>
      </c>
      <c r="E391" s="6" t="inlineStr">
        <is>
          <t>500.0</t>
        </is>
      </c>
      <c r="F391" s="7" t="n">
        <v>196</v>
      </c>
      <c r="G391" s="7" t="n">
        <v>0.392</v>
      </c>
      <c r="H391" s="7" t="n">
        <v>0</v>
      </c>
      <c r="I391" s="7" t="n">
        <v>-0.392</v>
      </c>
      <c r="J391" s="8" t="n">
        <v>41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68180031902</t>
        </is>
      </c>
      <c r="D392" s="5" t="inlineStr">
        <is>
          <t>BUPROPION HCL ER (XL) 150MG</t>
        </is>
      </c>
      <c r="E392" s="6" t="inlineStr">
        <is>
          <t>500.0</t>
        </is>
      </c>
      <c r="F392" s="7" t="n">
        <v>180</v>
      </c>
      <c r="G392" s="7" t="n">
        <v>0.36</v>
      </c>
      <c r="H392" s="7" t="n">
        <v>0</v>
      </c>
      <c r="I392" s="7" t="n">
        <v>-0.36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67877015905</t>
        </is>
      </c>
      <c r="D393" s="5" t="inlineStr">
        <is>
          <t xml:space="preserve">METFORMIN ER 500MG TABLET </t>
        </is>
      </c>
      <c r="E393" s="6" t="inlineStr">
        <is>
          <t>500.0</t>
        </is>
      </c>
      <c r="F393" s="7" t="n">
        <v>510</v>
      </c>
      <c r="G393" s="7" t="n">
        <v>1.02</v>
      </c>
      <c r="H393" s="7" t="n">
        <v>3</v>
      </c>
      <c r="I393" s="7" t="n">
        <v>1.98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70710116801</t>
        </is>
      </c>
      <c r="D394" s="5" t="inlineStr">
        <is>
          <t>ATENOLOL-CHLORTHALIDONE 100-25 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45802000910</t>
        </is>
      </c>
      <c r="D395" s="5" t="inlineStr">
        <is>
          <t>FLUOCINOLONE ACETONIDE 0.01 % OTIC OIL</t>
        </is>
      </c>
      <c r="E395" s="6" t="inlineStr">
        <is>
          <t>20.0</t>
        </is>
      </c>
      <c r="F395" s="7" t="n">
        <v>40</v>
      </c>
      <c r="G395" s="7" t="n">
        <v>2</v>
      </c>
      <c r="H395" s="7" t="n">
        <v>0</v>
      </c>
      <c r="I395" s="7" t="n">
        <v>-2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75907002448</t>
        </is>
      </c>
      <c r="D396" s="5" t="inlineStr">
        <is>
          <t>CLONIDINE 0.2 MG/24HR TRANSDERMAL PATCH WEEKLY</t>
        </is>
      </c>
      <c r="E396" s="6" t="inlineStr">
        <is>
          <t>4.0</t>
        </is>
      </c>
      <c r="F396" s="7" t="n">
        <v>4</v>
      </c>
      <c r="G396" s="7" t="n">
        <v>1</v>
      </c>
      <c r="H396" s="7" t="n">
        <v>0</v>
      </c>
      <c r="I396" s="7" t="n">
        <v>-1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45802046653</t>
        </is>
      </c>
      <c r="D397" s="5" t="inlineStr">
        <is>
          <t xml:space="preserve">ECONAZOLE NITRATE 1% CREAM </t>
        </is>
      </c>
      <c r="E397" s="6" t="inlineStr">
        <is>
          <t>85.0</t>
        </is>
      </c>
      <c r="F397" s="7" t="n">
        <v>85</v>
      </c>
      <c r="G397" s="7" t="n">
        <v>1</v>
      </c>
      <c r="H397" s="7" t="n">
        <v>0</v>
      </c>
      <c r="I397" s="7" t="n">
        <v>-1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68462010430</t>
        </is>
      </c>
      <c r="D398" s="5" t="inlineStr">
        <is>
          <t>FLUCONAZOLE 200MG TABLET</t>
        </is>
      </c>
      <c r="E398" s="6" t="inlineStr">
        <is>
          <t>30.0</t>
        </is>
      </c>
      <c r="F398" s="7" t="n">
        <v>82</v>
      </c>
      <c r="G398" s="7" t="n">
        <v>2.733333333333333</v>
      </c>
      <c r="H398" s="7" t="n">
        <v>0</v>
      </c>
      <c r="I398" s="7" t="n">
        <v>-2.733333333333333</v>
      </c>
      <c r="J398" s="8" t="n">
        <v>41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76204030003</t>
        </is>
      </c>
      <c r="D399" s="5" t="inlineStr">
        <is>
          <t>SODIUM CHLORIDE 0.9 % INHALATION NEBULIZATION SOLUTION</t>
        </is>
      </c>
      <c r="E399" s="6" t="inlineStr">
        <is>
          <t>300.0</t>
        </is>
      </c>
      <c r="F399" s="7" t="n">
        <v>600</v>
      </c>
      <c r="G399" s="7" t="n">
        <v>2</v>
      </c>
      <c r="H399" s="7" t="n">
        <v>0</v>
      </c>
      <c r="I399" s="7" t="n">
        <v>-2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16729000517</t>
        </is>
      </c>
      <c r="D400" s="5" t="inlineStr">
        <is>
          <t>SIMVASTATIN 20MG TABLET</t>
        </is>
      </c>
      <c r="E400" s="6" t="inlineStr">
        <is>
          <t>1000.0</t>
        </is>
      </c>
      <c r="F400" s="7" t="n">
        <v>1410</v>
      </c>
      <c r="G400" s="7" t="n">
        <v>1.41</v>
      </c>
      <c r="H400" s="7" t="n">
        <v>0</v>
      </c>
      <c r="I400" s="7" t="n">
        <v>-1.41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00574022901</t>
        </is>
      </c>
      <c r="D401" s="5" t="inlineStr">
        <is>
          <t>BENAZEPRIL-HCTZ 20-12.5MG TABLET</t>
        </is>
      </c>
      <c r="E401" s="6" t="inlineStr">
        <is>
          <t>100.0</t>
        </is>
      </c>
      <c r="F401" s="7" t="n">
        <v>90</v>
      </c>
      <c r="G401" s="7" t="n">
        <v>0.9</v>
      </c>
      <c r="H401" s="7" t="n">
        <v>0</v>
      </c>
      <c r="I401" s="7" t="n">
        <v>-0.9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62332018203</t>
        </is>
      </c>
      <c r="D402" s="5" t="inlineStr">
        <is>
          <t>ZOLMITRIPTAN 5 MG ORAL TABLET DISINTEGRATING</t>
        </is>
      </c>
      <c r="E402" s="6" t="inlineStr">
        <is>
          <t>3.0</t>
        </is>
      </c>
      <c r="F402" s="7" t="n">
        <v>9</v>
      </c>
      <c r="G402" s="7" t="n">
        <v>3</v>
      </c>
      <c r="H402" s="7" t="n">
        <v>0</v>
      </c>
      <c r="I402" s="7" t="n">
        <v>-3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76204080025</t>
        </is>
      </c>
      <c r="D403" s="5" t="inlineStr">
        <is>
          <t>LEVALBUTEROL HCL 0.63 MG/3ML INHALATION NEBULIZATION SOLUTION</t>
        </is>
      </c>
      <c r="E403" s="6" t="inlineStr">
        <is>
          <t>75.0</t>
        </is>
      </c>
      <c r="F403" s="7" t="n">
        <v>225</v>
      </c>
      <c r="G403" s="7" t="n">
        <v>3</v>
      </c>
      <c r="H403" s="7" t="n">
        <v>0</v>
      </c>
      <c r="I403" s="7" t="n">
        <v>-3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67877025001</t>
        </is>
      </c>
      <c r="D404" s="5" t="inlineStr">
        <is>
          <t>QUETIAPINE FUMARATE 100MG TABLET</t>
        </is>
      </c>
      <c r="E404" s="6" t="inlineStr">
        <is>
          <t>100.0</t>
        </is>
      </c>
      <c r="F404" s="7" t="n">
        <v>315</v>
      </c>
      <c r="G404" s="7" t="n">
        <v>3.15</v>
      </c>
      <c r="H404" s="7" t="n">
        <v>0</v>
      </c>
      <c r="I404" s="7" t="n">
        <v>-3.15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67877024201</t>
        </is>
      </c>
      <c r="D405" s="5" t="inlineStr">
        <is>
          <t>QUETIAPINE 25MG TABLET</t>
        </is>
      </c>
      <c r="E405" s="6" t="inlineStr">
        <is>
          <t>100.0</t>
        </is>
      </c>
      <c r="F405" s="7" t="n">
        <v>210</v>
      </c>
      <c r="G405" s="7" t="n">
        <v>2.1</v>
      </c>
      <c r="H405" s="7" t="n">
        <v>0</v>
      </c>
      <c r="I405" s="7" t="n">
        <v>-2.1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68180098003</t>
        </is>
      </c>
      <c r="D406" s="5" t="inlineStr">
        <is>
          <t>LISINOPRIL 10MG TABLET</t>
        </is>
      </c>
      <c r="E406" s="6" t="inlineStr">
        <is>
          <t>1000.0</t>
        </is>
      </c>
      <c r="F406" s="7" t="n">
        <v>900</v>
      </c>
      <c r="G406" s="7" t="n">
        <v>0.9</v>
      </c>
      <c r="H406" s="7" t="n">
        <v>0</v>
      </c>
      <c r="I406" s="7" t="n">
        <v>-0.9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47781001301</t>
        </is>
      </c>
      <c r="D407" s="5" t="inlineStr">
        <is>
          <t>HYOSCYAMINE SULFATE 0.125MG TABLET</t>
        </is>
      </c>
      <c r="E407" s="6" t="inlineStr">
        <is>
          <t>100.0</t>
        </is>
      </c>
      <c r="F407" s="7" t="n">
        <v>80</v>
      </c>
      <c r="G407" s="7" t="n">
        <v>0.8</v>
      </c>
      <c r="H407" s="7" t="n">
        <v>0</v>
      </c>
      <c r="I407" s="7" t="n">
        <v>-0.8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67877022405</t>
        </is>
      </c>
      <c r="D408" s="5" t="inlineStr">
        <is>
          <t xml:space="preserve">GABAPENTIN 400MG CAP </t>
        </is>
      </c>
      <c r="E408" s="6" t="inlineStr">
        <is>
          <t>500.0</t>
        </is>
      </c>
      <c r="F408" s="7" t="n">
        <v>570</v>
      </c>
      <c r="G408" s="7" t="n">
        <v>1.14</v>
      </c>
      <c r="H408" s="7" t="n">
        <v>0</v>
      </c>
      <c r="I408" s="7" t="n">
        <v>-1.14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00781712254</t>
        </is>
      </c>
      <c r="D409" s="5" t="inlineStr">
        <is>
          <t>ESTRADIOL 0.0375 MG/24HR TRANSDERMAL PATCH WEEKLY</t>
        </is>
      </c>
      <c r="E409" s="6" t="inlineStr">
        <is>
          <t>4.0</t>
        </is>
      </c>
      <c r="F409" s="7" t="n">
        <v>4</v>
      </c>
      <c r="G409" s="7" t="n">
        <v>1</v>
      </c>
      <c r="H409" s="7" t="n">
        <v>0</v>
      </c>
      <c r="I409" s="7" t="n">
        <v>-1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62332034290</t>
        </is>
      </c>
      <c r="D410" s="5" t="inlineStr">
        <is>
          <t>CANDESARTAN CILEXETIL 8 MG ORAL TABLET</t>
        </is>
      </c>
      <c r="E410" s="6" t="inlineStr">
        <is>
          <t>90.0</t>
        </is>
      </c>
      <c r="F410" s="7" t="n">
        <v>90</v>
      </c>
      <c r="G410" s="7" t="n">
        <v>1</v>
      </c>
      <c r="H410" s="7" t="n">
        <v>0</v>
      </c>
      <c r="I410" s="7" t="n">
        <v>-1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00093171301</t>
        </is>
      </c>
      <c r="D411" s="5" t="inlineStr">
        <is>
          <t>WARFARIN SODIUM 2 MG TABLET</t>
        </is>
      </c>
      <c r="E411" s="6" t="inlineStr">
        <is>
          <t>100.0</t>
        </is>
      </c>
      <c r="F411" s="7" t="n">
        <v>105</v>
      </c>
      <c r="G411" s="7" t="n">
        <v>1.05</v>
      </c>
      <c r="H411" s="7" t="n">
        <v>0</v>
      </c>
      <c r="I411" s="7" t="n">
        <v>-1.05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57237004230</t>
        </is>
      </c>
      <c r="D412" s="5" t="inlineStr">
        <is>
          <t>VALACYCLOVIR 500MG TABLET</t>
        </is>
      </c>
      <c r="E412" s="6" t="inlineStr">
        <is>
          <t>30.0</t>
        </is>
      </c>
      <c r="F412" s="7" t="n">
        <v>121</v>
      </c>
      <c r="G412" s="7" t="n">
        <v>4.033333333333333</v>
      </c>
      <c r="H412" s="7" t="n">
        <v>0</v>
      </c>
      <c r="I412" s="7" t="n">
        <v>-4.033333333333333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00168041630</t>
        </is>
      </c>
      <c r="D413" s="5" t="inlineStr">
        <is>
          <t>TACROLIMUS 0.1 % OINTMENT</t>
        </is>
      </c>
      <c r="E413" s="6" t="inlineStr">
        <is>
          <t>30.0</t>
        </is>
      </c>
      <c r="F413" s="7" t="n">
        <v>30</v>
      </c>
      <c r="G413" s="7" t="n">
        <v>1</v>
      </c>
      <c r="H413" s="7" t="n">
        <v>1</v>
      </c>
      <c r="I413" s="7" t="n">
        <v>0</v>
      </c>
      <c r="J413" s="8" t="n">
        <v>39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33342005144</t>
        </is>
      </c>
      <c r="D414" s="5" t="inlineStr">
        <is>
          <t>LOSARTANHCTZ 100-12.5 MG TABLET</t>
        </is>
      </c>
      <c r="E414" s="6" t="inlineStr">
        <is>
          <t>1000.0</t>
        </is>
      </c>
      <c r="F414" s="7" t="n">
        <v>390</v>
      </c>
      <c r="G414" s="7" t="n">
        <v>0.39</v>
      </c>
      <c r="H414" s="7" t="n">
        <v>0</v>
      </c>
      <c r="I414" s="7" t="n">
        <v>-0.39</v>
      </c>
      <c r="J414" s="8" t="n">
        <v>39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49483060450</t>
        </is>
      </c>
      <c r="D415" s="5" t="inlineStr">
        <is>
          <t>IBUPROFEN 800MG TABLET</t>
        </is>
      </c>
      <c r="E415" s="6" t="inlineStr">
        <is>
          <t>500.0</t>
        </is>
      </c>
      <c r="F415" s="7" t="n">
        <v>342</v>
      </c>
      <c r="G415" s="7" t="n">
        <v>0.6840000000000001</v>
      </c>
      <c r="H415" s="7" t="n">
        <v>0</v>
      </c>
      <c r="I415" s="7" t="n">
        <v>-0.6840000000000001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65862052205</t>
        </is>
      </c>
      <c r="D416" s="5" t="inlineStr">
        <is>
          <t>NAPROXEN 500MG TABLET</t>
        </is>
      </c>
      <c r="E416" s="6" t="inlineStr">
        <is>
          <t>500.0</t>
        </is>
      </c>
      <c r="F416" s="7" t="n">
        <v>284</v>
      </c>
      <c r="G416" s="7" t="n">
        <v>0.5679999999999999</v>
      </c>
      <c r="H416" s="7" t="n">
        <v>0</v>
      </c>
      <c r="I416" s="7" t="n">
        <v>-0.5679999999999999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00121087316</t>
        </is>
      </c>
      <c r="D417" s="5" t="inlineStr">
        <is>
          <t>LACTULOSE 10 GM/15ML ORAL SOLUTION</t>
        </is>
      </c>
      <c r="E417" s="6" t="inlineStr">
        <is>
          <t>473.0</t>
        </is>
      </c>
      <c r="F417" s="7" t="n">
        <v>1419</v>
      </c>
      <c r="G417" s="7" t="n">
        <v>3</v>
      </c>
      <c r="H417" s="7" t="n">
        <v>0</v>
      </c>
      <c r="I417" s="7" t="n">
        <v>-3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00406117001</t>
        </is>
      </c>
      <c r="D418" s="5" t="inlineStr">
        <is>
          <t>NALTREXONE 50MG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37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69097045805</t>
        </is>
      </c>
      <c r="D419" s="5" t="inlineStr">
        <is>
          <t xml:space="preserve">FENOFIBRATE 145MG TAB </t>
        </is>
      </c>
      <c r="E419" s="6" t="inlineStr">
        <is>
          <t>90.0</t>
        </is>
      </c>
      <c r="F419" s="7" t="n">
        <v>180</v>
      </c>
      <c r="G419" s="7" t="n">
        <v>2</v>
      </c>
      <c r="H419" s="7" t="n">
        <v>0</v>
      </c>
      <c r="I419" s="7" t="n">
        <v>-2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00093172101</t>
        </is>
      </c>
      <c r="D420" s="5" t="inlineStr">
        <is>
          <t xml:space="preserve">WARFARIN SODIUM 5MG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00168008031</t>
        </is>
      </c>
      <c r="D421" s="5" t="inlineStr">
        <is>
          <t>HYDROCORTISONE 2.5% CREAM</t>
        </is>
      </c>
      <c r="E421" s="6" t="inlineStr">
        <is>
          <t>30.0</t>
        </is>
      </c>
      <c r="F421" s="7" t="n">
        <v>150</v>
      </c>
      <c r="G421" s="7" t="n">
        <v>5</v>
      </c>
      <c r="H421" s="7" t="n">
        <v>10</v>
      </c>
      <c r="I421" s="7" t="n">
        <v>5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00143992801</t>
        </is>
      </c>
      <c r="D422" s="5" t="inlineStr">
        <is>
          <t>CIPROFLOXACIN 500MG TABLET</t>
        </is>
      </c>
      <c r="E422" s="6" t="inlineStr">
        <is>
          <t>100.0</t>
        </is>
      </c>
      <c r="F422" s="7" t="n">
        <v>48</v>
      </c>
      <c r="G422" s="7" t="n">
        <v>0.48</v>
      </c>
      <c r="H422" s="7" t="n">
        <v>0</v>
      </c>
      <c r="I422" s="7" t="n">
        <v>-0.48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00172409680</t>
        </is>
      </c>
      <c r="D423" s="5" t="inlineStr">
        <is>
          <t xml:space="preserve">BACLOFEN 10MG TAB </t>
        </is>
      </c>
      <c r="E423" s="6" t="inlineStr">
        <is>
          <t>1000.0</t>
        </is>
      </c>
      <c r="F423" s="7" t="n">
        <v>510</v>
      </c>
      <c r="G423" s="7" t="n">
        <v>0.51</v>
      </c>
      <c r="H423" s="7" t="n">
        <v>1</v>
      </c>
      <c r="I423" s="7" t="n">
        <v>0.49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31722053705</t>
        </is>
      </c>
      <c r="D424" s="5" t="inlineStr">
        <is>
          <t xml:space="preserve">LEVETIRACETAM 500MG TAB </t>
        </is>
      </c>
      <c r="E424" s="6" t="inlineStr">
        <is>
          <t>500.0</t>
        </is>
      </c>
      <c r="F424" s="7" t="n">
        <v>240</v>
      </c>
      <c r="G424" s="7" t="n">
        <v>0.48</v>
      </c>
      <c r="H424" s="7" t="n">
        <v>0</v>
      </c>
      <c r="I424" s="7" t="n">
        <v>-0.48</v>
      </c>
      <c r="J424" s="8" t="n">
        <v>36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68462074635</t>
        </is>
      </c>
      <c r="D425" s="5" t="inlineStr">
        <is>
          <t>ACYCLOVIR 5 % EXTERNAL OINTMENT</t>
        </is>
      </c>
      <c r="E425" s="6" t="inlineStr">
        <is>
          <t>30.0</t>
        </is>
      </c>
      <c r="F425" s="7" t="n">
        <v>60</v>
      </c>
      <c r="G425" s="7" t="n">
        <v>2</v>
      </c>
      <c r="H425" s="7" t="n">
        <v>2</v>
      </c>
      <c r="I425" s="7" t="n">
        <v>0</v>
      </c>
      <c r="J425" s="8" t="n">
        <v>36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31722053812</t>
        </is>
      </c>
      <c r="D426" s="5" t="inlineStr">
        <is>
          <t>LEVETIRACETAM 750MG TABLET</t>
        </is>
      </c>
      <c r="E426" s="6" t="inlineStr">
        <is>
          <t>120.0</t>
        </is>
      </c>
      <c r="F426" s="7" t="n">
        <v>240</v>
      </c>
      <c r="G426" s="7" t="n">
        <v>2</v>
      </c>
      <c r="H426" s="7" t="n">
        <v>0</v>
      </c>
      <c r="I426" s="7" t="n">
        <v>-2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68180051902</t>
        </is>
      </c>
      <c r="D427" s="5" t="inlineStr">
        <is>
          <t xml:space="preserve">LISINOPRIL-HCTZ 20-12.5MG TAB </t>
        </is>
      </c>
      <c r="E427" s="6" t="inlineStr">
        <is>
          <t>500.0</t>
        </is>
      </c>
      <c r="F427" s="7" t="n">
        <v>570</v>
      </c>
      <c r="G427" s="7" t="n">
        <v>1.14</v>
      </c>
      <c r="H427" s="7" t="n">
        <v>0</v>
      </c>
      <c r="I427" s="7" t="n">
        <v>-1.14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16729009016</t>
        </is>
      </c>
      <c r="D428" s="5" t="inlineStr">
        <is>
          <t xml:space="preserve">FINASTERIDE 5MG TAB </t>
        </is>
      </c>
      <c r="E428" s="6" t="inlineStr">
        <is>
          <t>500.0</t>
        </is>
      </c>
      <c r="F428" s="7" t="n">
        <v>540</v>
      </c>
      <c r="G428" s="7" t="n">
        <v>1.08</v>
      </c>
      <c r="H428" s="7" t="n">
        <v>0</v>
      </c>
      <c r="I428" s="7" t="n">
        <v>-1.08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42571031501</t>
        </is>
      </c>
      <c r="D429" s="5" t="inlineStr">
        <is>
          <t>CLOBAZAM 10MG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35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68180065907</t>
        </is>
      </c>
      <c r="D430" s="5" t="inlineStr">
        <is>
          <t>RIFAMPIN 300MG CAPSULE</t>
        </is>
      </c>
      <c r="E430" s="6" t="inlineStr">
        <is>
          <t>60.0</t>
        </is>
      </c>
      <c r="F430" s="7" t="n">
        <v>36</v>
      </c>
      <c r="G430" s="7" t="n">
        <v>0.6</v>
      </c>
      <c r="H430" s="7" t="n">
        <v>1</v>
      </c>
      <c r="I430" s="7" t="n">
        <v>0.4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57237002801</t>
        </is>
      </c>
      <c r="D431" s="5" t="inlineStr">
        <is>
          <t>AMOXICILLIN 500MG TABLET</t>
        </is>
      </c>
      <c r="E431" s="6" t="inlineStr">
        <is>
          <t>100.0</t>
        </is>
      </c>
      <c r="F431" s="7" t="n">
        <v>292</v>
      </c>
      <c r="G431" s="7" t="n">
        <v>2.92</v>
      </c>
      <c r="H431" s="7" t="n">
        <v>3</v>
      </c>
      <c r="I431" s="7" t="n">
        <v>0.08000000000000007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70010014901</t>
        </is>
      </c>
      <c r="D432" s="5" t="inlineStr">
        <is>
          <t>BUTALBITAL-APAP-CAFFEINE 50-325-40 MG ORAL TABLET</t>
        </is>
      </c>
      <c r="E432" s="6" t="inlineStr">
        <is>
          <t>100.0</t>
        </is>
      </c>
      <c r="F432" s="7" t="n">
        <v>180</v>
      </c>
      <c r="G432" s="7" t="n">
        <v>1.8</v>
      </c>
      <c r="H432" s="7" t="n">
        <v>0</v>
      </c>
      <c r="I432" s="7" t="n">
        <v>-1.8</v>
      </c>
      <c r="J432" s="8" t="n">
        <v>34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57664050289</t>
        </is>
      </c>
      <c r="D433" s="5" t="inlineStr">
        <is>
          <t>TIZANIDINE 2MG TABLET</t>
        </is>
      </c>
      <c r="E433" s="6" t="inlineStr">
        <is>
          <t>150.0</t>
        </is>
      </c>
      <c r="F433" s="7" t="n">
        <v>180</v>
      </c>
      <c r="G433" s="7" t="n">
        <v>1.2</v>
      </c>
      <c r="H433" s="7" t="n">
        <v>0</v>
      </c>
      <c r="I433" s="7" t="n">
        <v>-1.2</v>
      </c>
      <c r="J433" s="8" t="n">
        <v>34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31722053960</t>
        </is>
      </c>
      <c r="D434" s="5" t="inlineStr">
        <is>
          <t xml:space="preserve">LEVETIRACETAM 1000MG TAB </t>
        </is>
      </c>
      <c r="E434" s="6" t="inlineStr">
        <is>
          <t>60.0</t>
        </is>
      </c>
      <c r="F434" s="7" t="n">
        <v>180</v>
      </c>
      <c r="G434" s="7" t="n">
        <v>3</v>
      </c>
      <c r="H434" s="7" t="n">
        <v>0</v>
      </c>
      <c r="I434" s="7" t="n">
        <v>-3</v>
      </c>
      <c r="J434" s="8" t="n">
        <v>34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47781026305</t>
        </is>
      </c>
      <c r="D435" s="5" t="inlineStr">
        <is>
          <t>OXYCODONE HCL 5 MG TABLET</t>
        </is>
      </c>
      <c r="E435" s="6" t="inlineStr">
        <is>
          <t>500.0</t>
        </is>
      </c>
      <c r="F435" s="7" t="n">
        <v>131</v>
      </c>
      <c r="G435" s="7" t="n">
        <v>0.262</v>
      </c>
      <c r="H435" s="7" t="n">
        <v>0</v>
      </c>
      <c r="I435" s="7" t="n">
        <v>-0.262</v>
      </c>
      <c r="J435" s="8" t="n">
        <v>34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68382013805</t>
        </is>
      </c>
      <c r="D436" s="5" t="inlineStr">
        <is>
          <t>TOPIRAMATE 25MG TABLET</t>
        </is>
      </c>
      <c r="E436" s="6" t="inlineStr">
        <is>
          <t>500.0</t>
        </is>
      </c>
      <c r="F436" s="7" t="n">
        <v>420</v>
      </c>
      <c r="G436" s="7" t="n">
        <v>0.84</v>
      </c>
      <c r="H436" s="7" t="n">
        <v>0</v>
      </c>
      <c r="I436" s="7" t="n">
        <v>-0.84</v>
      </c>
      <c r="J436" s="8" t="n">
        <v>33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59630075050</t>
        </is>
      </c>
      <c r="D437" s="5" t="inlineStr">
        <is>
          <t>METHYLIN 5 MG/5ML ORAL SOLUTION</t>
        </is>
      </c>
      <c r="E437" s="6" t="inlineStr">
        <is>
          <t>500.0</t>
        </is>
      </c>
      <c r="F437" s="7" t="n">
        <v>300</v>
      </c>
      <c r="G437" s="7" t="n">
        <v>0.6</v>
      </c>
      <c r="H437" s="7" t="n">
        <v>0</v>
      </c>
      <c r="I437" s="7" t="n">
        <v>-0.6</v>
      </c>
      <c r="J437" s="8" t="n">
        <v>33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65862001205</t>
        </is>
      </c>
      <c r="D438" s="5" t="inlineStr">
        <is>
          <t>SERTRALINE 50MG TABLET</t>
        </is>
      </c>
      <c r="E438" s="6" t="inlineStr">
        <is>
          <t>500.0</t>
        </is>
      </c>
      <c r="F438" s="7" t="n">
        <v>300</v>
      </c>
      <c r="G438" s="7" t="n">
        <v>0.6</v>
      </c>
      <c r="H438" s="7" t="n">
        <v>0</v>
      </c>
      <c r="I438" s="7" t="n">
        <v>-0.6</v>
      </c>
      <c r="J438" s="8" t="n">
        <v>33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67877041401</t>
        </is>
      </c>
      <c r="D439" s="5" t="inlineStr">
        <is>
          <t>METFORMIN HCL ER 750 MG TABLET</t>
        </is>
      </c>
      <c r="E439" s="6" t="inlineStr">
        <is>
          <t>100.0</t>
        </is>
      </c>
      <c r="F439" s="7" t="n">
        <v>270</v>
      </c>
      <c r="G439" s="7" t="n">
        <v>2.7</v>
      </c>
      <c r="H439" s="7" t="n">
        <v>7</v>
      </c>
      <c r="I439" s="7" t="n">
        <v>4.3</v>
      </c>
      <c r="J439" s="8" t="n">
        <v>33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00093681673</t>
        </is>
      </c>
      <c r="D440" s="5" t="inlineStr">
        <is>
          <t>BUDESONIDE 0.5MG/2ML INHALATION SUSPENSION</t>
        </is>
      </c>
      <c r="E440" s="6" t="inlineStr">
        <is>
          <t>60.0</t>
        </is>
      </c>
      <c r="F440" s="7" t="n">
        <v>120</v>
      </c>
      <c r="G440" s="7" t="n">
        <v>2</v>
      </c>
      <c r="H440" s="7" t="n">
        <v>0</v>
      </c>
      <c r="I440" s="7" t="n">
        <v>-2</v>
      </c>
      <c r="J440" s="8" t="n">
        <v>33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69097042112</t>
        </is>
      </c>
      <c r="D441" s="5" t="inlineStr">
        <is>
          <t>CELECOXIB 200 MG ORAL CAPSULE</t>
        </is>
      </c>
      <c r="E441" s="6" t="inlineStr">
        <is>
          <t>500.0</t>
        </is>
      </c>
      <c r="F441" s="7" t="n">
        <v>150</v>
      </c>
      <c r="G441" s="7" t="n">
        <v>0.3</v>
      </c>
      <c r="H441" s="7" t="n">
        <v>0</v>
      </c>
      <c r="I441" s="7" t="n">
        <v>-0.3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23155007101</t>
        </is>
      </c>
      <c r="D442" s="5" t="inlineStr">
        <is>
          <t xml:space="preserve">METHIMAZOLE 10MG TAB </t>
        </is>
      </c>
      <c r="E442" s="6" t="inlineStr">
        <is>
          <t>100.0</t>
        </is>
      </c>
      <c r="F442" s="7" t="n">
        <v>180</v>
      </c>
      <c r="G442" s="7" t="n">
        <v>1.8</v>
      </c>
      <c r="H442" s="7" t="n">
        <v>3</v>
      </c>
      <c r="I442" s="7" t="n">
        <v>1.2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64980051505</t>
        </is>
      </c>
      <c r="D443" s="5" t="inlineStr">
        <is>
          <t xml:space="preserve">OFLOXACIN 0.3% SOL (EYE) </t>
        </is>
      </c>
      <c r="E443" s="6" t="inlineStr">
        <is>
          <t>5.0</t>
        </is>
      </c>
      <c r="F443" s="7" t="n">
        <v>15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31722055190</t>
        </is>
      </c>
      <c r="D444" s="5" t="inlineStr">
        <is>
          <t>LEVOCETIRIZINE 5MG TABLET</t>
        </is>
      </c>
      <c r="E444" s="6" t="inlineStr">
        <is>
          <t>90.0</t>
        </is>
      </c>
      <c r="F444" s="7" t="n">
        <v>360</v>
      </c>
      <c r="G444" s="7" t="n">
        <v>4</v>
      </c>
      <c r="H444" s="7" t="n">
        <v>5</v>
      </c>
      <c r="I444" s="7" t="n">
        <v>1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65862052305</t>
        </is>
      </c>
      <c r="D445" s="5" t="inlineStr">
        <is>
          <t>GABAPENTIN 600MG TABLET</t>
        </is>
      </c>
      <c r="E445" s="6" t="inlineStr">
        <is>
          <t>500.0</t>
        </is>
      </c>
      <c r="F445" s="7" t="n">
        <v>300</v>
      </c>
      <c r="G445" s="7" t="n">
        <v>0.6</v>
      </c>
      <c r="H445" s="7" t="n">
        <v>1</v>
      </c>
      <c r="I445" s="7" t="n">
        <v>0.4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61314012610</t>
        </is>
      </c>
      <c r="D446" s="5" t="inlineStr">
        <is>
          <t>KETOROLAC TROMETHAMINE 0.5 % OPHTHALMIC SOLUTION</t>
        </is>
      </c>
      <c r="E446" s="6" t="inlineStr">
        <is>
          <t>10.0</t>
        </is>
      </c>
      <c r="F446" s="7" t="n">
        <v>20</v>
      </c>
      <c r="G446" s="7" t="n">
        <v>2</v>
      </c>
      <c r="H446" s="7" t="n">
        <v>5</v>
      </c>
      <c r="I446" s="7" t="n">
        <v>3</v>
      </c>
      <c r="J446" s="8" t="n">
        <v>32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13668000805</t>
        </is>
      </c>
      <c r="D447" s="5" t="inlineStr">
        <is>
          <t xml:space="preserve">ZOLPIDEM TARTRATE 10MG TAB </t>
        </is>
      </c>
      <c r="E447" s="6" t="inlineStr">
        <is>
          <t>500.0</t>
        </is>
      </c>
      <c r="F447" s="7" t="n">
        <v>375</v>
      </c>
      <c r="G447" s="7" t="n">
        <v>0.75</v>
      </c>
      <c r="H447" s="7" t="n">
        <v>1</v>
      </c>
      <c r="I447" s="7" t="n">
        <v>0.25</v>
      </c>
      <c r="J447" s="8" t="n">
        <v>32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69452031132</t>
        </is>
      </c>
      <c r="D448" s="5" t="inlineStr">
        <is>
          <t>DICYCLOMINE HCL 20 MG ORAL TABLET</t>
        </is>
      </c>
      <c r="E448" s="6" t="inlineStr">
        <is>
          <t>1000.0</t>
        </is>
      </c>
      <c r="F448" s="7" t="n">
        <v>270</v>
      </c>
      <c r="G448" s="7" t="n">
        <v>0.27</v>
      </c>
      <c r="H448" s="7" t="n">
        <v>0</v>
      </c>
      <c r="I448" s="7" t="n">
        <v>-0.27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71093014311</t>
        </is>
      </c>
      <c r="D449" s="5" t="inlineStr">
        <is>
          <t>SERTRALINE HCL 20 MG/ML ORAL CONCENTRATE</t>
        </is>
      </c>
      <c r="E449" s="6" t="inlineStr">
        <is>
          <t>60.0</t>
        </is>
      </c>
      <c r="F449" s="7" t="n">
        <v>120</v>
      </c>
      <c r="G449" s="7" t="n">
        <v>2</v>
      </c>
      <c r="H449" s="7" t="n">
        <v>2</v>
      </c>
      <c r="I449" s="7" t="n">
        <v>0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61314014305</t>
        </is>
      </c>
      <c r="D450" s="5" t="inlineStr">
        <is>
          <t>BRIMONIDINE TARTRATE 0.2% SOLUTION</t>
        </is>
      </c>
      <c r="E450" s="6" t="inlineStr">
        <is>
          <t>5.0</t>
        </is>
      </c>
      <c r="F450" s="7" t="n">
        <v>25</v>
      </c>
      <c r="G450" s="7" t="n">
        <v>5</v>
      </c>
      <c r="H450" s="7" t="n">
        <v>5</v>
      </c>
      <c r="I450" s="7" t="n">
        <v>0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00832125030</t>
        </is>
      </c>
      <c r="D451" s="5" t="inlineStr">
        <is>
          <t>RAMELTEON 8MG TABLET</t>
        </is>
      </c>
      <c r="E451" s="6" t="inlineStr">
        <is>
          <t>30.0</t>
        </is>
      </c>
      <c r="F451" s="7" t="n">
        <v>30</v>
      </c>
      <c r="G451" s="7" t="n">
        <v>1</v>
      </c>
      <c r="H451" s="7" t="n">
        <v>3</v>
      </c>
      <c r="I451" s="7" t="n">
        <v>2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0</v>
      </c>
      <c r="I452" s="7" t="n">
        <v>-1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00168041730</t>
        </is>
      </c>
      <c r="D453" s="5" t="inlineStr">
        <is>
          <t>TACROLIMUS 0.03 % EXTERNAL OINTMENT</t>
        </is>
      </c>
      <c r="E453" s="6" t="inlineStr">
        <is>
          <t>30.0</t>
        </is>
      </c>
      <c r="F453" s="7" t="n">
        <v>30</v>
      </c>
      <c r="G453" s="7" t="n">
        <v>1</v>
      </c>
      <c r="H453" s="7" t="n">
        <v>2</v>
      </c>
      <c r="I453" s="7" t="n">
        <v>1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69238207807</t>
        </is>
      </c>
      <c r="D454" s="5" t="inlineStr">
        <is>
          <t>PROPRANOLOL HCL 20 MG ORAL TABLET</t>
        </is>
      </c>
      <c r="E454" s="6" t="inlineStr">
        <is>
          <t>1000.0</t>
        </is>
      </c>
      <c r="F454" s="7" t="n">
        <v>240</v>
      </c>
      <c r="G454" s="7" t="n">
        <v>0.24</v>
      </c>
      <c r="H454" s="7" t="n">
        <v>0</v>
      </c>
      <c r="I454" s="7" t="n">
        <v>-0.24</v>
      </c>
      <c r="J454" s="8" t="n">
        <v>31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50228014610</t>
        </is>
      </c>
      <c r="D455" s="5" t="inlineStr">
        <is>
          <t>HYDROCHLOROTHIAZIDE 12.5MG CAPSULE</t>
        </is>
      </c>
      <c r="E455" s="6" t="inlineStr">
        <is>
          <t>1000.0</t>
        </is>
      </c>
      <c r="F455" s="7" t="n">
        <v>450</v>
      </c>
      <c r="G455" s="7" t="n">
        <v>0.45</v>
      </c>
      <c r="H455" s="7" t="n">
        <v>0</v>
      </c>
      <c r="I455" s="7" t="n">
        <v>-0.45</v>
      </c>
      <c r="J455" s="8" t="n">
        <v>31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70436005404</t>
        </is>
      </c>
      <c r="D456" s="5" t="inlineStr">
        <is>
          <t>MEMANTINE HCL ER 7 MG ORAL CAPSULE EXTENDED RELEASE 24 HOUR</t>
        </is>
      </c>
      <c r="E456" s="6" t="inlineStr">
        <is>
          <t>30.0</t>
        </is>
      </c>
      <c r="F456" s="7" t="n">
        <v>30</v>
      </c>
      <c r="G456" s="7" t="n">
        <v>1</v>
      </c>
      <c r="H456" s="7" t="n">
        <v>0</v>
      </c>
      <c r="I456" s="7" t="n">
        <v>-1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00168000215</t>
        </is>
      </c>
      <c r="D457" s="5" t="inlineStr">
        <is>
          <t>TRIAMCINOLONE ACETONIDE 0.5 % CREAM</t>
        </is>
      </c>
      <c r="E457" s="6" t="inlineStr">
        <is>
          <t>15.0</t>
        </is>
      </c>
      <c r="F457" s="7" t="n">
        <v>45</v>
      </c>
      <c r="G457" s="7" t="n">
        <v>3</v>
      </c>
      <c r="H457" s="7" t="n">
        <v>0</v>
      </c>
      <c r="I457" s="7" t="n">
        <v>-3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68382045219</t>
        </is>
      </c>
      <c r="D458" s="5" t="inlineStr">
        <is>
          <t>MESALAMINE ER 0.375GCAPSULE</t>
        </is>
      </c>
      <c r="E458" s="6" t="inlineStr">
        <is>
          <t>120.0</t>
        </is>
      </c>
      <c r="F458" s="7" t="n">
        <v>120</v>
      </c>
      <c r="G458" s="7" t="n">
        <v>1</v>
      </c>
      <c r="H458" s="7" t="n">
        <v>0</v>
      </c>
      <c r="I458" s="7" t="n">
        <v>-1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72888003700</t>
        </is>
      </c>
      <c r="D459" s="5" t="inlineStr">
        <is>
          <t xml:space="preserve">CARVEDILOL 25 MG TABLET </t>
        </is>
      </c>
      <c r="E459" s="6" t="inlineStr">
        <is>
          <t>1000.0</t>
        </is>
      </c>
      <c r="F459" s="7" t="n">
        <v>840</v>
      </c>
      <c r="G459" s="7" t="n">
        <v>0.84</v>
      </c>
      <c r="H459" s="7" t="n">
        <v>2</v>
      </c>
      <c r="I459" s="7" t="n">
        <v>1.16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69315030810</t>
        </is>
      </c>
      <c r="D460" s="5" t="inlineStr">
        <is>
          <t>CIPROFLOXACIN HCL 0.3 % OPHTHALMIC SOLUTION</t>
        </is>
      </c>
      <c r="E460" s="6" t="inlineStr">
        <is>
          <t>10.0</t>
        </is>
      </c>
      <c r="F460" s="7" t="n">
        <v>20</v>
      </c>
      <c r="G460" s="7" t="n">
        <v>2</v>
      </c>
      <c r="H460" s="7" t="n">
        <v>5</v>
      </c>
      <c r="I460" s="7" t="n">
        <v>3</v>
      </c>
      <c r="J460" s="8" t="n">
        <v>31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51672127502</t>
        </is>
      </c>
      <c r="D461" s="5" t="inlineStr">
        <is>
          <t>CLOTRIMAZOLE 1 % EXTERNAL CREAM</t>
        </is>
      </c>
      <c r="E461" s="6" t="inlineStr">
        <is>
          <t>30.0</t>
        </is>
      </c>
      <c r="F461" s="7" t="n">
        <v>90</v>
      </c>
      <c r="G461" s="7" t="n">
        <v>3</v>
      </c>
      <c r="H461" s="7" t="n">
        <v>0</v>
      </c>
      <c r="I461" s="7" t="n">
        <v>-3</v>
      </c>
      <c r="J461" s="8" t="n">
        <v>31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65862078090</t>
        </is>
      </c>
      <c r="D462" s="5" t="inlineStr">
        <is>
          <t>OLMESARTAN MEDOXOMIL-HCTZ 40-12.5 MG ORAL TABLET</t>
        </is>
      </c>
      <c r="E462" s="6" t="inlineStr">
        <is>
          <t>90.0</t>
        </is>
      </c>
      <c r="F462" s="7" t="n">
        <v>90</v>
      </c>
      <c r="G462" s="7" t="n">
        <v>1</v>
      </c>
      <c r="H462" s="7" t="n">
        <v>0</v>
      </c>
      <c r="I462" s="7" t="n">
        <v>-1</v>
      </c>
      <c r="J462" s="8" t="n">
        <v>31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55111073130</t>
        </is>
      </c>
      <c r="D463" s="5" t="inlineStr">
        <is>
          <t>VALSARTAN 40MG TABLET</t>
        </is>
      </c>
      <c r="E463" s="6" t="inlineStr">
        <is>
          <t>30.0</t>
        </is>
      </c>
      <c r="F463" s="7" t="n">
        <v>90</v>
      </c>
      <c r="G463" s="7" t="n">
        <v>3</v>
      </c>
      <c r="H463" s="7" t="n">
        <v>0</v>
      </c>
      <c r="I463" s="7" t="n">
        <v>-3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00378581477</t>
        </is>
      </c>
      <c r="D464" s="5" t="inlineStr">
        <is>
          <t>VALSARTAN 160MG TABLET</t>
        </is>
      </c>
      <c r="E464" s="6" t="inlineStr">
        <is>
          <t>90.0</t>
        </is>
      </c>
      <c r="F464" s="7" t="n">
        <v>90</v>
      </c>
      <c r="G464" s="7" t="n">
        <v>1</v>
      </c>
      <c r="H464" s="7" t="n">
        <v>0</v>
      </c>
      <c r="I464" s="7" t="n">
        <v>-1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43547042409</t>
        </is>
      </c>
      <c r="D465" s="5" t="inlineStr">
        <is>
          <t>LOSARTAN-HCTZ 100-25MG TABLET</t>
        </is>
      </c>
      <c r="E465" s="6" t="inlineStr">
        <is>
          <t>90.0</t>
        </is>
      </c>
      <c r="F465" s="7" t="n">
        <v>330</v>
      </c>
      <c r="G465" s="7" t="n">
        <v>3.666666666666667</v>
      </c>
      <c r="H465" s="7" t="n">
        <v>0</v>
      </c>
      <c r="I465" s="7" t="n">
        <v>-3.666666666666667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00185012801</t>
        </is>
      </c>
      <c r="D466" s="5" t="inlineStr">
        <is>
          <t>BUMETANIDE 0.5 MG ORAL TABLET</t>
        </is>
      </c>
      <c r="E466" s="6" t="inlineStr">
        <is>
          <t>100.0</t>
        </is>
      </c>
      <c r="F466" s="7" t="n">
        <v>135</v>
      </c>
      <c r="G466" s="7" t="n">
        <v>1.35</v>
      </c>
      <c r="H466" s="7" t="n">
        <v>0</v>
      </c>
      <c r="I466" s="7" t="n">
        <v>-1.35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29300015501</t>
        </is>
      </c>
      <c r="D467" s="5" t="inlineStr">
        <is>
          <t>ALFUZOSIN HCL ER 10 MG TABLET</t>
        </is>
      </c>
      <c r="E467" s="6" t="inlineStr">
        <is>
          <t>100.0</t>
        </is>
      </c>
      <c r="F467" s="7" t="n">
        <v>391</v>
      </c>
      <c r="G467" s="7" t="n">
        <v>3.91</v>
      </c>
      <c r="H467" s="7" t="n">
        <v>0</v>
      </c>
      <c r="I467" s="7" t="n">
        <v>-3.91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65862030901</t>
        </is>
      </c>
      <c r="D468" s="5" t="inlineStr">
        <is>
          <t xml:space="preserve">FOSINOPRIL-HCTZ 20-12.5MG TAB </t>
        </is>
      </c>
      <c r="E468" s="6" t="inlineStr">
        <is>
          <t>100.0</t>
        </is>
      </c>
      <c r="F468" s="7" t="n">
        <v>90</v>
      </c>
      <c r="G468" s="7" t="n">
        <v>0.9</v>
      </c>
      <c r="H468" s="7" t="n">
        <v>0</v>
      </c>
      <c r="I468" s="7" t="n">
        <v>-0.9</v>
      </c>
      <c r="J468" s="8" t="n">
        <v>30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70954000530</t>
        </is>
      </c>
      <c r="D469" s="5" t="inlineStr">
        <is>
          <t>OXYBUTYNIN CHLORIDE 5MG TABLET</t>
        </is>
      </c>
      <c r="E469" s="6" t="inlineStr">
        <is>
          <t>1000.0</t>
        </is>
      </c>
      <c r="F469" s="7" t="n">
        <v>210</v>
      </c>
      <c r="G469" s="7" t="n">
        <v>0.21</v>
      </c>
      <c r="H469" s="7" t="n">
        <v>0</v>
      </c>
      <c r="I469" s="7" t="n">
        <v>-0.21</v>
      </c>
      <c r="J469" s="8" t="n">
        <v>30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67877019710</t>
        </is>
      </c>
      <c r="D470" s="5" t="inlineStr">
        <is>
          <t>AMLODIPINE 2.5MG TABLET</t>
        </is>
      </c>
      <c r="E470" s="6" t="inlineStr">
        <is>
          <t>1000.0</t>
        </is>
      </c>
      <c r="F470" s="7" t="n">
        <v>990</v>
      </c>
      <c r="G470" s="7" t="n">
        <v>0.99</v>
      </c>
      <c r="H470" s="7" t="n">
        <v>1</v>
      </c>
      <c r="I470" s="7" t="n">
        <v>0.01000000000000001</v>
      </c>
      <c r="J470" s="8" t="n">
        <v>30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69238207701</t>
        </is>
      </c>
      <c r="D471" s="5" t="inlineStr">
        <is>
          <t xml:space="preserve">PROPRANOLOL 10MG TABLET </t>
        </is>
      </c>
      <c r="E471" s="6" t="inlineStr">
        <is>
          <t>100.0</t>
        </is>
      </c>
      <c r="F471" s="7" t="n">
        <v>240</v>
      </c>
      <c r="G471" s="7" t="n">
        <v>2.4</v>
      </c>
      <c r="H471" s="7" t="n">
        <v>4</v>
      </c>
      <c r="I471" s="7" t="n">
        <v>1.6</v>
      </c>
      <c r="J471" s="8" t="n">
        <v>30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23155070510</t>
        </is>
      </c>
      <c r="D472" s="5" t="inlineStr">
        <is>
          <t>ENALAPRIL 5MG TABLET</t>
        </is>
      </c>
      <c r="E472" s="6" t="inlineStr">
        <is>
          <t>1000.0</t>
        </is>
      </c>
      <c r="F472" s="7" t="n">
        <v>210</v>
      </c>
      <c r="G472" s="7" t="n">
        <v>0.21</v>
      </c>
      <c r="H472" s="7" t="n">
        <v>0</v>
      </c>
      <c r="I472" s="7" t="n">
        <v>-0.21</v>
      </c>
      <c r="J472" s="8" t="n">
        <v>30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69238201603</t>
        </is>
      </c>
      <c r="D473" s="5" t="inlineStr">
        <is>
          <t>IPRATROPIUM BROMIDE 0.03 % NASAL SOLUTION</t>
        </is>
      </c>
      <c r="E473" s="6" t="inlineStr">
        <is>
          <t>30.0</t>
        </is>
      </c>
      <c r="F473" s="7" t="n">
        <v>90</v>
      </c>
      <c r="G473" s="7" t="n">
        <v>3</v>
      </c>
      <c r="H473" s="7" t="n">
        <v>0</v>
      </c>
      <c r="I473" s="7" t="n">
        <v>-3</v>
      </c>
      <c r="J473" s="8" t="n">
        <v>30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42571016201</t>
        </is>
      </c>
      <c r="D474" s="5" t="inlineStr">
        <is>
          <t>AMOXICILLIN-CLAVULANATE 875-125MG TABLET</t>
        </is>
      </c>
      <c r="E474" s="6" t="inlineStr">
        <is>
          <t>100.0</t>
        </is>
      </c>
      <c r="F474" s="7" t="n">
        <v>52</v>
      </c>
      <c r="G474" s="7" t="n">
        <v>0.52</v>
      </c>
      <c r="H474" s="7" t="n">
        <v>2</v>
      </c>
      <c r="I474" s="7" t="n">
        <v>1.48</v>
      </c>
      <c r="J474" s="8" t="n">
        <v>30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51672130005</t>
        </is>
      </c>
      <c r="D475" s="5" t="inlineStr">
        <is>
          <t>AMMONIUM LACTATE 12 % EXTERNAL LOTION</t>
        </is>
      </c>
      <c r="E475" s="6" t="inlineStr">
        <is>
          <t>225.0</t>
        </is>
      </c>
      <c r="F475" s="7" t="n">
        <v>675</v>
      </c>
      <c r="G475" s="7" t="n">
        <v>3</v>
      </c>
      <c r="H475" s="7" t="n">
        <v>0</v>
      </c>
      <c r="I475" s="7" t="n">
        <v>-3</v>
      </c>
      <c r="J475" s="8" t="n">
        <v>30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00093416173</t>
        </is>
      </c>
      <c r="D476" s="5" t="inlineStr">
        <is>
          <t>AMOXICILLIN 400MG/5ML FOR SUSPENSION</t>
        </is>
      </c>
      <c r="E476" s="6" t="inlineStr">
        <is>
          <t>100.0</t>
        </is>
      </c>
      <c r="F476" s="7" t="n">
        <v>300</v>
      </c>
      <c r="G476" s="7" t="n">
        <v>3</v>
      </c>
      <c r="H476" s="7" t="n">
        <v>0</v>
      </c>
      <c r="I476" s="7" t="n">
        <v>-3</v>
      </c>
      <c r="J476" s="8" t="n">
        <v>30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16571020310</t>
        </is>
      </c>
      <c r="D477" s="5" t="inlineStr">
        <is>
          <t>DICLOFENAC SODIUM 25MG TABLET DR</t>
        </is>
      </c>
      <c r="E477" s="6" t="inlineStr">
        <is>
          <t>100.0</t>
        </is>
      </c>
      <c r="F477" s="7" t="n">
        <v>30</v>
      </c>
      <c r="G477" s="7" t="n">
        <v>0.3</v>
      </c>
      <c r="H477" s="7" t="n">
        <v>0</v>
      </c>
      <c r="I477" s="7" t="n">
        <v>-0.3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00378632477</t>
        </is>
      </c>
      <c r="D478" s="5" t="inlineStr">
        <is>
          <t>VALSARTAN-HCTZ 320-12.5MG TABLET</t>
        </is>
      </c>
      <c r="E478" s="6" t="inlineStr">
        <is>
          <t>90.0</t>
        </is>
      </c>
      <c r="F478" s="7" t="n">
        <v>90</v>
      </c>
      <c r="G478" s="7" t="n">
        <v>1</v>
      </c>
      <c r="H478" s="7" t="n">
        <v>0</v>
      </c>
      <c r="I478" s="7" t="n">
        <v>-1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67877043405</t>
        </is>
      </c>
      <c r="D479" s="5" t="inlineStr">
        <is>
          <t>ARIPIPRAZOLE 20 MG ORAL TABLET</t>
        </is>
      </c>
      <c r="E479" s="6" t="inlineStr">
        <is>
          <t>500.0</t>
        </is>
      </c>
      <c r="F479" s="7" t="n">
        <v>90</v>
      </c>
      <c r="G479" s="7" t="n">
        <v>0.18</v>
      </c>
      <c r="H479" s="7" t="n">
        <v>0</v>
      </c>
      <c r="I479" s="7" t="n">
        <v>-0.18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00378172493</t>
        </is>
      </c>
      <c r="D480" s="5" t="inlineStr">
        <is>
          <t>AMLODIPINE VALSARTAN 10-320MG TABLET</t>
        </is>
      </c>
      <c r="E480" s="6" t="inlineStr">
        <is>
          <t>30.0</t>
        </is>
      </c>
      <c r="F480" s="7" t="n">
        <v>90</v>
      </c>
      <c r="G480" s="7" t="n">
        <v>3</v>
      </c>
      <c r="H480" s="7" t="n">
        <v>0</v>
      </c>
      <c r="I480" s="7" t="n">
        <v>-3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68382013905</t>
        </is>
      </c>
      <c r="D481" s="5" t="inlineStr">
        <is>
          <t xml:space="preserve">TOPIRAMATE 50MG TAB </t>
        </is>
      </c>
      <c r="E481" s="6" t="inlineStr">
        <is>
          <t>500.0</t>
        </is>
      </c>
      <c r="F481" s="7" t="n">
        <v>300</v>
      </c>
      <c r="G481" s="7" t="n">
        <v>0.6</v>
      </c>
      <c r="H481" s="7" t="n">
        <v>1</v>
      </c>
      <c r="I481" s="7" t="n">
        <v>0.4</v>
      </c>
      <c r="J481" s="8" t="n">
        <v>29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57237022105</t>
        </is>
      </c>
      <c r="D482" s="5" t="inlineStr">
        <is>
          <t>PIOGLITAZONE 45MG TABLET</t>
        </is>
      </c>
      <c r="E482" s="6" t="inlineStr">
        <is>
          <t>500.0</t>
        </is>
      </c>
      <c r="F482" s="7" t="n">
        <v>180</v>
      </c>
      <c r="G482" s="7" t="n">
        <v>0.36</v>
      </c>
      <c r="H482" s="7" t="n">
        <v>0</v>
      </c>
      <c r="I482" s="7" t="n">
        <v>-0.36</v>
      </c>
      <c r="J482" s="8" t="n">
        <v>29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59651030901</t>
        </is>
      </c>
      <c r="D483" s="5" t="inlineStr">
        <is>
          <t>FLUOXETINE HCL 20MG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1</v>
      </c>
      <c r="I483" s="7" t="n">
        <v>0.09999999999999998</v>
      </c>
      <c r="J483" s="8" t="n">
        <v>29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69315030805</t>
        </is>
      </c>
      <c r="D484" s="5" t="inlineStr">
        <is>
          <t>CIPROFLOXACIN HCL 0.3 % OPHTHALMIC SOLUTION</t>
        </is>
      </c>
      <c r="E484" s="6" t="inlineStr">
        <is>
          <t>5.0</t>
        </is>
      </c>
      <c r="F484" s="7" t="n">
        <v>20</v>
      </c>
      <c r="G484" s="7" t="n">
        <v>4</v>
      </c>
      <c r="H484" s="7" t="n">
        <v>5</v>
      </c>
      <c r="I484" s="7" t="n">
        <v>1</v>
      </c>
      <c r="J484" s="8" t="n">
        <v>29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65862017501</t>
        </is>
      </c>
      <c r="D485" s="5" t="inlineStr">
        <is>
          <t>PENICILLIN V POTASSIUM 250MG TABLET</t>
        </is>
      </c>
      <c r="E485" s="6" t="inlineStr">
        <is>
          <t>100.0</t>
        </is>
      </c>
      <c r="F485" s="7" t="n">
        <v>120</v>
      </c>
      <c r="G485" s="7" t="n">
        <v>1.2</v>
      </c>
      <c r="H485" s="7" t="n">
        <v>0</v>
      </c>
      <c r="I485" s="7" t="n">
        <v>-1.2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69097082112</t>
        </is>
      </c>
      <c r="D486" s="5" t="inlineStr">
        <is>
          <t xml:space="preserve">GEMFIBROZIL 600MG TAB </t>
        </is>
      </c>
      <c r="E486" s="6" t="inlineStr">
        <is>
          <t>500.0</t>
        </is>
      </c>
      <c r="F486" s="7" t="n">
        <v>180</v>
      </c>
      <c r="G486" s="7" t="n">
        <v>0.36</v>
      </c>
      <c r="H486" s="7" t="n">
        <v>0</v>
      </c>
      <c r="I486" s="7" t="n">
        <v>-0.36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1</v>
      </c>
      <c r="I487" s="7" t="n">
        <v>0.4399999999999999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68180067801</t>
        </is>
      </c>
      <c r="D489" s="5" t="inlineStr">
        <is>
          <t>OSELTAMIVIR PHOSPHATE 6 MG/ML ORAL SUSPENSION RECONSTITUTED</t>
        </is>
      </c>
      <c r="E489" s="6" t="inlineStr">
        <is>
          <t>60.0</t>
        </is>
      </c>
      <c r="F489" s="7" t="n">
        <v>120</v>
      </c>
      <c r="G489" s="7" t="n">
        <v>2</v>
      </c>
      <c r="H489" s="7" t="n">
        <v>0</v>
      </c>
      <c r="I489" s="7" t="n">
        <v>-2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59651072405</t>
        </is>
      </c>
      <c r="D490" s="5" t="inlineStr">
        <is>
          <t>CLONAZEPAM 2MG TABLET</t>
        </is>
      </c>
      <c r="E490" s="6" t="inlineStr">
        <is>
          <t>500.0</t>
        </is>
      </c>
      <c r="F490" s="7" t="n">
        <v>290</v>
      </c>
      <c r="G490" s="7" t="n">
        <v>0.58</v>
      </c>
      <c r="H490" s="7" t="n">
        <v>0</v>
      </c>
      <c r="I490" s="7" t="n">
        <v>-0.58</v>
      </c>
      <c r="J490" s="8" t="n">
        <v>28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00093970210</t>
        </is>
      </c>
      <c r="D491" s="5" t="inlineStr">
        <is>
          <t xml:space="preserve">CARBIDOPA-LEVODOPA 25-100 MG TABLET </t>
        </is>
      </c>
      <c r="E491" s="6" t="inlineStr">
        <is>
          <t>1000.0</t>
        </is>
      </c>
      <c r="F491" s="7" t="n">
        <v>270</v>
      </c>
      <c r="G491" s="7" t="n">
        <v>0.27</v>
      </c>
      <c r="H491" s="7" t="n">
        <v>1</v>
      </c>
      <c r="I491" s="7" t="n">
        <v>0.73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61314064511</t>
        </is>
      </c>
      <c r="D492" s="5" t="inlineStr">
        <is>
          <t>NEOMYCIN-POLYMYXIN-HC 3.5-10000-1 OTIC SUSPENSION</t>
        </is>
      </c>
      <c r="E492" s="6" t="inlineStr">
        <is>
          <t>10.0</t>
        </is>
      </c>
      <c r="F492" s="7" t="n">
        <v>10</v>
      </c>
      <c r="G492" s="7" t="n">
        <v>1</v>
      </c>
      <c r="H492" s="7" t="n">
        <v>0</v>
      </c>
      <c r="I492" s="7" t="n">
        <v>-1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67877025145</t>
        </is>
      </c>
      <c r="D493" s="5" t="inlineStr">
        <is>
          <t>TRIAMCINOLONE ACETONIDE 0.1% CREAM</t>
        </is>
      </c>
      <c r="E493" s="6" t="inlineStr">
        <is>
          <t>454.0</t>
        </is>
      </c>
      <c r="F493" s="7" t="n">
        <v>908</v>
      </c>
      <c r="G493" s="7" t="n">
        <v>2</v>
      </c>
      <c r="H493" s="7" t="n">
        <v>0</v>
      </c>
      <c r="I493" s="7" t="n">
        <v>-2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00832532411</t>
        </is>
      </c>
      <c r="D494" s="5" t="inlineStr">
        <is>
          <t>POTASSIUM CHLORIDE 10MEQ TABLET ER</t>
        </is>
      </c>
      <c r="E494" s="6" t="inlineStr">
        <is>
          <t>100.0</t>
        </is>
      </c>
      <c r="F494" s="7" t="n">
        <v>222</v>
      </c>
      <c r="G494" s="7" t="n">
        <v>2.22</v>
      </c>
      <c r="H494" s="7" t="n">
        <v>0</v>
      </c>
      <c r="I494" s="7" t="n">
        <v>-2.22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00168001516</t>
        </is>
      </c>
      <c r="D495" s="5" t="inlineStr">
        <is>
          <t>HYDROCORTISONE 1 % EXTERNAL CREAM</t>
        </is>
      </c>
      <c r="E495" s="6" t="inlineStr">
        <is>
          <t>453.6</t>
        </is>
      </c>
      <c r="F495" s="7" t="n">
        <v>453.6</v>
      </c>
      <c r="G495" s="7" t="n">
        <v>1</v>
      </c>
      <c r="H495" s="7" t="n">
        <v>1</v>
      </c>
      <c r="I495" s="7" t="n">
        <v>0</v>
      </c>
      <c r="J495" s="8" t="n">
        <v>27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68180096503</t>
        </is>
      </c>
      <c r="D496" s="5" t="inlineStr">
        <is>
          <t>LEVOTHYROXINE 25MCG TABLET</t>
        </is>
      </c>
      <c r="E496" s="6" t="inlineStr">
        <is>
          <t>1000.0</t>
        </is>
      </c>
      <c r="F496" s="7" t="n">
        <v>210</v>
      </c>
      <c r="G496" s="7" t="n">
        <v>0.21</v>
      </c>
      <c r="H496" s="7" t="n">
        <v>0</v>
      </c>
      <c r="I496" s="7" t="n">
        <v>-0.21</v>
      </c>
      <c r="J496" s="8" t="n">
        <v>27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13668033301</t>
        </is>
      </c>
      <c r="D497" s="5" t="inlineStr">
        <is>
          <t>TRAZODONE 300MG TABLET</t>
        </is>
      </c>
      <c r="E497" s="6" t="inlineStr">
        <is>
          <t>100.0</t>
        </is>
      </c>
      <c r="F497" s="7" t="n">
        <v>30</v>
      </c>
      <c r="G497" s="7" t="n">
        <v>0.3</v>
      </c>
      <c r="H497" s="7" t="n">
        <v>0</v>
      </c>
      <c r="I497" s="7" t="n">
        <v>-0.3</v>
      </c>
      <c r="J497" s="8" t="n">
        <v>27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51672140700</t>
        </is>
      </c>
      <c r="D498" s="5" t="inlineStr">
        <is>
          <t>TRETINOIN 0.025 % EXTERNAL CREAM</t>
        </is>
      </c>
      <c r="E498" s="6" t="inlineStr">
        <is>
          <t>20.0</t>
        </is>
      </c>
      <c r="F498" s="7" t="n">
        <v>20</v>
      </c>
      <c r="G498" s="7" t="n">
        <v>1</v>
      </c>
      <c r="H498" s="7" t="n">
        <v>0</v>
      </c>
      <c r="I498" s="7" t="n">
        <v>-1</v>
      </c>
      <c r="J498" s="8" t="n">
        <v>27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60505057804</t>
        </is>
      </c>
      <c r="D499" s="5" t="inlineStr">
        <is>
          <t>AZELASTINE 0.05% OPHTHALMIC SOLUTION</t>
        </is>
      </c>
      <c r="E499" s="6" t="inlineStr">
        <is>
          <t>6.0</t>
        </is>
      </c>
      <c r="F499" s="7" t="n">
        <v>30</v>
      </c>
      <c r="G499" s="7" t="n">
        <v>5</v>
      </c>
      <c r="H499" s="7" t="n">
        <v>0</v>
      </c>
      <c r="I499" s="7" t="n">
        <v>-5</v>
      </c>
      <c r="J499" s="8" t="n">
        <v>27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00574403110</t>
        </is>
      </c>
      <c r="D500" s="5" t="inlineStr">
        <is>
          <t>TOBRAMYCIN-DEXAMETHASONE 0.3-0.1 % OPHTHALMIC SUSPENSION</t>
        </is>
      </c>
      <c r="E500" s="6" t="inlineStr">
        <is>
          <t>10.0</t>
        </is>
      </c>
      <c r="F500" s="7" t="n">
        <v>10</v>
      </c>
      <c r="G500" s="7" t="n">
        <v>1</v>
      </c>
      <c r="H500" s="7" t="n">
        <v>0</v>
      </c>
      <c r="I500" s="7" t="n">
        <v>-1</v>
      </c>
      <c r="J500" s="8" t="n">
        <v>27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70954020210</t>
        </is>
      </c>
      <c r="D501" s="5" t="inlineStr">
        <is>
          <t xml:space="preserve">DIGOXIN 250MCG TABLET </t>
        </is>
      </c>
      <c r="E501" s="6" t="inlineStr">
        <is>
          <t>100.0</t>
        </is>
      </c>
      <c r="F501" s="7" t="n">
        <v>60</v>
      </c>
      <c r="G501" s="7" t="n">
        <v>0.6</v>
      </c>
      <c r="H501" s="7" t="n">
        <v>0</v>
      </c>
      <c r="I501" s="7" t="n">
        <v>-0.6</v>
      </c>
      <c r="J501" s="8" t="n">
        <v>27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61314001910</t>
        </is>
      </c>
      <c r="D502" s="5" t="inlineStr">
        <is>
          <t>DORZOLAMIDE HCL 2% SOLUTION</t>
        </is>
      </c>
      <c r="E502" s="6" t="inlineStr">
        <is>
          <t>10.0</t>
        </is>
      </c>
      <c r="F502" s="7" t="n">
        <v>50</v>
      </c>
      <c r="G502" s="7" t="n">
        <v>5</v>
      </c>
      <c r="H502" s="7" t="n">
        <v>0</v>
      </c>
      <c r="I502" s="7" t="n">
        <v>-5</v>
      </c>
      <c r="J502" s="8" t="n">
        <v>27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16729048516</t>
        </is>
      </c>
      <c r="D503" s="5" t="inlineStr">
        <is>
          <t>HYDROXYCHLOROQUINE 200MG TABLET</t>
        </is>
      </c>
      <c r="E503" s="6" t="inlineStr">
        <is>
          <t>500.0</t>
        </is>
      </c>
      <c r="F503" s="7" t="n">
        <v>180</v>
      </c>
      <c r="G503" s="7" t="n">
        <v>0.36</v>
      </c>
      <c r="H503" s="7" t="n">
        <v>0</v>
      </c>
      <c r="I503" s="7" t="n">
        <v>-0.36</v>
      </c>
      <c r="J503" s="8" t="n">
        <v>26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16729003415</t>
        </is>
      </c>
      <c r="D504" s="5" t="inlineStr">
        <is>
          <t>LETROZOLE 2.5 MG ORAL TABLET</t>
        </is>
      </c>
      <c r="E504" s="6" t="inlineStr">
        <is>
          <t>90.0</t>
        </is>
      </c>
      <c r="F504" s="7" t="n">
        <v>90</v>
      </c>
      <c r="G504" s="7" t="n">
        <v>1</v>
      </c>
      <c r="H504" s="7" t="n">
        <v>0</v>
      </c>
      <c r="I504" s="7" t="n">
        <v>-1</v>
      </c>
      <c r="J504" s="8" t="n">
        <v>26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69238201702</t>
        </is>
      </c>
      <c r="D505" s="5" t="inlineStr">
        <is>
          <t>IPRATROPIUM BROMIDE 0.06 % NASAL SOLUTION</t>
        </is>
      </c>
      <c r="E505" s="6" t="inlineStr">
        <is>
          <t>15.0</t>
        </is>
      </c>
      <c r="F505" s="7" t="n">
        <v>15</v>
      </c>
      <c r="G505" s="7" t="n">
        <v>1</v>
      </c>
      <c r="H505" s="7" t="n">
        <v>0</v>
      </c>
      <c r="I505" s="7" t="n">
        <v>-1</v>
      </c>
      <c r="J505" s="8" t="n">
        <v>26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00527411637</t>
        </is>
      </c>
      <c r="D506" s="5" t="inlineStr">
        <is>
          <t>PROPRANOLOL 60MG CAPSULE ER</t>
        </is>
      </c>
      <c r="E506" s="6" t="inlineStr">
        <is>
          <t>100.0</t>
        </is>
      </c>
      <c r="F506" s="7" t="n">
        <v>90</v>
      </c>
      <c r="G506" s="7" t="n">
        <v>0.9</v>
      </c>
      <c r="H506" s="7" t="n">
        <v>0</v>
      </c>
      <c r="I506" s="7" t="n">
        <v>-0.9</v>
      </c>
      <c r="J506" s="8" t="n">
        <v>26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70756040411</t>
        </is>
      </c>
      <c r="D507" s="5" t="inlineStr">
        <is>
          <t>NITROFURANTOIN MONOHYD MACRO 100 MG ORAL CAPSULE</t>
        </is>
      </c>
      <c r="E507" s="6" t="inlineStr">
        <is>
          <t>100.0</t>
        </is>
      </c>
      <c r="F507" s="7" t="n">
        <v>54</v>
      </c>
      <c r="G507" s="7" t="n">
        <v>0.54</v>
      </c>
      <c r="H507" s="7" t="n">
        <v>0</v>
      </c>
      <c r="I507" s="7" t="n">
        <v>-0.54</v>
      </c>
      <c r="J507" s="8" t="n">
        <v>26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51672408104</t>
        </is>
      </c>
      <c r="D508" s="5" t="inlineStr">
        <is>
          <t>CLINDAMYCIN PHOSPHATE 1 % EXTERNAL SOLUTION</t>
        </is>
      </c>
      <c r="E508" s="6" t="inlineStr">
        <is>
          <t>60.0</t>
        </is>
      </c>
      <c r="F508" s="7" t="n">
        <v>60</v>
      </c>
      <c r="G508" s="7" t="n">
        <v>1</v>
      </c>
      <c r="H508" s="7" t="n">
        <v>0</v>
      </c>
      <c r="I508" s="7" t="n">
        <v>-1</v>
      </c>
      <c r="J508" s="8" t="n">
        <v>26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00168009930</t>
        </is>
      </c>
      <c r="D509" s="5" t="inlineStr">
        <is>
          <t>KETOCONAZOLE 2 % EXTERNAL CREAM</t>
        </is>
      </c>
      <c r="E509" s="6" t="inlineStr">
        <is>
          <t>30.0</t>
        </is>
      </c>
      <c r="F509" s="7" t="n">
        <v>60</v>
      </c>
      <c r="G509" s="7" t="n">
        <v>2</v>
      </c>
      <c r="H509" s="7" t="n">
        <v>0</v>
      </c>
      <c r="I509" s="7" t="n">
        <v>-2</v>
      </c>
      <c r="J509" s="8" t="n">
        <v>26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00378705752</t>
        </is>
      </c>
      <c r="D510" s="5" t="inlineStr">
        <is>
          <t>ALBUTEROL SULFATE 0.63 MG/3ML INHALATION NEBULIZATION SOLUTION</t>
        </is>
      </c>
      <c r="E510" s="6" t="inlineStr">
        <is>
          <t>75.0</t>
        </is>
      </c>
      <c r="F510" s="7" t="n">
        <v>75</v>
      </c>
      <c r="G510" s="7" t="n">
        <v>1</v>
      </c>
      <c r="H510" s="7" t="n">
        <v>0</v>
      </c>
      <c r="I510" s="7" t="n">
        <v>-1</v>
      </c>
      <c r="J510" s="8" t="n">
        <v>25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10702005601</t>
        </is>
      </c>
      <c r="D511" s="5" t="inlineStr">
        <is>
          <t>OXYCODONE HCL 10 MG ORAL TABLET</t>
        </is>
      </c>
      <c r="E511" s="6" t="inlineStr">
        <is>
          <t>100.0</t>
        </is>
      </c>
      <c r="F511" s="7" t="n">
        <v>210</v>
      </c>
      <c r="G511" s="7" t="n">
        <v>2.1</v>
      </c>
      <c r="H511" s="7" t="n">
        <v>3</v>
      </c>
      <c r="I511" s="7" t="n">
        <v>0.8999999999999999</v>
      </c>
      <c r="J511" s="8" t="n">
        <v>25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64380078306</t>
        </is>
      </c>
      <c r="D512" s="5" t="inlineStr">
        <is>
          <t>PREDNISONE 5MG TABLET</t>
        </is>
      </c>
      <c r="E512" s="6" t="inlineStr">
        <is>
          <t>100.0</t>
        </is>
      </c>
      <c r="F512" s="7" t="n">
        <v>104</v>
      </c>
      <c r="G512" s="7" t="n">
        <v>1.04</v>
      </c>
      <c r="H512" s="7" t="n">
        <v>0</v>
      </c>
      <c r="I512" s="7" t="n">
        <v>-1.04</v>
      </c>
      <c r="J512" s="8" t="n">
        <v>25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70010078305</t>
        </is>
      </c>
      <c r="D513" s="5" t="inlineStr">
        <is>
          <t>METOPROLOL SUCCINATE ER 200MG TABLET</t>
        </is>
      </c>
      <c r="E513" s="6" t="inlineStr">
        <is>
          <t>500.0</t>
        </is>
      </c>
      <c r="F513" s="7" t="n">
        <v>90</v>
      </c>
      <c r="G513" s="7" t="n">
        <v>0.18</v>
      </c>
      <c r="H513" s="7" t="n">
        <v>0</v>
      </c>
      <c r="I513" s="7" t="n">
        <v>-0.18</v>
      </c>
      <c r="J513" s="8" t="n">
        <v>25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69097085705</t>
        </is>
      </c>
      <c r="D514" s="5" t="inlineStr">
        <is>
          <t xml:space="preserve">FOSINOPRIL 20MG TAB </t>
        </is>
      </c>
      <c r="E514" s="6" t="inlineStr">
        <is>
          <t>90.0</t>
        </is>
      </c>
      <c r="F514" s="7" t="n">
        <v>90</v>
      </c>
      <c r="G514" s="7" t="n">
        <v>1</v>
      </c>
      <c r="H514" s="7" t="n">
        <v>4</v>
      </c>
      <c r="I514" s="7" t="n">
        <v>3</v>
      </c>
      <c r="J514" s="8" t="n">
        <v>25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57237010099</t>
        </is>
      </c>
      <c r="D515" s="5" t="inlineStr">
        <is>
          <t>METOPROLOL TARTRATE 25MG TABLET</t>
        </is>
      </c>
      <c r="E515" s="6" t="inlineStr">
        <is>
          <t>1000.0</t>
        </is>
      </c>
      <c r="F515" s="7" t="n">
        <v>840</v>
      </c>
      <c r="G515" s="7" t="n">
        <v>0.84</v>
      </c>
      <c r="H515" s="7" t="n">
        <v>0</v>
      </c>
      <c r="I515" s="7" t="n">
        <v>-0.84</v>
      </c>
      <c r="J515" s="8" t="n">
        <v>25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50742025130</t>
        </is>
      </c>
      <c r="D516" s="5" t="inlineStr">
        <is>
          <t>DILTIAZEM 300MG CAPSULE ER</t>
        </is>
      </c>
      <c r="E516" s="6" t="inlineStr">
        <is>
          <t>30.0</t>
        </is>
      </c>
      <c r="F516" s="7" t="n">
        <v>90</v>
      </c>
      <c r="G516" s="7" t="n">
        <v>3</v>
      </c>
      <c r="H516" s="7" t="n">
        <v>0</v>
      </c>
      <c r="I516" s="7" t="n">
        <v>-3</v>
      </c>
      <c r="J516" s="8" t="n">
        <v>25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68180097401</t>
        </is>
      </c>
      <c r="D517" s="5" t="inlineStr">
        <is>
          <t>LEVOTHYROXINE 175MCG TABLET</t>
        </is>
      </c>
      <c r="E517" s="6" t="inlineStr">
        <is>
          <t>100.0</t>
        </is>
      </c>
      <c r="F517" s="7" t="n">
        <v>140</v>
      </c>
      <c r="G517" s="7" t="n">
        <v>1.4</v>
      </c>
      <c r="H517" s="7" t="n">
        <v>0</v>
      </c>
      <c r="I517" s="7" t="n">
        <v>-1.4</v>
      </c>
      <c r="J517" s="8" t="n">
        <v>25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00574220545</t>
        </is>
      </c>
      <c r="D518" s="5" t="inlineStr">
        <is>
          <t>TRETINOIN 0.05% CREAM</t>
        </is>
      </c>
      <c r="E518" s="6" t="inlineStr">
        <is>
          <t>45.0</t>
        </is>
      </c>
      <c r="F518" s="7" t="n">
        <v>45</v>
      </c>
      <c r="G518" s="7" t="n">
        <v>1</v>
      </c>
      <c r="H518" s="7" t="n">
        <v>0</v>
      </c>
      <c r="I518" s="7" t="n">
        <v>-1</v>
      </c>
      <c r="J518" s="8" t="n">
        <v>25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68180086111</t>
        </is>
      </c>
      <c r="D519" s="5" t="inlineStr">
        <is>
          <t>AZITHROMYCIN 250 MG TABLET</t>
        </is>
      </c>
      <c r="E519" s="6" t="inlineStr">
        <is>
          <t>6.0</t>
        </is>
      </c>
      <c r="F519" s="7" t="n">
        <v>18</v>
      </c>
      <c r="G519" s="7" t="n">
        <v>3</v>
      </c>
      <c r="H519" s="7" t="n">
        <v>0</v>
      </c>
      <c r="I519" s="7" t="n">
        <v>-3</v>
      </c>
      <c r="J519" s="8" t="n">
        <v>25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47781026405</t>
        </is>
      </c>
      <c r="D520" s="5" t="inlineStr">
        <is>
          <t xml:space="preserve">OXYCODONE 15 MG TABLET </t>
        </is>
      </c>
      <c r="E520" s="6" t="inlineStr">
        <is>
          <t>500.0</t>
        </is>
      </c>
      <c r="F520" s="7" t="n">
        <v>180</v>
      </c>
      <c r="G520" s="7" t="n">
        <v>0.36</v>
      </c>
      <c r="H520" s="7" t="n">
        <v>2</v>
      </c>
      <c r="I520" s="7" t="n">
        <v>1.64</v>
      </c>
      <c r="J520" s="8" t="n">
        <v>25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00121088508</t>
        </is>
      </c>
      <c r="D521" s="5" t="inlineStr">
        <is>
          <t>PREDNISOLONE 15 MG/5ML ORAL SOLUTION</t>
        </is>
      </c>
      <c r="E521" s="6" t="inlineStr">
        <is>
          <t>240.0</t>
        </is>
      </c>
      <c r="F521" s="7" t="n">
        <v>50</v>
      </c>
      <c r="G521" s="7" t="n">
        <v>0.2083333333333333</v>
      </c>
      <c r="H521" s="7" t="n">
        <v>0</v>
      </c>
      <c r="I521" s="7" t="n">
        <v>-0.2083333333333333</v>
      </c>
      <c r="J521" s="8" t="n">
        <v>24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65862052405</t>
        </is>
      </c>
      <c r="D522" s="5" t="inlineStr">
        <is>
          <t>GABAPENTIN 800 MG TABLET</t>
        </is>
      </c>
      <c r="E522" s="6" t="inlineStr">
        <is>
          <t>500.0</t>
        </is>
      </c>
      <c r="F522" s="7" t="n">
        <v>210</v>
      </c>
      <c r="G522" s="7" t="n">
        <v>0.42</v>
      </c>
      <c r="H522" s="7" t="n">
        <v>0</v>
      </c>
      <c r="I522" s="7" t="n">
        <v>-0.42</v>
      </c>
      <c r="J522" s="8" t="n">
        <v>24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69367020201</t>
        </is>
      </c>
      <c r="D523" s="5" t="inlineStr">
        <is>
          <t>LIDOCAINE HCL 3 % EXTERNAL CREAM</t>
        </is>
      </c>
      <c r="E523" s="6" t="inlineStr">
        <is>
          <t>28.35</t>
        </is>
      </c>
      <c r="F523" s="7" t="n">
        <v>28.35</v>
      </c>
      <c r="G523" s="7" t="n">
        <v>1</v>
      </c>
      <c r="H523" s="7" t="n">
        <v>0</v>
      </c>
      <c r="I523" s="7" t="n">
        <v>-1</v>
      </c>
      <c r="J523" s="8" t="n">
        <v>24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59651026905</t>
        </is>
      </c>
      <c r="D524" s="5" t="inlineStr">
        <is>
          <t>GLIPIZIDE 5MG TABLET ER</t>
        </is>
      </c>
      <c r="E524" s="6" t="inlineStr">
        <is>
          <t>500.0</t>
        </is>
      </c>
      <c r="F524" s="7" t="n">
        <v>180</v>
      </c>
      <c r="G524" s="7" t="n">
        <v>0.36</v>
      </c>
      <c r="H524" s="7" t="n">
        <v>0</v>
      </c>
      <c r="I524" s="7" t="n">
        <v>-0.36</v>
      </c>
      <c r="J524" s="8" t="n">
        <v>24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00832046530</t>
        </is>
      </c>
      <c r="D525" s="5" t="inlineStr">
        <is>
          <t>NYSTATIN 100000UNIT/GM POWDER</t>
        </is>
      </c>
      <c r="E525" s="6" t="inlineStr">
        <is>
          <t>30.0</t>
        </is>
      </c>
      <c r="F525" s="7" t="n">
        <v>60</v>
      </c>
      <c r="G525" s="7" t="n">
        <v>2</v>
      </c>
      <c r="H525" s="7" t="n">
        <v>0</v>
      </c>
      <c r="I525" s="7" t="n">
        <v>-2</v>
      </c>
      <c r="J525" s="8" t="n">
        <v>24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55111058601</t>
        </is>
      </c>
      <c r="D526" s="5" t="inlineStr">
        <is>
          <t>AMLODIPINE BENAZEPRIL 10-40MG CAPSULE</t>
        </is>
      </c>
      <c r="E526" s="6" t="inlineStr">
        <is>
          <t>100.0</t>
        </is>
      </c>
      <c r="F526" s="7" t="n">
        <v>90</v>
      </c>
      <c r="G526" s="7" t="n">
        <v>0.9</v>
      </c>
      <c r="H526" s="7" t="n">
        <v>2</v>
      </c>
      <c r="I526" s="7" t="n">
        <v>1.1</v>
      </c>
      <c r="J526" s="8" t="n">
        <v>24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67877022210</t>
        </is>
      </c>
      <c r="D527" s="5" t="inlineStr">
        <is>
          <t>GABAPENTIN 100MG CAPSULE</t>
        </is>
      </c>
      <c r="E527" s="6" t="inlineStr">
        <is>
          <t>1000.0</t>
        </is>
      </c>
      <c r="F527" s="7" t="n">
        <v>879</v>
      </c>
      <c r="G527" s="7" t="n">
        <v>0.879</v>
      </c>
      <c r="H527" s="7" t="n">
        <v>2</v>
      </c>
      <c r="I527" s="7" t="n">
        <v>1.121</v>
      </c>
      <c r="J527" s="8" t="n">
        <v>24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00536100715</t>
        </is>
      </c>
      <c r="D528" s="5" t="inlineStr">
        <is>
          <t>CALCIUM CARBONATE 500MG TABLET CHEWABLE</t>
        </is>
      </c>
      <c r="E528" s="6" t="inlineStr">
        <is>
          <t>150.0</t>
        </is>
      </c>
      <c r="F528" s="7" t="n">
        <v>210</v>
      </c>
      <c r="G528" s="7" t="n">
        <v>1.4</v>
      </c>
      <c r="H528" s="7" t="n">
        <v>0</v>
      </c>
      <c r="I528" s="7" t="n">
        <v>-1.4</v>
      </c>
      <c r="J528" s="8" t="n">
        <v>24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69315030660</t>
        </is>
      </c>
      <c r="D529" s="5" t="inlineStr">
        <is>
          <t>NYSTATIN 100000 UNIT/GM EXTERNAL POWDER</t>
        </is>
      </c>
      <c r="E529" s="6" t="inlineStr">
        <is>
          <t>60.0</t>
        </is>
      </c>
      <c r="F529" s="7" t="n">
        <v>60</v>
      </c>
      <c r="G529" s="7" t="n">
        <v>1</v>
      </c>
      <c r="H529" s="7" t="n">
        <v>0</v>
      </c>
      <c r="I529" s="7" t="n">
        <v>-1</v>
      </c>
      <c r="J529" s="8" t="n">
        <v>24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42571034201</t>
        </is>
      </c>
      <c r="D530" s="5" t="inlineStr">
        <is>
          <t>CLOMIPRAMINE HCL 25 MG ORAL CAPSULE</t>
        </is>
      </c>
      <c r="E530" s="6" t="inlineStr">
        <is>
          <t>100.0</t>
        </is>
      </c>
      <c r="F530" s="7" t="n">
        <v>30</v>
      </c>
      <c r="G530" s="7" t="n">
        <v>0.3</v>
      </c>
      <c r="H530" s="7" t="n">
        <v>0</v>
      </c>
      <c r="I530" s="7" t="n">
        <v>-0.3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69097022416</t>
        </is>
      </c>
      <c r="D531" s="5" t="inlineStr">
        <is>
          <t xml:space="preserve">ALENDRONATE 70MG TAB </t>
        </is>
      </c>
      <c r="E531" s="6" t="inlineStr">
        <is>
          <t>4.0</t>
        </is>
      </c>
      <c r="F531" s="7" t="n">
        <v>44</v>
      </c>
      <c r="G531" s="7" t="n">
        <v>11</v>
      </c>
      <c r="H531" s="7" t="n">
        <v>22</v>
      </c>
      <c r="I531" s="7" t="n">
        <v>11</v>
      </c>
      <c r="J531" s="8" t="n">
        <v>23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51672139509</t>
        </is>
      </c>
      <c r="D532" s="5" t="inlineStr">
        <is>
          <t>TRETINOIN 0.1 % EXTERNAL CREAM</t>
        </is>
      </c>
      <c r="E532" s="6" t="inlineStr">
        <is>
          <t>45.0</t>
        </is>
      </c>
      <c r="F532" s="7" t="n">
        <v>45</v>
      </c>
      <c r="G532" s="7" t="n">
        <v>1</v>
      </c>
      <c r="H532" s="7" t="n">
        <v>1</v>
      </c>
      <c r="I532" s="7" t="n">
        <v>0</v>
      </c>
      <c r="J532" s="8" t="n">
        <v>23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69097015912</t>
        </is>
      </c>
      <c r="D533" s="5" t="inlineStr">
        <is>
          <t xml:space="preserve">MELOXICAM 15MG TAB </t>
        </is>
      </c>
      <c r="E533" s="6" t="inlineStr">
        <is>
          <t>500.0</t>
        </is>
      </c>
      <c r="F533" s="7" t="n">
        <v>390</v>
      </c>
      <c r="G533" s="7" t="n">
        <v>0.78</v>
      </c>
      <c r="H533" s="7" t="n">
        <v>0</v>
      </c>
      <c r="I533" s="7" t="n">
        <v>-0.78</v>
      </c>
      <c r="J533" s="8" t="n">
        <v>23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57664068788</t>
        </is>
      </c>
      <c r="D534" s="5" t="inlineStr">
        <is>
          <t>AMITRIPTYLINE 10 MG TABLET</t>
        </is>
      </c>
      <c r="E534" s="6" t="inlineStr">
        <is>
          <t>100.0</t>
        </is>
      </c>
      <c r="F534" s="7" t="n">
        <v>90</v>
      </c>
      <c r="G534" s="7" t="n">
        <v>0.9</v>
      </c>
      <c r="H534" s="7" t="n">
        <v>0</v>
      </c>
      <c r="I534" s="7" t="n">
        <v>-0.9</v>
      </c>
      <c r="J534" s="8" t="n">
        <v>23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70377005612</t>
        </is>
      </c>
      <c r="D535" s="5" t="inlineStr">
        <is>
          <t>ESOMEPRAZOLE 40MG CAPSULE DR</t>
        </is>
      </c>
      <c r="E535" s="6" t="inlineStr">
        <is>
          <t>90.0</t>
        </is>
      </c>
      <c r="F535" s="7" t="n">
        <v>90</v>
      </c>
      <c r="G535" s="7" t="n">
        <v>1</v>
      </c>
      <c r="H535" s="7" t="n">
        <v>1</v>
      </c>
      <c r="I535" s="7" t="n">
        <v>0</v>
      </c>
      <c r="J535" s="8" t="n">
        <v>23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00228212910</t>
        </is>
      </c>
      <c r="D536" s="5" t="inlineStr">
        <is>
          <t xml:space="preserve">CLONIDINE 0.3MG TAB </t>
        </is>
      </c>
      <c r="E536" s="6" t="inlineStr">
        <is>
          <t>100.0</t>
        </is>
      </c>
      <c r="F536" s="7" t="n">
        <v>60</v>
      </c>
      <c r="G536" s="7" t="n">
        <v>0.6</v>
      </c>
      <c r="H536" s="7" t="n">
        <v>0</v>
      </c>
      <c r="I536" s="7" t="n">
        <v>-0.6</v>
      </c>
      <c r="J536" s="8" t="n">
        <v>23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67877043003</t>
        </is>
      </c>
      <c r="D537" s="5" t="inlineStr">
        <is>
          <t>ARIPIPRAZOLE 2MG TABLET</t>
        </is>
      </c>
      <c r="E537" s="6" t="inlineStr">
        <is>
          <t>30.0</t>
        </is>
      </c>
      <c r="F537" s="7" t="n">
        <v>60</v>
      </c>
      <c r="G537" s="7" t="n">
        <v>2</v>
      </c>
      <c r="H537" s="7" t="n">
        <v>5</v>
      </c>
      <c r="I537" s="7" t="n">
        <v>3</v>
      </c>
      <c r="J537" s="8" t="n">
        <v>23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45802006336</t>
        </is>
      </c>
      <c r="D538" s="5" t="inlineStr">
        <is>
          <t xml:space="preserve">TRIAMCINOLONE ACETONIDE 0.025 % EXTERNAL CREAM </t>
        </is>
      </c>
      <c r="E538" s="6" t="inlineStr">
        <is>
          <t>80.0</t>
        </is>
      </c>
      <c r="F538" s="7" t="n">
        <v>240</v>
      </c>
      <c r="G538" s="7" t="n">
        <v>3</v>
      </c>
      <c r="H538" s="7" t="n">
        <v>6</v>
      </c>
      <c r="I538" s="7" t="n">
        <v>3</v>
      </c>
      <c r="J538" s="8" t="n">
        <v>23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59651072299</t>
        </is>
      </c>
      <c r="D539" s="5" t="inlineStr">
        <is>
          <t>CLONAZEPAM 0.5MG TABLET</t>
        </is>
      </c>
      <c r="E539" s="6" t="inlineStr">
        <is>
          <t>1000.0</t>
        </is>
      </c>
      <c r="F539" s="7" t="n">
        <v>135</v>
      </c>
      <c r="G539" s="7" t="n">
        <v>0.135</v>
      </c>
      <c r="H539" s="7" t="n">
        <v>1</v>
      </c>
      <c r="I539" s="7" t="n">
        <v>0.865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52817018010</t>
        </is>
      </c>
      <c r="D540" s="5" t="inlineStr">
        <is>
          <t xml:space="preserve">CLONIDINE 0.1MG TAB </t>
        </is>
      </c>
      <c r="E540" s="6" t="inlineStr">
        <is>
          <t>100.0</t>
        </is>
      </c>
      <c r="F540" s="7" t="n">
        <v>75</v>
      </c>
      <c r="G540" s="7" t="n">
        <v>0.75</v>
      </c>
      <c r="H540" s="7" t="n">
        <v>0</v>
      </c>
      <c r="I540" s="7" t="n">
        <v>-0.75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68180052002</t>
        </is>
      </c>
      <c r="D541" s="5" t="inlineStr">
        <is>
          <t xml:space="preserve">LISINOPRIL-HCTZ 20-25MG TAB </t>
        </is>
      </c>
      <c r="E541" s="6" t="inlineStr">
        <is>
          <t>500.0</t>
        </is>
      </c>
      <c r="F541" s="7" t="n">
        <v>420</v>
      </c>
      <c r="G541" s="7" t="n">
        <v>0.84</v>
      </c>
      <c r="H541" s="7" t="n">
        <v>0</v>
      </c>
      <c r="I541" s="7" t="n">
        <v>-0.84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00054253125</t>
        </is>
      </c>
      <c r="D542" s="5" t="inlineStr">
        <is>
          <t>LITHIUM CARBONATE 600MG CAPSULE</t>
        </is>
      </c>
      <c r="E542" s="6" t="inlineStr">
        <is>
          <t>100.0</t>
        </is>
      </c>
      <c r="F542" s="7" t="n">
        <v>60</v>
      </c>
      <c r="G542" s="7" t="n">
        <v>0.6</v>
      </c>
      <c r="H542" s="7" t="n">
        <v>0</v>
      </c>
      <c r="I542" s="7" t="n">
        <v>-0.6</v>
      </c>
      <c r="J542" s="8" t="n">
        <v>22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45802036862</t>
        </is>
      </c>
      <c r="D543" s="5" t="inlineStr">
        <is>
          <t>IMIQUIMOD 5 % EXTERNAL CREAM</t>
        </is>
      </c>
      <c r="E543" s="6" t="inlineStr">
        <is>
          <t>24.0</t>
        </is>
      </c>
      <c r="F543" s="7" t="n">
        <v>12</v>
      </c>
      <c r="G543" s="7" t="n">
        <v>0.5</v>
      </c>
      <c r="H543" s="7" t="n">
        <v>0</v>
      </c>
      <c r="I543" s="7" t="n">
        <v>-0.5</v>
      </c>
      <c r="J543" s="8" t="n">
        <v>22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33342040550</t>
        </is>
      </c>
      <c r="D544" s="5" t="inlineStr">
        <is>
          <t>LIDOCAINE 5 % EXTERNAL OINTMENT</t>
        </is>
      </c>
      <c r="E544" s="6" t="inlineStr">
        <is>
          <t>50.0</t>
        </is>
      </c>
      <c r="F544" s="7" t="n">
        <v>100</v>
      </c>
      <c r="G544" s="7" t="n">
        <v>2</v>
      </c>
      <c r="H544" s="7" t="n">
        <v>0</v>
      </c>
      <c r="I544" s="7" t="n">
        <v>-2</v>
      </c>
      <c r="J544" s="8" t="n">
        <v>22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50111045002</t>
        </is>
      </c>
      <c r="D545" s="5" t="inlineStr">
        <is>
          <t>TRAZODONE 150MG TABLET</t>
        </is>
      </c>
      <c r="E545" s="6" t="inlineStr">
        <is>
          <t>500.0</t>
        </is>
      </c>
      <c r="F545" s="7" t="n">
        <v>120</v>
      </c>
      <c r="G545" s="7" t="n">
        <v>0.24</v>
      </c>
      <c r="H545" s="7" t="n">
        <v>0</v>
      </c>
      <c r="I545" s="7" t="n">
        <v>-0.24</v>
      </c>
      <c r="J545" s="8" t="n">
        <v>22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71930005012</t>
        </is>
      </c>
      <c r="D546" s="5" t="inlineStr">
        <is>
          <t>POTASSIUM CITRATE 15MEQ TABLET EXTENDED RELEASE</t>
        </is>
      </c>
      <c r="E546" s="6" t="inlineStr">
        <is>
          <t>100.0</t>
        </is>
      </c>
      <c r="F546" s="7" t="n">
        <v>60</v>
      </c>
      <c r="G546" s="7" t="n">
        <v>0.6</v>
      </c>
      <c r="H546" s="7" t="n">
        <v>0</v>
      </c>
      <c r="I546" s="7" t="n">
        <v>-0.6</v>
      </c>
      <c r="J546" s="8" t="n">
        <v>22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68382011214</t>
        </is>
      </c>
      <c r="D547" s="5" t="inlineStr">
        <is>
          <t>RISPERIDONE 0.25MG TABLET</t>
        </is>
      </c>
      <c r="E547" s="6" t="inlineStr">
        <is>
          <t>60.0</t>
        </is>
      </c>
      <c r="F547" s="7" t="n">
        <v>60</v>
      </c>
      <c r="G547" s="7" t="n">
        <v>1</v>
      </c>
      <c r="H547" s="7" t="n">
        <v>1</v>
      </c>
      <c r="I547" s="7" t="n">
        <v>0</v>
      </c>
      <c r="J547" s="8" t="n">
        <v>22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68462026005</t>
        </is>
      </c>
      <c r="D548" s="5" t="inlineStr">
        <is>
          <t>VERAPAMIL ER 240MG TABLET</t>
        </is>
      </c>
      <c r="E548" s="6" t="inlineStr">
        <is>
          <t>500.0</t>
        </is>
      </c>
      <c r="F548" s="7" t="n">
        <v>270</v>
      </c>
      <c r="G548" s="7" t="n">
        <v>0.54</v>
      </c>
      <c r="H548" s="7" t="n">
        <v>0</v>
      </c>
      <c r="I548" s="7" t="n">
        <v>-0.54</v>
      </c>
      <c r="J548" s="8" t="n">
        <v>22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69315011710</t>
        </is>
      </c>
      <c r="D549" s="5" t="inlineStr">
        <is>
          <t>FUROSEMIDE 40 MG TABLET</t>
        </is>
      </c>
      <c r="E549" s="6" t="inlineStr">
        <is>
          <t>1000.0</t>
        </is>
      </c>
      <c r="F549" s="7" t="n">
        <v>210</v>
      </c>
      <c r="G549" s="7" t="n">
        <v>0.21</v>
      </c>
      <c r="H549" s="7" t="n">
        <v>1</v>
      </c>
      <c r="I549" s="7" t="n">
        <v>0.79</v>
      </c>
      <c r="J549" s="8" t="n">
        <v>22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68382011414</t>
        </is>
      </c>
      <c r="D550" s="5" t="inlineStr">
        <is>
          <t>RISPERIDONE 1MG TABLET</t>
        </is>
      </c>
      <c r="E550" s="6" t="inlineStr">
        <is>
          <t>60.0</t>
        </is>
      </c>
      <c r="F550" s="7" t="n">
        <v>58</v>
      </c>
      <c r="G550" s="7" t="n">
        <v>0.9666666666666667</v>
      </c>
      <c r="H550" s="7" t="n">
        <v>0</v>
      </c>
      <c r="I550" s="7" t="n">
        <v>-0.9666666666666667</v>
      </c>
      <c r="J550" s="8" t="n">
        <v>22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59746000103</t>
        </is>
      </c>
      <c r="D551" s="5" t="inlineStr">
        <is>
          <t xml:space="preserve">METHYLPREDNISOLONE 4MG (MEDROL) </t>
        </is>
      </c>
      <c r="E551" s="6" t="inlineStr">
        <is>
          <t>21.0</t>
        </is>
      </c>
      <c r="F551" s="7" t="n">
        <v>105</v>
      </c>
      <c r="G551" s="7" t="n">
        <v>5</v>
      </c>
      <c r="H551" s="7" t="n">
        <v>0</v>
      </c>
      <c r="I551" s="7" t="n">
        <v>-5</v>
      </c>
      <c r="J551" s="8" t="n">
        <v>22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00168034720</t>
        </is>
      </c>
      <c r="D552" s="5" t="inlineStr">
        <is>
          <t>TERCONAZOLE 0.8 % VAGINAL CREAM</t>
        </is>
      </c>
      <c r="E552" s="6" t="inlineStr">
        <is>
          <t>20.0</t>
        </is>
      </c>
      <c r="F552" s="7" t="n">
        <v>20</v>
      </c>
      <c r="G552" s="7" t="n">
        <v>1</v>
      </c>
      <c r="H552" s="7" t="n">
        <v>0</v>
      </c>
      <c r="I552" s="7" t="n">
        <v>-1</v>
      </c>
      <c r="J552" s="8" t="n">
        <v>22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23155050005</t>
        </is>
      </c>
      <c r="D553" s="5" t="inlineStr">
        <is>
          <t xml:space="preserve">HYDROXYZINE HCL 10MG TAB </t>
        </is>
      </c>
      <c r="E553" s="6" t="inlineStr">
        <is>
          <t>500.0</t>
        </is>
      </c>
      <c r="F553" s="7" t="n">
        <v>60</v>
      </c>
      <c r="G553" s="7" t="n">
        <v>0.12</v>
      </c>
      <c r="H553" s="7" t="n">
        <v>0</v>
      </c>
      <c r="I553" s="7" t="n">
        <v>-0.12</v>
      </c>
      <c r="J553" s="8" t="n">
        <v>22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23155083310</t>
        </is>
      </c>
      <c r="D554" s="5" t="inlineStr">
        <is>
          <t>HYDRALAZINE HCL 25 MG TABLET</t>
        </is>
      </c>
      <c r="E554" s="6" t="inlineStr">
        <is>
          <t>1000.0</t>
        </is>
      </c>
      <c r="F554" s="7" t="n">
        <v>510</v>
      </c>
      <c r="G554" s="7" t="n">
        <v>0.51</v>
      </c>
      <c r="H554" s="7" t="n">
        <v>0</v>
      </c>
      <c r="I554" s="7" t="n">
        <v>-0.51</v>
      </c>
      <c r="J554" s="8" t="n">
        <v>21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00168009960</t>
        </is>
      </c>
      <c r="D555" s="5" t="inlineStr">
        <is>
          <t>KETOCONAZOLE 2% CREAM</t>
        </is>
      </c>
      <c r="E555" s="6" t="inlineStr">
        <is>
          <t>60.0</t>
        </is>
      </c>
      <c r="F555" s="7" t="n">
        <v>60</v>
      </c>
      <c r="G555" s="7" t="n">
        <v>1</v>
      </c>
      <c r="H555" s="7" t="n">
        <v>6</v>
      </c>
      <c r="I555" s="7" t="n">
        <v>5</v>
      </c>
      <c r="J555" s="8" t="n">
        <v>21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65702072910</t>
        </is>
      </c>
      <c r="D556" s="5" t="inlineStr">
        <is>
          <t>ACCU-CHEK GUIDE W/DEVICE KIT</t>
        </is>
      </c>
      <c r="E556" s="6" t="inlineStr">
        <is>
          <t>1.0</t>
        </is>
      </c>
      <c r="F556" s="7" t="n">
        <v>1</v>
      </c>
      <c r="G556" s="7" t="n">
        <v>1</v>
      </c>
      <c r="H556" s="7" t="n">
        <v>0</v>
      </c>
      <c r="I556" s="7" t="n">
        <v>-1</v>
      </c>
      <c r="J556" s="8" t="n">
        <v>21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70700011385</t>
        </is>
      </c>
      <c r="D557" s="5" t="inlineStr">
        <is>
          <t>ISIBLOOM 0.15-30 MG-MCG ORAL TABLET</t>
        </is>
      </c>
      <c r="E557" s="6" t="inlineStr">
        <is>
          <t>84.0</t>
        </is>
      </c>
      <c r="F557" s="7" t="n">
        <v>84</v>
      </c>
      <c r="G557" s="7" t="n">
        <v>1</v>
      </c>
      <c r="H557" s="7" t="n">
        <v>1</v>
      </c>
      <c r="I557" s="7" t="n">
        <v>0</v>
      </c>
      <c r="J557" s="8" t="n">
        <v>21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62332017260</t>
        </is>
      </c>
      <c r="D558" s="5" t="inlineStr">
        <is>
          <t>LACOSAMIDE 100MG TABLET</t>
        </is>
      </c>
      <c r="E558" s="6" t="inlineStr">
        <is>
          <t>60.0</t>
        </is>
      </c>
      <c r="F558" s="7" t="n">
        <v>60</v>
      </c>
      <c r="G558" s="7" t="n">
        <v>1</v>
      </c>
      <c r="H558" s="7" t="n">
        <v>2</v>
      </c>
      <c r="I558" s="7" t="n">
        <v>1</v>
      </c>
      <c r="J558" s="8" t="n">
        <v>21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57237004390</t>
        </is>
      </c>
      <c r="D559" s="5" t="inlineStr">
        <is>
          <t>VALACYCLOVIR 1GM TABLET</t>
        </is>
      </c>
      <c r="E559" s="6" t="inlineStr">
        <is>
          <t>90.0</t>
        </is>
      </c>
      <c r="F559" s="7" t="n">
        <v>60</v>
      </c>
      <c r="G559" s="7" t="n">
        <v>0.6666666666666666</v>
      </c>
      <c r="H559" s="7" t="n">
        <v>0</v>
      </c>
      <c r="I559" s="7" t="n">
        <v>-0.6666666666666666</v>
      </c>
      <c r="J559" s="8" t="n">
        <v>21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45802011942</t>
        </is>
      </c>
      <c r="D560" s="5" t="inlineStr">
        <is>
          <t>MOMETASONE FUROATE 0.1 % EXTERNAL OINTMENT</t>
        </is>
      </c>
      <c r="E560" s="6" t="inlineStr">
        <is>
          <t>45.0</t>
        </is>
      </c>
      <c r="F560" s="7" t="n">
        <v>45</v>
      </c>
      <c r="G560" s="7" t="n">
        <v>1</v>
      </c>
      <c r="H560" s="7" t="n">
        <v>0</v>
      </c>
      <c r="I560" s="7" t="n">
        <v>-1</v>
      </c>
      <c r="J560" s="8" t="n">
        <v>21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57237022005</t>
        </is>
      </c>
      <c r="D561" s="5" t="inlineStr">
        <is>
          <t>PIOGLITAZONE 30MG TABLET</t>
        </is>
      </c>
      <c r="E561" s="6" t="inlineStr">
        <is>
          <t>500.0</t>
        </is>
      </c>
      <c r="F561" s="7" t="n">
        <v>360</v>
      </c>
      <c r="G561" s="7" t="n">
        <v>0.72</v>
      </c>
      <c r="H561" s="7" t="n">
        <v>1</v>
      </c>
      <c r="I561" s="7" t="n">
        <v>0.28</v>
      </c>
      <c r="J561" s="8" t="n">
        <v>21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57237021905</t>
        </is>
      </c>
      <c r="D562" s="5" t="inlineStr">
        <is>
          <t>PIOGLITAZONE 15MG TABLET</t>
        </is>
      </c>
      <c r="E562" s="6" t="inlineStr">
        <is>
          <t>500.0</t>
        </is>
      </c>
      <c r="F562" s="7" t="n">
        <v>330</v>
      </c>
      <c r="G562" s="7" t="n">
        <v>0.66</v>
      </c>
      <c r="H562" s="7" t="n">
        <v>1</v>
      </c>
      <c r="I562" s="7" t="n">
        <v>0.34</v>
      </c>
      <c r="J562" s="8" t="n">
        <v>21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69238131209</t>
        </is>
      </c>
      <c r="D563" s="5" t="inlineStr">
        <is>
          <t>PREGABALIN 75MG CAPSULE</t>
        </is>
      </c>
      <c r="E563" s="6" t="inlineStr">
        <is>
          <t>90.0</t>
        </is>
      </c>
      <c r="F563" s="7" t="n">
        <v>90</v>
      </c>
      <c r="G563" s="7" t="n">
        <v>1</v>
      </c>
      <c r="H563" s="7" t="n">
        <v>0</v>
      </c>
      <c r="I563" s="7" t="n">
        <v>-1</v>
      </c>
      <c r="J563" s="8" t="n">
        <v>21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64980051501</t>
        </is>
      </c>
      <c r="D564" s="5" t="inlineStr">
        <is>
          <t>OFLOXACIN 0.3 % OPHTHALMIC SOLUTION</t>
        </is>
      </c>
      <c r="E564" s="6" t="inlineStr">
        <is>
          <t>10.0</t>
        </is>
      </c>
      <c r="F564" s="7" t="n">
        <v>10</v>
      </c>
      <c r="G564" s="7" t="n">
        <v>1</v>
      </c>
      <c r="H564" s="7" t="n">
        <v>0</v>
      </c>
      <c r="I564" s="7" t="n">
        <v>-1</v>
      </c>
      <c r="J564" s="8" t="n">
        <v>21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00378013710</t>
        </is>
      </c>
      <c r="D565" s="5" t="inlineStr">
        <is>
          <t>ALLOPURINOL 100 MG TABLET</t>
        </is>
      </c>
      <c r="E565" s="6" t="inlineStr">
        <is>
          <t>1000.0</t>
        </is>
      </c>
      <c r="F565" s="7" t="n">
        <v>180</v>
      </c>
      <c r="G565" s="7" t="n">
        <v>0.18</v>
      </c>
      <c r="H565" s="7" t="n">
        <v>0</v>
      </c>
      <c r="I565" s="7" t="n">
        <v>-0.18</v>
      </c>
      <c r="J565" s="8" t="n">
        <v>20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53746051501</t>
        </is>
      </c>
      <c r="D566" s="5" t="inlineStr">
        <is>
          <t>SPIRONOLACTONE 100MG TABLET</t>
        </is>
      </c>
      <c r="E566" s="6" t="inlineStr">
        <is>
          <t>100.0</t>
        </is>
      </c>
      <c r="F566" s="7" t="n">
        <v>60</v>
      </c>
      <c r="G566" s="7" t="n">
        <v>0.6</v>
      </c>
      <c r="H566" s="7" t="n">
        <v>0</v>
      </c>
      <c r="I566" s="7" t="n">
        <v>-0.6</v>
      </c>
      <c r="J566" s="8" t="n">
        <v>20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00713032637</t>
        </is>
      </c>
      <c r="D567" s="5" t="inlineStr">
        <is>
          <t>BETAMETHASONE VALERATE 0.1% CREAM</t>
        </is>
      </c>
      <c r="E567" s="6" t="inlineStr">
        <is>
          <t>45.0</t>
        </is>
      </c>
      <c r="F567" s="7" t="n">
        <v>45</v>
      </c>
      <c r="G567" s="7" t="n">
        <v>1</v>
      </c>
      <c r="H567" s="7" t="n">
        <v>0</v>
      </c>
      <c r="I567" s="7" t="n">
        <v>-1</v>
      </c>
      <c r="J567" s="8" t="n">
        <v>20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62756035664</t>
        </is>
      </c>
      <c r="D568" s="5" t="inlineStr">
        <is>
          <t xml:space="preserve">ONDANSETRON ODT 8MG TAB </t>
        </is>
      </c>
      <c r="E568" s="6" t="inlineStr">
        <is>
          <t>30.0</t>
        </is>
      </c>
      <c r="F568" s="7" t="n">
        <v>90</v>
      </c>
      <c r="G568" s="7" t="n">
        <v>3</v>
      </c>
      <c r="H568" s="7" t="n">
        <v>0</v>
      </c>
      <c r="I568" s="7" t="n">
        <v>-3</v>
      </c>
      <c r="J568" s="8" t="n">
        <v>20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70700012085</t>
        </is>
      </c>
      <c r="D569" s="5" t="inlineStr">
        <is>
          <t>TRI-LO-ESTARYLLA 0.18/0.215/0.25 MG-25 MCG ORAL TABLET</t>
        </is>
      </c>
      <c r="E569" s="6" t="inlineStr">
        <is>
          <t>84.0</t>
        </is>
      </c>
      <c r="F569" s="7" t="n">
        <v>84</v>
      </c>
      <c r="G569" s="7" t="n">
        <v>1</v>
      </c>
      <c r="H569" s="7" t="n">
        <v>0</v>
      </c>
      <c r="I569" s="7" t="n">
        <v>-1</v>
      </c>
      <c r="J569" s="8" t="n">
        <v>20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00143924920</t>
        </is>
      </c>
      <c r="D570" s="5" t="inlineStr">
        <is>
          <t xml:space="preserve">AMOXICILLIN-POT CLAVULANATE 875-125 MG TABLET </t>
        </is>
      </c>
      <c r="E570" s="6" t="inlineStr">
        <is>
          <t>20.0</t>
        </is>
      </c>
      <c r="F570" s="7" t="n">
        <v>48</v>
      </c>
      <c r="G570" s="7" t="n">
        <v>2.4</v>
      </c>
      <c r="H570" s="7" t="n">
        <v>0</v>
      </c>
      <c r="I570" s="7" t="n">
        <v>-2.4</v>
      </c>
      <c r="J570" s="8" t="n">
        <v>20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59651021430</t>
        </is>
      </c>
      <c r="D571" s="5" t="inlineStr">
        <is>
          <t>AZELASTINE HCL 137MCG/SPRAY SOLUTION</t>
        </is>
      </c>
      <c r="E571" s="6" t="inlineStr">
        <is>
          <t>30.0</t>
        </is>
      </c>
      <c r="F571" s="7" t="n">
        <v>30</v>
      </c>
      <c r="G571" s="7" t="n">
        <v>1</v>
      </c>
      <c r="H571" s="7" t="n">
        <v>12</v>
      </c>
      <c r="I571" s="7" t="n">
        <v>11</v>
      </c>
      <c r="J571" s="8" t="n">
        <v>20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55150027701</t>
        </is>
      </c>
      <c r="D572" s="5" t="inlineStr">
        <is>
          <t>TESTOSTERONE CYPIONATE 200 MG/ML INTRAMUSCULAR SOLUTION</t>
        </is>
      </c>
      <c r="E572" s="6" t="inlineStr">
        <is>
          <t>1.0</t>
        </is>
      </c>
      <c r="F572" s="7" t="n">
        <v>2</v>
      </c>
      <c r="G572" s="7" t="n">
        <v>2</v>
      </c>
      <c r="H572" s="7" t="n">
        <v>2</v>
      </c>
      <c r="I572" s="7" t="n">
        <v>0</v>
      </c>
      <c r="J572" s="8" t="n">
        <v>20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45802090096</t>
        </is>
      </c>
      <c r="D573" s="5" t="inlineStr">
        <is>
          <t>CLINDAMYCIN PHOS 1 % EXTERNAL GEL</t>
        </is>
      </c>
      <c r="E573" s="6" t="inlineStr">
        <is>
          <t>60.0</t>
        </is>
      </c>
      <c r="F573" s="7" t="n">
        <v>120</v>
      </c>
      <c r="G573" s="7" t="n">
        <v>2</v>
      </c>
      <c r="H573" s="7" t="n">
        <v>0</v>
      </c>
      <c r="I573" s="7" t="n">
        <v>-2</v>
      </c>
      <c r="J573" s="8" t="n">
        <v>20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70069008101</t>
        </is>
      </c>
      <c r="D574" s="5" t="inlineStr">
        <is>
          <t>MOXIFLOXACIN HCL 0.5 % OPHTHALMIC SOLUTION</t>
        </is>
      </c>
      <c r="E574" s="6" t="inlineStr">
        <is>
          <t>3.0</t>
        </is>
      </c>
      <c r="F574" s="7" t="n">
        <v>9</v>
      </c>
      <c r="G574" s="7" t="n">
        <v>3</v>
      </c>
      <c r="H574" s="7" t="n">
        <v>0</v>
      </c>
      <c r="I574" s="7" t="n">
        <v>-3</v>
      </c>
      <c r="J574" s="8" t="n">
        <v>20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65862058305</t>
        </is>
      </c>
      <c r="D575" s="5" t="inlineStr">
        <is>
          <t>AMLODIPINE-BENAZEPRIL 5-10MG CAPSULE</t>
        </is>
      </c>
      <c r="E575" s="6" t="inlineStr">
        <is>
          <t>500.0</t>
        </is>
      </c>
      <c r="F575" s="7" t="n">
        <v>90</v>
      </c>
      <c r="G575" s="7" t="n">
        <v>0.18</v>
      </c>
      <c r="H575" s="7" t="n">
        <v>0</v>
      </c>
      <c r="I575" s="7" t="n">
        <v>-0.18</v>
      </c>
      <c r="J575" s="8" t="n">
        <v>19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68462040601</t>
        </is>
      </c>
      <c r="D576" s="5" t="inlineStr">
        <is>
          <t xml:space="preserve">INDOMETHACIN 25MG CAP </t>
        </is>
      </c>
      <c r="E576" s="6" t="inlineStr">
        <is>
          <t>100.0</t>
        </is>
      </c>
      <c r="F576" s="7" t="n">
        <v>90</v>
      </c>
      <c r="G576" s="7" t="n">
        <v>0.9</v>
      </c>
      <c r="H576" s="7" t="n">
        <v>1</v>
      </c>
      <c r="I576" s="7" t="n">
        <v>0.09999999999999998</v>
      </c>
      <c r="J576" s="8" t="n">
        <v>19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62332025230</t>
        </is>
      </c>
      <c r="D577" s="5" t="inlineStr">
        <is>
          <t>AZITHROMYCIN 500 MG ORAL TABLET</t>
        </is>
      </c>
      <c r="E577" s="6" t="inlineStr">
        <is>
          <t>30.0</t>
        </is>
      </c>
      <c r="F577" s="7" t="n">
        <v>30</v>
      </c>
      <c r="G577" s="7" t="n">
        <v>1</v>
      </c>
      <c r="H577" s="7" t="n">
        <v>1</v>
      </c>
      <c r="I577" s="7" t="n">
        <v>0</v>
      </c>
      <c r="J577" s="8" t="n">
        <v>19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72888000901</t>
        </is>
      </c>
      <c r="D578" s="5" t="inlineStr">
        <is>
          <t>BACLOFEN 5 MG ORAL TABLET</t>
        </is>
      </c>
      <c r="E578" s="6" t="inlineStr">
        <is>
          <t>100.0</t>
        </is>
      </c>
      <c r="F578" s="7" t="n">
        <v>120</v>
      </c>
      <c r="G578" s="7" t="n">
        <v>1.2</v>
      </c>
      <c r="H578" s="7" t="n">
        <v>2</v>
      </c>
      <c r="I578" s="7" t="n">
        <v>0.8</v>
      </c>
      <c r="J578" s="8" t="n">
        <v>19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62756014202</t>
        </is>
      </c>
      <c r="D579" s="5" t="inlineStr">
        <is>
          <t xml:space="preserve">METFORMIN ER 500MG TAB </t>
        </is>
      </c>
      <c r="E579" s="6" t="inlineStr">
        <is>
          <t>500.0</t>
        </is>
      </c>
      <c r="F579" s="7" t="n">
        <v>270</v>
      </c>
      <c r="G579" s="7" t="n">
        <v>0.54</v>
      </c>
      <c r="H579" s="7" t="n">
        <v>0</v>
      </c>
      <c r="I579" s="7" t="n">
        <v>-0.54</v>
      </c>
      <c r="J579" s="8" t="n">
        <v>19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00185005501</t>
        </is>
      </c>
      <c r="D580" s="5" t="inlineStr">
        <is>
          <t>METOLAZONE 5 MG TABLET</t>
        </is>
      </c>
      <c r="E580" s="6" t="inlineStr">
        <is>
          <t>100.0</t>
        </is>
      </c>
      <c r="F580" s="7" t="n">
        <v>42</v>
      </c>
      <c r="G580" s="7" t="n">
        <v>0.42</v>
      </c>
      <c r="H580" s="7" t="n">
        <v>0</v>
      </c>
      <c r="I580" s="7" t="n">
        <v>-0.42</v>
      </c>
      <c r="J580" s="8" t="n">
        <v>19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24208038555</t>
        </is>
      </c>
      <c r="D581" s="5" t="inlineStr">
        <is>
          <t>MURO 128 5% OINTMENT</t>
        </is>
      </c>
      <c r="E581" s="6" t="inlineStr">
        <is>
          <t>3.5</t>
        </is>
      </c>
      <c r="F581" s="7" t="n">
        <v>3.5</v>
      </c>
      <c r="G581" s="7" t="n">
        <v>1</v>
      </c>
      <c r="H581" s="7" t="n">
        <v>0</v>
      </c>
      <c r="I581" s="7" t="n">
        <v>-1</v>
      </c>
      <c r="J581" s="8" t="n">
        <v>19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70756021490</t>
        </is>
      </c>
      <c r="D582" s="5" t="inlineStr">
        <is>
          <t>FENOFIBRATE 54 MG ORAL TABLET</t>
        </is>
      </c>
      <c r="E582" s="6" t="inlineStr">
        <is>
          <t>90.0</t>
        </is>
      </c>
      <c r="F582" s="7" t="n">
        <v>90</v>
      </c>
      <c r="G582" s="7" t="n">
        <v>1</v>
      </c>
      <c r="H582" s="7" t="n">
        <v>0</v>
      </c>
      <c r="I582" s="7" t="n">
        <v>-1</v>
      </c>
      <c r="J582" s="8" t="n">
        <v>19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65862014736</t>
        </is>
      </c>
      <c r="D583" s="5" t="inlineStr">
        <is>
          <t xml:space="preserve">SUMATRIPTAN SUCCINATE 50MG TAB </t>
        </is>
      </c>
      <c r="E583" s="6" t="inlineStr">
        <is>
          <t>9.0</t>
        </is>
      </c>
      <c r="F583" s="7" t="n">
        <v>27</v>
      </c>
      <c r="G583" s="7" t="n">
        <v>3</v>
      </c>
      <c r="H583" s="7" t="n">
        <v>0</v>
      </c>
      <c r="I583" s="7" t="n">
        <v>-3</v>
      </c>
      <c r="J583" s="8" t="n">
        <v>19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23155002405</t>
        </is>
      </c>
      <c r="D584" s="5" t="inlineStr">
        <is>
          <t>BUSPIRONE 10MG TABLET</t>
        </is>
      </c>
      <c r="E584" s="6" t="inlineStr">
        <is>
          <t>500.0</t>
        </is>
      </c>
      <c r="F584" s="7" t="n">
        <v>300</v>
      </c>
      <c r="G584" s="7" t="n">
        <v>0.6</v>
      </c>
      <c r="H584" s="7" t="n">
        <v>1</v>
      </c>
      <c r="I584" s="7" t="n">
        <v>0.4</v>
      </c>
      <c r="J584" s="8" t="n">
        <v>19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00555904958</t>
        </is>
      </c>
      <c r="D585" s="5" t="inlineStr">
        <is>
          <t>CRYSELLE-28 0.3-0.03MG TABLET</t>
        </is>
      </c>
      <c r="E585" s="6" t="inlineStr">
        <is>
          <t>28.0</t>
        </is>
      </c>
      <c r="F585" s="7" t="n">
        <v>28</v>
      </c>
      <c r="G585" s="7" t="n">
        <v>1</v>
      </c>
      <c r="H585" s="7" t="n">
        <v>0</v>
      </c>
      <c r="I585" s="7" t="n">
        <v>-1</v>
      </c>
      <c r="J585" s="8" t="n">
        <v>19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62559027890</t>
        </is>
      </c>
      <c r="D586" s="5" t="inlineStr">
        <is>
          <t>NEBIVOLOL 20MG TABLET</t>
        </is>
      </c>
      <c r="E586" s="6" t="inlineStr">
        <is>
          <t>90.0</t>
        </is>
      </c>
      <c r="F586" s="7" t="n">
        <v>90</v>
      </c>
      <c r="G586" s="7" t="n">
        <v>1</v>
      </c>
      <c r="H586" s="7" t="n">
        <v>0</v>
      </c>
      <c r="I586" s="7" t="n">
        <v>-1</v>
      </c>
      <c r="J586" s="8" t="n">
        <v>19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62559027730</t>
        </is>
      </c>
      <c r="D587" s="5" t="inlineStr">
        <is>
          <t>NEBIVOLOL 10MG TABLET</t>
        </is>
      </c>
      <c r="E587" s="6" t="inlineStr">
        <is>
          <t>30.0</t>
        </is>
      </c>
      <c r="F587" s="7" t="n">
        <v>90</v>
      </c>
      <c r="G587" s="7" t="n">
        <v>3</v>
      </c>
      <c r="H587" s="7" t="n">
        <v>0</v>
      </c>
      <c r="I587" s="7" t="n">
        <v>-3</v>
      </c>
      <c r="J587" s="8" t="n">
        <v>19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62559027790</t>
        </is>
      </c>
      <c r="D588" s="5" t="inlineStr">
        <is>
          <t>NEBIVOLOL 10MG TABLET</t>
        </is>
      </c>
      <c r="E588" s="6" t="inlineStr">
        <is>
          <t>90.0</t>
        </is>
      </c>
      <c r="F588" s="7" t="n">
        <v>90</v>
      </c>
      <c r="G588" s="7" t="n">
        <v>1</v>
      </c>
      <c r="H588" s="7" t="n">
        <v>0</v>
      </c>
      <c r="I588" s="7" t="n">
        <v>-1</v>
      </c>
      <c r="J588" s="8" t="n">
        <v>19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65862018830</t>
        </is>
      </c>
      <c r="D589" s="5" t="inlineStr">
        <is>
          <t xml:space="preserve">ONDANSETRON 8MG TAB </t>
        </is>
      </c>
      <c r="E589" s="6" t="inlineStr">
        <is>
          <t>30.0</t>
        </is>
      </c>
      <c r="F589" s="7" t="n">
        <v>293</v>
      </c>
      <c r="G589" s="7" t="n">
        <v>9.766666666666667</v>
      </c>
      <c r="H589" s="7" t="n">
        <v>5</v>
      </c>
      <c r="I589" s="7" t="n">
        <v>-4.766666666666667</v>
      </c>
      <c r="J589" s="8" t="n">
        <v>18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71921016201</t>
        </is>
      </c>
      <c r="D590" s="5" t="inlineStr">
        <is>
          <t>DOXEPIN 10MG CAPSULE</t>
        </is>
      </c>
      <c r="E590" s="6" t="inlineStr">
        <is>
          <t>100.0</t>
        </is>
      </c>
      <c r="F590" s="7" t="n">
        <v>120</v>
      </c>
      <c r="G590" s="7" t="n">
        <v>1.2</v>
      </c>
      <c r="H590" s="7" t="n">
        <v>0</v>
      </c>
      <c r="I590" s="7" t="n">
        <v>-1.2</v>
      </c>
      <c r="J590" s="8" t="n">
        <v>18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24208091055</t>
        </is>
      </c>
      <c r="D591" s="5" t="inlineStr">
        <is>
          <t>ERYTHROMYCIN 5MG/GM OINTMENT</t>
        </is>
      </c>
      <c r="E591" s="6" t="inlineStr">
        <is>
          <t>3.5</t>
        </is>
      </c>
      <c r="F591" s="7" t="n">
        <v>7</v>
      </c>
      <c r="G591" s="7" t="n">
        <v>2</v>
      </c>
      <c r="H591" s="7" t="n">
        <v>4</v>
      </c>
      <c r="I591" s="7" t="n">
        <v>2</v>
      </c>
      <c r="J591" s="8" t="n">
        <v>18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42858080201</t>
        </is>
      </c>
      <c r="D592" s="5" t="inlineStr">
        <is>
          <t>MORPHINE SULFATE ER 30 MG ORAL TABLET EXTENDED RELEASE</t>
        </is>
      </c>
      <c r="E592" s="6" t="inlineStr">
        <is>
          <t>100.0</t>
        </is>
      </c>
      <c r="F592" s="7" t="n">
        <v>60</v>
      </c>
      <c r="G592" s="7" t="n">
        <v>0.6</v>
      </c>
      <c r="H592" s="7" t="n">
        <v>0</v>
      </c>
      <c r="I592" s="7" t="n">
        <v>-0.6</v>
      </c>
      <c r="J592" s="8" t="n">
        <v>18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68180029407</t>
        </is>
      </c>
      <c r="D593" s="5" t="inlineStr">
        <is>
          <t>DULOXETINE 20MG CAPSULE DR</t>
        </is>
      </c>
      <c r="E593" s="6" t="inlineStr">
        <is>
          <t>60.0</t>
        </is>
      </c>
      <c r="F593" s="7" t="n">
        <v>120</v>
      </c>
      <c r="G593" s="7" t="n">
        <v>2</v>
      </c>
      <c r="H593" s="7" t="n">
        <v>3</v>
      </c>
      <c r="I593" s="7" t="n">
        <v>1</v>
      </c>
      <c r="J593" s="8" t="n">
        <v>18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29300012601</t>
        </is>
      </c>
      <c r="D594" s="5" t="inlineStr">
        <is>
          <t>BISOPROLOL 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18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72888006301</t>
        </is>
      </c>
      <c r="D595" s="5" t="inlineStr">
        <is>
          <t>BUSPIRONE HCL 7.5MG TABLET</t>
        </is>
      </c>
      <c r="E595" s="6" t="inlineStr">
        <is>
          <t>100.0</t>
        </is>
      </c>
      <c r="F595" s="7" t="n">
        <v>180</v>
      </c>
      <c r="G595" s="7" t="n">
        <v>1.8</v>
      </c>
      <c r="H595" s="7" t="n">
        <v>0</v>
      </c>
      <c r="I595" s="7" t="n">
        <v>-1.8</v>
      </c>
      <c r="J595" s="8" t="n">
        <v>18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45802005611</t>
        </is>
      </c>
      <c r="D596" s="5" t="inlineStr">
        <is>
          <t>GENTAMICIN SULFATE 0.1% CREAM</t>
        </is>
      </c>
      <c r="E596" s="6" t="inlineStr">
        <is>
          <t>30.0</t>
        </is>
      </c>
      <c r="F596" s="7" t="n">
        <v>30</v>
      </c>
      <c r="G596" s="7" t="n">
        <v>1</v>
      </c>
      <c r="H596" s="7" t="n">
        <v>2</v>
      </c>
      <c r="I596" s="7" t="n">
        <v>1</v>
      </c>
      <c r="J596" s="8" t="n">
        <v>18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67877021905</t>
        </is>
      </c>
      <c r="D597" s="5" t="inlineStr">
        <is>
          <t xml:space="preserve">CEPHALEXIN 500MG CAPSULE </t>
        </is>
      </c>
      <c r="E597" s="6" t="inlineStr">
        <is>
          <t>500.0</t>
        </is>
      </c>
      <c r="F597" s="7" t="n">
        <v>62</v>
      </c>
      <c r="G597" s="7" t="n">
        <v>0.124</v>
      </c>
      <c r="H597" s="7" t="n">
        <v>0</v>
      </c>
      <c r="I597" s="7" t="n">
        <v>-0.124</v>
      </c>
      <c r="J597" s="8" t="n">
        <v>18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51672407008</t>
        </is>
      </c>
      <c r="D598" s="5" t="inlineStr">
        <is>
          <t>CETIRIZINE HCL 1 MG/ML ORAL SOLUTION</t>
        </is>
      </c>
      <c r="E598" s="6" t="inlineStr">
        <is>
          <t>120.0</t>
        </is>
      </c>
      <c r="F598" s="7" t="n">
        <v>360</v>
      </c>
      <c r="G598" s="7" t="n">
        <v>3</v>
      </c>
      <c r="H598" s="7" t="n">
        <v>0</v>
      </c>
      <c r="I598" s="7" t="n">
        <v>-3</v>
      </c>
      <c r="J598" s="8" t="n">
        <v>18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00168009915</t>
        </is>
      </c>
      <c r="D599" s="5" t="inlineStr">
        <is>
          <t>KETOCONAZOLE 2 % EXTERNAL CREAM</t>
        </is>
      </c>
      <c r="E599" s="6" t="inlineStr">
        <is>
          <t>15.0</t>
        </is>
      </c>
      <c r="F599" s="7" t="n">
        <v>30</v>
      </c>
      <c r="G599" s="7" t="n">
        <v>2</v>
      </c>
      <c r="H599" s="7" t="n">
        <v>4</v>
      </c>
      <c r="I599" s="7" t="n">
        <v>2</v>
      </c>
      <c r="J599" s="8" t="n">
        <v>18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65862022960</t>
        </is>
      </c>
      <c r="D600" s="5" t="inlineStr">
        <is>
          <t>LAMOTRIGINE 150MG  TABLET</t>
        </is>
      </c>
      <c r="E600" s="6" t="inlineStr">
        <is>
          <t>60.0</t>
        </is>
      </c>
      <c r="F600" s="7" t="n">
        <v>120</v>
      </c>
      <c r="G600" s="7" t="n">
        <v>2</v>
      </c>
      <c r="H600" s="7" t="n">
        <v>0</v>
      </c>
      <c r="I600" s="7" t="n">
        <v>-2</v>
      </c>
      <c r="J600" s="8" t="n">
        <v>18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50228017501</t>
        </is>
      </c>
      <c r="D601" s="5" t="inlineStr">
        <is>
          <t>BUPROPION HCL ER (SR) 150 MG ORAL TABLET EXTENDED RELEASE 12 HOUR</t>
        </is>
      </c>
      <c r="E601" s="6" t="inlineStr">
        <is>
          <t>100.0</t>
        </is>
      </c>
      <c r="F601" s="7" t="n">
        <v>30</v>
      </c>
      <c r="G601" s="7" t="n">
        <v>0.3</v>
      </c>
      <c r="H601" s="7" t="n">
        <v>0</v>
      </c>
      <c r="I601" s="7" t="n">
        <v>-0.3</v>
      </c>
      <c r="J601" s="8" t="n">
        <v>18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47781022901</t>
        </is>
      </c>
      <c r="D602" s="5" t="inlineStr">
        <is>
          <t>OXYCODONE-ACETAMINOPHEN 7.5-325 MG ORAL TABLET</t>
        </is>
      </c>
      <c r="E602" s="6" t="inlineStr">
        <is>
          <t>100.0</t>
        </is>
      </c>
      <c r="F602" s="7" t="n">
        <v>90</v>
      </c>
      <c r="G602" s="7" t="n">
        <v>0.9</v>
      </c>
      <c r="H602" s="7" t="n">
        <v>0</v>
      </c>
      <c r="I602" s="7" t="n">
        <v>-0.9</v>
      </c>
      <c r="J602" s="8" t="n">
        <v>17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69097017353</t>
        </is>
      </c>
      <c r="D603" s="5" t="inlineStr">
        <is>
          <t>IPRATROPIUM-ALBUTEROL 0.5-2.5 (3)MG/3ML SOLUTION</t>
        </is>
      </c>
      <c r="E603" s="6" t="inlineStr">
        <is>
          <t>90.0</t>
        </is>
      </c>
      <c r="F603" s="7" t="n">
        <v>90</v>
      </c>
      <c r="G603" s="7" t="n">
        <v>1</v>
      </c>
      <c r="H603" s="7" t="n">
        <v>0</v>
      </c>
      <c r="I603" s="7" t="n">
        <v>-1</v>
      </c>
      <c r="J603" s="8" t="n">
        <v>17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13107015530</t>
        </is>
      </c>
      <c r="D604" s="5" t="inlineStr">
        <is>
          <t xml:space="preserve">PAROXETINE 20MG TABLET </t>
        </is>
      </c>
      <c r="E604" s="6" t="inlineStr">
        <is>
          <t>30.0</t>
        </is>
      </c>
      <c r="F604" s="7" t="n">
        <v>150</v>
      </c>
      <c r="G604" s="7" t="n">
        <v>5</v>
      </c>
      <c r="H604" s="7" t="n">
        <v>0</v>
      </c>
      <c r="I604" s="7" t="n">
        <v>-5</v>
      </c>
      <c r="J604" s="8" t="n">
        <v>17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27241015704</t>
        </is>
      </c>
      <c r="D605" s="5" t="inlineStr">
        <is>
          <t>OXYBUTYNIN 15MG TABLET ER</t>
        </is>
      </c>
      <c r="E605" s="6" t="inlineStr">
        <is>
          <t>100.0</t>
        </is>
      </c>
      <c r="F605" s="7" t="n">
        <v>30</v>
      </c>
      <c r="G605" s="7" t="n">
        <v>0.3</v>
      </c>
      <c r="H605" s="7" t="n">
        <v>1</v>
      </c>
      <c r="I605" s="7" t="n">
        <v>0.7</v>
      </c>
      <c r="J605" s="8" t="n">
        <v>17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00603516632</t>
        </is>
      </c>
      <c r="D606" s="5" t="inlineStr">
        <is>
          <t>PHENOBARBITAL 32.4 MG TABLET</t>
        </is>
      </c>
      <c r="E606" s="6" t="inlineStr">
        <is>
          <t>1000.0</t>
        </is>
      </c>
      <c r="F606" s="7" t="n">
        <v>60</v>
      </c>
      <c r="G606" s="7" t="n">
        <v>0.06</v>
      </c>
      <c r="H606" s="7" t="n">
        <v>0</v>
      </c>
      <c r="I606" s="7" t="n">
        <v>-0.06</v>
      </c>
      <c r="J606" s="8" t="n">
        <v>17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70010006405</t>
        </is>
      </c>
      <c r="D607" s="5" t="inlineStr">
        <is>
          <t>METFORMIN HCL 850 MG ORAL TABLET</t>
        </is>
      </c>
      <c r="E607" s="6" t="inlineStr">
        <is>
          <t>500.0</t>
        </is>
      </c>
      <c r="F607" s="7" t="n">
        <v>330</v>
      </c>
      <c r="G607" s="7" t="n">
        <v>0.66</v>
      </c>
      <c r="H607" s="7" t="n">
        <v>2</v>
      </c>
      <c r="I607" s="7" t="n">
        <v>1.34</v>
      </c>
      <c r="J607" s="8" t="n">
        <v>17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00713068231</t>
        </is>
      </c>
      <c r="D608" s="5" t="inlineStr">
        <is>
          <t>GENTAMICIN SULFATE 0.1 % EXTERNAL OINTMENT</t>
        </is>
      </c>
      <c r="E608" s="6" t="inlineStr">
        <is>
          <t>30.0</t>
        </is>
      </c>
      <c r="F608" s="7" t="n">
        <v>30</v>
      </c>
      <c r="G608" s="7" t="n">
        <v>1</v>
      </c>
      <c r="H608" s="7" t="n">
        <v>0</v>
      </c>
      <c r="I608" s="7" t="n">
        <v>-1</v>
      </c>
      <c r="J608" s="8" t="n">
        <v>17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00168001531</t>
        </is>
      </c>
      <c r="D609" s="5" t="inlineStr">
        <is>
          <t>HYDROCORTISONE 1% CREAM</t>
        </is>
      </c>
      <c r="E609" s="6" t="inlineStr">
        <is>
          <t>28.35</t>
        </is>
      </c>
      <c r="F609" s="7" t="n">
        <v>85.05</v>
      </c>
      <c r="G609" s="7" t="n">
        <v>3</v>
      </c>
      <c r="H609" s="7" t="n">
        <v>6</v>
      </c>
      <c r="I609" s="7" t="n">
        <v>3</v>
      </c>
      <c r="J609" s="8" t="n">
        <v>17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70710116701</t>
        </is>
      </c>
      <c r="D610" s="5" t="inlineStr">
        <is>
          <t>ATENOLOL-CHLORTHALIDONE 50-25MG TABLET</t>
        </is>
      </c>
      <c r="E610" s="6" t="inlineStr">
        <is>
          <t>100.0</t>
        </is>
      </c>
      <c r="F610" s="7" t="n">
        <v>120</v>
      </c>
      <c r="G610" s="7" t="n">
        <v>1.2</v>
      </c>
      <c r="H610" s="7" t="n">
        <v>2</v>
      </c>
      <c r="I610" s="7" t="n">
        <v>0.8</v>
      </c>
      <c r="J610" s="8" t="n">
        <v>17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62332017360</t>
        </is>
      </c>
      <c r="D611" s="5" t="inlineStr">
        <is>
          <t>LACOSAMIDE 150MG TABLET</t>
        </is>
      </c>
      <c r="E611" s="6" t="inlineStr">
        <is>
          <t>60.0</t>
        </is>
      </c>
      <c r="F611" s="7" t="n">
        <v>60</v>
      </c>
      <c r="G611" s="7" t="n">
        <v>1</v>
      </c>
      <c r="H611" s="7" t="n">
        <v>0</v>
      </c>
      <c r="I611" s="7" t="n">
        <v>-1</v>
      </c>
      <c r="J611" s="8" t="n">
        <v>17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70377000613</t>
        </is>
      </c>
      <c r="D612" s="5" t="inlineStr">
        <is>
          <t>ROSUVASTATIN 5MG TABLET</t>
        </is>
      </c>
      <c r="E612" s="6" t="inlineStr">
        <is>
          <t>500.0</t>
        </is>
      </c>
      <c r="F612" s="7" t="n">
        <v>240</v>
      </c>
      <c r="G612" s="7" t="n">
        <v>0.48</v>
      </c>
      <c r="H612" s="7" t="n">
        <v>0</v>
      </c>
      <c r="I612" s="7" t="n">
        <v>-0.48</v>
      </c>
      <c r="J612" s="8" t="n">
        <v>17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33342029815</t>
        </is>
      </c>
      <c r="D613" s="5" t="inlineStr">
        <is>
          <t>MEMANTINE 10MG TABLET</t>
        </is>
      </c>
      <c r="E613" s="6" t="inlineStr">
        <is>
          <t>500.0</t>
        </is>
      </c>
      <c r="F613" s="7" t="n">
        <v>150</v>
      </c>
      <c r="G613" s="7" t="n">
        <v>0.3</v>
      </c>
      <c r="H613" s="7" t="n">
        <v>0</v>
      </c>
      <c r="I613" s="7" t="n">
        <v>-0.3</v>
      </c>
      <c r="J613" s="8" t="n">
        <v>17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72888006605</t>
        </is>
      </c>
      <c r="D614" s="5" t="inlineStr">
        <is>
          <t>BUSPIRONE HCL 30 MG ORAL TABLET</t>
        </is>
      </c>
      <c r="E614" s="6" t="inlineStr">
        <is>
          <t>500.0</t>
        </is>
      </c>
      <c r="F614" s="7" t="n">
        <v>60</v>
      </c>
      <c r="G614" s="7" t="n">
        <v>0.12</v>
      </c>
      <c r="H614" s="7" t="n">
        <v>0</v>
      </c>
      <c r="I614" s="7" t="n">
        <v>-0.12</v>
      </c>
      <c r="J614" s="8" t="n">
        <v>17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00168025815</t>
        </is>
      </c>
      <c r="D615" s="5" t="inlineStr">
        <is>
          <t>CLOTRIMAZOLE-BETAMETHASONE 1-0.05 % EXTERNAL CREAM</t>
        </is>
      </c>
      <c r="E615" s="6" t="inlineStr">
        <is>
          <t>15.0</t>
        </is>
      </c>
      <c r="F615" s="7" t="n">
        <v>30</v>
      </c>
      <c r="G615" s="7" t="n">
        <v>2</v>
      </c>
      <c r="H615" s="7" t="n">
        <v>0</v>
      </c>
      <c r="I615" s="7" t="n">
        <v>-2</v>
      </c>
      <c r="J615" s="8" t="n">
        <v>17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62332004290</t>
        </is>
      </c>
      <c r="D616" s="5" t="inlineStr">
        <is>
          <t>IRBESARTAN 150MG TABLET</t>
        </is>
      </c>
      <c r="E616" s="6" t="inlineStr">
        <is>
          <t>90.0</t>
        </is>
      </c>
      <c r="F616" s="7" t="n">
        <v>90</v>
      </c>
      <c r="G616" s="7" t="n">
        <v>1</v>
      </c>
      <c r="H616" s="7" t="n">
        <v>0</v>
      </c>
      <c r="I616" s="7" t="n">
        <v>-1</v>
      </c>
      <c r="J616" s="8" t="n">
        <v>17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65862002306</t>
        </is>
      </c>
      <c r="D617" s="5" t="inlineStr">
        <is>
          <t>MIRTAZAPINE 45 MG TABLET DISINTEGRATING</t>
        </is>
      </c>
      <c r="E617" s="6" t="inlineStr">
        <is>
          <t>30.0</t>
        </is>
      </c>
      <c r="F617" s="7" t="n">
        <v>30</v>
      </c>
      <c r="G617" s="7" t="n">
        <v>1</v>
      </c>
      <c r="H617" s="7" t="n">
        <v>0</v>
      </c>
      <c r="I617" s="7" t="n">
        <v>-1</v>
      </c>
      <c r="J617" s="8" t="n">
        <v>17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42806001101</t>
        </is>
      </c>
      <c r="D618" s="5" t="inlineStr">
        <is>
          <t>SULINDAC 200 MG ORAL TABLET</t>
        </is>
      </c>
      <c r="E618" s="6" t="inlineStr">
        <is>
          <t>100.0</t>
        </is>
      </c>
      <c r="F618" s="7" t="n">
        <v>28</v>
      </c>
      <c r="G618" s="7" t="n">
        <v>0.28</v>
      </c>
      <c r="H618" s="7" t="n">
        <v>0</v>
      </c>
      <c r="I618" s="7" t="n">
        <v>-0.28</v>
      </c>
      <c r="J618" s="8" t="n">
        <v>16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72888003600</t>
        </is>
      </c>
      <c r="D619" s="5" t="inlineStr">
        <is>
          <t>CARVEDILOL 12.5MG TABLET</t>
        </is>
      </c>
      <c r="E619" s="6" t="inlineStr">
        <is>
          <t>1000.0</t>
        </is>
      </c>
      <c r="F619" s="7" t="n">
        <v>300</v>
      </c>
      <c r="G619" s="7" t="n">
        <v>0.3</v>
      </c>
      <c r="H619" s="7" t="n">
        <v>0</v>
      </c>
      <c r="I619" s="7" t="n">
        <v>-0.3</v>
      </c>
      <c r="J619" s="8" t="n">
        <v>16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00168035730</t>
        </is>
      </c>
      <c r="D620" s="5" t="inlineStr">
        <is>
          <t>LIDOCAINE-PRILOCAINE 2.5-2.5 % EXTERNAL CREAM</t>
        </is>
      </c>
      <c r="E620" s="6" t="inlineStr">
        <is>
          <t>30.0</t>
        </is>
      </c>
      <c r="F620" s="7" t="n">
        <v>60</v>
      </c>
      <c r="G620" s="7" t="n">
        <v>2</v>
      </c>
      <c r="H620" s="7" t="n">
        <v>0</v>
      </c>
      <c r="I620" s="7" t="n">
        <v>-2</v>
      </c>
      <c r="J620" s="8" t="n">
        <v>16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70954045520</t>
        </is>
      </c>
      <c r="D621" s="5" t="inlineStr">
        <is>
          <t>BISOPROLOL FUMARATE 5 MG ORAL TABLET</t>
        </is>
      </c>
      <c r="E621" s="6" t="inlineStr">
        <is>
          <t>100.0</t>
        </is>
      </c>
      <c r="F621" s="7" t="n">
        <v>30</v>
      </c>
      <c r="G621" s="7" t="n">
        <v>0.3</v>
      </c>
      <c r="H621" s="7" t="n">
        <v>0</v>
      </c>
      <c r="I621" s="7" t="n">
        <v>-0.3</v>
      </c>
      <c r="J621" s="8" t="n">
        <v>16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57664050318</t>
        </is>
      </c>
      <c r="D622" s="5" t="inlineStr">
        <is>
          <t>TIZANIDINE 4MG TABLET</t>
        </is>
      </c>
      <c r="E622" s="6" t="inlineStr">
        <is>
          <t>1000.0</t>
        </is>
      </c>
      <c r="F622" s="7" t="n">
        <v>120</v>
      </c>
      <c r="G622" s="7" t="n">
        <v>0.12</v>
      </c>
      <c r="H622" s="7" t="n">
        <v>0</v>
      </c>
      <c r="I622" s="7" t="n">
        <v>-0.12</v>
      </c>
      <c r="J622" s="8" t="n">
        <v>16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64380078508</t>
        </is>
      </c>
      <c r="D623" s="5" t="inlineStr">
        <is>
          <t>PREDNISONE 20MG TABLET</t>
        </is>
      </c>
      <c r="E623" s="6" t="inlineStr">
        <is>
          <t>1000.0</t>
        </is>
      </c>
      <c r="F623" s="7" t="n">
        <v>66</v>
      </c>
      <c r="G623" s="7" t="n">
        <v>0.066</v>
      </c>
      <c r="H623" s="7" t="n">
        <v>0</v>
      </c>
      <c r="I623" s="7" t="n">
        <v>-0.066</v>
      </c>
      <c r="J623" s="8" t="n">
        <v>16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69238112309</t>
        </is>
      </c>
      <c r="D624" s="5" t="inlineStr">
        <is>
          <t>NADOLOL 20MG TABLET</t>
        </is>
      </c>
      <c r="E624" s="6" t="inlineStr">
        <is>
          <t>90.0</t>
        </is>
      </c>
      <c r="F624" s="7" t="n">
        <v>30</v>
      </c>
      <c r="G624" s="7" t="n">
        <v>0.3333333333333333</v>
      </c>
      <c r="H624" s="7" t="n">
        <v>0</v>
      </c>
      <c r="I624" s="7" t="n">
        <v>-0.3333333333333333</v>
      </c>
      <c r="J624" s="8" t="n">
        <v>16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70377004812</t>
        </is>
      </c>
      <c r="D625" s="5" t="inlineStr">
        <is>
          <t>PRAVASTATIN 80MG TABLET</t>
        </is>
      </c>
      <c r="E625" s="6" t="inlineStr">
        <is>
          <t>90.0</t>
        </is>
      </c>
      <c r="F625" s="7" t="n">
        <v>30</v>
      </c>
      <c r="G625" s="7" t="n">
        <v>0.3333333333333333</v>
      </c>
      <c r="H625" s="7" t="n">
        <v>0</v>
      </c>
      <c r="I625" s="7" t="n">
        <v>-0.3333333333333333</v>
      </c>
      <c r="J625" s="8" t="n">
        <v>16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00378910293</t>
        </is>
      </c>
      <c r="D626" s="5" t="inlineStr">
        <is>
          <t>NITROGLYCERIN 0.1 MG/HR TRANSDERMAL PATCH 24 HOUR</t>
        </is>
      </c>
      <c r="E626" s="6" t="inlineStr">
        <is>
          <t>30.0</t>
        </is>
      </c>
      <c r="F626" s="7" t="n">
        <v>30</v>
      </c>
      <c r="G626" s="7" t="n">
        <v>1</v>
      </c>
      <c r="H626" s="7" t="n">
        <v>1</v>
      </c>
      <c r="I626" s="7" t="n">
        <v>0</v>
      </c>
      <c r="J626" s="8" t="n">
        <v>16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00093321201</t>
        </is>
      </c>
      <c r="D627" s="5" t="inlineStr">
        <is>
          <t>CLONAZEPAM 1MG TABLET</t>
        </is>
      </c>
      <c r="E627" s="6" t="inlineStr">
        <is>
          <t>100.0</t>
        </is>
      </c>
      <c r="F627" s="7" t="n">
        <v>180</v>
      </c>
      <c r="G627" s="7" t="n">
        <v>1.8</v>
      </c>
      <c r="H627" s="7" t="n">
        <v>2</v>
      </c>
      <c r="I627" s="7" t="n">
        <v>0.2</v>
      </c>
      <c r="J627" s="8" t="n">
        <v>16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43547027511</t>
        </is>
      </c>
      <c r="D628" s="5" t="inlineStr">
        <is>
          <t xml:space="preserve">DONEPEZIL 5MG TAB </t>
        </is>
      </c>
      <c r="E628" s="6" t="inlineStr">
        <is>
          <t>1000.0</t>
        </is>
      </c>
      <c r="F628" s="7" t="n">
        <v>420</v>
      </c>
      <c r="G628" s="7" t="n">
        <v>0.42</v>
      </c>
      <c r="H628" s="7" t="n">
        <v>0</v>
      </c>
      <c r="I628" s="7" t="n">
        <v>-0.42</v>
      </c>
      <c r="J628" s="8" t="n">
        <v>16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64980059248</t>
        </is>
      </c>
      <c r="D629" s="5" t="inlineStr">
        <is>
          <t>LACTULOSE ENCEPHALOPATHY 10 GM/15ML ORAL SOLUTION</t>
        </is>
      </c>
      <c r="E629" s="6" t="inlineStr">
        <is>
          <t>473.0</t>
        </is>
      </c>
      <c r="F629" s="7" t="n">
        <v>473</v>
      </c>
      <c r="G629" s="7" t="n">
        <v>1</v>
      </c>
      <c r="H629" s="7" t="n">
        <v>0</v>
      </c>
      <c r="I629" s="7" t="n">
        <v>-1</v>
      </c>
      <c r="J629" s="8" t="n">
        <v>16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57664069288</t>
        </is>
      </c>
      <c r="D630" s="5" t="inlineStr">
        <is>
          <t>AMITRIPTYLINE HCL 75MG TABLET</t>
        </is>
      </c>
      <c r="E630" s="6" t="inlineStr">
        <is>
          <t>100.0</t>
        </is>
      </c>
      <c r="F630" s="7" t="n">
        <v>90</v>
      </c>
      <c r="G630" s="7" t="n">
        <v>0.9</v>
      </c>
      <c r="H630" s="7" t="n">
        <v>0</v>
      </c>
      <c r="I630" s="7" t="n">
        <v>-0.9</v>
      </c>
      <c r="J630" s="8" t="n">
        <v>16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69238134703</t>
        </is>
      </c>
      <c r="D631" s="5" t="inlineStr">
        <is>
          <t>TADALAFIL 5MG TABLET</t>
        </is>
      </c>
      <c r="E631" s="6" t="inlineStr">
        <is>
          <t>30.0</t>
        </is>
      </c>
      <c r="F631" s="7" t="n">
        <v>30</v>
      </c>
      <c r="G631" s="7" t="n">
        <v>1</v>
      </c>
      <c r="H631" s="7" t="n">
        <v>0</v>
      </c>
      <c r="I631" s="7" t="n">
        <v>-1</v>
      </c>
      <c r="J631" s="8" t="n">
        <v>16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60505015801</t>
        </is>
      </c>
      <c r="D632" s="5" t="inlineStr">
        <is>
          <t>BUPROPION HCL 75MG TABLET</t>
        </is>
      </c>
      <c r="E632" s="6" t="inlineStr">
        <is>
          <t>100.0</t>
        </is>
      </c>
      <c r="F632" s="7" t="n">
        <v>60</v>
      </c>
      <c r="G632" s="7" t="n">
        <v>0.6</v>
      </c>
      <c r="H632" s="7" t="n">
        <v>0</v>
      </c>
      <c r="I632" s="7" t="n">
        <v>-0.6</v>
      </c>
      <c r="J632" s="8" t="n">
        <v>16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51672131802</t>
        </is>
      </c>
      <c r="D633" s="5" t="inlineStr">
        <is>
          <t xml:space="preserve">CICLOPIROX 0.77% CREAM </t>
        </is>
      </c>
      <c r="E633" s="6" t="inlineStr">
        <is>
          <t>30.0</t>
        </is>
      </c>
      <c r="F633" s="7" t="n">
        <v>60</v>
      </c>
      <c r="G633" s="7" t="n">
        <v>2</v>
      </c>
      <c r="H633" s="7" t="n">
        <v>0</v>
      </c>
      <c r="I633" s="7" t="n">
        <v>-2</v>
      </c>
      <c r="J633" s="8" t="n">
        <v>16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61442010305</t>
        </is>
      </c>
      <c r="D634" s="5" t="inlineStr">
        <is>
          <t xml:space="preserve">DICLOFENAC SOD 75MG TAB DR </t>
        </is>
      </c>
      <c r="E634" s="6" t="inlineStr">
        <is>
          <t>500.0</t>
        </is>
      </c>
      <c r="F634" s="7" t="n">
        <v>90</v>
      </c>
      <c r="G634" s="7" t="n">
        <v>0.18</v>
      </c>
      <c r="H634" s="7" t="n">
        <v>0</v>
      </c>
      <c r="I634" s="7" t="n">
        <v>-0.18</v>
      </c>
      <c r="J634" s="8" t="n">
        <v>16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50742025290</t>
        </is>
      </c>
      <c r="D635" s="5" t="inlineStr">
        <is>
          <t>DILTIAZEM 360MG CAPSULE ER</t>
        </is>
      </c>
      <c r="E635" s="6" t="inlineStr">
        <is>
          <t>90.0</t>
        </is>
      </c>
      <c r="F635" s="7" t="n">
        <v>60</v>
      </c>
      <c r="G635" s="7" t="n">
        <v>0.6666666666666666</v>
      </c>
      <c r="H635" s="7" t="n">
        <v>0</v>
      </c>
      <c r="I635" s="7" t="n">
        <v>-0.6666666666666666</v>
      </c>
      <c r="J635" s="8" t="n">
        <v>16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65862052890</t>
        </is>
      </c>
      <c r="D636" s="5" t="inlineStr">
        <is>
          <t>VENLAFAXINE HCL ER 75 MG CAPSULE</t>
        </is>
      </c>
      <c r="E636" s="6" t="inlineStr">
        <is>
          <t>90.0</t>
        </is>
      </c>
      <c r="F636" s="7" t="n">
        <v>60</v>
      </c>
      <c r="G636" s="7" t="n">
        <v>0.6666666666666666</v>
      </c>
      <c r="H636" s="7" t="n">
        <v>0</v>
      </c>
      <c r="I636" s="7" t="n">
        <v>-0.6666666666666666</v>
      </c>
      <c r="J636" s="8" t="n">
        <v>16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31722077705</t>
        </is>
      </c>
      <c r="D637" s="5" t="inlineStr">
        <is>
          <t>ACYCLOVIR 400 MG TABLET</t>
        </is>
      </c>
      <c r="E637" s="6" t="inlineStr">
        <is>
          <t>500.0</t>
        </is>
      </c>
      <c r="F637" s="7" t="n">
        <v>60</v>
      </c>
      <c r="G637" s="7" t="n">
        <v>0.12</v>
      </c>
      <c r="H637" s="7" t="n">
        <v>0</v>
      </c>
      <c r="I637" s="7" t="n">
        <v>-0.12</v>
      </c>
      <c r="J637" s="8" t="n">
        <v>16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59651029701</t>
        </is>
      </c>
      <c r="D638" s="5" t="inlineStr">
        <is>
          <t>NIFEDIPINE 90MG TABLET ER</t>
        </is>
      </c>
      <c r="E638" s="6" t="inlineStr">
        <is>
          <t>100.0</t>
        </is>
      </c>
      <c r="F638" s="7" t="n">
        <v>30</v>
      </c>
      <c r="G638" s="7" t="n">
        <v>0.3</v>
      </c>
      <c r="H638" s="7" t="n">
        <v>0</v>
      </c>
      <c r="I638" s="7" t="n">
        <v>-0.3</v>
      </c>
      <c r="J638" s="8" t="n">
        <v>15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65862017099</t>
        </is>
      </c>
      <c r="D639" s="5" t="inlineStr">
        <is>
          <t>ATENOLOL 100 MG TABLET</t>
        </is>
      </c>
      <c r="E639" s="6" t="inlineStr">
        <is>
          <t>1000.0</t>
        </is>
      </c>
      <c r="F639" s="7" t="n">
        <v>180</v>
      </c>
      <c r="G639" s="7" t="n">
        <v>0.18</v>
      </c>
      <c r="H639" s="7" t="n">
        <v>0</v>
      </c>
      <c r="I639" s="7" t="n">
        <v>-0.18</v>
      </c>
      <c r="J639" s="8" t="n">
        <v>15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68180051303</t>
        </is>
      </c>
      <c r="D640" s="5" t="inlineStr">
        <is>
          <t>LISINOPRIL 5MG TABLET</t>
        </is>
      </c>
      <c r="E640" s="6" t="inlineStr">
        <is>
          <t>1000.0</t>
        </is>
      </c>
      <c r="F640" s="7" t="n">
        <v>450</v>
      </c>
      <c r="G640" s="7" t="n">
        <v>0.45</v>
      </c>
      <c r="H640" s="7" t="n">
        <v>0</v>
      </c>
      <c r="I640" s="7" t="n">
        <v>-0.45</v>
      </c>
      <c r="J640" s="8" t="n">
        <v>15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24979053301</t>
        </is>
      </c>
      <c r="D641" s="5" t="inlineStr">
        <is>
          <t xml:space="preserve">GUANFACINE ER 1MG TAB </t>
        </is>
      </c>
      <c r="E641" s="6" t="inlineStr">
        <is>
          <t>100.0</t>
        </is>
      </c>
      <c r="F641" s="7" t="n">
        <v>30</v>
      </c>
      <c r="G641" s="7" t="n">
        <v>0.3</v>
      </c>
      <c r="H641" s="7" t="n">
        <v>0</v>
      </c>
      <c r="I641" s="7" t="n">
        <v>-0.3</v>
      </c>
      <c r="J641" s="8" t="n">
        <v>15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61314022705</t>
        </is>
      </c>
      <c r="D642" s="5" t="inlineStr">
        <is>
          <t>TIMOLOL MALEATE 0.5% SOLUTION</t>
        </is>
      </c>
      <c r="E642" s="6" t="inlineStr">
        <is>
          <t>5.0</t>
        </is>
      </c>
      <c r="F642" s="7" t="n">
        <v>10</v>
      </c>
      <c r="G642" s="7" t="n">
        <v>2</v>
      </c>
      <c r="H642" s="7" t="n">
        <v>0</v>
      </c>
      <c r="I642" s="7" t="n">
        <v>-2</v>
      </c>
      <c r="J642" s="8" t="n">
        <v>15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60505014201</t>
        </is>
      </c>
      <c r="D643" s="5" t="inlineStr">
        <is>
          <t xml:space="preserve">GLIPIZIDE 10MG TAB </t>
        </is>
      </c>
      <c r="E643" s="6" t="inlineStr">
        <is>
          <t>1000.0</t>
        </is>
      </c>
      <c r="F643" s="7" t="n">
        <v>660</v>
      </c>
      <c r="G643" s="7" t="n">
        <v>0.66</v>
      </c>
      <c r="H643" s="7" t="n">
        <v>1</v>
      </c>
      <c r="I643" s="7" t="n">
        <v>0.34</v>
      </c>
      <c r="J643" s="8" t="n">
        <v>15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65862014636</t>
        </is>
      </c>
      <c r="D644" s="5" t="inlineStr">
        <is>
          <t>SUMATRIPTAN SUCCINATE 25 MG ORAL TABLET</t>
        </is>
      </c>
      <c r="E644" s="6" t="inlineStr">
        <is>
          <t>9.0</t>
        </is>
      </c>
      <c r="F644" s="7" t="n">
        <v>18</v>
      </c>
      <c r="G644" s="7" t="n">
        <v>2</v>
      </c>
      <c r="H644" s="7" t="n">
        <v>0</v>
      </c>
      <c r="I644" s="7" t="n">
        <v>-2</v>
      </c>
      <c r="J644" s="8" t="n">
        <v>15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57237010199</t>
        </is>
      </c>
      <c r="D645" s="5" t="inlineStr">
        <is>
          <t>METOPROLOL TARTRATE 50MG TABLET</t>
        </is>
      </c>
      <c r="E645" s="6" t="inlineStr">
        <is>
          <t>1000.0</t>
        </is>
      </c>
      <c r="F645" s="7" t="n">
        <v>270</v>
      </c>
      <c r="G645" s="7" t="n">
        <v>0.27</v>
      </c>
      <c r="H645" s="7" t="n">
        <v>0</v>
      </c>
      <c r="I645" s="7" t="n">
        <v>-0.27</v>
      </c>
      <c r="J645" s="8" t="n">
        <v>15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70010013801</t>
        </is>
      </c>
      <c r="D646" s="5" t="inlineStr">
        <is>
          <t>NAPROXEN 375 MG TABLET</t>
        </is>
      </c>
      <c r="E646" s="6" t="inlineStr">
        <is>
          <t>100.0</t>
        </is>
      </c>
      <c r="F646" s="7" t="n">
        <v>80</v>
      </c>
      <c r="G646" s="7" t="n">
        <v>0.8</v>
      </c>
      <c r="H646" s="7" t="n">
        <v>0</v>
      </c>
      <c r="I646" s="7" t="n">
        <v>-0.8</v>
      </c>
      <c r="J646" s="8" t="n">
        <v>15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70377006611</t>
        </is>
      </c>
      <c r="D647" s="5" t="inlineStr">
        <is>
          <t>PRAZOSIN HCL 1 MG ORAL CAPSULE</t>
        </is>
      </c>
      <c r="E647" s="6" t="inlineStr">
        <is>
          <t>100.0</t>
        </is>
      </c>
      <c r="F647" s="7" t="n">
        <v>90</v>
      </c>
      <c r="G647" s="7" t="n">
        <v>0.9</v>
      </c>
      <c r="H647" s="7" t="n">
        <v>0</v>
      </c>
      <c r="I647" s="7" t="n">
        <v>-0.9</v>
      </c>
      <c r="J647" s="8" t="n">
        <v>15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72888001205</t>
        </is>
      </c>
      <c r="D648" s="5" t="inlineStr">
        <is>
          <t>CYCLOBENZAPRINE 5MG TABLET</t>
        </is>
      </c>
      <c r="E648" s="6" t="inlineStr">
        <is>
          <t>500.0</t>
        </is>
      </c>
      <c r="F648" s="7" t="n">
        <v>213</v>
      </c>
      <c r="G648" s="7" t="n">
        <v>0.426</v>
      </c>
      <c r="H648" s="7" t="n">
        <v>0</v>
      </c>
      <c r="I648" s="7" t="n">
        <v>-0.426</v>
      </c>
      <c r="J648" s="8" t="n">
        <v>15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68180061307</t>
        </is>
      </c>
      <c r="D649" s="5" t="inlineStr">
        <is>
          <t>QUETIAPINE 150MG TABLET ER</t>
        </is>
      </c>
      <c r="E649" s="6" t="inlineStr">
        <is>
          <t>60.0</t>
        </is>
      </c>
      <c r="F649" s="7" t="n">
        <v>28</v>
      </c>
      <c r="G649" s="7" t="n">
        <v>0.4666666666666667</v>
      </c>
      <c r="H649" s="7" t="n">
        <v>0</v>
      </c>
      <c r="I649" s="7" t="n">
        <v>-0.4666666666666667</v>
      </c>
      <c r="J649" s="8" t="n">
        <v>15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43547033109</t>
        </is>
      </c>
      <c r="D650" s="5" t="inlineStr">
        <is>
          <t>IRBESARTAN-HYDROCHLOROTHIAZIDE 300-12.5 MG ORAL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15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43598016430</t>
        </is>
      </c>
      <c r="D651" s="5" t="inlineStr">
        <is>
          <t>OLANZAPINE 5MG TABLET</t>
        </is>
      </c>
      <c r="E651" s="6" t="inlineStr">
        <is>
          <t>30.0</t>
        </is>
      </c>
      <c r="F651" s="7" t="n">
        <v>150</v>
      </c>
      <c r="G651" s="7" t="n">
        <v>5</v>
      </c>
      <c r="H651" s="7" t="n">
        <v>0</v>
      </c>
      <c r="I651" s="7" t="n">
        <v>-5</v>
      </c>
      <c r="J651" s="8" t="n">
        <v>15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47335070352</t>
        </is>
      </c>
      <c r="D652" s="5" t="inlineStr">
        <is>
          <t>ALBUTEROL SULFATE (2.5 MG/3ML) 0.083% INHALATION NEBULIZATION SOLUTION</t>
        </is>
      </c>
      <c r="E652" s="6" t="inlineStr">
        <is>
          <t>90.0</t>
        </is>
      </c>
      <c r="F652" s="7" t="n">
        <v>90</v>
      </c>
      <c r="G652" s="7" t="n">
        <v>1</v>
      </c>
      <c r="H652" s="7" t="n">
        <v>0</v>
      </c>
      <c r="I652" s="7" t="n">
        <v>-1</v>
      </c>
      <c r="J652" s="8" t="n">
        <v>15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23155050210</t>
        </is>
      </c>
      <c r="D653" s="5" t="inlineStr">
        <is>
          <t>HYDROXYZINE HCL 50MG TABLET</t>
        </is>
      </c>
      <c r="E653" s="6" t="inlineStr">
        <is>
          <t>1000.0</t>
        </is>
      </c>
      <c r="F653" s="7" t="n">
        <v>90</v>
      </c>
      <c r="G653" s="7" t="n">
        <v>0.09</v>
      </c>
      <c r="H653" s="7" t="n">
        <v>0</v>
      </c>
      <c r="I653" s="7" t="n">
        <v>-0.09</v>
      </c>
      <c r="J653" s="8" t="n">
        <v>15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33342033380</t>
        </is>
      </c>
      <c r="D654" s="5" t="inlineStr">
        <is>
          <t>TRIAMCINOLONE ACETONIDE 0.1 % EXTERNAL OINTMENT</t>
        </is>
      </c>
      <c r="E654" s="6" t="inlineStr">
        <is>
          <t>80.0</t>
        </is>
      </c>
      <c r="F654" s="7" t="n">
        <v>80</v>
      </c>
      <c r="G654" s="7" t="n">
        <v>1</v>
      </c>
      <c r="H654" s="7" t="n">
        <v>0</v>
      </c>
      <c r="I654" s="7" t="n">
        <v>-1</v>
      </c>
      <c r="J654" s="8" t="n">
        <v>15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00093171201</t>
        </is>
      </c>
      <c r="D655" s="5" t="inlineStr">
        <is>
          <t xml:space="preserve">WARFARIN SODIUM 1MG TAB </t>
        </is>
      </c>
      <c r="E655" s="6" t="inlineStr">
        <is>
          <t>100.0</t>
        </is>
      </c>
      <c r="F655" s="7" t="n">
        <v>60</v>
      </c>
      <c r="G655" s="7" t="n">
        <v>0.6</v>
      </c>
      <c r="H655" s="7" t="n">
        <v>0</v>
      </c>
      <c r="I655" s="7" t="n">
        <v>-0.6</v>
      </c>
      <c r="J655" s="8" t="n">
        <v>14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51672127506</t>
        </is>
      </c>
      <c r="D656" s="5" t="inlineStr">
        <is>
          <t xml:space="preserve">CLOTRIMAZOLE 1% CREAM </t>
        </is>
      </c>
      <c r="E656" s="6" t="inlineStr">
        <is>
          <t>45.0</t>
        </is>
      </c>
      <c r="F656" s="7" t="n">
        <v>90</v>
      </c>
      <c r="G656" s="7" t="n">
        <v>2</v>
      </c>
      <c r="H656" s="7" t="n">
        <v>0</v>
      </c>
      <c r="I656" s="7" t="n">
        <v>-2</v>
      </c>
      <c r="J656" s="8" t="n">
        <v>14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57237004805</t>
        </is>
      </c>
      <c r="D657" s="5" t="inlineStr">
        <is>
          <t>DIVALPROEX 500MG TABLET DELAYED RELEASE</t>
        </is>
      </c>
      <c r="E657" s="6" t="inlineStr">
        <is>
          <t>500.0</t>
        </is>
      </c>
      <c r="F657" s="7" t="n">
        <v>60</v>
      </c>
      <c r="G657" s="7" t="n">
        <v>0.12</v>
      </c>
      <c r="H657" s="7" t="n">
        <v>0</v>
      </c>
      <c r="I657" s="7" t="n">
        <v>-0.12</v>
      </c>
      <c r="J657" s="8" t="n">
        <v>14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00378797052</t>
        </is>
      </c>
      <c r="D658" s="5" t="inlineStr">
        <is>
          <t>IPRATROPIUM BROMIDE 0.02 % INHALATION SOLUTION</t>
        </is>
      </c>
      <c r="E658" s="6" t="inlineStr">
        <is>
          <t>62.5</t>
        </is>
      </c>
      <c r="F658" s="7" t="n">
        <v>125</v>
      </c>
      <c r="G658" s="7" t="n">
        <v>2</v>
      </c>
      <c r="H658" s="7" t="n">
        <v>3</v>
      </c>
      <c r="I658" s="7" t="n">
        <v>1</v>
      </c>
      <c r="J658" s="8" t="n">
        <v>14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00378632177</t>
        </is>
      </c>
      <c r="D659" s="5" t="inlineStr">
        <is>
          <t>VALSARTAN-HYDROCHLOROTHIAZIDE 80-12.5 MG ORAL TABLET</t>
        </is>
      </c>
      <c r="E659" s="6" t="inlineStr">
        <is>
          <t>90.0</t>
        </is>
      </c>
      <c r="F659" s="7" t="n">
        <v>90</v>
      </c>
      <c r="G659" s="7" t="n">
        <v>1</v>
      </c>
      <c r="H659" s="7" t="n">
        <v>0</v>
      </c>
      <c r="I659" s="7" t="n">
        <v>-1</v>
      </c>
      <c r="J659" s="8" t="n">
        <v>14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00378632377</t>
        </is>
      </c>
      <c r="D660" s="5" t="inlineStr">
        <is>
          <t>VALSARTAN-HCTZ 160-25MG TABLET</t>
        </is>
      </c>
      <c r="E660" s="6" t="inlineStr">
        <is>
          <t>90.0</t>
        </is>
      </c>
      <c r="F660" s="7" t="n">
        <v>60</v>
      </c>
      <c r="G660" s="7" t="n">
        <v>0.6666666666666666</v>
      </c>
      <c r="H660" s="7" t="n">
        <v>0</v>
      </c>
      <c r="I660" s="7" t="n">
        <v>-0.6666666666666666</v>
      </c>
      <c r="J660" s="8" t="n">
        <v>14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65862067901</t>
        </is>
      </c>
      <c r="D661" s="5" t="inlineStr">
        <is>
          <t>ALPRAZOLAM 2 MG ORAL TABLET</t>
        </is>
      </c>
      <c r="E661" s="6" t="inlineStr">
        <is>
          <t>100.0</t>
        </is>
      </c>
      <c r="F661" s="7" t="n">
        <v>75</v>
      </c>
      <c r="G661" s="7" t="n">
        <v>0.75</v>
      </c>
      <c r="H661" s="7" t="n">
        <v>0</v>
      </c>
      <c r="I661" s="7" t="n">
        <v>-0.75</v>
      </c>
      <c r="J661" s="8" t="n">
        <v>14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00904722320</t>
        </is>
      </c>
      <c r="D662" s="5" t="inlineStr">
        <is>
          <t>ROBAFEN DM 20-200 MG/20ML ORAL LIQUID</t>
        </is>
      </c>
      <c r="E662" s="6" t="inlineStr">
        <is>
          <t>118.0</t>
        </is>
      </c>
      <c r="F662" s="7" t="n">
        <v>354</v>
      </c>
      <c r="G662" s="7" t="n">
        <v>3</v>
      </c>
      <c r="H662" s="7" t="n">
        <v>15</v>
      </c>
      <c r="I662" s="7" t="n">
        <v>12</v>
      </c>
      <c r="J662" s="8" t="n">
        <v>14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00904722359</t>
        </is>
      </c>
      <c r="D663" s="5" t="inlineStr">
        <is>
          <t>ROBAFEN DM 20-200 MG/20ML ORAL LIQUID</t>
        </is>
      </c>
      <c r="E663" s="6" t="inlineStr">
        <is>
          <t>237.0</t>
        </is>
      </c>
      <c r="F663" s="7" t="n">
        <v>236</v>
      </c>
      <c r="G663" s="7" t="n">
        <v>0.9957805907172996</v>
      </c>
      <c r="H663" s="7" t="n">
        <v>6</v>
      </c>
      <c r="I663" s="7" t="n">
        <v>5.0042194092827</v>
      </c>
      <c r="J663" s="8" t="n">
        <v>14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64980051401</t>
        </is>
      </c>
      <c r="D664" s="5" t="inlineStr">
        <is>
          <t>TIMOLOL MALEATE 0.5% SOLUTION</t>
        </is>
      </c>
      <c r="E664" s="6" t="inlineStr">
        <is>
          <t>10.0</t>
        </is>
      </c>
      <c r="F664" s="7" t="n">
        <v>10</v>
      </c>
      <c r="G664" s="7" t="n">
        <v>1</v>
      </c>
      <c r="H664" s="7" t="n">
        <v>0</v>
      </c>
      <c r="I664" s="7" t="n">
        <v>-1</v>
      </c>
      <c r="J664" s="8" t="n">
        <v>14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65862001305</t>
        </is>
      </c>
      <c r="D665" s="5" t="inlineStr">
        <is>
          <t>SERTRALINE 100MG TABLET</t>
        </is>
      </c>
      <c r="E665" s="6" t="inlineStr">
        <is>
          <t>500.0</t>
        </is>
      </c>
      <c r="F665" s="7" t="n">
        <v>270</v>
      </c>
      <c r="G665" s="7" t="n">
        <v>0.54</v>
      </c>
      <c r="H665" s="7" t="n">
        <v>2</v>
      </c>
      <c r="I665" s="7" t="n">
        <v>1.46</v>
      </c>
      <c r="J665" s="8" t="n">
        <v>14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00172409760</t>
        </is>
      </c>
      <c r="D666" s="5" t="inlineStr">
        <is>
          <t>BACLOFEN 20MG TABLET</t>
        </is>
      </c>
      <c r="E666" s="6" t="inlineStr">
        <is>
          <t>100.0</t>
        </is>
      </c>
      <c r="F666" s="7" t="n">
        <v>60</v>
      </c>
      <c r="G666" s="7" t="n">
        <v>0.6</v>
      </c>
      <c r="H666" s="7" t="n">
        <v>0</v>
      </c>
      <c r="I666" s="7" t="n">
        <v>-0.6</v>
      </c>
      <c r="J666" s="8" t="n">
        <v>14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68180086106</t>
        </is>
      </c>
      <c r="D667" s="5" t="inlineStr">
        <is>
          <t>AZITHROMYCIN 250 MG ORAL TABLET</t>
        </is>
      </c>
      <c r="E667" s="6" t="inlineStr">
        <is>
          <t>30.0</t>
        </is>
      </c>
      <c r="F667" s="7" t="n">
        <v>20</v>
      </c>
      <c r="G667" s="7" t="n">
        <v>0.6666666666666666</v>
      </c>
      <c r="H667" s="7" t="n">
        <v>0</v>
      </c>
      <c r="I667" s="7" t="n">
        <v>-0.6666666666666666</v>
      </c>
      <c r="J667" s="8" t="n">
        <v>14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68382008001</t>
        </is>
      </c>
      <c r="D668" s="5" t="inlineStr">
        <is>
          <t>HALOPERIDOL 10MG TABLET</t>
        </is>
      </c>
      <c r="E668" s="6" t="inlineStr">
        <is>
          <t>100.0</t>
        </is>
      </c>
      <c r="F668" s="7" t="n">
        <v>30</v>
      </c>
      <c r="G668" s="7" t="n">
        <v>0.3</v>
      </c>
      <c r="H668" s="7" t="n">
        <v>0</v>
      </c>
      <c r="I668" s="7" t="n">
        <v>-0.3</v>
      </c>
      <c r="J668" s="8" t="n">
        <v>14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53746054401</t>
        </is>
      </c>
      <c r="D669" s="5" t="inlineStr">
        <is>
          <t xml:space="preserve">PRIMIDONE 50MG TAB </t>
        </is>
      </c>
      <c r="E669" s="6" t="inlineStr">
        <is>
          <t>100.0</t>
        </is>
      </c>
      <c r="F669" s="7" t="n">
        <v>90</v>
      </c>
      <c r="G669" s="7" t="n">
        <v>0.9</v>
      </c>
      <c r="H669" s="7" t="n">
        <v>0</v>
      </c>
      <c r="I669" s="7" t="n">
        <v>-0.9</v>
      </c>
      <c r="J669" s="8" t="n">
        <v>14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45802024494</t>
        </is>
      </c>
      <c r="D670" s="5" t="inlineStr">
        <is>
          <t>NYSTATIN-TRIAMCINOLONE 100000-0.1 U/GM OINTMENT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14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16571010701</t>
        </is>
      </c>
      <c r="D671" s="5" t="inlineStr">
        <is>
          <t>AMITRIPTYLINE HCL 50 MG ORAL TABLET</t>
        </is>
      </c>
      <c r="E671" s="6" t="inlineStr">
        <is>
          <t>100.0</t>
        </is>
      </c>
      <c r="F671" s="7" t="n">
        <v>60</v>
      </c>
      <c r="G671" s="7" t="n">
        <v>0.6</v>
      </c>
      <c r="H671" s="7" t="n">
        <v>0</v>
      </c>
      <c r="I671" s="7" t="n">
        <v>-0.6</v>
      </c>
      <c r="J671" s="8" t="n">
        <v>13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31722053001</t>
        </is>
      </c>
      <c r="D672" s="5" t="inlineStr">
        <is>
          <t>TORSEMIDE 10MG TABLET</t>
        </is>
      </c>
      <c r="E672" s="6" t="inlineStr">
        <is>
          <t>100.0</t>
        </is>
      </c>
      <c r="F672" s="7" t="n">
        <v>90</v>
      </c>
      <c r="G672" s="7" t="n">
        <v>0.9</v>
      </c>
      <c r="H672" s="7" t="n">
        <v>0</v>
      </c>
      <c r="I672" s="7" t="n">
        <v>-0.9</v>
      </c>
      <c r="J672" s="8" t="n">
        <v>13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69315016401</t>
        </is>
      </c>
      <c r="D673" s="5" t="inlineStr">
        <is>
          <t>HYDROXYUREA 500MG CAPSULE</t>
        </is>
      </c>
      <c r="E673" s="6" t="inlineStr">
        <is>
          <t>100.0</t>
        </is>
      </c>
      <c r="F673" s="7" t="n">
        <v>90</v>
      </c>
      <c r="G673" s="7" t="n">
        <v>0.9</v>
      </c>
      <c r="H673" s="7" t="n">
        <v>0</v>
      </c>
      <c r="I673" s="7" t="n">
        <v>-0.9</v>
      </c>
      <c r="J673" s="8" t="n">
        <v>13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69680011225</t>
        </is>
      </c>
      <c r="D674" s="5" t="inlineStr">
        <is>
          <t>CYANOCOBALAMIN 1000 MCG/ML INJECTION SOLUTION</t>
        </is>
      </c>
      <c r="E674" s="6" t="inlineStr">
        <is>
          <t>25.0</t>
        </is>
      </c>
      <c r="F674" s="7" t="n">
        <v>4</v>
      </c>
      <c r="G674" s="7" t="n">
        <v>0.16</v>
      </c>
      <c r="H674" s="7" t="n">
        <v>0</v>
      </c>
      <c r="I674" s="7" t="n">
        <v>-0.16</v>
      </c>
      <c r="J674" s="8" t="n">
        <v>13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00093720110</t>
        </is>
      </c>
      <c r="D675" s="5" t="inlineStr">
        <is>
          <t>PRAVASTATIN 20MG TABLET</t>
        </is>
      </c>
      <c r="E675" s="6" t="inlineStr">
        <is>
          <t>1000.0</t>
        </is>
      </c>
      <c r="F675" s="7" t="n">
        <v>180</v>
      </c>
      <c r="G675" s="7" t="n">
        <v>0.18</v>
      </c>
      <c r="H675" s="7" t="n">
        <v>0</v>
      </c>
      <c r="I675" s="7" t="n">
        <v>-0.18</v>
      </c>
      <c r="J675" s="8" t="n">
        <v>13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67877024601</t>
        </is>
      </c>
      <c r="D676" s="5" t="inlineStr">
        <is>
          <t>QUETIAPINE FUMARATE 200 MG ORAL TABLET</t>
        </is>
      </c>
      <c r="E676" s="6" t="inlineStr">
        <is>
          <t>100.0</t>
        </is>
      </c>
      <c r="F676" s="7" t="n">
        <v>30</v>
      </c>
      <c r="G676" s="7" t="n">
        <v>0.3</v>
      </c>
      <c r="H676" s="7" t="n">
        <v>0</v>
      </c>
      <c r="I676" s="7" t="n">
        <v>-0.3</v>
      </c>
      <c r="J676" s="8" t="n">
        <v>13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69097015915</t>
        </is>
      </c>
      <c r="D677" s="5" t="inlineStr">
        <is>
          <t>MELOXICAM 15MG TABLET</t>
        </is>
      </c>
      <c r="E677" s="6" t="inlineStr">
        <is>
          <t>1000.0</t>
        </is>
      </c>
      <c r="F677" s="7" t="n">
        <v>120</v>
      </c>
      <c r="G677" s="7" t="n">
        <v>0.12</v>
      </c>
      <c r="H677" s="7" t="n">
        <v>1</v>
      </c>
      <c r="I677" s="7" t="n">
        <v>0.88</v>
      </c>
      <c r="J677" s="8" t="n">
        <v>13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21922006215</t>
        </is>
      </c>
      <c r="D678" s="5" t="inlineStr">
        <is>
          <t>TRIAMCINOLONE ACETONIDE 0.1 % EXTERNAL CREAM</t>
        </is>
      </c>
      <c r="E678" s="6" t="inlineStr">
        <is>
          <t>80.0</t>
        </is>
      </c>
      <c r="F678" s="7" t="n">
        <v>240</v>
      </c>
      <c r="G678" s="7" t="n">
        <v>3</v>
      </c>
      <c r="H678" s="7" t="n">
        <v>0</v>
      </c>
      <c r="I678" s="7" t="n">
        <v>-3</v>
      </c>
      <c r="J678" s="8" t="n">
        <v>13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82619014602</t>
        </is>
      </c>
      <c r="D679" s="5" t="inlineStr">
        <is>
          <t>GABAPENTIN 800 MG ORAL TABLET</t>
        </is>
      </c>
      <c r="E679" s="6" t="inlineStr">
        <is>
          <t>500.0</t>
        </is>
      </c>
      <c r="F679" s="7" t="n">
        <v>180</v>
      </c>
      <c r="G679" s="7" t="n">
        <v>0.36</v>
      </c>
      <c r="H679" s="7" t="n">
        <v>0</v>
      </c>
      <c r="I679" s="7" t="n">
        <v>-0.36</v>
      </c>
      <c r="J679" s="8" t="n">
        <v>13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51224010760</t>
        </is>
      </c>
      <c r="D680" s="5" t="inlineStr">
        <is>
          <t>METFORMIN 750MG TABLET ER</t>
        </is>
      </c>
      <c r="E680" s="6" t="inlineStr">
        <is>
          <t>500.0</t>
        </is>
      </c>
      <c r="F680" s="7" t="n">
        <v>270</v>
      </c>
      <c r="G680" s="7" t="n">
        <v>0.54</v>
      </c>
      <c r="H680" s="7" t="n">
        <v>0</v>
      </c>
      <c r="I680" s="7" t="n">
        <v>-0.54</v>
      </c>
      <c r="J680" s="8" t="n">
        <v>13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00054350049</t>
        </is>
      </c>
      <c r="D681" s="5" t="inlineStr">
        <is>
          <t>LIDOCAINE VISCOUS 2 % ORAL SOLUTION</t>
        </is>
      </c>
      <c r="E681" s="6" t="inlineStr">
        <is>
          <t>100.0</t>
        </is>
      </c>
      <c r="F681" s="7" t="n">
        <v>200</v>
      </c>
      <c r="G681" s="7" t="n">
        <v>2</v>
      </c>
      <c r="H681" s="7" t="n">
        <v>4</v>
      </c>
      <c r="I681" s="7" t="n">
        <v>2</v>
      </c>
      <c r="J681" s="8" t="n">
        <v>12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33342033315</t>
        </is>
      </c>
      <c r="D682" s="5" t="inlineStr">
        <is>
          <t>TRIAMCINOLONE ACETONIDE 0.1 % EXTERNAL OINTMENT</t>
        </is>
      </c>
      <c r="E682" s="6" t="inlineStr">
        <is>
          <t>15.0</t>
        </is>
      </c>
      <c r="F682" s="7" t="n">
        <v>30</v>
      </c>
      <c r="G682" s="7" t="n">
        <v>2</v>
      </c>
      <c r="H682" s="7" t="n">
        <v>0</v>
      </c>
      <c r="I682" s="7" t="n">
        <v>-2</v>
      </c>
      <c r="J682" s="8" t="n">
        <v>12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68180097303</t>
        </is>
      </c>
      <c r="D683" s="5" t="inlineStr">
        <is>
          <t>LEVOTHYROXINE 150 MCG TABLET</t>
        </is>
      </c>
      <c r="E683" s="6" t="inlineStr">
        <is>
          <t>1000.0</t>
        </is>
      </c>
      <c r="F683" s="7" t="n">
        <v>40</v>
      </c>
      <c r="G683" s="7" t="n">
        <v>0.04</v>
      </c>
      <c r="H683" s="7" t="n">
        <v>0</v>
      </c>
      <c r="I683" s="7" t="n">
        <v>-0.04</v>
      </c>
      <c r="J683" s="8" t="n">
        <v>12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16729017201</t>
        </is>
      </c>
      <c r="D684" s="5" t="inlineStr">
        <is>
          <t xml:space="preserve">AMITRIPTYLINE 25MG TAB </t>
        </is>
      </c>
      <c r="E684" s="6" t="inlineStr">
        <is>
          <t>100.0</t>
        </is>
      </c>
      <c r="F684" s="7" t="n">
        <v>30</v>
      </c>
      <c r="G684" s="7" t="n">
        <v>0.3</v>
      </c>
      <c r="H684" s="7" t="n">
        <v>0</v>
      </c>
      <c r="I684" s="7" t="n">
        <v>-0.3</v>
      </c>
      <c r="J684" s="8" t="n">
        <v>12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53746051405</t>
        </is>
      </c>
      <c r="D685" s="5" t="inlineStr">
        <is>
          <t>SPIRONOLACTONE 50MG TABLET</t>
        </is>
      </c>
      <c r="E685" s="6" t="inlineStr">
        <is>
          <t>500.0</t>
        </is>
      </c>
      <c r="F685" s="7" t="n">
        <v>30</v>
      </c>
      <c r="G685" s="7" t="n">
        <v>0.06</v>
      </c>
      <c r="H685" s="7" t="n">
        <v>0</v>
      </c>
      <c r="I685" s="7" t="n">
        <v>-0.06</v>
      </c>
      <c r="J685" s="8" t="n">
        <v>12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69097015815</t>
        </is>
      </c>
      <c r="D686" s="5" t="inlineStr">
        <is>
          <t xml:space="preserve">MELOXICAM 7.5MG TAB </t>
        </is>
      </c>
      <c r="E686" s="6" t="inlineStr">
        <is>
          <t>1000.0</t>
        </is>
      </c>
      <c r="F686" s="7" t="n">
        <v>164</v>
      </c>
      <c r="G686" s="7" t="n">
        <v>0.164</v>
      </c>
      <c r="H686" s="7" t="n">
        <v>0</v>
      </c>
      <c r="I686" s="7" t="n">
        <v>-0.164</v>
      </c>
      <c r="J686" s="8" t="n">
        <v>12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16729000216</t>
        </is>
      </c>
      <c r="D687" s="5" t="inlineStr">
        <is>
          <t xml:space="preserve">GLIMEPIRIDE 2MG TAB </t>
        </is>
      </c>
      <c r="E687" s="6" t="inlineStr">
        <is>
          <t>500.0</t>
        </is>
      </c>
      <c r="F687" s="7" t="n">
        <v>90</v>
      </c>
      <c r="G687" s="7" t="n">
        <v>0.18</v>
      </c>
      <c r="H687" s="7" t="n">
        <v>0</v>
      </c>
      <c r="I687" s="7" t="n">
        <v>-0.18</v>
      </c>
      <c r="J687" s="8" t="n">
        <v>12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67877012405</t>
        </is>
      </c>
      <c r="D688" s="5" t="inlineStr">
        <is>
          <t>SILVER SULFADIAZINE 1 % EXTERNAL CREAM</t>
        </is>
      </c>
      <c r="E688" s="6" t="inlineStr">
        <is>
          <t>50.0</t>
        </is>
      </c>
      <c r="F688" s="7" t="n">
        <v>100</v>
      </c>
      <c r="G688" s="7" t="n">
        <v>2</v>
      </c>
      <c r="H688" s="7" t="n">
        <v>0</v>
      </c>
      <c r="I688" s="7" t="n">
        <v>-2</v>
      </c>
      <c r="J688" s="8" t="n">
        <v>12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49483070350</t>
        </is>
      </c>
      <c r="D689" s="5" t="inlineStr">
        <is>
          <t>FLUOXETINE 40MG CAPSULE</t>
        </is>
      </c>
      <c r="E689" s="6" t="inlineStr">
        <is>
          <t>500.0</t>
        </is>
      </c>
      <c r="F689" s="7" t="n">
        <v>30</v>
      </c>
      <c r="G689" s="7" t="n">
        <v>0.06</v>
      </c>
      <c r="H689" s="7" t="n">
        <v>0</v>
      </c>
      <c r="I689" s="7" t="n">
        <v>-0.06</v>
      </c>
      <c r="J689" s="8" t="n">
        <v>12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31722008230</t>
        </is>
      </c>
      <c r="D690" s="5" t="inlineStr">
        <is>
          <t>LURASIDONE HCL 60 MG ORAL TABLET</t>
        </is>
      </c>
      <c r="E690" s="6" t="inlineStr">
        <is>
          <t>30.0</t>
        </is>
      </c>
      <c r="F690" s="7" t="n">
        <v>30</v>
      </c>
      <c r="G690" s="7" t="n">
        <v>1</v>
      </c>
      <c r="H690" s="7" t="n">
        <v>0</v>
      </c>
      <c r="I690" s="7" t="n">
        <v>-1</v>
      </c>
      <c r="J690" s="8" t="n">
        <v>12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67877043103</t>
        </is>
      </c>
      <c r="D691" s="5" t="inlineStr">
        <is>
          <t>ARIPIPRAZOLE 5MG TABLET</t>
        </is>
      </c>
      <c r="E691" s="6" t="inlineStr">
        <is>
          <t>30.0</t>
        </is>
      </c>
      <c r="F691" s="7" t="n">
        <v>30</v>
      </c>
      <c r="G691" s="7" t="n">
        <v>1</v>
      </c>
      <c r="H691" s="7" t="n">
        <v>0</v>
      </c>
      <c r="I691" s="7" t="n">
        <v>-1</v>
      </c>
      <c r="J691" s="8" t="n">
        <v>12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57237023301</t>
        </is>
      </c>
      <c r="D692" s="5" t="inlineStr">
        <is>
          <t>SULFAMETHOXAZOLE-TRIMETHOPRIM 800-160MG TABLET</t>
        </is>
      </c>
      <c r="E692" s="6" t="inlineStr">
        <is>
          <t>100.0</t>
        </is>
      </c>
      <c r="F692" s="7" t="n">
        <v>40</v>
      </c>
      <c r="G692" s="7" t="n">
        <v>0.4</v>
      </c>
      <c r="H692" s="7" t="n">
        <v>0</v>
      </c>
      <c r="I692" s="7" t="n">
        <v>-0.4</v>
      </c>
      <c r="J692" s="8" t="n">
        <v>12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50742024930</t>
        </is>
      </c>
      <c r="D693" s="5" t="inlineStr">
        <is>
          <t>DILTIAZEM 180MG CAPSULE ER</t>
        </is>
      </c>
      <c r="E693" s="6" t="inlineStr">
        <is>
          <t>30.0</t>
        </is>
      </c>
      <c r="F693" s="7" t="n">
        <v>90</v>
      </c>
      <c r="G693" s="7" t="n">
        <v>3</v>
      </c>
      <c r="H693" s="7" t="n">
        <v>0</v>
      </c>
      <c r="I693" s="7" t="n">
        <v>-3</v>
      </c>
      <c r="J693" s="8" t="n">
        <v>12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57237004701</t>
        </is>
      </c>
      <c r="D694" s="5" t="inlineStr">
        <is>
          <t>DIVALPROEX SODIUM 250MG TABLET DR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12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57237015901</t>
        </is>
      </c>
      <c r="D695" s="5" t="inlineStr">
        <is>
          <t>REPAGLINIDE 2MG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12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00713068631</t>
        </is>
      </c>
      <c r="D696" s="5" t="inlineStr">
        <is>
          <t>NYSTATIN 100000UNIT/GM OINTMENT</t>
        </is>
      </c>
      <c r="E696" s="6" t="inlineStr">
        <is>
          <t>30.0</t>
        </is>
      </c>
      <c r="F696" s="7" t="n">
        <v>30</v>
      </c>
      <c r="G696" s="7" t="n">
        <v>1</v>
      </c>
      <c r="H696" s="7" t="n">
        <v>0</v>
      </c>
      <c r="I696" s="7" t="n">
        <v>-1</v>
      </c>
      <c r="J696" s="8" t="n">
        <v>12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23155077210</t>
        </is>
      </c>
      <c r="D697" s="5" t="inlineStr">
        <is>
          <t>ENALAPRIL 10MG TABLET</t>
        </is>
      </c>
      <c r="E697" s="6" t="inlineStr">
        <is>
          <t>1000.0</t>
        </is>
      </c>
      <c r="F697" s="7" t="n">
        <v>120</v>
      </c>
      <c r="G697" s="7" t="n">
        <v>0.12</v>
      </c>
      <c r="H697" s="7" t="n">
        <v>0</v>
      </c>
      <c r="I697" s="7" t="n">
        <v>-0.12</v>
      </c>
      <c r="J697" s="8" t="n">
        <v>12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00555097402</t>
        </is>
      </c>
      <c r="D698" s="5" t="inlineStr">
        <is>
          <t>AMPHETAMINE-DEXTROAMPHETAMINE 30 MG ORAL TABLET</t>
        </is>
      </c>
      <c r="E698" s="6" t="inlineStr">
        <is>
          <t>100.0</t>
        </is>
      </c>
      <c r="F698" s="7" t="n">
        <v>30</v>
      </c>
      <c r="G698" s="7" t="n">
        <v>0.3</v>
      </c>
      <c r="H698" s="7" t="n">
        <v>0</v>
      </c>
      <c r="I698" s="7" t="n">
        <v>-0.3</v>
      </c>
      <c r="J698" s="8" t="n">
        <v>12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65862019399</t>
        </is>
      </c>
      <c r="D699" s="5" t="inlineStr">
        <is>
          <t>FLUOXETINE 20MG CAPSULE</t>
        </is>
      </c>
      <c r="E699" s="6" t="inlineStr">
        <is>
          <t>1000.0</t>
        </is>
      </c>
      <c r="F699" s="7" t="n">
        <v>60</v>
      </c>
      <c r="G699" s="7" t="n">
        <v>0.06</v>
      </c>
      <c r="H699" s="7" t="n">
        <v>0</v>
      </c>
      <c r="I699" s="7" t="n">
        <v>-0.06</v>
      </c>
      <c r="J699" s="8" t="n">
        <v>11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24208079535</t>
        </is>
      </c>
      <c r="D700" s="5" t="inlineStr">
        <is>
          <t>NEOMYCIN-POLYMYXIN-DEXAMETH 3.5-10000-0.1 OPHTHALMIC OINTMENT</t>
        </is>
      </c>
      <c r="E700" s="6" t="inlineStr">
        <is>
          <t>3.5</t>
        </is>
      </c>
      <c r="F700" s="7" t="n">
        <v>3.5</v>
      </c>
      <c r="G700" s="7" t="n">
        <v>1</v>
      </c>
      <c r="H700" s="7" t="n">
        <v>0</v>
      </c>
      <c r="I700" s="7" t="n">
        <v>-1</v>
      </c>
      <c r="J700" s="8" t="n">
        <v>11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57237015801</t>
        </is>
      </c>
      <c r="D701" s="5" t="inlineStr">
        <is>
          <t xml:space="preserve">REPAGLINIDE 1MG TAB </t>
        </is>
      </c>
      <c r="E701" s="6" t="inlineStr">
        <is>
          <t>100.0</t>
        </is>
      </c>
      <c r="F701" s="7" t="n">
        <v>90</v>
      </c>
      <c r="G701" s="7" t="n">
        <v>0.9</v>
      </c>
      <c r="H701" s="7" t="n">
        <v>0</v>
      </c>
      <c r="I701" s="7" t="n">
        <v>-0.9</v>
      </c>
      <c r="J701" s="8" t="n">
        <v>11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00093172001</t>
        </is>
      </c>
      <c r="D702" s="5" t="inlineStr">
        <is>
          <t>WARFARIN SODIUM 10 MG ORAL TABLET</t>
        </is>
      </c>
      <c r="E702" s="6" t="inlineStr">
        <is>
          <t>100.0</t>
        </is>
      </c>
      <c r="F702" s="7" t="n">
        <v>10</v>
      </c>
      <c r="G702" s="7" t="n">
        <v>0.1</v>
      </c>
      <c r="H702" s="7" t="n">
        <v>0</v>
      </c>
      <c r="I702" s="7" t="n">
        <v>-0.1</v>
      </c>
      <c r="J702" s="8" t="n">
        <v>11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23155077310</t>
        </is>
      </c>
      <c r="D703" s="5" t="inlineStr">
        <is>
          <t>ENALAPRIL 20MG TABLET</t>
        </is>
      </c>
      <c r="E703" s="6" t="inlineStr">
        <is>
          <t>1000.0</t>
        </is>
      </c>
      <c r="F703" s="7" t="n">
        <v>120</v>
      </c>
      <c r="G703" s="7" t="n">
        <v>0.12</v>
      </c>
      <c r="H703" s="7" t="n">
        <v>1</v>
      </c>
      <c r="I703" s="7" t="n">
        <v>0.88</v>
      </c>
      <c r="J703" s="8" t="n">
        <v>11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70700011685</t>
        </is>
      </c>
      <c r="D704" s="5" t="inlineStr">
        <is>
          <t>ALTAVERA 0.15-30MG TABLET</t>
        </is>
      </c>
      <c r="E704" s="6" t="inlineStr">
        <is>
          <t>28.0</t>
        </is>
      </c>
      <c r="F704" s="7" t="n">
        <v>84</v>
      </c>
      <c r="G704" s="7" t="n">
        <v>3</v>
      </c>
      <c r="H704" s="7" t="n">
        <v>2</v>
      </c>
      <c r="I704" s="7" t="n">
        <v>-1</v>
      </c>
      <c r="J704" s="8" t="n">
        <v>11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65162089603</t>
        </is>
      </c>
      <c r="D705" s="5" t="inlineStr">
        <is>
          <t xml:space="preserve">ARIPIPRAZOLE 2MG TABLET </t>
        </is>
      </c>
      <c r="E705" s="6" t="inlineStr">
        <is>
          <t>30.0</t>
        </is>
      </c>
      <c r="F705" s="7" t="n">
        <v>30</v>
      </c>
      <c r="G705" s="7" t="n">
        <v>1</v>
      </c>
      <c r="H705" s="7" t="n">
        <v>0</v>
      </c>
      <c r="I705" s="7" t="n">
        <v>-1</v>
      </c>
      <c r="J705" s="8" t="n">
        <v>11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33342015052</t>
        </is>
      </c>
      <c r="D706" s="5" t="inlineStr">
        <is>
          <t>IBANDRONATE SODIUM 150 MG ORAL TABLET</t>
        </is>
      </c>
      <c r="E706" s="6" t="inlineStr">
        <is>
          <t>3.0</t>
        </is>
      </c>
      <c r="F706" s="7" t="n">
        <v>3</v>
      </c>
      <c r="G706" s="7" t="n">
        <v>1</v>
      </c>
      <c r="H706" s="7" t="n">
        <v>1</v>
      </c>
      <c r="I706" s="7" t="n">
        <v>0</v>
      </c>
      <c r="J706" s="8" t="n">
        <v>11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69292056201</t>
        </is>
      </c>
      <c r="D707" s="5" t="inlineStr">
        <is>
          <t>METOLAZONE 2.5 MG ORAL TABLET</t>
        </is>
      </c>
      <c r="E707" s="6" t="inlineStr">
        <is>
          <t>100.0</t>
        </is>
      </c>
      <c r="F707" s="7" t="n">
        <v>60</v>
      </c>
      <c r="G707" s="7" t="n">
        <v>0.6</v>
      </c>
      <c r="H707" s="7" t="n">
        <v>0</v>
      </c>
      <c r="I707" s="7" t="n">
        <v>-0.6</v>
      </c>
      <c r="J707" s="8" t="n">
        <v>11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31722053612</t>
        </is>
      </c>
      <c r="D708" s="5" t="inlineStr">
        <is>
          <t>LEVETIRACETAM 250 MG TABLET</t>
        </is>
      </c>
      <c r="E708" s="6" t="inlineStr">
        <is>
          <t>120.0</t>
        </is>
      </c>
      <c r="F708" s="7" t="n">
        <v>30</v>
      </c>
      <c r="G708" s="7" t="n">
        <v>0.25</v>
      </c>
      <c r="H708" s="7" t="n">
        <v>0</v>
      </c>
      <c r="I708" s="7" t="n">
        <v>-0.25</v>
      </c>
      <c r="J708" s="8" t="n">
        <v>11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68382007901</t>
        </is>
      </c>
      <c r="D709" s="5" t="inlineStr">
        <is>
          <t xml:space="preserve">HALOPERIDOL 5MG TAB </t>
        </is>
      </c>
      <c r="E709" s="6" t="inlineStr">
        <is>
          <t>100.0</t>
        </is>
      </c>
      <c r="F709" s="7" t="n">
        <v>60</v>
      </c>
      <c r="G709" s="7" t="n">
        <v>0.6</v>
      </c>
      <c r="H709" s="7" t="n">
        <v>1</v>
      </c>
      <c r="I709" s="7" t="n">
        <v>0.4</v>
      </c>
      <c r="J709" s="8" t="n">
        <v>11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60505014101</t>
        </is>
      </c>
      <c r="D710" s="5" t="inlineStr">
        <is>
          <t xml:space="preserve">GLIPIZIDE 5MG TAB </t>
        </is>
      </c>
      <c r="E710" s="6" t="inlineStr">
        <is>
          <t>1000.0</t>
        </is>
      </c>
      <c r="F710" s="7" t="n">
        <v>390</v>
      </c>
      <c r="G710" s="7" t="n">
        <v>0.39</v>
      </c>
      <c r="H710" s="7" t="n">
        <v>0</v>
      </c>
      <c r="I710" s="7" t="n">
        <v>-0.39</v>
      </c>
      <c r="J710" s="8" t="n">
        <v>11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65162044210</t>
        </is>
      </c>
      <c r="D711" s="5" t="inlineStr">
        <is>
          <t>MECLIZINE 25MG TABLET</t>
        </is>
      </c>
      <c r="E711" s="6" t="inlineStr">
        <is>
          <t>100.0</t>
        </is>
      </c>
      <c r="F711" s="7" t="n">
        <v>90</v>
      </c>
      <c r="G711" s="7" t="n">
        <v>0.9</v>
      </c>
      <c r="H711" s="7" t="n">
        <v>0</v>
      </c>
      <c r="I711" s="7" t="n">
        <v>-0.9</v>
      </c>
      <c r="J711" s="8" t="n">
        <v>11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59651078105</t>
        </is>
      </c>
      <c r="D712" s="5" t="inlineStr">
        <is>
          <t>GLIPIZIDE ER 5 MG ORAL TABLET EXTENDED RELEASE 24 HOUR</t>
        </is>
      </c>
      <c r="E712" s="6" t="inlineStr">
        <is>
          <t>500.0</t>
        </is>
      </c>
      <c r="F712" s="7" t="n">
        <v>180</v>
      </c>
      <c r="G712" s="7" t="n">
        <v>0.36</v>
      </c>
      <c r="H712" s="7" t="n">
        <v>0</v>
      </c>
      <c r="I712" s="7" t="n">
        <v>-0.36</v>
      </c>
      <c r="J712" s="8" t="n">
        <v>10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23155060601</t>
        </is>
      </c>
      <c r="D713" s="5" t="inlineStr">
        <is>
          <t>GLYCOPYRROLATE 1MG TABLET</t>
        </is>
      </c>
      <c r="E713" s="6" t="inlineStr">
        <is>
          <t>100.0</t>
        </is>
      </c>
      <c r="F713" s="7" t="n">
        <v>60</v>
      </c>
      <c r="G713" s="7" t="n">
        <v>0.6</v>
      </c>
      <c r="H713" s="7" t="n">
        <v>0</v>
      </c>
      <c r="I713" s="7" t="n">
        <v>-0.6</v>
      </c>
      <c r="J713" s="8" t="n">
        <v>10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00185067401</t>
        </is>
      </c>
      <c r="D714" s="5" t="inlineStr">
        <is>
          <t>HYDROXYZINE PAMOATE 25 MG ORAL CAPSULE</t>
        </is>
      </c>
      <c r="E714" s="6" t="inlineStr">
        <is>
          <t>100.0</t>
        </is>
      </c>
      <c r="F714" s="7" t="n">
        <v>165</v>
      </c>
      <c r="G714" s="7" t="n">
        <v>1.65</v>
      </c>
      <c r="H714" s="7" t="n">
        <v>2</v>
      </c>
      <c r="I714" s="7" t="n">
        <v>0.3500000000000001</v>
      </c>
      <c r="J714" s="8" t="n">
        <v>10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23155065101</t>
        </is>
      </c>
      <c r="D715" s="5" t="inlineStr">
        <is>
          <t>METRONIDAZOLE 250MG TABLET</t>
        </is>
      </c>
      <c r="E715" s="6" t="inlineStr">
        <is>
          <t>100.0</t>
        </is>
      </c>
      <c r="F715" s="7" t="n">
        <v>56</v>
      </c>
      <c r="G715" s="7" t="n">
        <v>0.5600000000000001</v>
      </c>
      <c r="H715" s="7" t="n">
        <v>0</v>
      </c>
      <c r="I715" s="7" t="n">
        <v>-0.5600000000000001</v>
      </c>
      <c r="J715" s="8" t="n">
        <v>10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68180087673</t>
        </is>
      </c>
      <c r="D716" s="5" t="inlineStr">
        <is>
          <t xml:space="preserve">NORETHINDRONE 0.35MG TABLET </t>
        </is>
      </c>
      <c r="E716" s="6" t="inlineStr">
        <is>
          <t>84.0</t>
        </is>
      </c>
      <c r="F716" s="7" t="n">
        <v>28</v>
      </c>
      <c r="G716" s="7" t="n">
        <v>0.3333333333333333</v>
      </c>
      <c r="H716" s="7" t="n">
        <v>0</v>
      </c>
      <c r="I716" s="7" t="n">
        <v>-0.3333333333333333</v>
      </c>
      <c r="J716" s="8" t="n">
        <v>10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55111016730</t>
        </is>
      </c>
      <c r="D717" s="5" t="inlineStr">
        <is>
          <t>OLANZAPINE 15MG TABLET</t>
        </is>
      </c>
      <c r="E717" s="6" t="inlineStr">
        <is>
          <t>30.0</t>
        </is>
      </c>
      <c r="F717" s="7" t="n">
        <v>90</v>
      </c>
      <c r="G717" s="7" t="n">
        <v>3</v>
      </c>
      <c r="H717" s="7" t="n">
        <v>3</v>
      </c>
      <c r="I717" s="7" t="n">
        <v>0</v>
      </c>
      <c r="J717" s="8" t="n">
        <v>10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61314063006</t>
        </is>
      </c>
      <c r="D718" s="5" t="inlineStr">
        <is>
          <t>NEOMYCIN-POLY-DEX OPTH SUSPENSION (EYE)</t>
        </is>
      </c>
      <c r="E718" s="6" t="inlineStr">
        <is>
          <t>5.0</t>
        </is>
      </c>
      <c r="F718" s="7" t="n">
        <v>5</v>
      </c>
      <c r="G718" s="7" t="n">
        <v>1</v>
      </c>
      <c r="H718" s="7" t="n">
        <v>0</v>
      </c>
      <c r="I718" s="7" t="n">
        <v>-1</v>
      </c>
      <c r="J718" s="8" t="n">
        <v>10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70756044011</t>
        </is>
      </c>
      <c r="D719" s="5" t="inlineStr">
        <is>
          <t>PRAZOSIN HCL 5 MG ORAL CAPSULE</t>
        </is>
      </c>
      <c r="E719" s="6" t="inlineStr">
        <is>
          <t>100.0</t>
        </is>
      </c>
      <c r="F719" s="7" t="n">
        <v>30</v>
      </c>
      <c r="G719" s="7" t="n">
        <v>0.3</v>
      </c>
      <c r="H719" s="7" t="n">
        <v>0</v>
      </c>
      <c r="I719" s="7" t="n">
        <v>-0.3</v>
      </c>
      <c r="J719" s="8" t="n">
        <v>10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42806036201</t>
        </is>
      </c>
      <c r="D720" s="5" t="inlineStr">
        <is>
          <t>DOXYCYCLINE HYCLATE 20 MG ORAL TABLET</t>
        </is>
      </c>
      <c r="E720" s="6" t="inlineStr">
        <is>
          <t>100.0</t>
        </is>
      </c>
      <c r="F720" s="7" t="n">
        <v>90</v>
      </c>
      <c r="G720" s="7" t="n">
        <v>0.9</v>
      </c>
      <c r="H720" s="7" t="n">
        <v>0</v>
      </c>
      <c r="I720" s="7" t="n">
        <v>-0.9</v>
      </c>
      <c r="J720" s="8" t="n">
        <v>10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67877024910</t>
        </is>
      </c>
      <c r="D721" s="5" t="inlineStr">
        <is>
          <t>QUETIAPINE 50MG TABLET</t>
        </is>
      </c>
      <c r="E721" s="6" t="inlineStr">
        <is>
          <t>1000.0</t>
        </is>
      </c>
      <c r="F721" s="7" t="n">
        <v>180</v>
      </c>
      <c r="G721" s="7" t="n">
        <v>0.18</v>
      </c>
      <c r="H721" s="7" t="n">
        <v>0</v>
      </c>
      <c r="I721" s="7" t="n">
        <v>-0.18</v>
      </c>
      <c r="J721" s="8" t="n">
        <v>10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59651054005</t>
        </is>
      </c>
      <c r="D722" s="5" t="inlineStr">
        <is>
          <t>ISOSORBIDE MONONITRATE ER 60 MG ORAL TABLET EXTENDED RELEASE 24 HOUR</t>
        </is>
      </c>
      <c r="E722" s="6" t="inlineStr">
        <is>
          <t>500.0</t>
        </is>
      </c>
      <c r="F722" s="7" t="n">
        <v>120</v>
      </c>
      <c r="G722" s="7" t="n">
        <v>0.24</v>
      </c>
      <c r="H722" s="7" t="n">
        <v>0</v>
      </c>
      <c r="I722" s="7" t="n">
        <v>-0.24</v>
      </c>
      <c r="J722" s="8" t="n">
        <v>10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42806055501</t>
        </is>
      </c>
      <c r="D723" s="5" t="inlineStr">
        <is>
          <t>OSELTAMIVIR PHOSPHATE 75MG ORAL CAPSULE</t>
        </is>
      </c>
      <c r="E723" s="6" t="inlineStr">
        <is>
          <t>100.0</t>
        </is>
      </c>
      <c r="F723" s="7" t="n">
        <v>10</v>
      </c>
      <c r="G723" s="7" t="n">
        <v>0.1</v>
      </c>
      <c r="H723" s="7" t="n">
        <v>0</v>
      </c>
      <c r="I723" s="7" t="n">
        <v>-0.1</v>
      </c>
      <c r="J723" s="8" t="n">
        <v>10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43547027611</t>
        </is>
      </c>
      <c r="D724" s="5" t="inlineStr">
        <is>
          <t xml:space="preserve">DONEPEZIL 10MG TAB </t>
        </is>
      </c>
      <c r="E724" s="6" t="inlineStr">
        <is>
          <t>1000.0</t>
        </is>
      </c>
      <c r="F724" s="7" t="n">
        <v>150</v>
      </c>
      <c r="G724" s="7" t="n">
        <v>0.15</v>
      </c>
      <c r="H724" s="7" t="n">
        <v>0</v>
      </c>
      <c r="I724" s="7" t="n">
        <v>-0.15</v>
      </c>
      <c r="J724" s="8" t="n">
        <v>10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00093319601</t>
        </is>
      </c>
      <c r="D725" s="5" t="inlineStr">
        <is>
          <t>CEFADROXIL 500 MG ORAL CAPSULE</t>
        </is>
      </c>
      <c r="E725" s="6" t="inlineStr">
        <is>
          <t>100.0</t>
        </is>
      </c>
      <c r="F725" s="7" t="n">
        <v>32</v>
      </c>
      <c r="G725" s="7" t="n">
        <v>0.32</v>
      </c>
      <c r="H725" s="7" t="n">
        <v>0</v>
      </c>
      <c r="I725" s="7" t="n">
        <v>-0.32</v>
      </c>
      <c r="J725" s="8" t="n">
        <v>9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13107015630</t>
        </is>
      </c>
      <c r="D726" s="5" t="inlineStr">
        <is>
          <t>PAROXETINE 30MG TABLET</t>
        </is>
      </c>
      <c r="E726" s="6" t="inlineStr">
        <is>
          <t>30.0</t>
        </is>
      </c>
      <c r="F726" s="7" t="n">
        <v>120</v>
      </c>
      <c r="G726" s="7" t="n">
        <v>4</v>
      </c>
      <c r="H726" s="7" t="n">
        <v>0</v>
      </c>
      <c r="I726" s="7" t="n">
        <v>-4</v>
      </c>
      <c r="J726" s="8" t="n">
        <v>9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62559041701</t>
        </is>
      </c>
      <c r="D727" s="5" t="inlineStr">
        <is>
          <t>BENAZEPRIL-HYDROCHLOROTHIAZIDE 20-25 MG TABLET</t>
        </is>
      </c>
      <c r="E727" s="6" t="inlineStr">
        <is>
          <t>100.0</t>
        </is>
      </c>
      <c r="F727" s="7" t="n">
        <v>30</v>
      </c>
      <c r="G727" s="7" t="n">
        <v>0.3</v>
      </c>
      <c r="H727" s="7" t="n">
        <v>0</v>
      </c>
      <c r="I727" s="7" t="n">
        <v>-0.3</v>
      </c>
      <c r="J727" s="8" t="n">
        <v>9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23155073601</t>
        </is>
      </c>
      <c r="D728" s="5" t="inlineStr">
        <is>
          <t>TERAZOSIN 2MG CAPSULE</t>
        </is>
      </c>
      <c r="E728" s="6" t="inlineStr">
        <is>
          <t>100.0</t>
        </is>
      </c>
      <c r="F728" s="7" t="n">
        <v>120</v>
      </c>
      <c r="G728" s="7" t="n">
        <v>1.2</v>
      </c>
      <c r="H728" s="7" t="n">
        <v>0</v>
      </c>
      <c r="I728" s="7" t="n">
        <v>-1.2</v>
      </c>
      <c r="J728" s="8" t="n">
        <v>9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62332008531</t>
        </is>
      </c>
      <c r="D729" s="5" t="inlineStr">
        <is>
          <t>FENOFIBRATE MICRONIZED 134MG CAPSULE</t>
        </is>
      </c>
      <c r="E729" s="6" t="inlineStr">
        <is>
          <t>100.0</t>
        </is>
      </c>
      <c r="F729" s="7" t="n">
        <v>90</v>
      </c>
      <c r="G729" s="7" t="n">
        <v>0.9</v>
      </c>
      <c r="H729" s="7" t="n">
        <v>0</v>
      </c>
      <c r="I729" s="7" t="n">
        <v>-0.9</v>
      </c>
      <c r="J729" s="8" t="n">
        <v>9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70377000215</t>
        </is>
      </c>
      <c r="D730" s="5" t="inlineStr">
        <is>
          <t>SIMVASTATIN 10MG TABLET</t>
        </is>
      </c>
      <c r="E730" s="6" t="inlineStr">
        <is>
          <t>1000.0</t>
        </is>
      </c>
      <c r="F730" s="7" t="n">
        <v>420</v>
      </c>
      <c r="G730" s="7" t="n">
        <v>0.42</v>
      </c>
      <c r="H730" s="7" t="n">
        <v>0</v>
      </c>
      <c r="I730" s="7" t="n">
        <v>-0.42</v>
      </c>
      <c r="J730" s="8" t="n">
        <v>9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00832011150</t>
        </is>
      </c>
      <c r="D731" s="5" t="inlineStr">
        <is>
          <t>AMANTADINE 100MG TABLET</t>
        </is>
      </c>
      <c r="E731" s="6" t="inlineStr">
        <is>
          <t>500.0</t>
        </is>
      </c>
      <c r="F731" s="7" t="n">
        <v>30</v>
      </c>
      <c r="G731" s="7" t="n">
        <v>0.06</v>
      </c>
      <c r="H731" s="7" t="n">
        <v>0</v>
      </c>
      <c r="I731" s="7" t="n">
        <v>-0.06</v>
      </c>
      <c r="J731" s="8" t="n">
        <v>9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55111073005</t>
        </is>
      </c>
      <c r="D732" s="5" t="inlineStr">
        <is>
          <t>ALLOPURINOL 300 MG TABLET</t>
        </is>
      </c>
      <c r="E732" s="6" t="inlineStr">
        <is>
          <t>500.0</t>
        </is>
      </c>
      <c r="F732" s="7" t="n">
        <v>120</v>
      </c>
      <c r="G732" s="7" t="n">
        <v>0.24</v>
      </c>
      <c r="H732" s="7" t="n">
        <v>0</v>
      </c>
      <c r="I732" s="7" t="n">
        <v>-0.24</v>
      </c>
      <c r="J732" s="8" t="n">
        <v>9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00378050101</t>
        </is>
      </c>
      <c r="D733" s="5" t="inlineStr">
        <is>
          <t>BISOPROLOL-HYDROCHLOROTHIAZIDE 2.5-6.25 MG ORAL TABLET</t>
        </is>
      </c>
      <c r="E733" s="6" t="inlineStr">
        <is>
          <t>100.0</t>
        </is>
      </c>
      <c r="F733" s="7" t="n">
        <v>90</v>
      </c>
      <c r="G733" s="7" t="n">
        <v>0.9</v>
      </c>
      <c r="H733" s="7" t="n">
        <v>0</v>
      </c>
      <c r="I733" s="7" t="n">
        <v>-0.9</v>
      </c>
      <c r="J733" s="8" t="n">
        <v>9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00093227434</t>
        </is>
      </c>
      <c r="D734" s="5" t="inlineStr">
        <is>
          <t>AMOXICILLIN-CLAVULANATE 500-125MG TABLET</t>
        </is>
      </c>
      <c r="E734" s="6" t="inlineStr">
        <is>
          <t>20.0</t>
        </is>
      </c>
      <c r="F734" s="7" t="n">
        <v>44</v>
      </c>
      <c r="G734" s="7" t="n">
        <v>2.2</v>
      </c>
      <c r="H734" s="7" t="n">
        <v>0</v>
      </c>
      <c r="I734" s="7" t="n">
        <v>-2.2</v>
      </c>
      <c r="J734" s="8" t="n">
        <v>9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00093720210</t>
        </is>
      </c>
      <c r="D735" s="5" t="inlineStr">
        <is>
          <t>PRAVASTATIN 40MG TABLET</t>
        </is>
      </c>
      <c r="E735" s="6" t="inlineStr">
        <is>
          <t>1000.0</t>
        </is>
      </c>
      <c r="F735" s="7" t="n">
        <v>90</v>
      </c>
      <c r="G735" s="7" t="n">
        <v>0.09</v>
      </c>
      <c r="H735" s="7" t="n">
        <v>0</v>
      </c>
      <c r="I735" s="7" t="n">
        <v>-0.09</v>
      </c>
      <c r="J735" s="8" t="n">
        <v>9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51672126403</t>
        </is>
      </c>
      <c r="D736" s="5" t="inlineStr">
        <is>
          <t>FLUOCINONIDE 0.05 % EXTERNAL OINTMENT</t>
        </is>
      </c>
      <c r="E736" s="6" t="inlineStr">
        <is>
          <t>60.0</t>
        </is>
      </c>
      <c r="F736" s="7" t="n">
        <v>60</v>
      </c>
      <c r="G736" s="7" t="n">
        <v>1</v>
      </c>
      <c r="H736" s="7" t="n">
        <v>0</v>
      </c>
      <c r="I736" s="7" t="n">
        <v>-1</v>
      </c>
      <c r="J736" s="8" t="n">
        <v>9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13668013510</t>
        </is>
      </c>
      <c r="D737" s="5" t="inlineStr">
        <is>
          <t>ESCITALOPRAM 5MG TABLET</t>
        </is>
      </c>
      <c r="E737" s="6" t="inlineStr">
        <is>
          <t>1000.0</t>
        </is>
      </c>
      <c r="F737" s="7" t="n">
        <v>210</v>
      </c>
      <c r="G737" s="7" t="n">
        <v>0.21</v>
      </c>
      <c r="H737" s="7" t="n">
        <v>0</v>
      </c>
      <c r="I737" s="7" t="n">
        <v>-0.21</v>
      </c>
      <c r="J737" s="8" t="n">
        <v>9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65862009520</t>
        </is>
      </c>
      <c r="D738" s="5" t="inlineStr">
        <is>
          <t xml:space="preserve">CEFPODOXIME 100MG TAB </t>
        </is>
      </c>
      <c r="E738" s="6" t="inlineStr">
        <is>
          <t>20.0</t>
        </is>
      </c>
      <c r="F738" s="7" t="n">
        <v>14</v>
      </c>
      <c r="G738" s="7" t="n">
        <v>0.7</v>
      </c>
      <c r="H738" s="7" t="n">
        <v>0</v>
      </c>
      <c r="I738" s="7" t="n">
        <v>-0.7</v>
      </c>
      <c r="J738" s="8" t="n">
        <v>9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43547033009</t>
        </is>
      </c>
      <c r="D739" s="5" t="inlineStr">
        <is>
          <t>IRBESARTAN-HCTZ 150-12.5MG TABLET</t>
        </is>
      </c>
      <c r="E739" s="6" t="inlineStr">
        <is>
          <t>90.0</t>
        </is>
      </c>
      <c r="F739" s="7" t="n">
        <v>90</v>
      </c>
      <c r="G739" s="7" t="n">
        <v>1</v>
      </c>
      <c r="H739" s="7" t="n">
        <v>0</v>
      </c>
      <c r="I739" s="7" t="n">
        <v>-1</v>
      </c>
      <c r="J739" s="8" t="n">
        <v>9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60505252101</t>
        </is>
      </c>
      <c r="D740" s="5" t="inlineStr">
        <is>
          <t>CILOSTAZOL 50MG TABLET</t>
        </is>
      </c>
      <c r="E740" s="6" t="inlineStr">
        <is>
          <t>60.0</t>
        </is>
      </c>
      <c r="F740" s="7" t="n">
        <v>120</v>
      </c>
      <c r="G740" s="7" t="n">
        <v>2</v>
      </c>
      <c r="H740" s="7" t="n">
        <v>3</v>
      </c>
      <c r="I740" s="7" t="n">
        <v>1</v>
      </c>
      <c r="J740" s="8" t="n">
        <v>8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64980032005</t>
        </is>
      </c>
      <c r="D741" s="5" t="inlineStr">
        <is>
          <t>TRIAMCINOLONE ACETONIDE 0.1 % MOUTH/THROAT PASTE</t>
        </is>
      </c>
      <c r="E741" s="6" t="inlineStr">
        <is>
          <t>5.0</t>
        </is>
      </c>
      <c r="F741" s="7" t="n">
        <v>5</v>
      </c>
      <c r="G741" s="7" t="n">
        <v>1</v>
      </c>
      <c r="H741" s="7" t="n">
        <v>2</v>
      </c>
      <c r="I741" s="7" t="n">
        <v>1</v>
      </c>
      <c r="J741" s="8" t="n">
        <v>8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00093316006</t>
        </is>
      </c>
      <c r="D742" s="5" t="inlineStr">
        <is>
          <t>CEFDINIR 300MG CAPSULE</t>
        </is>
      </c>
      <c r="E742" s="6" t="inlineStr">
        <is>
          <t>60.0</t>
        </is>
      </c>
      <c r="F742" s="7" t="n">
        <v>14</v>
      </c>
      <c r="G742" s="7" t="n">
        <v>0.2333333333333333</v>
      </c>
      <c r="H742" s="7" t="n">
        <v>0</v>
      </c>
      <c r="I742" s="7" t="n">
        <v>-0.2333333333333333</v>
      </c>
      <c r="J742" s="8" t="n">
        <v>8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62559051001</t>
        </is>
      </c>
      <c r="D743" s="5" t="inlineStr">
        <is>
          <t>INDAPAMIDE 1.25MG TABLET</t>
        </is>
      </c>
      <c r="E743" s="6" t="inlineStr">
        <is>
          <t>100.0</t>
        </is>
      </c>
      <c r="F743" s="7" t="n">
        <v>90</v>
      </c>
      <c r="G743" s="7" t="n">
        <v>0.9</v>
      </c>
      <c r="H743" s="7" t="n">
        <v>0</v>
      </c>
      <c r="I743" s="7" t="n">
        <v>-0.9</v>
      </c>
      <c r="J743" s="8" t="n">
        <v>8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65862001501</t>
        </is>
      </c>
      <c r="D744" s="5" t="inlineStr">
        <is>
          <t>AMOXICILLIN 875 MG TABLET</t>
        </is>
      </c>
      <c r="E744" s="6" t="inlineStr">
        <is>
          <t>100.0</t>
        </is>
      </c>
      <c r="F744" s="7" t="n">
        <v>56</v>
      </c>
      <c r="G744" s="7" t="n">
        <v>0.5600000000000001</v>
      </c>
      <c r="H744" s="7" t="n">
        <v>1</v>
      </c>
      <c r="I744" s="7" t="n">
        <v>0.4399999999999999</v>
      </c>
      <c r="J744" s="8" t="n">
        <v>8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68180098202</t>
        </is>
      </c>
      <c r="D745" s="5" t="inlineStr">
        <is>
          <t>LISINOPRIL 30MG TABLET</t>
        </is>
      </c>
      <c r="E745" s="6" t="inlineStr">
        <is>
          <t>500.0</t>
        </is>
      </c>
      <c r="F745" s="7" t="n">
        <v>90</v>
      </c>
      <c r="G745" s="7" t="n">
        <v>0.18</v>
      </c>
      <c r="H745" s="7" t="n">
        <v>2</v>
      </c>
      <c r="I745" s="7" t="n">
        <v>1.82</v>
      </c>
      <c r="J745" s="8" t="n">
        <v>8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68462029201</t>
        </is>
      </c>
      <c r="D746" s="5" t="inlineStr">
        <is>
          <t>VERAPAMIL ER 120MG TABLET</t>
        </is>
      </c>
      <c r="E746" s="6" t="inlineStr">
        <is>
          <t>100.0</t>
        </is>
      </c>
      <c r="F746" s="7" t="n">
        <v>30</v>
      </c>
      <c r="G746" s="7" t="n">
        <v>0.3</v>
      </c>
      <c r="H746" s="7" t="n">
        <v>3</v>
      </c>
      <c r="I746" s="7" t="n">
        <v>2.7</v>
      </c>
      <c r="J746" s="8" t="n">
        <v>8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13668009690</t>
        </is>
      </c>
      <c r="D747" s="5" t="inlineStr">
        <is>
          <t xml:space="preserve">PANTOPRAZOLE 20MG TAB </t>
        </is>
      </c>
      <c r="E747" s="6" t="inlineStr">
        <is>
          <t>90.0</t>
        </is>
      </c>
      <c r="F747" s="7" t="n">
        <v>120</v>
      </c>
      <c r="G747" s="7" t="n">
        <v>1.333333333333333</v>
      </c>
      <c r="H747" s="7" t="n">
        <v>0</v>
      </c>
      <c r="I747" s="7" t="n">
        <v>-1.333333333333333</v>
      </c>
      <c r="J747" s="8" t="n">
        <v>8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00378705852</t>
        </is>
      </c>
      <c r="D748" s="5" t="inlineStr">
        <is>
          <t>ALBUTEROL SULFATE 1.25 MG/3ML INHALATION NEBULIZATION SOLUTION</t>
        </is>
      </c>
      <c r="E748" s="6" t="inlineStr">
        <is>
          <t>75.0</t>
        </is>
      </c>
      <c r="F748" s="7" t="n">
        <v>75</v>
      </c>
      <c r="G748" s="7" t="n">
        <v>1</v>
      </c>
      <c r="H748" s="7" t="n">
        <v>0</v>
      </c>
      <c r="I748" s="7" t="n">
        <v>-1</v>
      </c>
      <c r="J748" s="8" t="n">
        <v>8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59651015201</t>
        </is>
      </c>
      <c r="D749" s="5" t="inlineStr">
        <is>
          <t>PROGESTERONE 100 MG CAPSULE</t>
        </is>
      </c>
      <c r="E749" s="6" t="inlineStr">
        <is>
          <t>100.0</t>
        </is>
      </c>
      <c r="F749" s="7" t="n">
        <v>30</v>
      </c>
      <c r="G749" s="7" t="n">
        <v>0.3</v>
      </c>
      <c r="H749" s="7" t="n">
        <v>0</v>
      </c>
      <c r="I749" s="7" t="n">
        <v>-0.3</v>
      </c>
      <c r="J749" s="8" t="n">
        <v>8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43598016630</t>
        </is>
      </c>
      <c r="D750" s="5" t="inlineStr">
        <is>
          <t>OLANZAPINE 10MG TABLET</t>
        </is>
      </c>
      <c r="E750" s="6" t="inlineStr">
        <is>
          <t>30.0</t>
        </is>
      </c>
      <c r="F750" s="7" t="n">
        <v>120</v>
      </c>
      <c r="G750" s="7" t="n">
        <v>4</v>
      </c>
      <c r="H750" s="7" t="n">
        <v>0</v>
      </c>
      <c r="I750" s="7" t="n">
        <v>-4</v>
      </c>
      <c r="J750" s="8" t="n">
        <v>8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00781207401</t>
        </is>
      </c>
      <c r="D751" s="5" t="inlineStr">
        <is>
          <t xml:space="preserve">TRIAMTERENE-HCTZ 37.5-25MG CAP </t>
        </is>
      </c>
      <c r="E751" s="6" t="inlineStr">
        <is>
          <t>100.0</t>
        </is>
      </c>
      <c r="F751" s="7" t="n">
        <v>90</v>
      </c>
      <c r="G751" s="7" t="n">
        <v>0.9</v>
      </c>
      <c r="H751" s="7" t="n">
        <v>0</v>
      </c>
      <c r="I751" s="7" t="n">
        <v>-0.9</v>
      </c>
      <c r="J751" s="8" t="n">
        <v>7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10702002501</t>
        </is>
      </c>
      <c r="D752" s="5" t="inlineStr">
        <is>
          <t>PHENTERMINE 37.5MG TABLET</t>
        </is>
      </c>
      <c r="E752" s="6" t="inlineStr">
        <is>
          <t>100.0</t>
        </is>
      </c>
      <c r="F752" s="7" t="n">
        <v>30</v>
      </c>
      <c r="G752" s="7" t="n">
        <v>0.3</v>
      </c>
      <c r="H752" s="7" t="n">
        <v>0</v>
      </c>
      <c r="I752" s="7" t="n">
        <v>-0.3</v>
      </c>
      <c r="J752" s="8" t="n">
        <v>7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00781285931</t>
        </is>
      </c>
      <c r="D753" s="5" t="inlineStr">
        <is>
          <t>OMEPRAZOLE 10MG CAPSULE DR</t>
        </is>
      </c>
      <c r="E753" s="6" t="inlineStr">
        <is>
          <t>30.0</t>
        </is>
      </c>
      <c r="F753" s="7" t="n">
        <v>30</v>
      </c>
      <c r="G753" s="7" t="n">
        <v>1</v>
      </c>
      <c r="H753" s="7" t="n">
        <v>0</v>
      </c>
      <c r="I753" s="7" t="n">
        <v>-1</v>
      </c>
      <c r="J753" s="8" t="n">
        <v>7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23155000810</t>
        </is>
      </c>
      <c r="D754" s="5" t="inlineStr">
        <is>
          <t>HYDROCHLOROTHIAZIDE 25MG TABLET</t>
        </is>
      </c>
      <c r="E754" s="6" t="inlineStr">
        <is>
          <t>1000.0</t>
        </is>
      </c>
      <c r="F754" s="7" t="n">
        <v>1320</v>
      </c>
      <c r="G754" s="7" t="n">
        <v>1.32</v>
      </c>
      <c r="H754" s="7" t="n">
        <v>0</v>
      </c>
      <c r="I754" s="7" t="n">
        <v>-1.32</v>
      </c>
      <c r="J754" s="8" t="n">
        <v>7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00093220305</t>
        </is>
      </c>
      <c r="D755" s="5" t="inlineStr">
        <is>
          <t xml:space="preserve">METOCLOPRAMIDE 10MG TAB </t>
        </is>
      </c>
      <c r="E755" s="6" t="inlineStr">
        <is>
          <t>500.0</t>
        </is>
      </c>
      <c r="F755" s="7" t="n">
        <v>99</v>
      </c>
      <c r="G755" s="7" t="n">
        <v>0.198</v>
      </c>
      <c r="H755" s="7" t="n">
        <v>0</v>
      </c>
      <c r="I755" s="7" t="n">
        <v>-0.198</v>
      </c>
      <c r="J755" s="8" t="n">
        <v>7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68382009305</t>
        </is>
      </c>
      <c r="D756" s="5" t="inlineStr">
        <is>
          <t xml:space="preserve">CARVEDILOL 6.25MG TAB </t>
        </is>
      </c>
      <c r="E756" s="6" t="inlineStr">
        <is>
          <t>500.0</t>
        </is>
      </c>
      <c r="F756" s="7" t="n">
        <v>420</v>
      </c>
      <c r="G756" s="7" t="n">
        <v>0.84</v>
      </c>
      <c r="H756" s="7" t="n">
        <v>2</v>
      </c>
      <c r="I756" s="7" t="n">
        <v>1.16</v>
      </c>
      <c r="J756" s="8" t="n">
        <v>7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69097082312</t>
        </is>
      </c>
      <c r="D757" s="5" t="inlineStr">
        <is>
          <t>CITALOPRAM 20MG TABLET</t>
        </is>
      </c>
      <c r="E757" s="6" t="inlineStr">
        <is>
          <t>500.0</t>
        </is>
      </c>
      <c r="F757" s="7" t="n">
        <v>30</v>
      </c>
      <c r="G757" s="7" t="n">
        <v>0.06</v>
      </c>
      <c r="H757" s="7" t="n">
        <v>0</v>
      </c>
      <c r="I757" s="7" t="n">
        <v>-0.06</v>
      </c>
      <c r="J757" s="8" t="n">
        <v>7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00121185416</t>
        </is>
      </c>
      <c r="D758" s="5" t="inlineStr">
        <is>
          <t>PROMETHAZINE HCL 6.25 MG/5ML ORAL SOLUTION</t>
        </is>
      </c>
      <c r="E758" s="6" t="inlineStr">
        <is>
          <t>473.0</t>
        </is>
      </c>
      <c r="F758" s="7" t="n">
        <v>240</v>
      </c>
      <c r="G758" s="7" t="n">
        <v>0.507399577167019</v>
      </c>
      <c r="H758" s="7" t="n">
        <v>3</v>
      </c>
      <c r="I758" s="7" t="n">
        <v>2.492600422832981</v>
      </c>
      <c r="J758" s="8" t="n">
        <v>7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68462043790</t>
        </is>
      </c>
      <c r="D759" s="5" t="inlineStr">
        <is>
          <t>OLMESARTAN 20MG TABLET</t>
        </is>
      </c>
      <c r="E759" s="6" t="inlineStr">
        <is>
          <t>90.0</t>
        </is>
      </c>
      <c r="F759" s="7" t="n">
        <v>90</v>
      </c>
      <c r="G759" s="7" t="n">
        <v>1</v>
      </c>
      <c r="H759" s="7" t="n">
        <v>0</v>
      </c>
      <c r="I759" s="7" t="n">
        <v>-1</v>
      </c>
      <c r="J759" s="8" t="n">
        <v>7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64380015902</t>
        </is>
      </c>
      <c r="D760" s="5" t="inlineStr">
        <is>
          <t>MEGESTROL ACETATE 40 MG ORAL TABLET</t>
        </is>
      </c>
      <c r="E760" s="6" t="inlineStr">
        <is>
          <t>250.0</t>
        </is>
      </c>
      <c r="F760" s="7" t="n">
        <v>30</v>
      </c>
      <c r="G760" s="7" t="n">
        <v>0.12</v>
      </c>
      <c r="H760" s="7" t="n">
        <v>0</v>
      </c>
      <c r="I760" s="7" t="n">
        <v>-0.12</v>
      </c>
      <c r="J760" s="8" t="n">
        <v>7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64980028001</t>
        </is>
      </c>
      <c r="D761" s="5" t="inlineStr">
        <is>
          <t>GLIPIZIDE ER 5 MG TABLET</t>
        </is>
      </c>
      <c r="E761" s="6" t="inlineStr">
        <is>
          <t>100.0</t>
        </is>
      </c>
      <c r="F761" s="7" t="n">
        <v>120</v>
      </c>
      <c r="G761" s="7" t="n">
        <v>1.2</v>
      </c>
      <c r="H761" s="7" t="n">
        <v>0</v>
      </c>
      <c r="I761" s="7" t="n">
        <v>-1.2</v>
      </c>
      <c r="J761" s="8" t="n">
        <v>7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23155070401</t>
        </is>
      </c>
      <c r="D762" s="5" t="inlineStr">
        <is>
          <t>ENALAPRIL MALEATE 2.5MG TABLET</t>
        </is>
      </c>
      <c r="E762" s="6" t="inlineStr">
        <is>
          <t>100.0</t>
        </is>
      </c>
      <c r="F762" s="7" t="n">
        <v>90</v>
      </c>
      <c r="G762" s="7" t="n">
        <v>0.9</v>
      </c>
      <c r="H762" s="7" t="n">
        <v>0</v>
      </c>
      <c r="I762" s="7" t="n">
        <v>-0.9</v>
      </c>
      <c r="J762" s="8" t="n">
        <v>6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57664043788</t>
        </is>
      </c>
      <c r="D763" s="5" t="inlineStr">
        <is>
          <t>DIGOXIN 125 MCG ORAL TABLET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6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64980034001</t>
        </is>
      </c>
      <c r="D764" s="5" t="inlineStr">
        <is>
          <t>ALENDRONATE SODIUM 10 MG ORAL TABLET</t>
        </is>
      </c>
      <c r="E764" s="6" t="inlineStr">
        <is>
          <t>100.0</t>
        </is>
      </c>
      <c r="F764" s="7" t="n">
        <v>90</v>
      </c>
      <c r="G764" s="7" t="n">
        <v>0.9</v>
      </c>
      <c r="H764" s="7" t="n">
        <v>1</v>
      </c>
      <c r="I764" s="7" t="n">
        <v>0.09999999999999998</v>
      </c>
      <c r="J764" s="8" t="n">
        <v>6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70377005512</t>
        </is>
      </c>
      <c r="D765" s="5" t="inlineStr">
        <is>
          <t>ESOMEPRAZOLE 20MG CAPSULE DR</t>
        </is>
      </c>
      <c r="E765" s="6" t="inlineStr">
        <is>
          <t>90.0</t>
        </is>
      </c>
      <c r="F765" s="7" t="n">
        <v>30</v>
      </c>
      <c r="G765" s="7" t="n">
        <v>0.3333333333333333</v>
      </c>
      <c r="H765" s="7" t="n">
        <v>0</v>
      </c>
      <c r="I765" s="7" t="n">
        <v>-0.3333333333333333</v>
      </c>
      <c r="J765" s="8" t="n">
        <v>6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00781196260</t>
        </is>
      </c>
      <c r="D766" s="5" t="inlineStr">
        <is>
          <t xml:space="preserve">CLARITHROMYCIN 500MG TAB </t>
        </is>
      </c>
      <c r="E766" s="6" t="inlineStr">
        <is>
          <t>60.0</t>
        </is>
      </c>
      <c r="F766" s="7" t="n">
        <v>28</v>
      </c>
      <c r="G766" s="7" t="n">
        <v>0.4666666666666667</v>
      </c>
      <c r="H766" s="7" t="n">
        <v>0</v>
      </c>
      <c r="I766" s="7" t="n">
        <v>-0.4666666666666667</v>
      </c>
      <c r="J766" s="8" t="n">
        <v>6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72888007301</t>
        </is>
      </c>
      <c r="D767" s="5" t="inlineStr">
        <is>
          <t>DICLOFENAC POTASSIUM 50MG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6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68180045901</t>
        </is>
      </c>
      <c r="D768" s="5" t="inlineStr">
        <is>
          <t>AMLODIPINE-BENAZEPRIL 5-20MG CAPSULE</t>
        </is>
      </c>
      <c r="E768" s="6" t="inlineStr">
        <is>
          <t>100.0</t>
        </is>
      </c>
      <c r="F768" s="7" t="n">
        <v>30</v>
      </c>
      <c r="G768" s="7" t="n">
        <v>0.3</v>
      </c>
      <c r="H768" s="7" t="n">
        <v>0</v>
      </c>
      <c r="I768" s="7" t="n">
        <v>-0.3</v>
      </c>
      <c r="J768" s="8" t="n">
        <v>6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68382009205</t>
        </is>
      </c>
      <c r="D769" s="5" t="inlineStr">
        <is>
          <t xml:space="preserve">CARVEDILOL 3.125MG TAB </t>
        </is>
      </c>
      <c r="E769" s="6" t="inlineStr">
        <is>
          <t>500.0</t>
        </is>
      </c>
      <c r="F769" s="7" t="n">
        <v>510</v>
      </c>
      <c r="G769" s="7" t="n">
        <v>1.02</v>
      </c>
      <c r="H769" s="7" t="n">
        <v>0</v>
      </c>
      <c r="I769" s="7" t="n">
        <v>-1.02</v>
      </c>
      <c r="J769" s="8" t="n">
        <v>6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23155023501</t>
        </is>
      </c>
      <c r="D770" s="5" t="inlineStr">
        <is>
          <t>GLYBURIDE-METFORMIN 5-500 MG ORAL TABLET</t>
        </is>
      </c>
      <c r="E770" s="6" t="inlineStr">
        <is>
          <t>100.0</t>
        </is>
      </c>
      <c r="F770" s="7" t="n">
        <v>90</v>
      </c>
      <c r="G770" s="7" t="n">
        <v>0.9</v>
      </c>
      <c r="H770" s="7" t="n">
        <v>0</v>
      </c>
      <c r="I770" s="7" t="n">
        <v>-0.9</v>
      </c>
      <c r="J770" s="8" t="n">
        <v>6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16729000301</t>
        </is>
      </c>
      <c r="D771" s="5" t="inlineStr">
        <is>
          <t xml:space="preserve">GLIMEPIRIDE 4MG TAB </t>
        </is>
      </c>
      <c r="E771" s="6" t="inlineStr">
        <is>
          <t>100.0</t>
        </is>
      </c>
      <c r="F771" s="7" t="n">
        <v>90</v>
      </c>
      <c r="G771" s="7" t="n">
        <v>0.9</v>
      </c>
      <c r="H771" s="7" t="n">
        <v>0</v>
      </c>
      <c r="I771" s="7" t="n">
        <v>-0.9</v>
      </c>
      <c r="J771" s="8" t="n">
        <v>6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59746017306</t>
        </is>
      </c>
      <c r="D772" s="5" t="inlineStr">
        <is>
          <t>PREDNISONE 10MG TABLET</t>
        </is>
      </c>
      <c r="E772" s="6" t="inlineStr">
        <is>
          <t>100.0</t>
        </is>
      </c>
      <c r="F772" s="7" t="n">
        <v>42</v>
      </c>
      <c r="G772" s="7" t="n">
        <v>0.42</v>
      </c>
      <c r="H772" s="7" t="n">
        <v>0</v>
      </c>
      <c r="I772" s="7" t="n">
        <v>-0.42</v>
      </c>
      <c r="J772" s="8" t="n">
        <v>6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31722054501</t>
        </is>
      </c>
      <c r="D773" s="5" t="inlineStr">
        <is>
          <t xml:space="preserve">LITHIUM CARBONATE 300MG CAP </t>
        </is>
      </c>
      <c r="E773" s="6" t="inlineStr">
        <is>
          <t>100.0</t>
        </is>
      </c>
      <c r="F773" s="7" t="n">
        <v>120</v>
      </c>
      <c r="G773" s="7" t="n">
        <v>1.2</v>
      </c>
      <c r="H773" s="7" t="n">
        <v>0</v>
      </c>
      <c r="I773" s="7" t="n">
        <v>-1.2</v>
      </c>
      <c r="J773" s="8" t="n">
        <v>5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00781809003</t>
        </is>
      </c>
      <c r="D774" s="5" t="inlineStr">
        <is>
          <t>AZITHROMYCIN 500MG TAB</t>
        </is>
      </c>
      <c r="E774" s="6" t="inlineStr">
        <is>
          <t>3.0</t>
        </is>
      </c>
      <c r="F774" s="7" t="n">
        <v>10</v>
      </c>
      <c r="G774" s="7" t="n">
        <v>3.333333333333333</v>
      </c>
      <c r="H774" s="7" t="n">
        <v>0</v>
      </c>
      <c r="I774" s="7" t="n">
        <v>-3.333333333333333</v>
      </c>
      <c r="J774" s="8" t="n">
        <v>5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23155007001</t>
        </is>
      </c>
      <c r="D775" s="5" t="inlineStr">
        <is>
          <t xml:space="preserve">METHIMAZOLE 5MG TABLE </t>
        </is>
      </c>
      <c r="E775" s="6" t="inlineStr">
        <is>
          <t>100.0</t>
        </is>
      </c>
      <c r="F775" s="7" t="n">
        <v>90</v>
      </c>
      <c r="G775" s="7" t="n">
        <v>0.9</v>
      </c>
      <c r="H775" s="7" t="n">
        <v>0</v>
      </c>
      <c r="I775" s="7" t="n">
        <v>-0.9</v>
      </c>
      <c r="J775" s="8" t="n">
        <v>5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65862016999</t>
        </is>
      </c>
      <c r="D776" s="5" t="inlineStr">
        <is>
          <t>ATENOLOL 50MG TABLET</t>
        </is>
      </c>
      <c r="E776" s="6" t="inlineStr">
        <is>
          <t>1000.0</t>
        </is>
      </c>
      <c r="F776" s="7" t="n">
        <v>90</v>
      </c>
      <c r="G776" s="7" t="n">
        <v>0.09</v>
      </c>
      <c r="H776" s="7" t="n">
        <v>0</v>
      </c>
      <c r="I776" s="7" t="n">
        <v>-0.09</v>
      </c>
      <c r="J776" s="8" t="n">
        <v>5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59651078030</t>
        </is>
      </c>
      <c r="D777" s="5" t="inlineStr">
        <is>
          <t>GLIPIZIDE ER 2.5 MG ORAL TABLET EXTENDED RELEASE 24 HOUR</t>
        </is>
      </c>
      <c r="E777" s="6" t="inlineStr">
        <is>
          <t>30.0</t>
        </is>
      </c>
      <c r="F777" s="7" t="n">
        <v>90</v>
      </c>
      <c r="G777" s="7" t="n">
        <v>3</v>
      </c>
      <c r="H777" s="7" t="n">
        <v>0</v>
      </c>
      <c r="I777" s="7" t="n">
        <v>-3</v>
      </c>
      <c r="J777" s="8" t="n">
        <v>5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70436005801</t>
        </is>
      </c>
      <c r="D778" s="5" t="inlineStr">
        <is>
          <t>BUPROPION HCL ER (SR) 100MG TABLET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5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59651015301</t>
        </is>
      </c>
      <c r="D779" s="5" t="inlineStr">
        <is>
          <t>PROGESTERONE 200 MG ORAL CAPSULE</t>
        </is>
      </c>
      <c r="E779" s="6" t="inlineStr">
        <is>
          <t>100.0</t>
        </is>
      </c>
      <c r="F779" s="7" t="n">
        <v>12</v>
      </c>
      <c r="G779" s="7" t="n">
        <v>0.12</v>
      </c>
      <c r="H779" s="7" t="n">
        <v>0</v>
      </c>
      <c r="I779" s="7" t="n">
        <v>-0.12</v>
      </c>
      <c r="J779" s="8" t="n">
        <v>5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69097082212</t>
        </is>
      </c>
      <c r="D780" s="5" t="inlineStr">
        <is>
          <t>CITALOPRAM 10MG TABLET</t>
        </is>
      </c>
      <c r="E780" s="6" t="inlineStr">
        <is>
          <t>500.0</t>
        </is>
      </c>
      <c r="F780" s="7" t="n">
        <v>120</v>
      </c>
      <c r="G780" s="7" t="n">
        <v>0.24</v>
      </c>
      <c r="H780" s="7" t="n">
        <v>0</v>
      </c>
      <c r="I780" s="7" t="n">
        <v>-0.24</v>
      </c>
      <c r="J780" s="8" t="n">
        <v>5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27241015508</t>
        </is>
      </c>
      <c r="D781" s="5" t="inlineStr">
        <is>
          <t>OXYBUTYNIN 5MG TABLET ER</t>
        </is>
      </c>
      <c r="E781" s="6" t="inlineStr">
        <is>
          <t>500.0</t>
        </is>
      </c>
      <c r="F781" s="7" t="n">
        <v>90</v>
      </c>
      <c r="G781" s="7" t="n">
        <v>0.18</v>
      </c>
      <c r="H781" s="7" t="n">
        <v>0</v>
      </c>
      <c r="I781" s="7" t="n">
        <v>-0.18</v>
      </c>
      <c r="J781" s="8" t="n">
        <v>5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23155017805</t>
        </is>
      </c>
      <c r="D782" s="5" t="inlineStr">
        <is>
          <t>ISOSORBIDE MONONITRATE ER 60MG</t>
        </is>
      </c>
      <c r="E782" s="6" t="inlineStr">
        <is>
          <t>500.0</t>
        </is>
      </c>
      <c r="F782" s="7" t="n">
        <v>30</v>
      </c>
      <c r="G782" s="7" t="n">
        <v>0.06</v>
      </c>
      <c r="H782" s="7" t="n">
        <v>0</v>
      </c>
      <c r="I782" s="7" t="n">
        <v>-0.06</v>
      </c>
      <c r="J782" s="8" t="n">
        <v>5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00904637161</t>
        </is>
      </c>
      <c r="D783" s="5" t="inlineStr">
        <is>
          <t>AMLODIPINE BESYLATE 10 MG ORAL TABLET</t>
        </is>
      </c>
      <c r="E783" s="6" t="inlineStr">
        <is>
          <t>100.0</t>
        </is>
      </c>
      <c r="F783" s="7" t="n">
        <v>60</v>
      </c>
      <c r="G783" s="7" t="n">
        <v>0.6</v>
      </c>
      <c r="H783" s="7" t="n">
        <v>0</v>
      </c>
      <c r="I783" s="7" t="n">
        <v>-0.6</v>
      </c>
      <c r="J783" s="8" t="n">
        <v>5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00832035711</t>
        </is>
      </c>
      <c r="D784" s="5" t="inlineStr">
        <is>
          <t>DOXAZOSIN MESYLATE 2MG TABLET</t>
        </is>
      </c>
      <c r="E784" s="6" t="inlineStr">
        <is>
          <t>100.0</t>
        </is>
      </c>
      <c r="F784" s="7" t="n">
        <v>90</v>
      </c>
      <c r="G784" s="7" t="n">
        <v>0.9</v>
      </c>
      <c r="H784" s="7" t="n">
        <v>0</v>
      </c>
      <c r="I784" s="7" t="n">
        <v>-0.9</v>
      </c>
      <c r="J784" s="8" t="n">
        <v>5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47781019601</t>
        </is>
      </c>
      <c r="D785" s="5" t="inlineStr">
        <is>
          <t>OXYCODONE-ACETAMINOPHEN 5-325 MG ORAL TABLET</t>
        </is>
      </c>
      <c r="E785" s="6" t="inlineStr">
        <is>
          <t>100.0</t>
        </is>
      </c>
      <c r="F785" s="7" t="n">
        <v>90</v>
      </c>
      <c r="G785" s="7" t="n">
        <v>0.9</v>
      </c>
      <c r="H785" s="7" t="n">
        <v>2</v>
      </c>
      <c r="I785" s="7" t="n">
        <v>1.1</v>
      </c>
      <c r="J785" s="8" t="n">
        <v>5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72888007715</t>
        </is>
      </c>
      <c r="D786" s="5" t="inlineStr">
        <is>
          <t>DORZOLAMIDE HCL 2 % OPHTHALMIC SOLUTION</t>
        </is>
      </c>
      <c r="E786" s="6" t="inlineStr">
        <is>
          <t>10.0</t>
        </is>
      </c>
      <c r="F786" s="7" t="n">
        <v>10</v>
      </c>
      <c r="G786" s="7" t="n">
        <v>1</v>
      </c>
      <c r="H786" s="7" t="n">
        <v>7</v>
      </c>
      <c r="I786" s="7" t="n">
        <v>6</v>
      </c>
      <c r="J786" s="8" t="n">
        <v>5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64980050448</t>
        </is>
      </c>
      <c r="D787" s="5" t="inlineStr">
        <is>
          <t>CYPROHEPTADINE HCL 2MG/5ML SYRUP</t>
        </is>
      </c>
      <c r="E787" s="6" t="inlineStr">
        <is>
          <t>473.0</t>
        </is>
      </c>
      <c r="F787" s="7" t="n">
        <v>190</v>
      </c>
      <c r="G787" s="7" t="n">
        <v>0.4016913319238901</v>
      </c>
      <c r="H787" s="7" t="n">
        <v>2</v>
      </c>
      <c r="I787" s="7" t="n">
        <v>1.59830866807611</v>
      </c>
      <c r="J787" s="8" t="n">
        <v>4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67877025010</t>
        </is>
      </c>
      <c r="D788" s="5" t="inlineStr">
        <is>
          <t>QUETIAPINE FUMARATE 100 MG ORAL TABLET</t>
        </is>
      </c>
      <c r="E788" s="6" t="inlineStr">
        <is>
          <t>1000.0</t>
        </is>
      </c>
      <c r="F788" s="7" t="n">
        <v>30</v>
      </c>
      <c r="G788" s="7" t="n">
        <v>0.03</v>
      </c>
      <c r="H788" s="7" t="n">
        <v>0</v>
      </c>
      <c r="I788" s="7" t="n">
        <v>-0.03</v>
      </c>
      <c r="J788" s="8" t="n">
        <v>4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180</v>
      </c>
      <c r="G789" s="7" t="n">
        <v>1.8</v>
      </c>
      <c r="H789" s="7" t="n">
        <v>0</v>
      </c>
      <c r="I789" s="7" t="n">
        <v>-1.8</v>
      </c>
      <c r="J789" s="8" t="n">
        <v>4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60505024801</t>
        </is>
      </c>
      <c r="D790" s="5" t="inlineStr">
        <is>
          <t>MIRTAZAPINE 30MG TABLET</t>
        </is>
      </c>
      <c r="E790" s="6" t="inlineStr">
        <is>
          <t>30.0</t>
        </is>
      </c>
      <c r="F790" s="7" t="n">
        <v>30</v>
      </c>
      <c r="G790" s="7" t="n">
        <v>1</v>
      </c>
      <c r="H790" s="7" t="n">
        <v>0</v>
      </c>
      <c r="I790" s="7" t="n">
        <v>-1</v>
      </c>
      <c r="J790" s="8" t="n">
        <v>4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63304082990</t>
        </is>
      </c>
      <c r="D791" s="5" t="inlineStr">
        <is>
          <t>ATORVASTATIN CALCIUM 40MG TABLET</t>
        </is>
      </c>
      <c r="E791" s="6" t="inlineStr">
        <is>
          <t>90.0</t>
        </is>
      </c>
      <c r="F791" s="7" t="n">
        <v>90</v>
      </c>
      <c r="G791" s="7" t="n">
        <v>1</v>
      </c>
      <c r="H791" s="7" t="n">
        <v>0</v>
      </c>
      <c r="I791" s="7" t="n">
        <v>-1</v>
      </c>
      <c r="J791" s="8" t="n">
        <v>4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70010006410</t>
        </is>
      </c>
      <c r="D792" s="5" t="inlineStr">
        <is>
          <t>METFORMIN 850 MG TABLET</t>
        </is>
      </c>
      <c r="E792" s="6" t="inlineStr">
        <is>
          <t>1000.0</t>
        </is>
      </c>
      <c r="F792" s="7" t="n">
        <v>90</v>
      </c>
      <c r="G792" s="7" t="n">
        <v>0.09</v>
      </c>
      <c r="H792" s="7" t="n">
        <v>0</v>
      </c>
      <c r="I792" s="7" t="n">
        <v>-0.09</v>
      </c>
      <c r="J792" s="8" t="n">
        <v>4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24689088201</t>
        </is>
      </c>
      <c r="D793" s="5" t="inlineStr">
        <is>
          <t>TERAZOSIN HCL 5 MG ORAL CAPSULE</t>
        </is>
      </c>
      <c r="E793" s="6" t="inlineStr">
        <is>
          <t>100.0</t>
        </is>
      </c>
      <c r="F793" s="7" t="n">
        <v>60</v>
      </c>
      <c r="G793" s="7" t="n">
        <v>0.6</v>
      </c>
      <c r="H793" s="7" t="n">
        <v>0</v>
      </c>
      <c r="I793" s="7" t="n">
        <v>-0.6</v>
      </c>
      <c r="J793" s="8" t="n">
        <v>4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00093220405</t>
        </is>
      </c>
      <c r="D794" s="5" t="inlineStr">
        <is>
          <t>METOCLOPRAMIDE 5MG TABLET</t>
        </is>
      </c>
      <c r="E794" s="6" t="inlineStr">
        <is>
          <t>500.0</t>
        </is>
      </c>
      <c r="F794" s="7" t="n">
        <v>120</v>
      </c>
      <c r="G794" s="7" t="n">
        <v>0.24</v>
      </c>
      <c r="H794" s="7" t="n">
        <v>0</v>
      </c>
      <c r="I794" s="7" t="n">
        <v>-0.24</v>
      </c>
      <c r="J794" s="8" t="n">
        <v>4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59651002988</t>
        </is>
      </c>
      <c r="D795" s="5" t="inlineStr">
        <is>
          <t>LO-ZUMANDIMINE 3-0.02 MG ORAL TABLET</t>
        </is>
      </c>
      <c r="E795" s="6" t="inlineStr">
        <is>
          <t>84.0</t>
        </is>
      </c>
      <c r="F795" s="7" t="n">
        <v>28</v>
      </c>
      <c r="G795" s="7" t="n">
        <v>0.3333333333333333</v>
      </c>
      <c r="H795" s="7" t="n">
        <v>0</v>
      </c>
      <c r="I795" s="7" t="n">
        <v>-0.3333333333333333</v>
      </c>
      <c r="J795" s="8" t="n">
        <v>4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65862018730</t>
        </is>
      </c>
      <c r="D796" s="5" t="inlineStr">
        <is>
          <t xml:space="preserve">ONDANSETRON 4MG TAB </t>
        </is>
      </c>
      <c r="E796" s="6" t="inlineStr">
        <is>
          <t>30.0</t>
        </is>
      </c>
      <c r="F796" s="7" t="n">
        <v>6</v>
      </c>
      <c r="G796" s="7" t="n">
        <v>0.2</v>
      </c>
      <c r="H796" s="7" t="n">
        <v>0</v>
      </c>
      <c r="I796" s="7" t="n">
        <v>-0.2</v>
      </c>
      <c r="J796" s="8" t="n">
        <v>3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65162003310</t>
        </is>
      </c>
      <c r="D797" s="5" t="inlineStr">
        <is>
          <t>ACETAMINOPHEN-CODEINE #3 300-30 MG TABLET</t>
        </is>
      </c>
      <c r="E797" s="6" t="inlineStr">
        <is>
          <t>100.0</t>
        </is>
      </c>
      <c r="F797" s="7" t="n">
        <v>7</v>
      </c>
      <c r="G797" s="7" t="n">
        <v>0.07000000000000001</v>
      </c>
      <c r="H797" s="7" t="n">
        <v>1</v>
      </c>
      <c r="I797" s="7" t="n">
        <v>0.9299999999999999</v>
      </c>
      <c r="J797" s="8" t="n">
        <v>3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53489038601</t>
        </is>
      </c>
      <c r="D798" s="5" t="inlineStr">
        <is>
          <t>MINOXIDIL 2.5MG TABLET</t>
        </is>
      </c>
      <c r="E798" s="6" t="inlineStr">
        <is>
          <t>100.0</t>
        </is>
      </c>
      <c r="F798" s="7" t="n">
        <v>30</v>
      </c>
      <c r="G798" s="7" t="n">
        <v>0.3</v>
      </c>
      <c r="H798" s="7" t="n">
        <v>0</v>
      </c>
      <c r="I798" s="7" t="n">
        <v>-0.3</v>
      </c>
      <c r="J798" s="8" t="n">
        <v>3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55111016830</t>
        </is>
      </c>
      <c r="D799" s="5" t="inlineStr">
        <is>
          <t>OLANZAPINE 20MG TABLET</t>
        </is>
      </c>
      <c r="E799" s="6" t="inlineStr">
        <is>
          <t>30.0</t>
        </is>
      </c>
      <c r="F799" s="7" t="n">
        <v>30</v>
      </c>
      <c r="G799" s="7" t="n">
        <v>1</v>
      </c>
      <c r="H799" s="7" t="n">
        <v>6</v>
      </c>
      <c r="I799" s="7" t="n">
        <v>5</v>
      </c>
      <c r="J799" s="8" t="n">
        <v>3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76204010030</t>
        </is>
      </c>
      <c r="D800" s="5" t="inlineStr">
        <is>
          <t>IPRATROPIUM BROMIDE 0.02 % INHALATION SOLUTION</t>
        </is>
      </c>
      <c r="E800" s="6" t="inlineStr">
        <is>
          <t>75.0</t>
        </is>
      </c>
      <c r="F800" s="7" t="n">
        <v>75</v>
      </c>
      <c r="G800" s="7" t="n">
        <v>1</v>
      </c>
      <c r="H800" s="7" t="n">
        <v>0</v>
      </c>
      <c r="I800" s="7" t="n">
        <v>-1</v>
      </c>
      <c r="J800" s="8" t="n">
        <v>3</v>
      </c>
      <c r="K800" s="9">
        <f>IFERROR(IF((ROUND((J800/G800)*I800,1))&lt;0,(ROUND((J800/G800)*I800,1)),0),0)</f>
        <v/>
      </c>
    </row>
    <row r="801">
      <c r="A801" s="4" t="n">
        <v>798</v>
      </c>
      <c r="B801" s="5" t="inlineStr">
        <is>
          <t>ALL_PBM</t>
        </is>
      </c>
      <c r="C801" s="5" t="inlineStr">
        <is>
          <t>57237010299</t>
        </is>
      </c>
      <c r="D801" s="5" t="inlineStr">
        <is>
          <t>METOPROLOL TARTRATE 100MG TABLET</t>
        </is>
      </c>
      <c r="E801" s="6" t="inlineStr">
        <is>
          <t>1000.0</t>
        </is>
      </c>
      <c r="F801" s="7" t="n">
        <v>180</v>
      </c>
      <c r="G801" s="7" t="n">
        <v>0.18</v>
      </c>
      <c r="H801" s="7" t="n">
        <v>0</v>
      </c>
      <c r="I801" s="7" t="n">
        <v>-0.18</v>
      </c>
      <c r="J801" s="8" t="n">
        <v>3</v>
      </c>
      <c r="K801" s="9">
        <f>IFERROR(IF((ROUND((J801/G801)*I801,1))&lt;0,(ROUND((J801/G801)*I801,1)),0),0)</f>
        <v/>
      </c>
    </row>
    <row r="802">
      <c r="A802" s="4" t="n">
        <v>799</v>
      </c>
      <c r="B802" s="5" t="inlineStr">
        <is>
          <t>ALL_PBM</t>
        </is>
      </c>
      <c r="C802" s="5" t="inlineStr">
        <is>
          <t>16729003510</t>
        </is>
      </c>
      <c r="D802" s="5" t="inlineStr">
        <is>
          <t>ANASTROZOLE 1MG TABLET</t>
        </is>
      </c>
      <c r="E802" s="6" t="inlineStr">
        <is>
          <t>30.0</t>
        </is>
      </c>
      <c r="F802" s="7" t="n">
        <v>30</v>
      </c>
      <c r="G802" s="7" t="n">
        <v>1</v>
      </c>
      <c r="H802" s="7" t="n">
        <v>0</v>
      </c>
      <c r="I802" s="7" t="n">
        <v>-1</v>
      </c>
      <c r="J802" s="8" t="n">
        <v>3</v>
      </c>
      <c r="K802" s="9">
        <f>IFERROR(IF((ROUND((J802/G802)*I802,1))&lt;0,(ROUND((J802/G802)*I802,1)),0),0)</f>
        <v/>
      </c>
    </row>
    <row r="803">
      <c r="A803" s="4" t="n">
        <v>800</v>
      </c>
      <c r="B803" s="5" t="inlineStr">
        <is>
          <t>ALL_PBM</t>
        </is>
      </c>
      <c r="C803" s="5" t="inlineStr">
        <is>
          <t>42806001801</t>
        </is>
      </c>
      <c r="D803" s="5" t="inlineStr">
        <is>
          <t>SULINDAC 150 MG ORAL TABLET</t>
        </is>
      </c>
      <c r="E803" s="6" t="inlineStr">
        <is>
          <t>100.0</t>
        </is>
      </c>
      <c r="F803" s="7" t="n">
        <v>30</v>
      </c>
      <c r="G803" s="7" t="n">
        <v>0.3</v>
      </c>
      <c r="H803" s="7" t="n">
        <v>1</v>
      </c>
      <c r="I803" s="7" t="n">
        <v>0.7</v>
      </c>
      <c r="J803" s="8" t="n">
        <v>3</v>
      </c>
      <c r="K803" s="9">
        <f>IFERROR(IF((ROUND((J803/G803)*I803,1))&lt;0,(ROUND((J803/G803)*I803,1)),0),0)</f>
        <v/>
      </c>
    </row>
    <row r="804">
      <c r="A804" s="4" t="n">
        <v>801</v>
      </c>
      <c r="B804" s="5" t="inlineStr">
        <is>
          <t>ALL_PBM</t>
        </is>
      </c>
      <c r="C804" s="5" t="inlineStr">
        <is>
          <t>23155000310</t>
        </is>
      </c>
      <c r="D804" s="5" t="inlineStr">
        <is>
          <t>HYDRALAZINE HCL 50MG TABLET</t>
        </is>
      </c>
      <c r="E804" s="6" t="inlineStr">
        <is>
          <t>1000.0</t>
        </is>
      </c>
      <c r="F804" s="7" t="n">
        <v>90</v>
      </c>
      <c r="G804" s="7" t="n">
        <v>0.09</v>
      </c>
      <c r="H804" s="7" t="n">
        <v>0</v>
      </c>
      <c r="I804" s="7" t="n">
        <v>-0.09</v>
      </c>
      <c r="J804" s="8" t="n">
        <v>3</v>
      </c>
      <c r="K804" s="9">
        <f>IFERROR(IF((ROUND((J804/G804)*I804,1))&lt;0,(ROUND((J804/G804)*I804,1)),0),0)</f>
        <v/>
      </c>
    </row>
    <row r="805">
      <c r="A805" s="4" t="n">
        <v>802</v>
      </c>
      <c r="B805" s="5" t="inlineStr">
        <is>
          <t>ALL_PBM</t>
        </is>
      </c>
      <c r="C805" s="5" t="inlineStr">
        <is>
          <t>23155075001</t>
        </is>
      </c>
      <c r="D805" s="5" t="inlineStr">
        <is>
          <t>BENAZEPRIL HCL 10 MG ORAL TABLET</t>
        </is>
      </c>
      <c r="E805" s="6" t="inlineStr">
        <is>
          <t>100.0</t>
        </is>
      </c>
      <c r="F805" s="7" t="n">
        <v>90</v>
      </c>
      <c r="G805" s="7" t="n">
        <v>0.9</v>
      </c>
      <c r="H805" s="7" t="n">
        <v>0</v>
      </c>
      <c r="I805" s="7" t="n">
        <v>-0.9</v>
      </c>
      <c r="J805" s="8" t="n">
        <v>3</v>
      </c>
      <c r="K805" s="9">
        <f>IFERROR(IF((ROUND((J805/G805)*I805,1))&lt;0,(ROUND((J805/G805)*I805,1)),0),0)</f>
        <v/>
      </c>
    </row>
    <row r="806">
      <c r="A806" s="4" t="n">
        <v>803</v>
      </c>
      <c r="B806" s="5" t="inlineStr">
        <is>
          <t>ALL_PBM</t>
        </is>
      </c>
      <c r="C806" s="5" t="inlineStr">
        <is>
          <t>67877024210</t>
        </is>
      </c>
      <c r="D806" s="5" t="inlineStr">
        <is>
          <t>QUETIAPINE FUMARATE 25 MG ORAL TABLET</t>
        </is>
      </c>
      <c r="E806" s="6" t="inlineStr">
        <is>
          <t>1000.0</t>
        </is>
      </c>
      <c r="F806" s="7" t="n">
        <v>30</v>
      </c>
      <c r="G806" s="7" t="n">
        <v>0.03</v>
      </c>
      <c r="H806" s="7" t="n">
        <v>0</v>
      </c>
      <c r="I806" s="7" t="n">
        <v>-0.03</v>
      </c>
      <c r="J806" s="8" t="n">
        <v>3</v>
      </c>
      <c r="K806" s="9">
        <f>IFERROR(IF((ROUND((J806/G806)*I806,1))&lt;0,(ROUND((J806/G806)*I806,1)),0),0)</f>
        <v/>
      </c>
    </row>
    <row r="807">
      <c r="A807" s="4" t="n">
        <v>804</v>
      </c>
      <c r="B807" s="5" t="inlineStr">
        <is>
          <t>ALL_PBM</t>
        </is>
      </c>
      <c r="C807" s="5" t="inlineStr">
        <is>
          <t>60505010104</t>
        </is>
      </c>
      <c r="D807" s="5" t="inlineStr">
        <is>
          <t>PAROXETINE 40MG TABLET</t>
        </is>
      </c>
      <c r="E807" s="6" t="inlineStr">
        <is>
          <t>1000.0</t>
        </is>
      </c>
      <c r="F807" s="7" t="n">
        <v>30</v>
      </c>
      <c r="G807" s="7" t="n">
        <v>0.03</v>
      </c>
      <c r="H807" s="7" t="n">
        <v>0</v>
      </c>
      <c r="I807" s="7" t="n">
        <v>-0.03</v>
      </c>
      <c r="J807" s="8" t="n">
        <v>2</v>
      </c>
      <c r="K807" s="9">
        <f>IFERROR(IF((ROUND((J807/G807)*I807,1))&lt;0,(ROUND((J807/G807)*I807,1)),0),0)</f>
        <v/>
      </c>
    </row>
    <row r="808">
      <c r="A808" s="4" t="n">
        <v>805</v>
      </c>
      <c r="B808" s="5" t="inlineStr">
        <is>
          <t>ALL_PBM</t>
        </is>
      </c>
      <c r="C808" s="5" t="inlineStr">
        <is>
          <t>13668000705</t>
        </is>
      </c>
      <c r="D808" s="5" t="inlineStr">
        <is>
          <t xml:space="preserve">ZOLPIDEM TARTRATE 5MG TAB </t>
        </is>
      </c>
      <c r="E808" s="6" t="inlineStr">
        <is>
          <t>500.0</t>
        </is>
      </c>
      <c r="F808" s="7" t="n">
        <v>140</v>
      </c>
      <c r="G808" s="7" t="n">
        <v>0.28</v>
      </c>
      <c r="H808" s="7" t="n">
        <v>0</v>
      </c>
      <c r="I808" s="7" t="n">
        <v>-0.28</v>
      </c>
      <c r="J808" s="8" t="n">
        <v>2</v>
      </c>
      <c r="K808" s="9">
        <f>IFERROR(IF((ROUND((J808/G808)*I808,1))&lt;0,(ROUND((J808/G808)*I808,1)),0),0)</f>
        <v/>
      </c>
    </row>
    <row r="809">
      <c r="A809" s="4" t="n">
        <v>806</v>
      </c>
      <c r="B809" s="5" t="inlineStr">
        <is>
          <t>ALL_PBM</t>
        </is>
      </c>
      <c r="C809" s="5" t="inlineStr">
        <is>
          <t>13107015430</t>
        </is>
      </c>
      <c r="D809" s="5" t="inlineStr">
        <is>
          <t>PAROXETINE 10MG TABLET</t>
        </is>
      </c>
      <c r="E809" s="6" t="inlineStr">
        <is>
          <t>30.0</t>
        </is>
      </c>
      <c r="F809" s="7" t="n">
        <v>30</v>
      </c>
      <c r="G809" s="7" t="n">
        <v>1</v>
      </c>
      <c r="H809" s="7" t="n">
        <v>0</v>
      </c>
      <c r="I809" s="7" t="n">
        <v>-1</v>
      </c>
      <c r="J809" s="8" t="n">
        <v>2</v>
      </c>
      <c r="K809" s="9">
        <f>IFERROR(IF((ROUND((J809/G809)*I809,1))&lt;0,(ROUND((J809/G809)*I809,1)),0),0)</f>
        <v/>
      </c>
    </row>
    <row r="810">
      <c r="A810" s="4" t="n">
        <v>807</v>
      </c>
      <c r="B810" s="5" t="inlineStr">
        <is>
          <t>ALL_PBM</t>
        </is>
      </c>
      <c r="C810" s="5" t="inlineStr">
        <is>
          <t>64980043401</t>
        </is>
      </c>
      <c r="D810" s="5" t="inlineStr">
        <is>
          <t>MIDODRINE 5MG TABLET</t>
        </is>
      </c>
      <c r="E810" s="6" t="inlineStr">
        <is>
          <t>100.0</t>
        </is>
      </c>
      <c r="F810" s="7" t="n">
        <v>12</v>
      </c>
      <c r="G810" s="7" t="n">
        <v>0.12</v>
      </c>
      <c r="H810" s="7" t="n">
        <v>0</v>
      </c>
      <c r="I810" s="7" t="n">
        <v>-0.12</v>
      </c>
      <c r="J810" s="8" t="n">
        <v>2</v>
      </c>
      <c r="K810" s="9">
        <f>IFERROR(IF((ROUND((J810/G810)*I810,1))&lt;0,(ROUND((J810/G810)*I810,1)),0),0)</f>
        <v/>
      </c>
    </row>
    <row r="811">
      <c r="A811" s="4" t="n">
        <v>808</v>
      </c>
      <c r="B811" s="5" t="inlineStr">
        <is>
          <t>ALL_PBM</t>
        </is>
      </c>
      <c r="C811" s="5" t="inlineStr">
        <is>
          <t>67877026218</t>
        </is>
      </c>
      <c r="D811" s="5" t="inlineStr">
        <is>
          <t>RIZATRIPTAN BENZOATE 10MG TABLET</t>
        </is>
      </c>
      <c r="E811" s="6" t="inlineStr">
        <is>
          <t>18.0</t>
        </is>
      </c>
      <c r="F811" s="7" t="n">
        <v>12</v>
      </c>
      <c r="G811" s="7" t="n">
        <v>0.6666666666666666</v>
      </c>
      <c r="H811" s="7" t="n">
        <v>0</v>
      </c>
      <c r="I811" s="7" t="n">
        <v>-0.6666666666666666</v>
      </c>
      <c r="J811" s="8" t="n">
        <v>2</v>
      </c>
      <c r="K811" s="9">
        <f>IFERROR(IF((ROUND((J811/G811)*I811,1))&lt;0,(ROUND((J811/G811)*I811,1)),0),0)</f>
        <v/>
      </c>
    </row>
    <row r="812">
      <c r="A812" s="4" t="n">
        <v>809</v>
      </c>
      <c r="B812" s="5" t="inlineStr">
        <is>
          <t>ALL_PBM</t>
        </is>
      </c>
      <c r="C812" s="5" t="inlineStr">
        <is>
          <t>82619012601</t>
        </is>
      </c>
      <c r="D812" s="5" t="inlineStr">
        <is>
          <t>PREGABALIN 150 MG ORAL CAPSULE</t>
        </is>
      </c>
      <c r="E812" s="6" t="inlineStr">
        <is>
          <t>90.0</t>
        </is>
      </c>
      <c r="F812" s="7" t="n">
        <v>60</v>
      </c>
      <c r="G812" s="7" t="n">
        <v>0.6666666666666666</v>
      </c>
      <c r="H812" s="7" t="n">
        <v>1</v>
      </c>
      <c r="I812" s="7" t="n">
        <v>0.3333333333333334</v>
      </c>
      <c r="J812" s="8" t="n">
        <v>2</v>
      </c>
      <c r="K812" s="9">
        <f>IFERROR(IF((ROUND((J812/G812)*I812,1))&lt;0,(ROUND((J812/G812)*I812,1)),0),0)</f>
        <v/>
      </c>
    </row>
    <row r="813">
      <c r="A813" s="4" t="n">
        <v>810</v>
      </c>
      <c r="B813" s="5" t="inlineStr">
        <is>
          <t>ALL_PBM</t>
        </is>
      </c>
      <c r="C813" s="5" t="inlineStr">
        <is>
          <t>00093171601</t>
        </is>
      </c>
      <c r="D813" s="5" t="inlineStr">
        <is>
          <t xml:space="preserve">WARFARIN 4MG TAB </t>
        </is>
      </c>
      <c r="E813" s="6" t="inlineStr">
        <is>
          <t>100.0</t>
        </is>
      </c>
      <c r="F813" s="7" t="n">
        <v>50</v>
      </c>
      <c r="G813" s="7" t="n">
        <v>0.5</v>
      </c>
      <c r="H813" s="7" t="n">
        <v>0</v>
      </c>
      <c r="I813" s="7" t="n">
        <v>-0.5</v>
      </c>
      <c r="J813" s="8" t="n">
        <v>2</v>
      </c>
      <c r="K813" s="9">
        <f>IFERROR(IF((ROUND((J813/G813)*I813,1))&lt;0,(ROUND((J813/G813)*I813,1)),0),0)</f>
        <v/>
      </c>
    </row>
    <row r="814">
      <c r="A814" s="4" t="n">
        <v>811</v>
      </c>
      <c r="B814" s="5" t="inlineStr">
        <is>
          <t>ALL_PBM</t>
        </is>
      </c>
      <c r="C814" s="5" t="inlineStr">
        <is>
          <t>65862018601</t>
        </is>
      </c>
      <c r="D814" s="5" t="inlineStr">
        <is>
          <t>CLINDAMYCIN 300MG CAPSULE</t>
        </is>
      </c>
      <c r="E814" s="6" t="inlineStr">
        <is>
          <t>100.0</t>
        </is>
      </c>
      <c r="F814" s="7" t="n">
        <v>21</v>
      </c>
      <c r="G814" s="7" t="n">
        <v>0.21</v>
      </c>
      <c r="H814" s="7" t="n">
        <v>0</v>
      </c>
      <c r="I814" s="7" t="n">
        <v>-0.21</v>
      </c>
      <c r="J814" s="8" t="n">
        <v>2</v>
      </c>
      <c r="K814" s="9">
        <f>IFERROR(IF((ROUND((J814/G814)*I814,1))&lt;0,(ROUND((J814/G814)*I814,1)),0),0)</f>
        <v/>
      </c>
    </row>
    <row r="815">
      <c r="A815" s="4" t="n">
        <v>812</v>
      </c>
      <c r="B815" s="5" t="inlineStr">
        <is>
          <t>ALL_PBM</t>
        </is>
      </c>
      <c r="C815" s="5" t="inlineStr">
        <is>
          <t>45802000403</t>
        </is>
      </c>
      <c r="D815" s="5" t="inlineStr">
        <is>
          <t xml:space="preserve">HYDROCORTISONE 2.5 % EXTERNAL CREAM </t>
        </is>
      </c>
      <c r="E815" s="6" t="inlineStr">
        <is>
          <t>28.0</t>
        </is>
      </c>
      <c r="F815" s="7" t="n">
        <v>28</v>
      </c>
      <c r="G815" s="7" t="n">
        <v>1</v>
      </c>
      <c r="H815" s="7" t="n">
        <v>0</v>
      </c>
      <c r="I815" s="7" t="n">
        <v>-1</v>
      </c>
      <c r="J815" s="8" t="n">
        <v>2</v>
      </c>
      <c r="K815" s="9">
        <f>IFERROR(IF((ROUND((J815/G815)*I815,1))&lt;0,(ROUND((J815/G815)*I815,1)),0),0)</f>
        <v/>
      </c>
    </row>
    <row r="816">
      <c r="A816" s="4" t="n">
        <v>813</v>
      </c>
      <c r="B816" s="5" t="inlineStr">
        <is>
          <t>ALL_PBM</t>
        </is>
      </c>
      <c r="C816" s="5" t="inlineStr">
        <is>
          <t>16571010610</t>
        </is>
      </c>
      <c r="D816" s="5" t="inlineStr">
        <is>
          <t>AMITRIPTYLINE 25MG TABLET</t>
        </is>
      </c>
      <c r="E816" s="6" t="inlineStr">
        <is>
          <t>1000.0</t>
        </is>
      </c>
      <c r="F816" s="7" t="n">
        <v>30</v>
      </c>
      <c r="G816" s="7" t="n">
        <v>0.03</v>
      </c>
      <c r="H816" s="7" t="n">
        <v>0</v>
      </c>
      <c r="I816" s="7" t="n">
        <v>-0.03</v>
      </c>
      <c r="J816" s="8" t="n">
        <v>2</v>
      </c>
      <c r="K816" s="9">
        <f>IFERROR(IF((ROUND((J816/G816)*I816,1))&lt;0,(ROUND((J816/G816)*I816,1)),0),0)</f>
        <v/>
      </c>
    </row>
    <row r="817">
      <c r="A817" s="4" t="n">
        <v>814</v>
      </c>
      <c r="B817" s="5" t="inlineStr">
        <is>
          <t>ALL_PBM</t>
        </is>
      </c>
      <c r="C817" s="5" t="inlineStr">
        <is>
          <t>43598096830</t>
        </is>
      </c>
      <c r="D817" s="5" t="inlineStr">
        <is>
          <t>ARIPIPRAZOLE 15MG TABLET</t>
        </is>
      </c>
      <c r="E817" s="6" t="inlineStr">
        <is>
          <t>30.0</t>
        </is>
      </c>
      <c r="F817" s="7" t="n">
        <v>30</v>
      </c>
      <c r="G817" s="7" t="n">
        <v>1</v>
      </c>
      <c r="H817" s="7" t="n">
        <v>0</v>
      </c>
      <c r="I817" s="7" t="n">
        <v>-1</v>
      </c>
      <c r="J817" s="8" t="n">
        <v>2</v>
      </c>
      <c r="K817" s="9">
        <f>IFERROR(IF((ROUND((J817/G817)*I817,1))&lt;0,(ROUND((J817/G817)*I817,1)),0),0)</f>
        <v/>
      </c>
    </row>
    <row r="818">
      <c r="A818" s="4" t="n">
        <v>815</v>
      </c>
      <c r="B818" s="5" t="inlineStr">
        <is>
          <t>ALL_PBM</t>
        </is>
      </c>
      <c r="C818" s="5" t="inlineStr">
        <is>
          <t>00406324301</t>
        </is>
      </c>
      <c r="D818" s="5" t="inlineStr">
        <is>
          <t>HYDROMORPHONE HCL 2 MG ORAL TABLET</t>
        </is>
      </c>
      <c r="E818" s="6" t="inlineStr">
        <is>
          <t>100.0</t>
        </is>
      </c>
      <c r="F818" s="7" t="n">
        <v>28</v>
      </c>
      <c r="G818" s="7" t="n">
        <v>0.28</v>
      </c>
      <c r="H818" s="7" t="n">
        <v>0</v>
      </c>
      <c r="I818" s="7" t="n">
        <v>-0.28</v>
      </c>
      <c r="J818" s="8" t="n">
        <v>2</v>
      </c>
      <c r="K818" s="9">
        <f>IFERROR(IF((ROUND((J818/G818)*I818,1))&lt;0,(ROUND((J818/G818)*I818,1)),0),0)</f>
        <v/>
      </c>
    </row>
    <row r="819">
      <c r="A819" s="4" t="n">
        <v>816</v>
      </c>
      <c r="B819" s="5" t="inlineStr">
        <is>
          <t>ALL_PBM</t>
        </is>
      </c>
      <c r="C819" s="5" t="inlineStr">
        <is>
          <t>00378210005</t>
        </is>
      </c>
      <c r="D819" s="5" t="inlineStr">
        <is>
          <t xml:space="preserve">LOPERAMIDE 2MG CAP </t>
        </is>
      </c>
      <c r="E819" s="6" t="inlineStr">
        <is>
          <t>500.0</t>
        </is>
      </c>
      <c r="F819" s="7" t="n">
        <v>15</v>
      </c>
      <c r="G819" s="7" t="n">
        <v>0.03</v>
      </c>
      <c r="H819" s="7" t="n">
        <v>0</v>
      </c>
      <c r="I819" s="7" t="n">
        <v>-0.03</v>
      </c>
      <c r="J819" s="8" t="n">
        <v>2</v>
      </c>
      <c r="K819" s="9">
        <f>IFERROR(IF((ROUND((J819/G819)*I819,1))&lt;0,(ROUND((J819/G819)*I819,1)),0),0)</f>
        <v/>
      </c>
    </row>
    <row r="820">
      <c r="A820" s="4" t="n">
        <v>817</v>
      </c>
      <c r="B820" s="5" t="inlineStr">
        <is>
          <t>ALL_PBM</t>
        </is>
      </c>
      <c r="C820" s="5" t="inlineStr">
        <is>
          <t>00143983601</t>
        </is>
      </c>
      <c r="D820" s="5" t="inlineStr">
        <is>
          <t>PENICILLIN V POTASSIUM 500 MG TABLET</t>
        </is>
      </c>
      <c r="E820" s="6" t="inlineStr">
        <is>
          <t>100.0</t>
        </is>
      </c>
      <c r="F820" s="7" t="n">
        <v>21</v>
      </c>
      <c r="G820" s="7" t="n">
        <v>0.21</v>
      </c>
      <c r="H820" s="7" t="n">
        <v>1</v>
      </c>
      <c r="I820" s="7" t="n">
        <v>0.79</v>
      </c>
      <c r="J820" s="8" t="n">
        <v>1</v>
      </c>
      <c r="K820" s="9">
        <f>IFERROR(IF((ROUND((J820/G820)*I820,1))&lt;0,(ROUND((J820/G820)*I820,1)),0),0)</f>
        <v/>
      </c>
    </row>
    <row r="821">
      <c r="A821" s="4" t="n">
        <v>818</v>
      </c>
      <c r="B821" s="5" t="inlineStr">
        <is>
          <t>ALL_PBM</t>
        </is>
      </c>
      <c r="C821" s="5" t="inlineStr">
        <is>
          <t>64380076111</t>
        </is>
      </c>
      <c r="D821" s="5" t="inlineStr">
        <is>
          <t>OMEGA-3-ACID ETHYL ESTERS 1 GM ORAL CAPSULE</t>
        </is>
      </c>
      <c r="E821" s="6" t="inlineStr">
        <is>
          <t>120.0</t>
        </is>
      </c>
      <c r="F821" s="7" t="n">
        <v>30</v>
      </c>
      <c r="G821" s="7" t="n">
        <v>0.25</v>
      </c>
      <c r="H821" s="7" t="n">
        <v>6</v>
      </c>
      <c r="I821" s="7" t="n">
        <v>5.75</v>
      </c>
      <c r="J821" s="8" t="n">
        <v>1</v>
      </c>
      <c r="K821" s="9">
        <f>IFERROR(IF((ROUND((J821/G821)*I821,1))&lt;0,(ROUND((J821/G821)*I821,1)),0),0)</f>
        <v/>
      </c>
    </row>
    <row r="822">
      <c r="A822" s="4" t="n">
        <v>819</v>
      </c>
      <c r="B822" s="5" t="inlineStr">
        <is>
          <t>ALL_PBM</t>
        </is>
      </c>
      <c r="C822" s="5" t="inlineStr">
        <is>
          <t>00172392660</t>
        </is>
      </c>
      <c r="D822" s="5" t="inlineStr">
        <is>
          <t>DIAZEPAM 5MG TABLET</t>
        </is>
      </c>
      <c r="E822" s="6" t="inlineStr">
        <is>
          <t>100.0</t>
        </is>
      </c>
      <c r="F822" s="7" t="n">
        <v>12</v>
      </c>
      <c r="G822" s="7" t="n">
        <v>0.12</v>
      </c>
      <c r="H822" s="7" t="n">
        <v>3</v>
      </c>
      <c r="I822" s="7" t="n">
        <v>2.88</v>
      </c>
      <c r="J822" s="8" t="n">
        <v>1</v>
      </c>
      <c r="K822" s="9">
        <f>IFERROR(IF((ROUND((J822/G822)*I822,1))&lt;0,(ROUND((J822/G822)*I822,1)),0),0)</f>
        <v/>
      </c>
    </row>
    <row r="823">
      <c r="A823" s="4" t="n">
        <v>820</v>
      </c>
      <c r="B823" s="5" t="inlineStr">
        <is>
          <t>ALL_PBM</t>
        </is>
      </c>
      <c r="C823" s="5" t="inlineStr">
        <is>
          <t>69367024101</t>
        </is>
      </c>
      <c r="D823" s="5" t="inlineStr">
        <is>
          <t>NABUMETONE 500MG TABLET</t>
        </is>
      </c>
      <c r="E823" s="6" t="inlineStr">
        <is>
          <t>100.0</t>
        </is>
      </c>
      <c r="F823" s="7" t="n">
        <v>14</v>
      </c>
      <c r="G823" s="7" t="n">
        <v>0.14</v>
      </c>
      <c r="H823" s="7" t="n">
        <v>0</v>
      </c>
      <c r="I823" s="7" t="n">
        <v>-0.14</v>
      </c>
      <c r="J823" s="8" t="n">
        <v>1</v>
      </c>
      <c r="K823" s="9">
        <f>IFERROR(IF((ROUND((J823/G823)*I823,1))&lt;0,(ROUND((J823/G823)*I823,1)),0),0)</f>
        <v/>
      </c>
    </row>
    <row r="824">
      <c r="A824" s="4" t="n">
        <v>821</v>
      </c>
      <c r="B824" s="5" t="inlineStr">
        <is>
          <t>ALL_PBM</t>
        </is>
      </c>
      <c r="C824" s="5" t="inlineStr">
        <is>
          <t>51672400101</t>
        </is>
      </c>
      <c r="D824" s="5" t="inlineStr">
        <is>
          <t>NORTRIPTYLINE 10MG CAPSULE</t>
        </is>
      </c>
      <c r="E824" s="6" t="inlineStr">
        <is>
          <t>100.0</t>
        </is>
      </c>
      <c r="F824" s="7" t="n">
        <v>30</v>
      </c>
      <c r="G824" s="7" t="n">
        <v>0.3</v>
      </c>
      <c r="H824" s="7" t="n">
        <v>0</v>
      </c>
      <c r="I824" s="7" t="n">
        <v>-0.3</v>
      </c>
      <c r="J824" s="8" t="n">
        <v>1</v>
      </c>
      <c r="K824" s="9">
        <f>IFERROR(IF((ROUND((J824/G824)*I824,1))&lt;0,(ROUND((J824/G824)*I824,1)),0),0)</f>
        <v/>
      </c>
    </row>
    <row r="825">
      <c r="A825" s="4" t="n">
        <v>822</v>
      </c>
      <c r="B825" s="5" t="inlineStr">
        <is>
          <t>ALL_PBM</t>
        </is>
      </c>
      <c r="C825" s="5" t="inlineStr">
        <is>
          <t>68462039610</t>
        </is>
      </c>
      <c r="D825" s="5" t="inlineStr">
        <is>
          <t>OMEPRAZOLE 20MG CAPSULE DR</t>
        </is>
      </c>
      <c r="E825" s="6" t="inlineStr">
        <is>
          <t>1000.0</t>
        </is>
      </c>
      <c r="F825" s="7" t="n">
        <v>90</v>
      </c>
      <c r="G825" s="7" t="n">
        <v>0.09</v>
      </c>
      <c r="H825" s="7" t="n">
        <v>2</v>
      </c>
      <c r="I825" s="7" t="n">
        <v>1.91</v>
      </c>
      <c r="J825" s="8" t="n">
        <v>1</v>
      </c>
      <c r="K825" s="9">
        <f>IFERROR(IF((ROUND((J825/G825)*I825,1))&lt;0,(ROUND((J825/G825)*I825,1)),0),0)</f>
        <v/>
      </c>
    </row>
    <row r="826">
      <c r="A826" s="4" t="n">
        <v>823</v>
      </c>
      <c r="B826" s="5" t="inlineStr">
        <is>
          <t>ALL_PBM</t>
        </is>
      </c>
      <c r="C826" s="5" t="inlineStr">
        <is>
          <t>51672403001</t>
        </is>
      </c>
      <c r="D826" s="5" t="inlineStr">
        <is>
          <t>WARFARIN SODIUM 3MG TABLET</t>
        </is>
      </c>
      <c r="E826" s="6" t="inlineStr">
        <is>
          <t>100.0</t>
        </is>
      </c>
      <c r="F826" s="7" t="n">
        <v>30</v>
      </c>
      <c r="G826" s="7" t="n">
        <v>0.3</v>
      </c>
      <c r="H826" s="7" t="n">
        <v>0</v>
      </c>
      <c r="I826" s="7" t="n">
        <v>-0.3</v>
      </c>
      <c r="J826" s="8" t="n">
        <v>1</v>
      </c>
      <c r="K826" s="9">
        <f>IFERROR(IF((ROUND((J826/G826)*I826,1))&lt;0,(ROUND((J826/G826)*I826,1)),0),0)</f>
        <v/>
      </c>
    </row>
    <row r="827">
      <c r="A827" s="4" t="n">
        <v>824</v>
      </c>
      <c r="B827" s="5" t="inlineStr">
        <is>
          <t>ALL_PBM</t>
        </is>
      </c>
      <c r="C827" s="5" t="inlineStr">
        <is>
          <t>68180051802</t>
        </is>
      </c>
      <c r="D827" s="5" t="inlineStr">
        <is>
          <t xml:space="preserve">LISINOPRIL-HCTZ 10-12.5MG TAB </t>
        </is>
      </c>
      <c r="E827" s="6" t="inlineStr">
        <is>
          <t>500.0</t>
        </is>
      </c>
      <c r="F827" s="7" t="n">
        <v>30</v>
      </c>
      <c r="G827" s="7" t="n">
        <v>0.06</v>
      </c>
      <c r="H827" s="7" t="n">
        <v>0</v>
      </c>
      <c r="I827" s="7" t="n">
        <v>-0.06</v>
      </c>
      <c r="J827" s="8" t="n">
        <v>1</v>
      </c>
      <c r="K827" s="9">
        <f>IFERROR(IF((ROUND((J827/G827)*I827,1))&lt;0,(ROUND((J827/G827)*I827,1)),0),0)</f>
        <v/>
      </c>
    </row>
    <row r="828">
      <c r="A828" s="4" t="n">
        <v>825</v>
      </c>
      <c r="B828" s="5" t="inlineStr">
        <is>
          <t>ALL_PBM</t>
        </is>
      </c>
      <c r="C828" s="5" t="inlineStr">
        <is>
          <t>55111032005</t>
        </is>
      </c>
      <c r="D828" s="5" t="inlineStr">
        <is>
          <t>GLIMEPIRIDE 1 MG ORAL TABLET</t>
        </is>
      </c>
      <c r="E828" s="6" t="inlineStr">
        <is>
          <t>500.0</t>
        </is>
      </c>
      <c r="F828" s="7" t="n">
        <v>30</v>
      </c>
      <c r="G828" s="7" t="n">
        <v>0.06</v>
      </c>
      <c r="H828" s="7" t="n">
        <v>0</v>
      </c>
      <c r="I828" s="7" t="n">
        <v>-0.06</v>
      </c>
      <c r="J828" s="8" t="n">
        <v>1</v>
      </c>
      <c r="K828" s="9">
        <f>IFERROR(IF((ROUND((J828/G828)*I828,1))&lt;0,(ROUND((J828/G828)*I828,1)),0),0)</f>
        <v/>
      </c>
    </row>
    <row r="829">
      <c r="A829" s="4" t="n">
        <v>826</v>
      </c>
      <c r="B829" s="5" t="inlineStr">
        <is>
          <t>ALL_PBM</t>
        </is>
      </c>
      <c r="C829" s="5" t="inlineStr">
        <is>
          <t>65862022801</t>
        </is>
      </c>
      <c r="D829" s="5" t="inlineStr">
        <is>
          <t>LAMOTRIGINE 100MG TABLET</t>
        </is>
      </c>
      <c r="E829" s="6" t="inlineStr">
        <is>
          <t>100.0</t>
        </is>
      </c>
      <c r="F829" s="7" t="n">
        <v>30</v>
      </c>
      <c r="G829" s="7" t="n">
        <v>0.3</v>
      </c>
      <c r="H829" s="7" t="n">
        <v>0</v>
      </c>
      <c r="I829" s="7" t="n">
        <v>-0.3</v>
      </c>
      <c r="J829" s="8" t="n">
        <v>1</v>
      </c>
      <c r="K829" s="9">
        <f>IFERROR(IF((ROUND((J829/G829)*I829,1))&lt;0,(ROUND((J829/G829)*I829,1)),0),0)</f>
        <v/>
      </c>
    </row>
    <row r="830">
      <c r="A830" s="4" t="n">
        <v>827</v>
      </c>
      <c r="B830" s="5" t="inlineStr">
        <is>
          <t>ALL_PBM</t>
        </is>
      </c>
      <c r="C830" s="5" t="inlineStr">
        <is>
          <t>72578010092</t>
        </is>
      </c>
      <c r="D830" s="5" t="inlineStr">
        <is>
          <t>LEVOFLOXACIN 750MG TABLET</t>
        </is>
      </c>
      <c r="E830" s="6" t="inlineStr">
        <is>
          <t>20.0</t>
        </is>
      </c>
      <c r="F830" s="7" t="n">
        <v>3</v>
      </c>
      <c r="G830" s="7" t="n">
        <v>0.15</v>
      </c>
      <c r="H830" s="7" t="n">
        <v>0</v>
      </c>
      <c r="I830" s="7" t="n">
        <v>-0.15</v>
      </c>
      <c r="J830" s="8" t="n">
        <v>1</v>
      </c>
      <c r="K830" s="9">
        <f>IFERROR(IF((ROUND((J830/G830)*I830,1))&lt;0,(ROUND((J830/G830)*I830,1)),0),0)</f>
        <v/>
      </c>
    </row>
    <row r="831">
      <c r="E831" s="10" t="inlineStr">
        <is>
          <t>TOTAL</t>
        </is>
      </c>
      <c r="F831" s="11">
        <f>SUM(F4:F830)</f>
        <v/>
      </c>
      <c r="G831" s="11">
        <f>SUM(G4:G830)</f>
        <v/>
      </c>
      <c r="H831" s="11">
        <f>SUM(H4:H830)</f>
        <v/>
      </c>
      <c r="I831" s="11">
        <f>SUM(I4:I830)</f>
        <v/>
      </c>
      <c r="J831" s="12">
        <f>SUM(J4:J830)</f>
        <v/>
      </c>
      <c r="K831" s="13">
        <f>SUM(K4:K830)</f>
        <v/>
      </c>
    </row>
    <row r="832">
      <c r="J832" s="14" t="inlineStr">
        <is>
          <t>Audited Drugs Count</t>
        </is>
      </c>
      <c r="K832" s="15">
        <f>COUNTIF(K4:K830,"&lt;0")</f>
        <v/>
      </c>
    </row>
    <row r="833">
      <c r="J833" s="14" t="inlineStr">
        <is>
          <t>Total Audit Exposure</t>
        </is>
      </c>
      <c r="K833" s="16">
        <f>SUMIF(K4:K830,"&lt;0",K4:K830)</f>
        <v/>
      </c>
    </row>
  </sheetData>
  <autoFilter ref="A3:K830"/>
  <mergeCells count="2">
    <mergeCell ref="A2:K2"/>
    <mergeCell ref="A1:K1"/>
  </mergeCells>
  <conditionalFormatting sqref="E4:K83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7</v>
      </c>
      <c r="I4" s="7" t="n">
        <v>6</v>
      </c>
      <c r="J4" s="8" t="n">
        <v>961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00003089421</t>
        </is>
      </c>
      <c r="D5" s="5" t="inlineStr">
        <is>
          <t xml:space="preserve">ELIQUIS 5MG TAB </t>
        </is>
      </c>
      <c r="E5" s="6" t="inlineStr">
        <is>
          <t>60.0</t>
        </is>
      </c>
      <c r="F5" s="7" t="n">
        <v>120</v>
      </c>
      <c r="G5" s="7" t="n">
        <v>2</v>
      </c>
      <c r="H5" s="7" t="n">
        <v>21</v>
      </c>
      <c r="I5" s="7" t="n">
        <v>19</v>
      </c>
      <c r="J5" s="8" t="n">
        <v>493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72205028060</t>
        </is>
      </c>
      <c r="D6" s="5" t="inlineStr">
        <is>
          <t>SACUBITRIL-VALSARTAN 24-26 MG ORAL TABLET</t>
        </is>
      </c>
      <c r="E6" s="6" t="inlineStr">
        <is>
          <t>60.0</t>
        </is>
      </c>
      <c r="F6" s="7" t="n">
        <v>120</v>
      </c>
      <c r="G6" s="7" t="n">
        <v>2</v>
      </c>
      <c r="H6" s="7" t="n">
        <v>0</v>
      </c>
      <c r="I6" s="7" t="n">
        <v>-2</v>
      </c>
      <c r="J6" s="8" t="n">
        <v>173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68382066010</t>
        </is>
      </c>
      <c r="D7" s="5" t="inlineStr">
        <is>
          <t>SPIRONOLACTONE 25MG TABLET</t>
        </is>
      </c>
      <c r="E7" s="6" t="inlineStr">
        <is>
          <t>1000.0</t>
        </is>
      </c>
      <c r="F7" s="7" t="n">
        <v>60</v>
      </c>
      <c r="G7" s="7" t="n">
        <v>0.06</v>
      </c>
      <c r="H7" s="7" t="n">
        <v>0</v>
      </c>
      <c r="I7" s="7" t="n">
        <v>-0.06</v>
      </c>
      <c r="J7" s="8" t="n">
        <v>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70377007813</t>
        </is>
      </c>
      <c r="D8" s="5" t="inlineStr">
        <is>
          <t>ATORVASTATIN 20MG TABLET</t>
        </is>
      </c>
      <c r="E8" s="6" t="inlineStr">
        <is>
          <t>1000.0</t>
        </is>
      </c>
      <c r="F8" s="7" t="n">
        <v>60</v>
      </c>
      <c r="G8" s="7" t="n">
        <v>0.06</v>
      </c>
      <c r="H8" s="7" t="n">
        <v>4</v>
      </c>
      <c r="I8" s="7" t="n">
        <v>3.94</v>
      </c>
      <c r="J8" s="8" t="n">
        <v>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68382009205</t>
        </is>
      </c>
      <c r="D9" s="5" t="inlineStr">
        <is>
          <t xml:space="preserve">CARVEDILOL 3.125MG TAB </t>
        </is>
      </c>
      <c r="E9" s="6" t="inlineStr">
        <is>
          <t>500.0</t>
        </is>
      </c>
      <c r="F9" s="7" t="n">
        <v>60</v>
      </c>
      <c r="G9" s="7" t="n">
        <v>0.12</v>
      </c>
      <c r="H9" s="7" t="n">
        <v>0</v>
      </c>
      <c r="I9" s="7" t="n">
        <v>-0.12</v>
      </c>
      <c r="J9" s="8" t="n">
        <v>3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57237010099</t>
        </is>
      </c>
      <c r="D10" s="5" t="inlineStr">
        <is>
          <t>METOPROLOL TARTRATE 25MG TABLET</t>
        </is>
      </c>
      <c r="E10" s="6" t="inlineStr">
        <is>
          <t>1000.0</t>
        </is>
      </c>
      <c r="F10" s="7" t="n">
        <v>120</v>
      </c>
      <c r="G10" s="7" t="n">
        <v>0.12</v>
      </c>
      <c r="H10" s="7" t="n">
        <v>0</v>
      </c>
      <c r="I10" s="7" t="n">
        <v>-0.12</v>
      </c>
      <c r="J10" s="8" t="n">
        <v>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59762033302</t>
        </is>
      </c>
      <c r="D11" s="5" t="inlineStr">
        <is>
          <t>LATANOPROST 0.005 % OPHTHALMIC SOLUTION</t>
        </is>
      </c>
      <c r="E11" s="6" t="inlineStr">
        <is>
          <t>2.5</t>
        </is>
      </c>
      <c r="F11" s="7" t="n">
        <v>2.5</v>
      </c>
      <c r="G11" s="7" t="n">
        <v>1</v>
      </c>
      <c r="H11" s="7" t="n">
        <v>48</v>
      </c>
      <c r="I11" s="7" t="n">
        <v>47</v>
      </c>
      <c r="J11" s="8" t="n">
        <v>2</v>
      </c>
      <c r="K11" s="9">
        <f>IFERROR(IF((ROUND((J11/G11)*I11,1))&lt;0,(ROUND((J11/G11)*I11,1)),0),0)</f>
        <v/>
      </c>
    </row>
    <row r="12">
      <c r="E12" s="10" t="inlineStr">
        <is>
          <t>TOTAL</t>
        </is>
      </c>
      <c r="F12" s="11">
        <f>SUM(F4:F11)</f>
        <v/>
      </c>
      <c r="G12" s="11">
        <f>SUM(G4:G11)</f>
        <v/>
      </c>
      <c r="H12" s="11">
        <f>SUM(H4:H11)</f>
        <v/>
      </c>
      <c r="I12" s="11">
        <f>SUM(I4:I11)</f>
        <v/>
      </c>
      <c r="J12" s="12">
        <f>SUM(J4:J11)</f>
        <v/>
      </c>
      <c r="K12" s="13">
        <f>SUM(K4:K11)</f>
        <v/>
      </c>
    </row>
    <row r="13">
      <c r="J13" s="14" t="inlineStr">
        <is>
          <t>Audited Drugs Count</t>
        </is>
      </c>
      <c r="K13" s="15">
        <f>COUNTIF(K4:K11,"&lt;0")</f>
        <v/>
      </c>
    </row>
    <row r="14">
      <c r="J14" s="14" t="inlineStr">
        <is>
          <t>Total Audit Exposure</t>
        </is>
      </c>
      <c r="K14" s="16">
        <f>SUMIF(K4:K11,"&lt;0",K4:K11)</f>
        <v/>
      </c>
    </row>
  </sheetData>
  <autoFilter ref="A3:K11"/>
  <mergeCells count="2">
    <mergeCell ref="A2:K2"/>
    <mergeCell ref="A1:K1"/>
  </mergeCells>
  <conditionalFormatting sqref="E4:K1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6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81</v>
      </c>
      <c r="G4" s="7" t="n">
        <v>27</v>
      </c>
      <c r="H4" s="7" t="n">
        <v>30</v>
      </c>
      <c r="I4" s="7" t="n">
        <v>3</v>
      </c>
      <c r="J4" s="8" t="n">
        <v>26095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69</v>
      </c>
      <c r="G5" s="7" t="n">
        <v>23</v>
      </c>
      <c r="H5" s="7" t="n">
        <v>34</v>
      </c>
      <c r="I5" s="7" t="n">
        <v>11</v>
      </c>
      <c r="J5" s="8" t="n">
        <v>22184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24208037705</t>
        </is>
      </c>
      <c r="D6" s="5" t="inlineStr">
        <is>
          <t>MIEBO 1.338 GM/ML OPHTHALMIC SOLUTION</t>
        </is>
      </c>
      <c r="E6" s="6" t="inlineStr">
        <is>
          <t>3.0</t>
        </is>
      </c>
      <c r="F6" s="7" t="n">
        <v>72</v>
      </c>
      <c r="G6" s="7" t="n">
        <v>24</v>
      </c>
      <c r="H6" s="7" t="n">
        <v>24</v>
      </c>
      <c r="I6" s="7" t="n">
        <v>0</v>
      </c>
      <c r="J6" s="8" t="n">
        <v>18191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1680</v>
      </c>
      <c r="G7" s="7" t="n">
        <v>28</v>
      </c>
      <c r="H7" s="7" t="n">
        <v>16</v>
      </c>
      <c r="I7" s="7" t="n">
        <v>-12</v>
      </c>
      <c r="J7" s="8" t="n">
        <v>16996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00002148480</t>
        </is>
      </c>
      <c r="D8" s="5" t="inlineStr">
        <is>
          <t>MOUNJARO 7.5 MG/0.5ML PEN-INJECTOR</t>
        </is>
      </c>
      <c r="E8" s="6" t="inlineStr">
        <is>
          <t>2.0</t>
        </is>
      </c>
      <c r="F8" s="7" t="n">
        <v>20</v>
      </c>
      <c r="G8" s="7" t="n">
        <v>10</v>
      </c>
      <c r="H8" s="7" t="n">
        <v>11</v>
      </c>
      <c r="I8" s="7" t="n">
        <v>1</v>
      </c>
      <c r="J8" s="8" t="n">
        <v>10450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960</v>
      </c>
      <c r="G9" s="7" t="n">
        <v>16</v>
      </c>
      <c r="H9" s="7" t="n">
        <v>0</v>
      </c>
      <c r="I9" s="7" t="n">
        <v>-16</v>
      </c>
      <c r="J9" s="8" t="n">
        <v>10185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59676080030</t>
        </is>
      </c>
      <c r="D10" s="5" t="inlineStr">
        <is>
          <t>SYMTUZA 800-150-200-10MG TABLET</t>
        </is>
      </c>
      <c r="E10" s="6" t="inlineStr">
        <is>
          <t>30.0</t>
        </is>
      </c>
      <c r="F10" s="7" t="n">
        <v>60</v>
      </c>
      <c r="G10" s="7" t="n">
        <v>2</v>
      </c>
      <c r="H10" s="7" t="n">
        <v>1</v>
      </c>
      <c r="I10" s="7" t="n">
        <v>-1</v>
      </c>
      <c r="J10" s="8" t="n">
        <v>8977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00003089421</t>
        </is>
      </c>
      <c r="D11" s="5" t="inlineStr">
        <is>
          <t xml:space="preserve">ELIQUIS 5MG TAB </t>
        </is>
      </c>
      <c r="E11" s="6" t="inlineStr">
        <is>
          <t>60.0</t>
        </is>
      </c>
      <c r="F11" s="7" t="n">
        <v>2040</v>
      </c>
      <c r="G11" s="7" t="n">
        <v>34</v>
      </c>
      <c r="H11" s="7" t="n">
        <v>21</v>
      </c>
      <c r="I11" s="7" t="n">
        <v>-13</v>
      </c>
      <c r="J11" s="8" t="n">
        <v>8410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72618300002</t>
        </is>
      </c>
      <c r="D12" s="5" t="inlineStr">
        <is>
          <t>NURTEC 75MG TABLET DISINTEGRATING</t>
        </is>
      </c>
      <c r="E12" s="6" t="inlineStr">
        <is>
          <t>8.0</t>
        </is>
      </c>
      <c r="F12" s="7" t="n">
        <v>64</v>
      </c>
      <c r="G12" s="7" t="n">
        <v>8</v>
      </c>
      <c r="H12" s="7" t="n">
        <v>4</v>
      </c>
      <c r="I12" s="7" t="n">
        <v>-4</v>
      </c>
      <c r="J12" s="8" t="n">
        <v>8185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50419054001</t>
        </is>
      </c>
      <c r="D13" s="5" t="inlineStr">
        <is>
          <t>KERENDIA 10 MG TABLET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0</v>
      </c>
      <c r="I13" s="7" t="n">
        <v>-12</v>
      </c>
      <c r="J13" s="8" t="n">
        <v>8043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00169477212</t>
        </is>
      </c>
      <c r="D14" s="5" t="inlineStr">
        <is>
          <t>OZEMPIC (2 MG/DOSE) 8 MG/3ML PEN-INJECTOR</t>
        </is>
      </c>
      <c r="E14" s="6" t="inlineStr">
        <is>
          <t>3.0</t>
        </is>
      </c>
      <c r="F14" s="7" t="n">
        <v>21</v>
      </c>
      <c r="G14" s="7" t="n">
        <v>7</v>
      </c>
      <c r="H14" s="7" t="n">
        <v>7</v>
      </c>
      <c r="I14" s="7" t="n">
        <v>0</v>
      </c>
      <c r="J14" s="8" t="n">
        <v>6790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00169431430</t>
        </is>
      </c>
      <c r="D15" s="5" t="inlineStr">
        <is>
          <t>RYBELSUS 14MG TABLET</t>
        </is>
      </c>
      <c r="E15" s="6" t="inlineStr">
        <is>
          <t>30.0</t>
        </is>
      </c>
      <c r="F15" s="7" t="n">
        <v>210</v>
      </c>
      <c r="G15" s="7" t="n">
        <v>7</v>
      </c>
      <c r="H15" s="7" t="n">
        <v>3</v>
      </c>
      <c r="I15" s="7" t="n">
        <v>-4</v>
      </c>
      <c r="J15" s="8" t="n">
        <v>6734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00597015330</t>
        </is>
      </c>
      <c r="D16" s="5" t="inlineStr">
        <is>
          <t xml:space="preserve">JARDIANCE 25MG TAB </t>
        </is>
      </c>
      <c r="E16" s="6" t="inlineStr">
        <is>
          <t>30.0</t>
        </is>
      </c>
      <c r="F16" s="7" t="n">
        <v>870</v>
      </c>
      <c r="G16" s="7" t="n">
        <v>29</v>
      </c>
      <c r="H16" s="7" t="n">
        <v>36</v>
      </c>
      <c r="I16" s="7" t="n">
        <v>7</v>
      </c>
      <c r="J16" s="8" t="n">
        <v>6192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5750</v>
      </c>
      <c r="G17" s="7" t="n">
        <v>115</v>
      </c>
      <c r="H17" s="7" t="n">
        <v>0</v>
      </c>
      <c r="I17" s="7" t="n">
        <v>-115</v>
      </c>
      <c r="J17" s="8" t="n">
        <v>5926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00002149580</t>
        </is>
      </c>
      <c r="D18" s="5" t="inlineStr">
        <is>
          <t>MOUNJARO 5 MG/0.5ML PEN-INJECTOR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9</v>
      </c>
      <c r="I18" s="7" t="n">
        <v>4</v>
      </c>
      <c r="J18" s="8" t="n">
        <v>5284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00597015230</t>
        </is>
      </c>
      <c r="D19" s="5" t="inlineStr">
        <is>
          <t xml:space="preserve">JARDIANCE 10MG TAB </t>
        </is>
      </c>
      <c r="E19" s="6" t="inlineStr">
        <is>
          <t>30.0</t>
        </is>
      </c>
      <c r="F19" s="7" t="n">
        <v>660</v>
      </c>
      <c r="G19" s="7" t="n">
        <v>22</v>
      </c>
      <c r="H19" s="7" t="n">
        <v>38</v>
      </c>
      <c r="I19" s="7" t="n">
        <v>16</v>
      </c>
      <c r="J19" s="8" t="n">
        <v>5204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00006057761</t>
        </is>
      </c>
      <c r="D20" s="5" t="inlineStr">
        <is>
          <t>JANUMET 50-1000MG TABLET</t>
        </is>
      </c>
      <c r="E20" s="6" t="inlineStr">
        <is>
          <t>60.0</t>
        </is>
      </c>
      <c r="F20" s="7" t="n">
        <v>1020</v>
      </c>
      <c r="G20" s="7" t="n">
        <v>17</v>
      </c>
      <c r="H20" s="7" t="n">
        <v>0</v>
      </c>
      <c r="I20" s="7" t="n">
        <v>-17</v>
      </c>
      <c r="J20" s="8" t="n">
        <v>5072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00169430730</t>
        </is>
      </c>
      <c r="D21" s="5" t="inlineStr">
        <is>
          <t>RYBELSUS 7MG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4</v>
      </c>
      <c r="I21" s="7" t="n">
        <v>-2</v>
      </c>
      <c r="J21" s="8" t="n">
        <v>4698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00023320508</t>
        </is>
      </c>
      <c r="D22" s="5" t="inlineStr">
        <is>
          <t>LUMIGAN 0.01% SOLUTION</t>
        </is>
      </c>
      <c r="E22" s="6" t="inlineStr">
        <is>
          <t>7.5</t>
        </is>
      </c>
      <c r="F22" s="7" t="n">
        <v>45</v>
      </c>
      <c r="G22" s="7" t="n">
        <v>6</v>
      </c>
      <c r="H22" s="7" t="n">
        <v>1</v>
      </c>
      <c r="I22" s="7" t="n">
        <v>-5</v>
      </c>
      <c r="J22" s="8" t="n">
        <v>4600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00173089310</t>
        </is>
      </c>
      <c r="D23" s="5" t="inlineStr">
        <is>
          <t>TRELEGY ELLIPTA 200-62.5-25 MCG/ACT INHALATION AER</t>
        </is>
      </c>
      <c r="E23" s="6" t="inlineStr">
        <is>
          <t>60.0</t>
        </is>
      </c>
      <c r="F23" s="7" t="n">
        <v>420</v>
      </c>
      <c r="G23" s="7" t="n">
        <v>7</v>
      </c>
      <c r="H23" s="7" t="n">
        <v>3</v>
      </c>
      <c r="I23" s="7" t="n">
        <v>-4</v>
      </c>
      <c r="J23" s="8" t="n">
        <v>4531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480</v>
      </c>
      <c r="G24" s="7" t="n">
        <v>16</v>
      </c>
      <c r="H24" s="7" t="n">
        <v>14</v>
      </c>
      <c r="I24" s="7" t="n">
        <v>-2</v>
      </c>
      <c r="J24" s="8" t="n">
        <v>4247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00002146080</t>
        </is>
      </c>
      <c r="D25" s="5" t="inlineStr">
        <is>
          <t>MOUNJARO 12.5 MG/0.5ML PEN-INJECTOR</t>
        </is>
      </c>
      <c r="E25" s="6" t="inlineStr">
        <is>
          <t>2.0</t>
        </is>
      </c>
      <c r="F25" s="7" t="n">
        <v>8</v>
      </c>
      <c r="G25" s="7" t="n">
        <v>4</v>
      </c>
      <c r="H25" s="7" t="n">
        <v>6</v>
      </c>
      <c r="I25" s="7" t="n">
        <v>2</v>
      </c>
      <c r="J25" s="8" t="n">
        <v>4224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00169430330</t>
        </is>
      </c>
      <c r="D26" s="5" t="inlineStr">
        <is>
          <t>RYBELSUS 3MG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3</v>
      </c>
      <c r="I26" s="7" t="n">
        <v>-1</v>
      </c>
      <c r="J26" s="8" t="n">
        <v>3858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8</v>
      </c>
      <c r="G27" s="7" t="n">
        <v>4</v>
      </c>
      <c r="H27" s="7" t="n">
        <v>0</v>
      </c>
      <c r="I27" s="7" t="n">
        <v>-4</v>
      </c>
      <c r="J27" s="8" t="n">
        <v>3821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66993045730</t>
        </is>
      </c>
      <c r="D28" s="5" t="inlineStr">
        <is>
          <t>DAPAGLIFLOZIN PROPANEDIOL 10MG TABLET</t>
        </is>
      </c>
      <c r="E28" s="6" t="inlineStr">
        <is>
          <t>30.0</t>
        </is>
      </c>
      <c r="F28" s="7" t="n">
        <v>630</v>
      </c>
      <c r="G28" s="7" t="n">
        <v>21</v>
      </c>
      <c r="H28" s="7" t="n">
        <v>25</v>
      </c>
      <c r="I28" s="7" t="n">
        <v>4</v>
      </c>
      <c r="J28" s="8" t="n">
        <v>3797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00002223680</t>
        </is>
      </c>
      <c r="D29" s="5" t="inlineStr">
        <is>
          <t>TRULICITY 3MG/0.5ML INJECTION</t>
        </is>
      </c>
      <c r="E29" s="6" t="inlineStr">
        <is>
          <t>2.0</t>
        </is>
      </c>
      <c r="F29" s="7" t="n">
        <v>8</v>
      </c>
      <c r="G29" s="7" t="n">
        <v>4</v>
      </c>
      <c r="H29" s="7" t="n">
        <v>7</v>
      </c>
      <c r="I29" s="7" t="n">
        <v>3</v>
      </c>
      <c r="J29" s="8" t="n">
        <v>3785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72511039302</t>
        </is>
      </c>
      <c r="D30" s="5" t="inlineStr">
        <is>
          <t>REPATHA SURECLICK 140 MG/ML SUBCUTANEOUS SOLUTION AUTO-INJECTOR</t>
        </is>
      </c>
      <c r="E30" s="6" t="inlineStr">
        <is>
          <t>2.0</t>
        </is>
      </c>
      <c r="F30" s="7" t="n">
        <v>14</v>
      </c>
      <c r="G30" s="7" t="n">
        <v>7</v>
      </c>
      <c r="H30" s="7" t="n">
        <v>7</v>
      </c>
      <c r="I30" s="7" t="n">
        <v>0</v>
      </c>
      <c r="J30" s="8" t="n">
        <v>3784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49702024213</t>
        </is>
      </c>
      <c r="D31" s="5" t="inlineStr">
        <is>
          <t>JULUCA 50-25MG TABLET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2</v>
      </c>
      <c r="I31" s="7" t="n">
        <v>1</v>
      </c>
      <c r="J31" s="8" t="n">
        <v>3603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00006027731</t>
        </is>
      </c>
      <c r="D32" s="5" t="inlineStr">
        <is>
          <t>JANUVIA 100MG TAB</t>
        </is>
      </c>
      <c r="E32" s="6" t="inlineStr">
        <is>
          <t>30.0</t>
        </is>
      </c>
      <c r="F32" s="7" t="n">
        <v>750</v>
      </c>
      <c r="G32" s="7" t="n">
        <v>25</v>
      </c>
      <c r="H32" s="7" t="n">
        <v>25</v>
      </c>
      <c r="I32" s="7" t="n">
        <v>0</v>
      </c>
      <c r="J32" s="8" t="n">
        <v>3503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120</v>
      </c>
      <c r="G33" s="7" t="n">
        <v>4</v>
      </c>
      <c r="H33" s="7" t="n">
        <v>0</v>
      </c>
      <c r="I33" s="7" t="n">
        <v>-4</v>
      </c>
      <c r="J33" s="8" t="n">
        <v>3422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00310628030</t>
        </is>
      </c>
      <c r="D34" s="5" t="inlineStr">
        <is>
          <t>XIGDUO XR 10-1000MG TABLET</t>
        </is>
      </c>
      <c r="E34" s="6" t="inlineStr">
        <is>
          <t>30.0</t>
        </is>
      </c>
      <c r="F34" s="7" t="n">
        <v>180</v>
      </c>
      <c r="G34" s="7" t="n">
        <v>6</v>
      </c>
      <c r="H34" s="7" t="n">
        <v>5</v>
      </c>
      <c r="I34" s="7" t="n">
        <v>-1</v>
      </c>
      <c r="J34" s="8" t="n">
        <v>3366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00032301613</t>
        </is>
      </c>
      <c r="D35" s="5" t="inlineStr">
        <is>
          <t>CREON 36000UNIT CAPSULE</t>
        </is>
      </c>
      <c r="E35" s="6" t="inlineStr">
        <is>
          <t>100.0</t>
        </is>
      </c>
      <c r="F35" s="7" t="n">
        <v>270</v>
      </c>
      <c r="G35" s="7" t="n">
        <v>2.7</v>
      </c>
      <c r="H35" s="7" t="n">
        <v>0</v>
      </c>
      <c r="I35" s="7" t="n">
        <v>-2.7</v>
      </c>
      <c r="J35" s="8" t="n">
        <v>3343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00469260230</t>
        </is>
      </c>
      <c r="D36" s="5" t="inlineStr">
        <is>
          <t>MYRBETRIQ 50MG TABLET</t>
        </is>
      </c>
      <c r="E36" s="6" t="inlineStr">
        <is>
          <t>30.0</t>
        </is>
      </c>
      <c r="F36" s="7" t="n">
        <v>240</v>
      </c>
      <c r="G36" s="7" t="n">
        <v>8</v>
      </c>
      <c r="H36" s="7" t="n">
        <v>3</v>
      </c>
      <c r="I36" s="7" t="n">
        <v>-5</v>
      </c>
      <c r="J36" s="8" t="n">
        <v>3285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00310461612</t>
        </is>
      </c>
      <c r="D37" s="5" t="inlineStr">
        <is>
          <t>BREZTRI AEROSPHERE 160-9-4.8 MCG/ACT INHALATION AEROSOL</t>
        </is>
      </c>
      <c r="E37" s="6" t="inlineStr">
        <is>
          <t>10.7</t>
        </is>
      </c>
      <c r="F37" s="7" t="n">
        <v>53.5</v>
      </c>
      <c r="G37" s="7" t="n">
        <v>5</v>
      </c>
      <c r="H37" s="7" t="n">
        <v>5</v>
      </c>
      <c r="I37" s="7" t="n">
        <v>0</v>
      </c>
      <c r="J37" s="8" t="n">
        <v>3224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00456120130</t>
        </is>
      </c>
      <c r="D38" s="5" t="inlineStr">
        <is>
          <t>LINZESS 145MCG CAPSULE</t>
        </is>
      </c>
      <c r="E38" s="6" t="inlineStr">
        <is>
          <t>30.0</t>
        </is>
      </c>
      <c r="F38" s="7" t="n">
        <v>360</v>
      </c>
      <c r="G38" s="7" t="n">
        <v>12</v>
      </c>
      <c r="H38" s="7" t="n">
        <v>20</v>
      </c>
      <c r="I38" s="7" t="n">
        <v>8</v>
      </c>
      <c r="J38" s="8" t="n">
        <v>3168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49702024613</t>
        </is>
      </c>
      <c r="D39" s="5" t="inlineStr">
        <is>
          <t>DOVATO 50-300 MG ORAL TABLET</t>
        </is>
      </c>
      <c r="E39" s="6" t="inlineStr">
        <is>
          <t>30.0</t>
        </is>
      </c>
      <c r="F39" s="7" t="n">
        <v>30</v>
      </c>
      <c r="G39" s="7" t="n">
        <v>1</v>
      </c>
      <c r="H39" s="7" t="n">
        <v>1</v>
      </c>
      <c r="I39" s="7" t="n">
        <v>0</v>
      </c>
      <c r="J39" s="8" t="n">
        <v>3093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73336007530</t>
        </is>
      </c>
      <c r="D40" s="5" t="inlineStr">
        <is>
          <t>GEMTESA 75MG TABLET</t>
        </is>
      </c>
      <c r="E40" s="6" t="inlineStr">
        <is>
          <t>30.0</t>
        </is>
      </c>
      <c r="F40" s="7" t="n">
        <v>180</v>
      </c>
      <c r="G40" s="7" t="n">
        <v>6</v>
      </c>
      <c r="H40" s="7" t="n">
        <v>7</v>
      </c>
      <c r="I40" s="7" t="n">
        <v>1</v>
      </c>
      <c r="J40" s="8" t="n">
        <v>2892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00002318280</t>
        </is>
      </c>
      <c r="D41" s="5" t="inlineStr">
        <is>
          <t>TRULICITY 4.5 MG/0.5ML SOLUTION</t>
        </is>
      </c>
      <c r="E41" s="6" t="inlineStr">
        <is>
          <t>2.0</t>
        </is>
      </c>
      <c r="F41" s="7" t="n">
        <v>6</v>
      </c>
      <c r="G41" s="7" t="n">
        <v>3</v>
      </c>
      <c r="H41" s="7" t="n">
        <v>3</v>
      </c>
      <c r="I41" s="7" t="n">
        <v>0</v>
      </c>
      <c r="J41" s="8" t="n">
        <v>2827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52937000120</t>
        </is>
      </c>
      <c r="D42" s="5" t="inlineStr">
        <is>
          <t>VASCEPA 1GM CAPSULE</t>
        </is>
      </c>
      <c r="E42" s="6" t="inlineStr">
        <is>
          <t>120.0</t>
        </is>
      </c>
      <c r="F42" s="7" t="n">
        <v>990</v>
      </c>
      <c r="G42" s="7" t="n">
        <v>8.25</v>
      </c>
      <c r="H42" s="7" t="n">
        <v>10</v>
      </c>
      <c r="I42" s="7" t="n">
        <v>1.75</v>
      </c>
      <c r="J42" s="8" t="n">
        <v>2674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00169451714</t>
        </is>
      </c>
      <c r="D43" s="5" t="inlineStr">
        <is>
          <t>WEGOVY 1.7 MG/0.75ML AUTO-INJECTOR</t>
        </is>
      </c>
      <c r="E43" s="6" t="inlineStr">
        <is>
          <t>3.0</t>
        </is>
      </c>
      <c r="F43" s="7" t="n">
        <v>6</v>
      </c>
      <c r="G43" s="7" t="n">
        <v>2</v>
      </c>
      <c r="H43" s="7" t="n">
        <v>1</v>
      </c>
      <c r="I43" s="7" t="n">
        <v>-1</v>
      </c>
      <c r="J43" s="8" t="n">
        <v>2520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00023649810</t>
        </is>
      </c>
      <c r="D44" s="5" t="inlineStr">
        <is>
          <t>UBRELVY 50 MG ORAL TABLET</t>
        </is>
      </c>
      <c r="E44" s="6" t="inlineStr">
        <is>
          <t>10.0</t>
        </is>
      </c>
      <c r="F44" s="7" t="n">
        <v>20</v>
      </c>
      <c r="G44" s="7" t="n">
        <v>2</v>
      </c>
      <c r="H44" s="7" t="n">
        <v>2</v>
      </c>
      <c r="I44" s="7" t="n">
        <v>0</v>
      </c>
      <c r="J44" s="8" t="n">
        <v>2128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00002145780</t>
        </is>
      </c>
      <c r="D45" s="5" t="inlineStr">
        <is>
          <t>MOUNJARO 15 MG/0.5ML PEN-INJECTOR</t>
        </is>
      </c>
      <c r="E45" s="6" t="inlineStr">
        <is>
          <t>2.0</t>
        </is>
      </c>
      <c r="F45" s="7" t="n">
        <v>4</v>
      </c>
      <c r="G45" s="7" t="n">
        <v>2</v>
      </c>
      <c r="H45" s="7" t="n">
        <v>4</v>
      </c>
      <c r="I45" s="7" t="n">
        <v>2</v>
      </c>
      <c r="J45" s="8" t="n">
        <v>2113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00003089321</t>
        </is>
      </c>
      <c r="D46" s="5" t="inlineStr">
        <is>
          <t xml:space="preserve">ELIQUIS 2.5MG TAB </t>
        </is>
      </c>
      <c r="E46" s="6" t="inlineStr">
        <is>
          <t>60.0</t>
        </is>
      </c>
      <c r="F46" s="7" t="n">
        <v>480</v>
      </c>
      <c r="G46" s="7" t="n">
        <v>8</v>
      </c>
      <c r="H46" s="7" t="n">
        <v>0</v>
      </c>
      <c r="I46" s="7" t="n">
        <v>-8</v>
      </c>
      <c r="J46" s="8" t="n">
        <v>1984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00002147180</t>
        </is>
      </c>
      <c r="D47" s="5" t="inlineStr">
        <is>
          <t>MOUNJARO 10 MG/0.5ML PEN-INJECTOR</t>
        </is>
      </c>
      <c r="E47" s="6" t="inlineStr">
        <is>
          <t>2.0</t>
        </is>
      </c>
      <c r="F47" s="7" t="n">
        <v>4</v>
      </c>
      <c r="G47" s="7" t="n">
        <v>2</v>
      </c>
      <c r="H47" s="7" t="n">
        <v>1</v>
      </c>
      <c r="I47" s="7" t="n">
        <v>-1</v>
      </c>
      <c r="J47" s="8" t="n">
        <v>1943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00088221905</t>
        </is>
      </c>
      <c r="D48" s="5" t="inlineStr">
        <is>
          <t>LANTUS SOLOSTAR 100UNIT/ML INJECTION</t>
        </is>
      </c>
      <c r="E48" s="6" t="inlineStr">
        <is>
          <t>15.0</t>
        </is>
      </c>
      <c r="F48" s="7" t="n">
        <v>330</v>
      </c>
      <c r="G48" s="7" t="n">
        <v>22</v>
      </c>
      <c r="H48" s="7" t="n">
        <v>27</v>
      </c>
      <c r="I48" s="7" t="n">
        <v>5</v>
      </c>
      <c r="J48" s="8" t="n">
        <v>1925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00173085910</t>
        </is>
      </c>
      <c r="D49" s="5" t="inlineStr">
        <is>
          <t>BREO ELLIPTA 100-25 MCG/ACT INH AEROSOL</t>
        </is>
      </c>
      <c r="E49" s="6" t="inlineStr">
        <is>
          <t>60.0</t>
        </is>
      </c>
      <c r="F49" s="7" t="n">
        <v>300</v>
      </c>
      <c r="G49" s="7" t="n">
        <v>5</v>
      </c>
      <c r="H49" s="7" t="n">
        <v>4</v>
      </c>
      <c r="I49" s="7" t="n">
        <v>-1</v>
      </c>
      <c r="J49" s="8" t="n">
        <v>1918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00023530105</t>
        </is>
      </c>
      <c r="D50" s="5" t="inlineStr">
        <is>
          <t>RESTASIS MULTIDOSE 0.05 % OPHTHALMIC EMULSION</t>
        </is>
      </c>
      <c r="E50" s="6" t="inlineStr">
        <is>
          <t>5.5</t>
        </is>
      </c>
      <c r="F50" s="7" t="n">
        <v>16.5</v>
      </c>
      <c r="G50" s="7" t="n">
        <v>3</v>
      </c>
      <c r="H50" s="7" t="n">
        <v>0</v>
      </c>
      <c r="I50" s="7" t="n">
        <v>-3</v>
      </c>
      <c r="J50" s="8" t="n">
        <v>1713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00310110530</t>
        </is>
      </c>
      <c r="D51" s="5" t="inlineStr">
        <is>
          <t>LOKELMA 5GM PACK</t>
        </is>
      </c>
      <c r="E51" s="6" t="inlineStr">
        <is>
          <t>30.0</t>
        </is>
      </c>
      <c r="F51" s="7" t="n">
        <v>60</v>
      </c>
      <c r="G51" s="7" t="n">
        <v>2</v>
      </c>
      <c r="H51" s="7" t="n">
        <v>2</v>
      </c>
      <c r="I51" s="7" t="n">
        <v>0</v>
      </c>
      <c r="J51" s="8" t="n">
        <v>1683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00187540008</t>
        </is>
      </c>
      <c r="D53" s="5" t="inlineStr">
        <is>
          <t>JUBLIA 10 % EXTERNAL SOLUTION</t>
        </is>
      </c>
      <c r="E53" s="6" t="inlineStr">
        <is>
          <t>8.0</t>
        </is>
      </c>
      <c r="F53" s="7" t="n">
        <v>8</v>
      </c>
      <c r="G53" s="7" t="n">
        <v>1</v>
      </c>
      <c r="H53" s="7" t="n">
        <v>0</v>
      </c>
      <c r="I53" s="7" t="n">
        <v>-1</v>
      </c>
      <c r="J53" s="8" t="n">
        <v>1551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59148003713</t>
        </is>
      </c>
      <c r="D55" s="5" t="inlineStr">
        <is>
          <t>REXULTI 1MG TABLET</t>
        </is>
      </c>
      <c r="E55" s="6" t="inlineStr">
        <is>
          <t>30.0</t>
        </is>
      </c>
      <c r="F55" s="7" t="n">
        <v>30</v>
      </c>
      <c r="G55" s="7" t="n">
        <v>1</v>
      </c>
      <c r="H55" s="7" t="n">
        <v>0</v>
      </c>
      <c r="I55" s="7" t="n">
        <v>-1</v>
      </c>
      <c r="J55" s="8" t="n">
        <v>1480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00169452414</t>
        </is>
      </c>
      <c r="D57" s="5" t="inlineStr">
        <is>
          <t>WEGOVY 2.4 MG/0.75ML AUTO-INJECTOR</t>
        </is>
      </c>
      <c r="E57" s="6" t="inlineStr">
        <is>
          <t>3.0</t>
        </is>
      </c>
      <c r="F57" s="7" t="n">
        <v>3</v>
      </c>
      <c r="G57" s="7" t="n">
        <v>1</v>
      </c>
      <c r="H57" s="7" t="n">
        <v>1</v>
      </c>
      <c r="I57" s="7" t="n">
        <v>0</v>
      </c>
      <c r="J57" s="8" t="n">
        <v>1279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00074709630</t>
        </is>
      </c>
      <c r="D58" s="5" t="inlineStr">
        <is>
          <t>QULIPTA 30 MG ORAL TABLET</t>
        </is>
      </c>
      <c r="E58" s="6" t="inlineStr">
        <is>
          <t>30.0</t>
        </is>
      </c>
      <c r="F58" s="7" t="n">
        <v>30</v>
      </c>
      <c r="G58" s="7" t="n">
        <v>1</v>
      </c>
      <c r="H58" s="7" t="n">
        <v>1</v>
      </c>
      <c r="I58" s="7" t="n">
        <v>0</v>
      </c>
      <c r="J58" s="8" t="n">
        <v>1125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180</v>
      </c>
      <c r="G59" s="7" t="n">
        <v>6</v>
      </c>
      <c r="H59" s="7" t="n">
        <v>9</v>
      </c>
      <c r="I59" s="7" t="n">
        <v>3</v>
      </c>
      <c r="J59" s="8" t="n">
        <v>1120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00002150680</t>
        </is>
      </c>
      <c r="D60" s="5" t="inlineStr">
        <is>
          <t>MOUNJARO 2.5 MG/0.5ML PEN-INJECTOR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1</v>
      </c>
      <c r="I60" s="7" t="n">
        <v>0</v>
      </c>
      <c r="J60" s="8" t="n">
        <v>1058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00310737020</t>
        </is>
      </c>
      <c r="D61" s="5" t="inlineStr">
        <is>
          <t>BUDESONIDE/FORMOTEROL 160 /4.5 MCG (SYMBICORT)</t>
        </is>
      </c>
      <c r="E61" s="6" t="inlineStr">
        <is>
          <t>10.2</t>
        </is>
      </c>
      <c r="F61" s="7" t="n">
        <v>61.2</v>
      </c>
      <c r="G61" s="7" t="n">
        <v>6</v>
      </c>
      <c r="H61" s="7" t="n">
        <v>2</v>
      </c>
      <c r="I61" s="7" t="n">
        <v>-4</v>
      </c>
      <c r="J61" s="8" t="n">
        <v>1048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08290320122</t>
        </is>
      </c>
      <c r="D62" s="5" t="inlineStr">
        <is>
          <t>PEN NEEDLES ALL</t>
        </is>
      </c>
      <c r="E62" s="6" t="inlineStr">
        <is>
          <t>100.0</t>
        </is>
      </c>
      <c r="F62" s="7" t="n">
        <v>1700</v>
      </c>
      <c r="G62" s="7" t="n">
        <v>17</v>
      </c>
      <c r="H62" s="7" t="n">
        <v>0</v>
      </c>
      <c r="I62" s="7" t="n">
        <v>-17</v>
      </c>
      <c r="J62" s="8" t="n">
        <v>1030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00002246080</t>
        </is>
      </c>
      <c r="D63" s="5" t="inlineStr">
        <is>
          <t>ZEPBOUND 12.5 MG/0.5ML AUTO-INJECTOR</t>
        </is>
      </c>
      <c r="E63" s="6" t="inlineStr">
        <is>
          <t>2.0</t>
        </is>
      </c>
      <c r="F63" s="7" t="n">
        <v>2</v>
      </c>
      <c r="G63" s="7" t="n">
        <v>1</v>
      </c>
      <c r="H63" s="7" t="n">
        <v>2</v>
      </c>
      <c r="I63" s="7" t="n">
        <v>1</v>
      </c>
      <c r="J63" s="8" t="n">
        <v>1027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00002247180</t>
        </is>
      </c>
      <c r="D64" s="5" t="inlineStr">
        <is>
          <t>ZEPBOUND 10 MG/0.5ML AUTO-INJECTOR</t>
        </is>
      </c>
      <c r="E64" s="6" t="inlineStr">
        <is>
          <t>2.0</t>
        </is>
      </c>
      <c r="F64" s="7" t="n">
        <v>2</v>
      </c>
      <c r="G64" s="7" t="n">
        <v>1</v>
      </c>
      <c r="H64" s="7" t="n">
        <v>1</v>
      </c>
      <c r="I64" s="7" t="n">
        <v>0</v>
      </c>
      <c r="J64" s="8" t="n">
        <v>1027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00023320505</t>
        </is>
      </c>
      <c r="D65" s="5" t="inlineStr">
        <is>
          <t>LUMIGAN 0.01 % OPHTHALMIC SOLUTION</t>
        </is>
      </c>
      <c r="E65" s="6" t="inlineStr">
        <is>
          <t>5.0</t>
        </is>
      </c>
      <c r="F65" s="7" t="n">
        <v>10</v>
      </c>
      <c r="G65" s="7" t="n">
        <v>2</v>
      </c>
      <c r="H65" s="7" t="n">
        <v>1</v>
      </c>
      <c r="I65" s="7" t="n">
        <v>-1</v>
      </c>
      <c r="J65" s="8" t="n">
        <v>1020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00310737220</t>
        </is>
      </c>
      <c r="D66" s="5" t="inlineStr">
        <is>
          <t>BUDESONIDE-FORMOTEROL FUMARATE 80-4.5MCG/ACT AEROSOL</t>
        </is>
      </c>
      <c r="E66" s="6" t="inlineStr">
        <is>
          <t>10.2</t>
        </is>
      </c>
      <c r="F66" s="7" t="n">
        <v>81.59999999999999</v>
      </c>
      <c r="G66" s="7" t="n">
        <v>8</v>
      </c>
      <c r="H66" s="7" t="n">
        <v>8</v>
      </c>
      <c r="I66" s="7" t="n">
        <v>0</v>
      </c>
      <c r="J66" s="8" t="n">
        <v>961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00310908012</t>
        </is>
      </c>
      <c r="D67" s="5" t="inlineStr">
        <is>
          <t>AIRSUPRA 90-80 MCG/ACT INHALATION AEROSOL</t>
        </is>
      </c>
      <c r="E67" s="6" t="inlineStr">
        <is>
          <t>10.7</t>
        </is>
      </c>
      <c r="F67" s="7" t="n">
        <v>21.4</v>
      </c>
      <c r="G67" s="7" t="n">
        <v>2</v>
      </c>
      <c r="H67" s="7" t="n">
        <v>3</v>
      </c>
      <c r="I67" s="7" t="n">
        <v>1</v>
      </c>
      <c r="J67" s="8" t="n">
        <v>959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50484001090</t>
        </is>
      </c>
      <c r="D68" s="5" t="inlineStr">
        <is>
          <t>SANTYL 250 UNIT/GM EXTERNAL OINTMENT</t>
        </is>
      </c>
      <c r="E68" s="6" t="inlineStr">
        <is>
          <t>90.0</t>
        </is>
      </c>
      <c r="F68" s="7" t="n">
        <v>90</v>
      </c>
      <c r="G68" s="7" t="n">
        <v>1</v>
      </c>
      <c r="H68" s="7" t="n">
        <v>1</v>
      </c>
      <c r="I68" s="7" t="n">
        <v>0</v>
      </c>
      <c r="J68" s="8" t="n">
        <v>958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00002143480</t>
        </is>
      </c>
      <c r="D69" s="5" t="inlineStr">
        <is>
          <t>TRULICITY 1.5MG/0.5ML INJECTION</t>
        </is>
      </c>
      <c r="E69" s="6" t="inlineStr">
        <is>
          <t>2.0</t>
        </is>
      </c>
      <c r="F69" s="7" t="n">
        <v>2</v>
      </c>
      <c r="G69" s="7" t="n">
        <v>1</v>
      </c>
      <c r="H69" s="7" t="n">
        <v>4</v>
      </c>
      <c r="I69" s="7" t="n">
        <v>3</v>
      </c>
      <c r="J69" s="8" t="n">
        <v>945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00006008131</t>
        </is>
      </c>
      <c r="D70" s="5" t="inlineStr">
        <is>
          <t>JANUMET XR 100-1000MG TABLET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0</v>
      </c>
      <c r="I70" s="7" t="n">
        <v>-3</v>
      </c>
      <c r="J70" s="8" t="n">
        <v>933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70121250301</t>
        </is>
      </c>
      <c r="D71" s="5" t="inlineStr">
        <is>
          <t>LIORESAL 40 MG/20ML INTRATHECAL SOLUTION</t>
        </is>
      </c>
      <c r="E71" s="6" t="inlineStr">
        <is>
          <t>20.0</t>
        </is>
      </c>
      <c r="F71" s="7" t="n">
        <v>20</v>
      </c>
      <c r="G71" s="7" t="n">
        <v>1</v>
      </c>
      <c r="H71" s="7" t="n">
        <v>1</v>
      </c>
      <c r="I71" s="7" t="n">
        <v>0</v>
      </c>
      <c r="J71" s="8" t="n">
        <v>899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70710116003</t>
        </is>
      </c>
      <c r="D72" s="5" t="inlineStr">
        <is>
          <t>MIRABEGRON ER 50 MG ORAL TABLET EXTENDED RELEASE 24 HOUR</t>
        </is>
      </c>
      <c r="E72" s="6" t="inlineStr">
        <is>
          <t>30.0</t>
        </is>
      </c>
      <c r="F72" s="7" t="n">
        <v>90</v>
      </c>
      <c r="G72" s="7" t="n">
        <v>3</v>
      </c>
      <c r="H72" s="7" t="n">
        <v>3</v>
      </c>
      <c r="I72" s="7" t="n">
        <v>0</v>
      </c>
      <c r="J72" s="8" t="n">
        <v>847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00023921110</t>
        </is>
      </c>
      <c r="D73" s="5" t="inlineStr">
        <is>
          <t>COMBIGAN 0.2-0.5% OPTH SOLUTION 10ML</t>
        </is>
      </c>
      <c r="E73" s="6" t="inlineStr">
        <is>
          <t>10.0</t>
        </is>
      </c>
      <c r="F73" s="7" t="n">
        <v>20</v>
      </c>
      <c r="G73" s="7" t="n">
        <v>2</v>
      </c>
      <c r="H73" s="7" t="n">
        <v>0</v>
      </c>
      <c r="I73" s="7" t="n">
        <v>-2</v>
      </c>
      <c r="J73" s="8" t="n">
        <v>769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00032263601</t>
        </is>
      </c>
      <c r="D74" s="5" t="inlineStr">
        <is>
          <t>CREON 24000-76000 UNIT CAPSULE DR</t>
        </is>
      </c>
      <c r="E74" s="6" t="inlineStr">
        <is>
          <t>100.0</t>
        </is>
      </c>
      <c r="F74" s="7" t="n">
        <v>90</v>
      </c>
      <c r="G74" s="7" t="n">
        <v>0.9</v>
      </c>
      <c r="H74" s="7" t="n">
        <v>0</v>
      </c>
      <c r="I74" s="7" t="n">
        <v>-0.9</v>
      </c>
      <c r="J74" s="8" t="n">
        <v>734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82667090002</t>
        </is>
      </c>
      <c r="D75" s="5" t="inlineStr">
        <is>
          <t>VEVYE 0.1 % OPHTHALMIC SOLUTION</t>
        </is>
      </c>
      <c r="E75" s="6" t="inlineStr">
        <is>
          <t>2.0</t>
        </is>
      </c>
      <c r="F75" s="7" t="n">
        <v>2</v>
      </c>
      <c r="G75" s="7" t="n">
        <v>1</v>
      </c>
      <c r="H75" s="7" t="n">
        <v>0</v>
      </c>
      <c r="I75" s="7" t="n">
        <v>-1</v>
      </c>
      <c r="J75" s="8" t="n">
        <v>732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66993045630</t>
        </is>
      </c>
      <c r="D76" s="5" t="inlineStr">
        <is>
          <t>DAPAGLIFLOZIN PROPANEDIOL 5MG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13</v>
      </c>
      <c r="I76" s="7" t="n">
        <v>9</v>
      </c>
      <c r="J76" s="8" t="n">
        <v>726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69557011130</t>
        </is>
      </c>
      <c r="D77" s="5" t="inlineStr">
        <is>
          <t>ZTLIDO 1.8 % EXTERNAL PATCH</t>
        </is>
      </c>
      <c r="E77" s="6" t="inlineStr">
        <is>
          <t>30.0</t>
        </is>
      </c>
      <c r="F77" s="7" t="n">
        <v>60</v>
      </c>
      <c r="G77" s="7" t="n">
        <v>2</v>
      </c>
      <c r="H77" s="7" t="n">
        <v>1</v>
      </c>
      <c r="I77" s="7" t="n">
        <v>-1</v>
      </c>
      <c r="J77" s="8" t="n">
        <v>715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81520010030</t>
        </is>
      </c>
      <c r="D78" s="5" t="inlineStr">
        <is>
          <t>VOQUEZNA 10 MG ORAL TABLET</t>
        </is>
      </c>
      <c r="E78" s="6" t="inlineStr">
        <is>
          <t>30.0</t>
        </is>
      </c>
      <c r="F78" s="7" t="n">
        <v>30</v>
      </c>
      <c r="G78" s="7" t="n">
        <v>1</v>
      </c>
      <c r="H78" s="7" t="n">
        <v>0</v>
      </c>
      <c r="I78" s="7" t="n">
        <v>-1</v>
      </c>
      <c r="J78" s="8" t="n">
        <v>669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00173088710</t>
        </is>
      </c>
      <c r="D79" s="5" t="inlineStr">
        <is>
          <t>TRELEGY ELLIPTA 100-62.5-25MCG/INH AEROSOL</t>
        </is>
      </c>
      <c r="E79" s="6" t="inlineStr">
        <is>
          <t>60.0</t>
        </is>
      </c>
      <c r="F79" s="7" t="n">
        <v>60</v>
      </c>
      <c r="G79" s="7" t="n">
        <v>1</v>
      </c>
      <c r="H79" s="7" t="n">
        <v>4</v>
      </c>
      <c r="I79" s="7" t="n">
        <v>3</v>
      </c>
      <c r="J79" s="8" t="n">
        <v>664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60505451803</t>
        </is>
      </c>
      <c r="D80" s="5" t="inlineStr">
        <is>
          <t>PAXIL 20 MG ORAL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2</v>
      </c>
      <c r="I80" s="7" t="n">
        <v>0</v>
      </c>
      <c r="J80" s="8" t="n">
        <v>642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00169633910</t>
        </is>
      </c>
      <c r="D81" s="5" t="inlineStr">
        <is>
          <t>NOVOLOG FLEXPEN 100UNIT/ML INJECTION</t>
        </is>
      </c>
      <c r="E81" s="6" t="inlineStr">
        <is>
          <t>15.0</t>
        </is>
      </c>
      <c r="F81" s="7" t="n">
        <v>72</v>
      </c>
      <c r="G81" s="7" t="n">
        <v>4.8</v>
      </c>
      <c r="H81" s="7" t="n">
        <v>6</v>
      </c>
      <c r="I81" s="7" t="n">
        <v>1.2</v>
      </c>
      <c r="J81" s="8" t="n">
        <v>616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00006057561</t>
        </is>
      </c>
      <c r="D82" s="5" t="inlineStr">
        <is>
          <t>JANUMET 50-500 MG ORAL TABLET</t>
        </is>
      </c>
      <c r="E82" s="6" t="inlineStr">
        <is>
          <t>60.0</t>
        </is>
      </c>
      <c r="F82" s="7" t="n">
        <v>120</v>
      </c>
      <c r="G82" s="7" t="n">
        <v>2</v>
      </c>
      <c r="H82" s="7" t="n">
        <v>6</v>
      </c>
      <c r="I82" s="7" t="n">
        <v>4</v>
      </c>
      <c r="J82" s="8" t="n">
        <v>615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82584000330</t>
        </is>
      </c>
      <c r="D83" s="5" t="inlineStr">
        <is>
          <t>IYUZEH 0.005 % OPHTHALMIC SOLUTION</t>
        </is>
      </c>
      <c r="E83" s="6" t="inlineStr">
        <is>
          <t>30.0</t>
        </is>
      </c>
      <c r="F83" s="7" t="n">
        <v>60</v>
      </c>
      <c r="G83" s="7" t="n">
        <v>2</v>
      </c>
      <c r="H83" s="7" t="n">
        <v>6</v>
      </c>
      <c r="I83" s="7" t="n">
        <v>4</v>
      </c>
      <c r="J83" s="8" t="n">
        <v>593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00023921115</t>
        </is>
      </c>
      <c r="D84" s="5" t="inlineStr">
        <is>
          <t>COMBIGAN 0.2-0.5% OPTH SOLUTION 15ML</t>
        </is>
      </c>
      <c r="E84" s="6" t="inlineStr">
        <is>
          <t>15.0</t>
        </is>
      </c>
      <c r="F84" s="7" t="n">
        <v>15</v>
      </c>
      <c r="G84" s="7" t="n">
        <v>1</v>
      </c>
      <c r="H84" s="7" t="n">
        <v>0</v>
      </c>
      <c r="I84" s="7" t="n">
        <v>-1</v>
      </c>
      <c r="J84" s="8" t="n">
        <v>582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00093598627</t>
        </is>
      </c>
      <c r="D85" s="5" t="inlineStr">
        <is>
          <t>EPINEPHRINE 0.3MG/0.3ML INJECTION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577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00310626060</t>
        </is>
      </c>
      <c r="D86" s="5" t="inlineStr">
        <is>
          <t>XIGDUO XR 5-1000 MG TABLET ER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569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59137053004</t>
        </is>
      </c>
      <c r="D87" s="5" t="inlineStr">
        <is>
          <t>RASUVO 20MG/0.4ML INJECTION</t>
        </is>
      </c>
      <c r="E87" s="6" t="inlineStr">
        <is>
          <t>1.6</t>
        </is>
      </c>
      <c r="F87" s="7" t="n">
        <v>1.6</v>
      </c>
      <c r="G87" s="7" t="n">
        <v>1</v>
      </c>
      <c r="H87" s="7" t="n">
        <v>1</v>
      </c>
      <c r="I87" s="7" t="n">
        <v>0</v>
      </c>
      <c r="J87" s="8" t="n">
        <v>553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00002882427</t>
        </is>
      </c>
      <c r="D88" s="5" t="inlineStr">
        <is>
          <t>HUMULIN R U-500 KWIKPEN 500UNIT/ML INJECTION</t>
        </is>
      </c>
      <c r="E88" s="6" t="inlineStr">
        <is>
          <t>6.0</t>
        </is>
      </c>
      <c r="F88" s="7" t="n">
        <v>6</v>
      </c>
      <c r="G88" s="7" t="n">
        <v>1</v>
      </c>
      <c r="H88" s="7" t="n">
        <v>0</v>
      </c>
      <c r="I88" s="7" t="n">
        <v>-1</v>
      </c>
      <c r="J88" s="8" t="n">
        <v>546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66993001968</t>
        </is>
      </c>
      <c r="D89" s="5" t="inlineStr">
        <is>
          <t xml:space="preserve">ALBUTEROL HFA 108  MCG/AC (VENTOLIN 18GM) </t>
        </is>
      </c>
      <c r="E89" s="6" t="inlineStr">
        <is>
          <t>18.0</t>
        </is>
      </c>
      <c r="F89" s="7" t="n">
        <v>396</v>
      </c>
      <c r="G89" s="7" t="n">
        <v>22</v>
      </c>
      <c r="H89" s="7" t="n">
        <v>12</v>
      </c>
      <c r="I89" s="7" t="n">
        <v>-10</v>
      </c>
      <c r="J89" s="8" t="n">
        <v>537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00186504031</t>
        </is>
      </c>
      <c r="D90" s="5" t="inlineStr">
        <is>
          <t>NEXIUM 40MG CAPSULE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5</v>
      </c>
      <c r="I90" s="7" t="n">
        <v>3</v>
      </c>
      <c r="J90" s="8" t="n">
        <v>524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64764073030</t>
        </is>
      </c>
      <c r="D91" s="5" t="inlineStr">
        <is>
          <t>TRINTELLIX 10MG TABLET</t>
        </is>
      </c>
      <c r="E91" s="6" t="inlineStr">
        <is>
          <t>30.0</t>
        </is>
      </c>
      <c r="F91" s="7" t="n">
        <v>30</v>
      </c>
      <c r="G91" s="7" t="n">
        <v>1</v>
      </c>
      <c r="H91" s="7" t="n">
        <v>0</v>
      </c>
      <c r="I91" s="7" t="n">
        <v>-1</v>
      </c>
      <c r="J91" s="8" t="n">
        <v>513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71571033383</t>
        </is>
      </c>
      <c r="D92" s="5" t="inlineStr">
        <is>
          <t>EYSUVIS 0.25 % OPHTHALMIC SUSPENSION</t>
        </is>
      </c>
      <c r="E92" s="6" t="inlineStr">
        <is>
          <t>8.3</t>
        </is>
      </c>
      <c r="F92" s="7" t="n">
        <v>8.300000000000001</v>
      </c>
      <c r="G92" s="7" t="n">
        <v>1</v>
      </c>
      <c r="H92" s="7" t="n">
        <v>0</v>
      </c>
      <c r="I92" s="7" t="n">
        <v>-1</v>
      </c>
      <c r="J92" s="8" t="n">
        <v>508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00054032856</t>
        </is>
      </c>
      <c r="D93" s="5" t="inlineStr">
        <is>
          <t>FLUTICASONE-SALMETEROL 500-50 MCG/ACT INH AEROSOL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503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00378876091</t>
        </is>
      </c>
      <c r="D94" s="5" t="inlineStr">
        <is>
          <t>CYCLOSPORINE 0.05 % OPHTHALMIC EMULSION</t>
        </is>
      </c>
      <c r="E94" s="6" t="inlineStr">
        <is>
          <t>60.0</t>
        </is>
      </c>
      <c r="F94" s="7" t="n">
        <v>240</v>
      </c>
      <c r="G94" s="7" t="n">
        <v>4</v>
      </c>
      <c r="H94" s="7" t="n">
        <v>0</v>
      </c>
      <c r="I94" s="7" t="n">
        <v>-4</v>
      </c>
      <c r="J94" s="8" t="n">
        <v>477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51672125903</t>
        </is>
      </c>
      <c r="D95" s="5" t="inlineStr">
        <is>
          <t>CLOBETASOL PROPIONATE 0.05% OINTMENT</t>
        </is>
      </c>
      <c r="E95" s="6" t="inlineStr">
        <is>
          <t>60.0</t>
        </is>
      </c>
      <c r="F95" s="7" t="n">
        <v>120</v>
      </c>
      <c r="G95" s="7" t="n">
        <v>2</v>
      </c>
      <c r="H95" s="7" t="n">
        <v>0</v>
      </c>
      <c r="I95" s="7" t="n">
        <v>-2</v>
      </c>
      <c r="J95" s="8" t="n">
        <v>467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00173086910</t>
        </is>
      </c>
      <c r="D96" s="5" t="inlineStr">
        <is>
          <t>ANORO ELLIPTA 62.5-25MCG/INH AEROSOL 60EA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1</v>
      </c>
      <c r="I96" s="7" t="n">
        <v>0</v>
      </c>
      <c r="J96" s="8" t="n">
        <v>464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70710115903</t>
        </is>
      </c>
      <c r="D97" s="5" t="inlineStr">
        <is>
          <t>MIRABEGRON ER 25MG TABLET</t>
        </is>
      </c>
      <c r="E97" s="6" t="inlineStr">
        <is>
          <t>30.0</t>
        </is>
      </c>
      <c r="F97" s="7" t="n">
        <v>60</v>
      </c>
      <c r="G97" s="7" t="n">
        <v>2</v>
      </c>
      <c r="H97" s="7" t="n">
        <v>0</v>
      </c>
      <c r="I97" s="7" t="n">
        <v>-2</v>
      </c>
      <c r="J97" s="8" t="n">
        <v>451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00168041699</t>
        </is>
      </c>
      <c r="D98" s="5" t="inlineStr">
        <is>
          <t>TACROLIMUS 0.1% OINTMENT</t>
        </is>
      </c>
      <c r="E98" s="6" t="inlineStr">
        <is>
          <t>100.0</t>
        </is>
      </c>
      <c r="F98" s="7" t="n">
        <v>100</v>
      </c>
      <c r="G98" s="7" t="n">
        <v>1</v>
      </c>
      <c r="H98" s="7" t="n">
        <v>1</v>
      </c>
      <c r="I98" s="7" t="n">
        <v>0</v>
      </c>
      <c r="J98" s="8" t="n">
        <v>390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00173088210</t>
        </is>
      </c>
      <c r="D99" s="5" t="inlineStr">
        <is>
          <t>BREO ELLIPTA 200-25MCG/INH AEROSOL 60EA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387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00002771559</t>
        </is>
      </c>
      <c r="D100" s="5" t="inlineStr">
        <is>
          <t>BASAGLAR KWIKPEN 100UNIT/ML INJECTION</t>
        </is>
      </c>
      <c r="E100" s="6" t="inlineStr">
        <is>
          <t>15.0</t>
        </is>
      </c>
      <c r="F100" s="7" t="n">
        <v>18</v>
      </c>
      <c r="G100" s="7" t="n">
        <v>1.2</v>
      </c>
      <c r="H100" s="7" t="n">
        <v>10</v>
      </c>
      <c r="I100" s="7" t="n">
        <v>8.800000000000001</v>
      </c>
      <c r="J100" s="8" t="n">
        <v>367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68180096301</t>
        </is>
      </c>
      <c r="D101" s="5" t="inlineStr">
        <is>
          <t>ALBUTEROL SULFATE HFA 108 (90 BASE)MCG/ACT AEROSOL</t>
        </is>
      </c>
      <c r="E101" s="6" t="inlineStr">
        <is>
          <t>8.5</t>
        </is>
      </c>
      <c r="F101" s="7" t="n">
        <v>204</v>
      </c>
      <c r="G101" s="7" t="n">
        <v>24</v>
      </c>
      <c r="H101" s="7" t="n">
        <v>36</v>
      </c>
      <c r="I101" s="7" t="n">
        <v>12</v>
      </c>
      <c r="J101" s="8" t="n">
        <v>351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00006011231</t>
        </is>
      </c>
      <c r="D102" s="5" t="inlineStr">
        <is>
          <t>JANUVIA 50MG TABLET</t>
        </is>
      </c>
      <c r="E102" s="6" t="inlineStr">
        <is>
          <t>30.0</t>
        </is>
      </c>
      <c r="F102" s="7" t="n">
        <v>90</v>
      </c>
      <c r="G102" s="7" t="n">
        <v>3</v>
      </c>
      <c r="H102" s="7" t="n">
        <v>15</v>
      </c>
      <c r="I102" s="7" t="n">
        <v>12</v>
      </c>
      <c r="J102" s="8" t="n">
        <v>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62856040530</t>
        </is>
      </c>
      <c r="D103" s="5" t="inlineStr">
        <is>
          <t>DAYVIGO 5 MG ORAL TABLET</t>
        </is>
      </c>
      <c r="E103" s="6" t="inlineStr">
        <is>
          <t>30.0</t>
        </is>
      </c>
      <c r="F103" s="7" t="n">
        <v>30</v>
      </c>
      <c r="G103" s="7" t="n">
        <v>1</v>
      </c>
      <c r="H103" s="7" t="n">
        <v>1</v>
      </c>
      <c r="I103" s="7" t="n">
        <v>0</v>
      </c>
      <c r="J103" s="8" t="n">
        <v>345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00173087310</t>
        </is>
      </c>
      <c r="D104" s="5" t="inlineStr">
        <is>
          <t>INCRUSE ELLIPTA 62.5MCG/INH AEROSOL</t>
        </is>
      </c>
      <c r="E104" s="6" t="inlineStr">
        <is>
          <t>30.0</t>
        </is>
      </c>
      <c r="F104" s="7" t="n">
        <v>30</v>
      </c>
      <c r="G104" s="7" t="n">
        <v>1</v>
      </c>
      <c r="H104" s="7" t="n">
        <v>0</v>
      </c>
      <c r="I104" s="7" t="n">
        <v>-1</v>
      </c>
      <c r="J104" s="8" t="n">
        <v>337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00597016860</t>
        </is>
      </c>
      <c r="D105" s="5" t="inlineStr">
        <is>
          <t>SYNJARDY 12.5-1000MG TABLET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323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00003376474</t>
        </is>
      </c>
      <c r="D106" s="5" t="inlineStr">
        <is>
          <t>ELIQUIS DVT/PE STARTER PACK 5 MG ORAL TABLET THERAPY PACK</t>
        </is>
      </c>
      <c r="E106" s="6" t="inlineStr">
        <is>
          <t>74.0</t>
        </is>
      </c>
      <c r="F106" s="7" t="n">
        <v>74</v>
      </c>
      <c r="G106" s="7" t="n">
        <v>1</v>
      </c>
      <c r="H106" s="7" t="n">
        <v>1</v>
      </c>
      <c r="I106" s="7" t="n">
        <v>0</v>
      </c>
      <c r="J106" s="8" t="n">
        <v>306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72205028260</t>
        </is>
      </c>
      <c r="D107" s="5" t="inlineStr">
        <is>
          <t>SACUBITRIL-VALSARTAN 97-103 MG ORAL TABLET</t>
        </is>
      </c>
      <c r="E107" s="6" t="inlineStr">
        <is>
          <t>60.0</t>
        </is>
      </c>
      <c r="F107" s="7" t="n">
        <v>540</v>
      </c>
      <c r="G107" s="7" t="n">
        <v>9</v>
      </c>
      <c r="H107" s="7" t="n">
        <v>0</v>
      </c>
      <c r="I107" s="7" t="n">
        <v>-9</v>
      </c>
      <c r="J107" s="8" t="n">
        <v>303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00005200010</t>
        </is>
      </c>
      <c r="D108" s="5" t="inlineStr">
        <is>
          <t>PREVNAR 20 0.5 ML PREFILLED SYRINGE</t>
        </is>
      </c>
      <c r="E108" s="6" t="inlineStr">
        <is>
          <t>5.0</t>
        </is>
      </c>
      <c r="F108" s="7" t="n">
        <v>0.5</v>
      </c>
      <c r="G108" s="7" t="n">
        <v>0.1</v>
      </c>
      <c r="H108" s="7" t="n">
        <v>0</v>
      </c>
      <c r="I108" s="7" t="n">
        <v>-0.1</v>
      </c>
      <c r="J108" s="8" t="n">
        <v>300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64764017530</t>
        </is>
      </c>
      <c r="D109" s="5" t="inlineStr">
        <is>
          <t xml:space="preserve">DEXILANT 60MG CAP 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288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0</v>
      </c>
      <c r="I110" s="7" t="n">
        <v>-3</v>
      </c>
      <c r="J110" s="8" t="n">
        <v>278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69238173306</t>
        </is>
      </c>
      <c r="D111" s="5" t="inlineStr">
        <is>
          <t>DOXEPIN HCL 5 % EXTERNAL CREAM</t>
        </is>
      </c>
      <c r="E111" s="6" t="inlineStr">
        <is>
          <t>45.0</t>
        </is>
      </c>
      <c r="F111" s="7" t="n">
        <v>45</v>
      </c>
      <c r="G111" s="7" t="n">
        <v>1</v>
      </c>
      <c r="H111" s="7" t="n">
        <v>1</v>
      </c>
      <c r="I111" s="7" t="n">
        <v>0</v>
      </c>
      <c r="J111" s="8" t="n">
        <v>271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99073070822</t>
        </is>
      </c>
      <c r="D112" s="5" t="inlineStr">
        <is>
          <t>FREESTYLE LITE TEST  STRIP</t>
        </is>
      </c>
      <c r="E112" s="6" t="inlineStr">
        <is>
          <t>50.0</t>
        </is>
      </c>
      <c r="F112" s="7" t="n">
        <v>200</v>
      </c>
      <c r="G112" s="7" t="n">
        <v>4</v>
      </c>
      <c r="H112" s="7" t="n">
        <v>10</v>
      </c>
      <c r="I112" s="7" t="n">
        <v>6</v>
      </c>
      <c r="J112" s="8" t="n">
        <v>270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00115169449</t>
        </is>
      </c>
      <c r="D113" s="5" t="inlineStr">
        <is>
          <t>EPINEPHRINE 0.3MG/0.3ML INJECTION 2ML</t>
        </is>
      </c>
      <c r="E113" s="6" t="inlineStr">
        <is>
          <t>2.0</t>
        </is>
      </c>
      <c r="F113" s="7" t="n">
        <v>2</v>
      </c>
      <c r="G113" s="7" t="n">
        <v>1</v>
      </c>
      <c r="H113" s="7" t="n">
        <v>3</v>
      </c>
      <c r="I113" s="7" t="n">
        <v>2</v>
      </c>
      <c r="J113" s="8" t="n">
        <v>264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00456120330</t>
        </is>
      </c>
      <c r="D114" s="5" t="inlineStr">
        <is>
          <t>LINZESS 72 MCG ORAL CAPSULE</t>
        </is>
      </c>
      <c r="E114" s="6" t="inlineStr">
        <is>
          <t>30.0</t>
        </is>
      </c>
      <c r="F114" s="7" t="n">
        <v>30</v>
      </c>
      <c r="G114" s="7" t="n">
        <v>1</v>
      </c>
      <c r="H114" s="7" t="n">
        <v>3</v>
      </c>
      <c r="I114" s="7" t="n">
        <v>2</v>
      </c>
      <c r="J114" s="8" t="n">
        <v>263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70377007913</t>
        </is>
      </c>
      <c r="D115" s="5" t="inlineStr">
        <is>
          <t>ATORVASTATIN 40MG TABLET</t>
        </is>
      </c>
      <c r="E115" s="6" t="inlineStr">
        <is>
          <t>1000.0</t>
        </is>
      </c>
      <c r="F115" s="7" t="n">
        <v>3210</v>
      </c>
      <c r="G115" s="7" t="n">
        <v>3.21</v>
      </c>
      <c r="H115" s="7" t="n">
        <v>2</v>
      </c>
      <c r="I115" s="7" t="n">
        <v>-1.21</v>
      </c>
      <c r="J115" s="8" t="n">
        <v>258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66993007896</t>
        </is>
      </c>
      <c r="D116" s="5" t="inlineStr">
        <is>
          <t>FLUTICASONE PROPIONATE HFA 44 MCG/ACT INH AEROSOL</t>
        </is>
      </c>
      <c r="E116" s="6" t="inlineStr">
        <is>
          <t>10.6</t>
        </is>
      </c>
      <c r="F116" s="7" t="n">
        <v>21.2</v>
      </c>
      <c r="G116" s="7" t="n">
        <v>2</v>
      </c>
      <c r="H116" s="7" t="n">
        <v>0</v>
      </c>
      <c r="I116" s="7" t="n">
        <v>-2</v>
      </c>
      <c r="J116" s="8" t="n">
        <v>255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24208050402</t>
        </is>
      </c>
      <c r="D117" s="5" t="inlineStr">
        <is>
          <t>VYZULTA 0.024 % OPHTHALMIC SOLUTION</t>
        </is>
      </c>
      <c r="E117" s="6" t="inlineStr">
        <is>
          <t>2.5</t>
        </is>
      </c>
      <c r="F117" s="7" t="n">
        <v>2.5</v>
      </c>
      <c r="G117" s="7" t="n">
        <v>1</v>
      </c>
      <c r="H117" s="7" t="n">
        <v>0</v>
      </c>
      <c r="I117" s="7" t="n">
        <v>-1</v>
      </c>
      <c r="J117" s="8" t="n">
        <v>249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00378932232</t>
        </is>
      </c>
      <c r="D118" s="5" t="inlineStr">
        <is>
          <t>WIXELA INHUB 500-50 MCG/ACT INH AEROSOL</t>
        </is>
      </c>
      <c r="E118" s="6" t="inlineStr">
        <is>
          <t>60.0</t>
        </is>
      </c>
      <c r="F118" s="7" t="n">
        <v>180</v>
      </c>
      <c r="G118" s="7" t="n">
        <v>3</v>
      </c>
      <c r="H118" s="7" t="n">
        <v>0</v>
      </c>
      <c r="I118" s="7" t="n">
        <v>-3</v>
      </c>
      <c r="J118" s="8" t="n">
        <v>244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1</v>
      </c>
      <c r="G119" s="7" t="n">
        <v>0.1</v>
      </c>
      <c r="H119" s="7" t="n">
        <v>0</v>
      </c>
      <c r="I119" s="7" t="n">
        <v>-0.1</v>
      </c>
      <c r="J119" s="8" t="n">
        <v>239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00480268806</t>
        </is>
      </c>
      <c r="D120" s="5" t="inlineStr">
        <is>
          <t>TICAGRELOR 60 MG ORAL TABLET</t>
        </is>
      </c>
      <c r="E120" s="6" t="inlineStr">
        <is>
          <t>60.0</t>
        </is>
      </c>
      <c r="F120" s="7" t="n">
        <v>60</v>
      </c>
      <c r="G120" s="7" t="n">
        <v>1</v>
      </c>
      <c r="H120" s="7" t="n">
        <v>0</v>
      </c>
      <c r="I120" s="7" t="n">
        <v>-1</v>
      </c>
      <c r="J120" s="8" t="n">
        <v>238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00173071520</t>
        </is>
      </c>
      <c r="D121" s="5" t="inlineStr">
        <is>
          <t>ADVAIR HFA 45-21 MCG/ACT INHALATION AEROSOL 12GM</t>
        </is>
      </c>
      <c r="E121" s="6" t="inlineStr">
        <is>
          <t>12.0</t>
        </is>
      </c>
      <c r="F121" s="7" t="n">
        <v>12</v>
      </c>
      <c r="G121" s="7" t="n">
        <v>1</v>
      </c>
      <c r="H121" s="7" t="n">
        <v>3</v>
      </c>
      <c r="I121" s="7" t="n">
        <v>2</v>
      </c>
      <c r="J121" s="8" t="n">
        <v>237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52817080030</t>
        </is>
      </c>
      <c r="D122" s="5" t="inlineStr">
        <is>
          <t xml:space="preserve">CLOTRIMAZOLE 1 % SOLUTION 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0</v>
      </c>
      <c r="I122" s="7" t="n">
        <v>-8</v>
      </c>
      <c r="J122" s="8" t="n">
        <v>231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33342032186</t>
        </is>
      </c>
      <c r="D123" s="5" t="inlineStr">
        <is>
          <t>CLOBETASOL PROPIONATE 0.05 % SOLUTION</t>
        </is>
      </c>
      <c r="E123" s="6" t="inlineStr">
        <is>
          <t>50.0</t>
        </is>
      </c>
      <c r="F123" s="7" t="n">
        <v>250</v>
      </c>
      <c r="G123" s="7" t="n">
        <v>5</v>
      </c>
      <c r="H123" s="7" t="n">
        <v>5</v>
      </c>
      <c r="I123" s="7" t="n">
        <v>0</v>
      </c>
      <c r="J123" s="8" t="n">
        <v>221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66993008096</t>
        </is>
      </c>
      <c r="D124" s="5" t="inlineStr">
        <is>
          <t>FLUTICASONE PROPIONATE HFA 220 MCG/ACT INHALATION AEROSOL</t>
        </is>
      </c>
      <c r="E124" s="6" t="inlineStr">
        <is>
          <t>12.0</t>
        </is>
      </c>
      <c r="F124" s="7" t="n">
        <v>12</v>
      </c>
      <c r="G124" s="7" t="n">
        <v>1</v>
      </c>
      <c r="H124" s="7" t="n">
        <v>0</v>
      </c>
      <c r="I124" s="7" t="n">
        <v>-1</v>
      </c>
      <c r="J124" s="8" t="n">
        <v>218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00169255013</t>
        </is>
      </c>
      <c r="D125" s="5" t="inlineStr">
        <is>
          <t>TRESIBA FLEXTOUCH 200UNIT/ML INJECTION</t>
        </is>
      </c>
      <c r="E125" s="6" t="inlineStr">
        <is>
          <t>9.0</t>
        </is>
      </c>
      <c r="F125" s="7" t="n">
        <v>12</v>
      </c>
      <c r="G125" s="7" t="n">
        <v>1.333333333333333</v>
      </c>
      <c r="H125" s="7" t="n">
        <v>2</v>
      </c>
      <c r="I125" s="7" t="n">
        <v>0.6666666666666667</v>
      </c>
      <c r="J125" s="8" t="n">
        <v>206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00074706890</t>
        </is>
      </c>
      <c r="D126" s="5" t="inlineStr">
        <is>
          <t>SYNTHROID 125 MCG ORAL TABLET</t>
        </is>
      </c>
      <c r="E126" s="6" t="inlineStr">
        <is>
          <t>90.0</t>
        </is>
      </c>
      <c r="F126" s="7" t="n">
        <v>120</v>
      </c>
      <c r="G126" s="7" t="n">
        <v>1.333333333333333</v>
      </c>
      <c r="H126" s="7" t="n">
        <v>1</v>
      </c>
      <c r="I126" s="7" t="n">
        <v>-0.3333333333333333</v>
      </c>
      <c r="J126" s="8" t="n">
        <v>202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00173088810</t>
        </is>
      </c>
      <c r="D127" s="5" t="inlineStr">
        <is>
          <t>ARNUITY ELLIPTA 50 MCG/ACT INHAEROSOL</t>
        </is>
      </c>
      <c r="E127" s="6" t="inlineStr">
        <is>
          <t>30.0</t>
        </is>
      </c>
      <c r="F127" s="7" t="n">
        <v>30</v>
      </c>
      <c r="G127" s="7" t="n">
        <v>1</v>
      </c>
      <c r="H127" s="7" t="n">
        <v>0</v>
      </c>
      <c r="I127" s="7" t="n">
        <v>-1</v>
      </c>
      <c r="J127" s="8" t="n">
        <v>197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00173069600</t>
        </is>
      </c>
      <c r="D128" s="5" t="inlineStr">
        <is>
          <t>ADVAIR DISKUS 250-50MCG/DOSE AEROSOL 60EA</t>
        </is>
      </c>
      <c r="E128" s="6" t="inlineStr">
        <is>
          <t>60.0</t>
        </is>
      </c>
      <c r="F128" s="7" t="n">
        <v>60</v>
      </c>
      <c r="G128" s="7" t="n">
        <v>1</v>
      </c>
      <c r="H128" s="7" t="n">
        <v>0</v>
      </c>
      <c r="I128" s="7" t="n">
        <v>-1</v>
      </c>
      <c r="J128" s="8" t="n">
        <v>183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00169266015</t>
        </is>
      </c>
      <c r="D129" s="5" t="inlineStr">
        <is>
          <t>TRESIBA FLEXTOUCH 100UNIT/ML INJECTION</t>
        </is>
      </c>
      <c r="E129" s="6" t="inlineStr">
        <is>
          <t>15.0</t>
        </is>
      </c>
      <c r="F129" s="7" t="n">
        <v>21</v>
      </c>
      <c r="G129" s="7" t="n">
        <v>1.4</v>
      </c>
      <c r="H129" s="7" t="n">
        <v>4</v>
      </c>
      <c r="I129" s="7" t="n">
        <v>2.6</v>
      </c>
      <c r="J129" s="8" t="n">
        <v>178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72205028118</t>
        </is>
      </c>
      <c r="D130" s="5" t="inlineStr">
        <is>
          <t>SACUBITRIL-VALSARTAN 49-51 MG ORAL TABLET</t>
        </is>
      </c>
      <c r="E130" s="6" t="inlineStr">
        <is>
          <t>180.0</t>
        </is>
      </c>
      <c r="F130" s="7" t="n">
        <v>180</v>
      </c>
      <c r="G130" s="7" t="n">
        <v>1</v>
      </c>
      <c r="H130" s="7" t="n">
        <v>8</v>
      </c>
      <c r="I130" s="7" t="n">
        <v>7</v>
      </c>
      <c r="J130" s="8" t="n">
        <v>163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60505082901</t>
        </is>
      </c>
      <c r="D131" s="5" t="inlineStr">
        <is>
          <t>FLUTICASONE 50MCG (NASAL) SUSPENSION</t>
        </is>
      </c>
      <c r="E131" s="6" t="inlineStr">
        <is>
          <t>16.0</t>
        </is>
      </c>
      <c r="F131" s="7" t="n">
        <v>496</v>
      </c>
      <c r="G131" s="7" t="n">
        <v>31</v>
      </c>
      <c r="H131" s="7" t="n">
        <v>42</v>
      </c>
      <c r="I131" s="7" t="n">
        <v>11</v>
      </c>
      <c r="J131" s="8" t="n">
        <v>163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08222440006</t>
        </is>
      </c>
      <c r="D132" s="5" t="inlineStr">
        <is>
          <t>ALCOHOL PADS ULTICARE</t>
        </is>
      </c>
      <c r="E132" s="6" t="inlineStr">
        <is>
          <t>100.0</t>
        </is>
      </c>
      <c r="F132" s="7" t="n">
        <v>3400</v>
      </c>
      <c r="G132" s="7" t="n">
        <v>34</v>
      </c>
      <c r="H132" s="7" t="n">
        <v>0</v>
      </c>
      <c r="I132" s="7" t="n">
        <v>-34</v>
      </c>
      <c r="J132" s="8" t="n">
        <v>161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00597029074</t>
        </is>
      </c>
      <c r="D133" s="5" t="inlineStr">
        <is>
          <t>SYNJARDY 5-1000MG TABLET XR</t>
        </is>
      </c>
      <c r="E133" s="6" t="inlineStr">
        <is>
          <t>60.0</t>
        </is>
      </c>
      <c r="F133" s="7" t="n">
        <v>30</v>
      </c>
      <c r="G133" s="7" t="n">
        <v>0.5</v>
      </c>
      <c r="H133" s="7" t="n">
        <v>3</v>
      </c>
      <c r="I133" s="7" t="n">
        <v>2.5</v>
      </c>
      <c r="J133" s="8" t="n">
        <v>161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65702071110</t>
        </is>
      </c>
      <c r="D134" s="5" t="inlineStr">
        <is>
          <t>ACCU-CHEK GUIDE IN VITRO STRIP</t>
        </is>
      </c>
      <c r="E134" s="6" t="inlineStr">
        <is>
          <t>50.0</t>
        </is>
      </c>
      <c r="F134" s="7" t="n">
        <v>400</v>
      </c>
      <c r="G134" s="7" t="n">
        <v>8</v>
      </c>
      <c r="H134" s="7" t="n">
        <v>4</v>
      </c>
      <c r="I134" s="7" t="n">
        <v>-4</v>
      </c>
      <c r="J134" s="8" t="n">
        <v>157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72888017830</t>
        </is>
      </c>
      <c r="D135" s="5" t="inlineStr">
        <is>
          <t>TRANEXAMIC ACID 650 MG ORAL TABLET</t>
        </is>
      </c>
      <c r="E135" s="6" t="inlineStr">
        <is>
          <t>30.0</t>
        </is>
      </c>
      <c r="F135" s="7" t="n">
        <v>120</v>
      </c>
      <c r="G135" s="7" t="n">
        <v>4</v>
      </c>
      <c r="H135" s="7" t="n">
        <v>4</v>
      </c>
      <c r="I135" s="7" t="n">
        <v>0</v>
      </c>
      <c r="J135" s="8" t="n">
        <v>150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65862059805</t>
        </is>
      </c>
      <c r="D136" s="5" t="inlineStr">
        <is>
          <t>TAMSULOSIN 0.4MG CAPSULE</t>
        </is>
      </c>
      <c r="E136" s="6" t="inlineStr">
        <is>
          <t>500.0</t>
        </is>
      </c>
      <c r="F136" s="7" t="n">
        <v>1650</v>
      </c>
      <c r="G136" s="7" t="n">
        <v>3.3</v>
      </c>
      <c r="H136" s="7" t="n">
        <v>5</v>
      </c>
      <c r="I136" s="7" t="n">
        <v>1.7</v>
      </c>
      <c r="J136" s="8" t="n">
        <v>148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59762033302</t>
        </is>
      </c>
      <c r="D137" s="5" t="inlineStr">
        <is>
          <t>LATANOPROST 0.005 % OPHTHALMIC SOLUTION</t>
        </is>
      </c>
      <c r="E137" s="6" t="inlineStr">
        <is>
          <t>2.5</t>
        </is>
      </c>
      <c r="F137" s="7" t="n">
        <v>130</v>
      </c>
      <c r="G137" s="7" t="n">
        <v>52</v>
      </c>
      <c r="H137" s="7" t="n">
        <v>48</v>
      </c>
      <c r="I137" s="7" t="n">
        <v>-4</v>
      </c>
      <c r="J137" s="8" t="n">
        <v>146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00093598527</t>
        </is>
      </c>
      <c r="D138" s="5" t="inlineStr">
        <is>
          <t>EPINEPHRINE (JR) 0.15MG/0.3ML</t>
        </is>
      </c>
      <c r="E138" s="6" t="inlineStr">
        <is>
          <t>2.0</t>
        </is>
      </c>
      <c r="F138" s="7" t="n">
        <v>2</v>
      </c>
      <c r="G138" s="7" t="n">
        <v>1</v>
      </c>
      <c r="H138" s="7" t="n">
        <v>2</v>
      </c>
      <c r="I138" s="7" t="n">
        <v>1</v>
      </c>
      <c r="J138" s="8" t="n">
        <v>144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00591294430</t>
        </is>
      </c>
      <c r="D139" s="5" t="inlineStr">
        <is>
          <t>PIMECROLIMUS 1 % EXTERNAL CREAM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143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33342050615</t>
        </is>
      </c>
      <c r="D140" s="5" t="inlineStr">
        <is>
          <t>CLOBETASOL PROPIONATE 0.05 % EXTERNAL OINTMENT</t>
        </is>
      </c>
      <c r="E140" s="6" t="inlineStr">
        <is>
          <t>15.0</t>
        </is>
      </c>
      <c r="F140" s="7" t="n">
        <v>30</v>
      </c>
      <c r="G140" s="7" t="n">
        <v>2</v>
      </c>
      <c r="H140" s="7" t="n">
        <v>3</v>
      </c>
      <c r="I140" s="7" t="n">
        <v>1</v>
      </c>
      <c r="J140" s="8" t="n">
        <v>140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00054032756</t>
        </is>
      </c>
      <c r="D141" s="5" t="inlineStr">
        <is>
          <t>FLUTICASONE-SALMETEROL 250-50 MCG/ACT INH AEROSOL</t>
        </is>
      </c>
      <c r="E141" s="6" t="inlineStr">
        <is>
          <t>60.0</t>
        </is>
      </c>
      <c r="F141" s="7" t="n">
        <v>180</v>
      </c>
      <c r="G141" s="7" t="n">
        <v>3</v>
      </c>
      <c r="H141" s="7" t="n">
        <v>6</v>
      </c>
      <c r="I141" s="7" t="n">
        <v>3</v>
      </c>
      <c r="J141" s="8" t="n">
        <v>136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00378107593</t>
        </is>
      </c>
      <c r="D142" s="5" t="inlineStr">
        <is>
          <t>TELMISARTAN-AMLODIPINE 40-5 MG ORAL TABLET</t>
        </is>
      </c>
      <c r="E142" s="6" t="inlineStr">
        <is>
          <t>30.0</t>
        </is>
      </c>
      <c r="F142" s="7" t="n">
        <v>90</v>
      </c>
      <c r="G142" s="7" t="n">
        <v>3</v>
      </c>
      <c r="H142" s="7" t="n">
        <v>3</v>
      </c>
      <c r="I142" s="7" t="n">
        <v>0</v>
      </c>
      <c r="J142" s="8" t="n">
        <v>136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45802010365</t>
        </is>
      </c>
      <c r="D143" s="5" t="inlineStr">
        <is>
          <t>ALOGLIPTIN BENZOATE 12.5 MG ORAL TABLET</t>
        </is>
      </c>
      <c r="E143" s="6" t="inlineStr">
        <is>
          <t>30.0</t>
        </is>
      </c>
      <c r="F143" s="7" t="n">
        <v>30</v>
      </c>
      <c r="G143" s="7" t="n">
        <v>1</v>
      </c>
      <c r="H143" s="7" t="n">
        <v>0</v>
      </c>
      <c r="I143" s="7" t="n">
        <v>-1</v>
      </c>
      <c r="J143" s="8" t="n">
        <v>133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00378932132</t>
        </is>
      </c>
      <c r="D144" s="5" t="inlineStr">
        <is>
          <t>WIXELA (ADVAIR) 250-50MCG/DOSE AEROSOL</t>
        </is>
      </c>
      <c r="E144" s="6" t="inlineStr">
        <is>
          <t>60.0</t>
        </is>
      </c>
      <c r="F144" s="7" t="n">
        <v>180</v>
      </c>
      <c r="G144" s="7" t="n">
        <v>3</v>
      </c>
      <c r="H144" s="7" t="n">
        <v>0</v>
      </c>
      <c r="I144" s="7" t="n">
        <v>-3</v>
      </c>
      <c r="J144" s="8" t="n">
        <v>133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00591352530</t>
        </is>
      </c>
      <c r="D145" s="5" t="inlineStr">
        <is>
          <t xml:space="preserve">LIDOCAINE 5% PATCH </t>
        </is>
      </c>
      <c r="E145" s="6" t="inlineStr">
        <is>
          <t>30.0</t>
        </is>
      </c>
      <c r="F145" s="7" t="n">
        <v>30</v>
      </c>
      <c r="G145" s="7" t="n">
        <v>1</v>
      </c>
      <c r="H145" s="7" t="n">
        <v>0</v>
      </c>
      <c r="I145" s="7" t="n">
        <v>-1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00603188016</t>
        </is>
      </c>
      <c r="D146" s="5" t="inlineStr">
        <is>
          <t>LIDOCAINE 5 % EXTERNAL PATCH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4</v>
      </c>
      <c r="I146" s="7" t="n">
        <v>3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00378581577</t>
        </is>
      </c>
      <c r="D147" s="5" t="inlineStr">
        <is>
          <t>VALSARTAN 320MG TABLET</t>
        </is>
      </c>
      <c r="E147" s="6" t="inlineStr">
        <is>
          <t>90.0</t>
        </is>
      </c>
      <c r="F147" s="7" t="n">
        <v>270</v>
      </c>
      <c r="G147" s="7" t="n">
        <v>3</v>
      </c>
      <c r="H147" s="7" t="n">
        <v>0</v>
      </c>
      <c r="I147" s="7" t="n">
        <v>-3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72888002410</t>
        </is>
      </c>
      <c r="D148" s="5" t="inlineStr">
        <is>
          <t>POTASSIUM CHLORIDE 20 MEQ ORAL PACKET</t>
        </is>
      </c>
      <c r="E148" s="6" t="inlineStr">
        <is>
          <t>100.0</t>
        </is>
      </c>
      <c r="F148" s="7" t="n">
        <v>180</v>
      </c>
      <c r="G148" s="7" t="n">
        <v>1.8</v>
      </c>
      <c r="H148" s="7" t="n">
        <v>0</v>
      </c>
      <c r="I148" s="7" t="n">
        <v>-1.8</v>
      </c>
      <c r="J148" s="8" t="n">
        <v>122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70010078205</t>
        </is>
      </c>
      <c r="D149" s="5" t="inlineStr">
        <is>
          <t>METOPROLOL SUCCINATE ER 100MG TABLET</t>
        </is>
      </c>
      <c r="E149" s="6" t="inlineStr">
        <is>
          <t>500.0</t>
        </is>
      </c>
      <c r="F149" s="7" t="n">
        <v>750</v>
      </c>
      <c r="G149" s="7" t="n">
        <v>1.5</v>
      </c>
      <c r="H149" s="7" t="n">
        <v>2</v>
      </c>
      <c r="I149" s="7" t="n">
        <v>0.5</v>
      </c>
      <c r="J149" s="8" t="n">
        <v>121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00168025846</t>
        </is>
      </c>
      <c r="D150" s="5" t="inlineStr">
        <is>
          <t>CLOTRIMAZOLE-BETAMETHASONE 1-0.05 % EXTERNAL CREAM</t>
        </is>
      </c>
      <c r="E150" s="6" t="inlineStr">
        <is>
          <t>45.0</t>
        </is>
      </c>
      <c r="F150" s="7" t="n">
        <v>315</v>
      </c>
      <c r="G150" s="7" t="n">
        <v>7</v>
      </c>
      <c r="H150" s="7" t="n">
        <v>6</v>
      </c>
      <c r="I150" s="7" t="n">
        <v>-1</v>
      </c>
      <c r="J150" s="8" t="n">
        <v>120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50111091703</t>
        </is>
      </c>
      <c r="D151" s="5" t="inlineStr">
        <is>
          <t>TORSEMIDE 20MG TABLET</t>
        </is>
      </c>
      <c r="E151" s="6" t="inlineStr">
        <is>
          <t>1000.0</t>
        </is>
      </c>
      <c r="F151" s="7" t="n">
        <v>330</v>
      </c>
      <c r="G151" s="7" t="n">
        <v>0.33</v>
      </c>
      <c r="H151" s="7" t="n">
        <v>0</v>
      </c>
      <c r="I151" s="7" t="n">
        <v>-0.33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00093365740</t>
        </is>
      </c>
      <c r="D152" s="5" t="inlineStr">
        <is>
          <t>BUPRENORPHINE 10 MCG/HR TRANSDERMAL PATCH WEEKLY</t>
        </is>
      </c>
      <c r="E152" s="6" t="inlineStr">
        <is>
          <t>4.0</t>
        </is>
      </c>
      <c r="F152" s="7" t="n">
        <v>4</v>
      </c>
      <c r="G152" s="7" t="n">
        <v>1</v>
      </c>
      <c r="H152" s="7" t="n">
        <v>2</v>
      </c>
      <c r="I152" s="7" t="n">
        <v>1</v>
      </c>
      <c r="J152" s="8" t="n">
        <v>110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51672130100</t>
        </is>
      </c>
      <c r="D153" s="5" t="inlineStr">
        <is>
          <t>AMMONIUM LACTATE 12 % EXTERNAL CREAM</t>
        </is>
      </c>
      <c r="E153" s="6" t="inlineStr">
        <is>
          <t>385.0</t>
        </is>
      </c>
      <c r="F153" s="7" t="n">
        <v>1925</v>
      </c>
      <c r="G153" s="7" t="n">
        <v>5</v>
      </c>
      <c r="H153" s="7" t="n">
        <v>0</v>
      </c>
      <c r="I153" s="7" t="n">
        <v>-5</v>
      </c>
      <c r="J153" s="8" t="n">
        <v>109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51672140709</t>
        </is>
      </c>
      <c r="D154" s="5" t="inlineStr">
        <is>
          <t>TRETINOIN 0.025 % EXTERNAL CREAM</t>
        </is>
      </c>
      <c r="E154" s="6" t="inlineStr">
        <is>
          <t>45.0</t>
        </is>
      </c>
      <c r="F154" s="7" t="n">
        <v>45</v>
      </c>
      <c r="G154" s="7" t="n">
        <v>1</v>
      </c>
      <c r="H154" s="7" t="n">
        <v>0</v>
      </c>
      <c r="I154" s="7" t="n">
        <v>-1</v>
      </c>
      <c r="J154" s="8" t="n">
        <v>108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60505083001</t>
        </is>
      </c>
      <c r="D155" s="5" t="inlineStr">
        <is>
          <t>MOMETASONE FUROATE 50MCG/ACT SUSPENSION</t>
        </is>
      </c>
      <c r="E155" s="6" t="inlineStr">
        <is>
          <t>17.0</t>
        </is>
      </c>
      <c r="F155" s="7" t="n">
        <v>34</v>
      </c>
      <c r="G155" s="7" t="n">
        <v>2</v>
      </c>
      <c r="H155" s="7" t="n">
        <v>0</v>
      </c>
      <c r="I155" s="7" t="n">
        <v>-2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70377000913</t>
        </is>
      </c>
      <c r="D156" s="5" t="inlineStr">
        <is>
          <t>ROSUVASTATIN 40MG TABLET</t>
        </is>
      </c>
      <c r="E156" s="6" t="inlineStr">
        <is>
          <t>500.0</t>
        </is>
      </c>
      <c r="F156" s="7" t="n">
        <v>600</v>
      </c>
      <c r="G156" s="7" t="n">
        <v>1.2</v>
      </c>
      <c r="H156" s="7" t="n">
        <v>0</v>
      </c>
      <c r="I156" s="7" t="n">
        <v>-1.2</v>
      </c>
      <c r="J156" s="8" t="n">
        <v>103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72205028060</t>
        </is>
      </c>
      <c r="D157" s="5" t="inlineStr">
        <is>
          <t>SACUBITRIL-VALSARTAN 24-26 MG ORAL TABLET</t>
        </is>
      </c>
      <c r="E157" s="6" t="inlineStr">
        <is>
          <t>60.0</t>
        </is>
      </c>
      <c r="F157" s="7" t="n">
        <v>180</v>
      </c>
      <c r="G157" s="7" t="n">
        <v>3</v>
      </c>
      <c r="H157" s="7" t="n">
        <v>0</v>
      </c>
      <c r="I157" s="7" t="n">
        <v>-3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71921019033</t>
        </is>
      </c>
      <c r="D158" s="5" t="inlineStr">
        <is>
          <t>EXEMESTANE 25MG TABLET</t>
        </is>
      </c>
      <c r="E158" s="6" t="inlineStr">
        <is>
          <t>30.0</t>
        </is>
      </c>
      <c r="F158" s="7" t="n">
        <v>90</v>
      </c>
      <c r="G158" s="7" t="n">
        <v>3</v>
      </c>
      <c r="H158" s="7" t="n">
        <v>0</v>
      </c>
      <c r="I158" s="7" t="n">
        <v>-3</v>
      </c>
      <c r="J158" s="8" t="n">
        <v>102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72205028018</t>
        </is>
      </c>
      <c r="D159" s="5" t="inlineStr">
        <is>
          <t>SACUBITRIL-VALSARTAN 24-26 MG ORAL TABLET</t>
        </is>
      </c>
      <c r="E159" s="6" t="inlineStr">
        <is>
          <t>180.0</t>
        </is>
      </c>
      <c r="F159" s="7" t="n">
        <v>180</v>
      </c>
      <c r="G159" s="7" t="n">
        <v>1</v>
      </c>
      <c r="H159" s="7" t="n">
        <v>9</v>
      </c>
      <c r="I159" s="7" t="n">
        <v>8</v>
      </c>
      <c r="J159" s="8" t="n">
        <v>102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16729001901</t>
        </is>
      </c>
      <c r="D160" s="5" t="inlineStr">
        <is>
          <t xml:space="preserve">MYCOPHENOLATE MOFETIL 500MG TAB </t>
        </is>
      </c>
      <c r="E160" s="6" t="inlineStr">
        <is>
          <t>100.0</t>
        </is>
      </c>
      <c r="F160" s="7" t="n">
        <v>120</v>
      </c>
      <c r="G160" s="7" t="n">
        <v>1.2</v>
      </c>
      <c r="H160" s="7" t="n">
        <v>0</v>
      </c>
      <c r="I160" s="7" t="n">
        <v>-1.2</v>
      </c>
      <c r="J160" s="8" t="n">
        <v>99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31722062921</t>
        </is>
      </c>
      <c r="D161" s="5" t="inlineStr">
        <is>
          <t>ATOVAQUONE 750 MG/5ML ORAL SUSPENSION</t>
        </is>
      </c>
      <c r="E161" s="6" t="inlineStr">
        <is>
          <t>210.0</t>
        </is>
      </c>
      <c r="F161" s="7" t="n">
        <v>210</v>
      </c>
      <c r="G161" s="7" t="n">
        <v>1</v>
      </c>
      <c r="H161" s="7" t="n">
        <v>1</v>
      </c>
      <c r="I161" s="7" t="n">
        <v>0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61314063710</t>
        </is>
      </c>
      <c r="D162" s="5" t="inlineStr">
        <is>
          <t>PREDNISOLONE ACETATE 1% SUSPENSION</t>
        </is>
      </c>
      <c r="E162" s="6" t="inlineStr">
        <is>
          <t>10.0</t>
        </is>
      </c>
      <c r="F162" s="7" t="n">
        <v>20</v>
      </c>
      <c r="G162" s="7" t="n">
        <v>2</v>
      </c>
      <c r="H162" s="7" t="n">
        <v>0</v>
      </c>
      <c r="I162" s="7" t="n">
        <v>-2</v>
      </c>
      <c r="J162" s="8" t="n">
        <v>97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51672131808</t>
        </is>
      </c>
      <c r="D163" s="5" t="inlineStr">
        <is>
          <t xml:space="preserve">CICLOPIROX 0.77% CREAM </t>
        </is>
      </c>
      <c r="E163" s="6" t="inlineStr">
        <is>
          <t>90.0</t>
        </is>
      </c>
      <c r="F163" s="7" t="n">
        <v>270</v>
      </c>
      <c r="G163" s="7" t="n">
        <v>3</v>
      </c>
      <c r="H163" s="7" t="n">
        <v>1</v>
      </c>
      <c r="I163" s="7" t="n">
        <v>-2</v>
      </c>
      <c r="J163" s="8" t="n">
        <v>97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61314014315</t>
        </is>
      </c>
      <c r="D164" s="5" t="inlineStr">
        <is>
          <t>BRIMONIDINE TARTRATE 0.2 % OPHTHALMIC SOLUTION</t>
        </is>
      </c>
      <c r="E164" s="6" t="inlineStr">
        <is>
          <t>15.0</t>
        </is>
      </c>
      <c r="F164" s="7" t="n">
        <v>75</v>
      </c>
      <c r="G164" s="7" t="n">
        <v>5</v>
      </c>
      <c r="H164" s="7" t="n">
        <v>3</v>
      </c>
      <c r="I164" s="7" t="n">
        <v>-2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00378087399</t>
        </is>
      </c>
      <c r="D165" s="5" t="inlineStr">
        <is>
          <t>CLONIDINE 0.3MG/24HR PATCH</t>
        </is>
      </c>
      <c r="E165" s="6" t="inlineStr">
        <is>
          <t>4.0</t>
        </is>
      </c>
      <c r="F165" s="7" t="n">
        <v>12</v>
      </c>
      <c r="G165" s="7" t="n">
        <v>3</v>
      </c>
      <c r="H165" s="7" t="n">
        <v>0</v>
      </c>
      <c r="I165" s="7" t="n">
        <v>-3</v>
      </c>
      <c r="J165" s="8" t="n">
        <v>93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57599081800</t>
        </is>
      </c>
      <c r="D166" s="5" t="inlineStr">
        <is>
          <t>FREESTYLE LIBRE 3 SENSOR</t>
        </is>
      </c>
      <c r="E166" s="6" t="inlineStr">
        <is>
          <t>1.0</t>
        </is>
      </c>
      <c r="F166" s="7" t="n">
        <v>2</v>
      </c>
      <c r="G166" s="7" t="n">
        <v>2</v>
      </c>
      <c r="H166" s="7" t="n">
        <v>6</v>
      </c>
      <c r="I166" s="7" t="n">
        <v>4</v>
      </c>
      <c r="J166" s="8" t="n">
        <v>92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51672130009</t>
        </is>
      </c>
      <c r="D167" s="5" t="inlineStr">
        <is>
          <t>AMMONIUM LACTATE 12 % EXTERNAL LOTION</t>
        </is>
      </c>
      <c r="E167" s="6" t="inlineStr">
        <is>
          <t>400.0</t>
        </is>
      </c>
      <c r="F167" s="7" t="n">
        <v>3200</v>
      </c>
      <c r="G167" s="7" t="n">
        <v>8</v>
      </c>
      <c r="H167" s="7" t="n">
        <v>0</v>
      </c>
      <c r="I167" s="7" t="n">
        <v>-8</v>
      </c>
      <c r="J167" s="8" t="n">
        <v>90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70377007813</t>
        </is>
      </c>
      <c r="D168" s="5" t="inlineStr">
        <is>
          <t>ATORVASTATIN 20MG TABLET</t>
        </is>
      </c>
      <c r="E168" s="6" t="inlineStr">
        <is>
          <t>1000.0</t>
        </is>
      </c>
      <c r="F168" s="7" t="n">
        <v>2070</v>
      </c>
      <c r="G168" s="7" t="n">
        <v>2.07</v>
      </c>
      <c r="H168" s="7" t="n">
        <v>4</v>
      </c>
      <c r="I168" s="7" t="n">
        <v>1.93</v>
      </c>
      <c r="J168" s="8" t="n">
        <v>87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61314063705</t>
        </is>
      </c>
      <c r="D169" s="5" t="inlineStr">
        <is>
          <t>PREDNISOLONE ACETATE 1% SUSPENSION</t>
        </is>
      </c>
      <c r="E169" s="6" t="inlineStr">
        <is>
          <t>5.0</t>
        </is>
      </c>
      <c r="F169" s="7" t="n">
        <v>20</v>
      </c>
      <c r="G169" s="7" t="n">
        <v>4</v>
      </c>
      <c r="H169" s="7" t="n">
        <v>0</v>
      </c>
      <c r="I169" s="7" t="n">
        <v>-4</v>
      </c>
      <c r="J169" s="8" t="n">
        <v>87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68462038730</t>
        </is>
      </c>
      <c r="D170" s="5" t="inlineStr">
        <is>
          <t>SOLIFENACIN SUCCINATE 10MG TABLET</t>
        </is>
      </c>
      <c r="E170" s="6" t="inlineStr">
        <is>
          <t>30.0</t>
        </is>
      </c>
      <c r="F170" s="7" t="n">
        <v>180</v>
      </c>
      <c r="G170" s="7" t="n">
        <v>6</v>
      </c>
      <c r="H170" s="7" t="n">
        <v>8</v>
      </c>
      <c r="I170" s="7" t="n">
        <v>2</v>
      </c>
      <c r="J170" s="8" t="n">
        <v>86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00378632577</t>
        </is>
      </c>
      <c r="D171" s="5" t="inlineStr">
        <is>
          <t>VALSARTAN-HCTZ 320-25MG TABLET</t>
        </is>
      </c>
      <c r="E171" s="6" t="inlineStr">
        <is>
          <t>90.0</t>
        </is>
      </c>
      <c r="F171" s="7" t="n">
        <v>120</v>
      </c>
      <c r="G171" s="7" t="n">
        <v>1.333333333333333</v>
      </c>
      <c r="H171" s="7" t="n">
        <v>0</v>
      </c>
      <c r="I171" s="7" t="n">
        <v>-1.333333333333333</v>
      </c>
      <c r="J171" s="8" t="n">
        <v>86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67877022305</t>
        </is>
      </c>
      <c r="D172" s="5" t="inlineStr">
        <is>
          <t>GABAPENTIN 300 MG CAPSULE</t>
        </is>
      </c>
      <c r="E172" s="6" t="inlineStr">
        <is>
          <t>500.0</t>
        </is>
      </c>
      <c r="F172" s="7" t="n">
        <v>2520</v>
      </c>
      <c r="G172" s="7" t="n">
        <v>5.04</v>
      </c>
      <c r="H172" s="7" t="n">
        <v>0</v>
      </c>
      <c r="I172" s="7" t="n">
        <v>-5.04</v>
      </c>
      <c r="J172" s="8" t="n">
        <v>83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49884015676</t>
        </is>
      </c>
      <c r="D173" s="5" t="inlineStr">
        <is>
          <t>VARENICLINE TARTRATE 1MG TABLET</t>
        </is>
      </c>
      <c r="E173" s="6" t="inlineStr">
        <is>
          <t>56.0</t>
        </is>
      </c>
      <c r="F173" s="7" t="n">
        <v>168</v>
      </c>
      <c r="G173" s="7" t="n">
        <v>3</v>
      </c>
      <c r="H173" s="7" t="n">
        <v>0</v>
      </c>
      <c r="I173" s="7" t="n">
        <v>-3</v>
      </c>
      <c r="J173" s="8" t="n">
        <v>83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70756001112</t>
        </is>
      </c>
      <c r="D174" s="5" t="inlineStr">
        <is>
          <t>CHLORTHALIDONE 25MG TABLET</t>
        </is>
      </c>
      <c r="E174" s="6" t="inlineStr">
        <is>
          <t>1000.0</t>
        </is>
      </c>
      <c r="F174" s="7" t="n">
        <v>510</v>
      </c>
      <c r="G174" s="7" t="n">
        <v>0.51</v>
      </c>
      <c r="H174" s="7" t="n">
        <v>0</v>
      </c>
      <c r="I174" s="7" t="n">
        <v>-0.51</v>
      </c>
      <c r="J174" s="8" t="n">
        <v>83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00093354143</t>
        </is>
      </c>
      <c r="D175" s="5" t="inlineStr">
        <is>
          <t>ESTRADIOL 0.1MG/GM CREAM</t>
        </is>
      </c>
      <c r="E175" s="6" t="inlineStr">
        <is>
          <t>42.5</t>
        </is>
      </c>
      <c r="F175" s="7" t="n">
        <v>127.5</v>
      </c>
      <c r="G175" s="7" t="n">
        <v>3</v>
      </c>
      <c r="H175" s="7" t="n">
        <v>0</v>
      </c>
      <c r="I175" s="7" t="n">
        <v>-3</v>
      </c>
      <c r="J175" s="8" t="n">
        <v>82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51672127304</t>
        </is>
      </c>
      <c r="D176" s="5" t="inlineStr">
        <is>
          <t>FLUOCINONIDE 0.05% EXTERNAL SOLUTION</t>
        </is>
      </c>
      <c r="E176" s="6" t="inlineStr">
        <is>
          <t>60.0</t>
        </is>
      </c>
      <c r="F176" s="7" t="n">
        <v>180</v>
      </c>
      <c r="G176" s="7" t="n">
        <v>3</v>
      </c>
      <c r="H176" s="7" t="n">
        <v>3</v>
      </c>
      <c r="I176" s="7" t="n">
        <v>0</v>
      </c>
      <c r="J176" s="8" t="n">
        <v>81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67877049005</t>
        </is>
      </c>
      <c r="D177" s="5" t="inlineStr">
        <is>
          <t>EZETIMIBE 10MG TABLET</t>
        </is>
      </c>
      <c r="E177" s="6" t="inlineStr">
        <is>
          <t>500.0</t>
        </is>
      </c>
      <c r="F177" s="7" t="n">
        <v>420</v>
      </c>
      <c r="G177" s="7" t="n">
        <v>0.84</v>
      </c>
      <c r="H177" s="7" t="n">
        <v>0</v>
      </c>
      <c r="I177" s="7" t="n">
        <v>-0.84</v>
      </c>
      <c r="J177" s="8" t="n">
        <v>81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42571013725</t>
        </is>
      </c>
      <c r="D178" s="5" t="inlineStr">
        <is>
          <t>KETOROLAC 0.5 % OPHTHALMIC SOLUTION</t>
        </is>
      </c>
      <c r="E178" s="6" t="inlineStr">
        <is>
          <t>5.0</t>
        </is>
      </c>
      <c r="F178" s="7" t="n">
        <v>30</v>
      </c>
      <c r="G178" s="7" t="n">
        <v>6</v>
      </c>
      <c r="H178" s="7" t="n">
        <v>5</v>
      </c>
      <c r="I178" s="7" t="n">
        <v>-1</v>
      </c>
      <c r="J178" s="8" t="n">
        <v>79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00054032656</t>
        </is>
      </c>
      <c r="D179" s="5" t="inlineStr">
        <is>
          <t>FLUTICASONE-SALMETEROL 100-50 MCG/ACT INH AEROSOL</t>
        </is>
      </c>
      <c r="E179" s="6" t="inlineStr">
        <is>
          <t>60.0</t>
        </is>
      </c>
      <c r="F179" s="7" t="n">
        <v>120</v>
      </c>
      <c r="G179" s="7" t="n">
        <v>2</v>
      </c>
      <c r="H179" s="7" t="n">
        <v>0</v>
      </c>
      <c r="I179" s="7" t="n">
        <v>-2</v>
      </c>
      <c r="J179" s="8" t="n">
        <v>76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64380091906</t>
        </is>
      </c>
      <c r="D180" s="5" t="inlineStr">
        <is>
          <t>URSODIOL 500MG TABLET</t>
        </is>
      </c>
      <c r="E180" s="6" t="inlineStr">
        <is>
          <t>100.0</t>
        </is>
      </c>
      <c r="F180" s="7" t="n">
        <v>180</v>
      </c>
      <c r="G180" s="7" t="n">
        <v>1.8</v>
      </c>
      <c r="H180" s="7" t="n">
        <v>0</v>
      </c>
      <c r="I180" s="7" t="n">
        <v>-1.8</v>
      </c>
      <c r="J180" s="8" t="n">
        <v>74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67877052660</t>
        </is>
      </c>
      <c r="D181" s="5" t="inlineStr">
        <is>
          <t>RANOLAZINE ER 1000MG TABLET</t>
        </is>
      </c>
      <c r="E181" s="6" t="inlineStr">
        <is>
          <t>60.0</t>
        </is>
      </c>
      <c r="F181" s="7" t="n">
        <v>180</v>
      </c>
      <c r="G181" s="7" t="n">
        <v>3</v>
      </c>
      <c r="H181" s="7" t="n">
        <v>0</v>
      </c>
      <c r="I181" s="7" t="n">
        <v>-3</v>
      </c>
      <c r="J181" s="8" t="n">
        <v>73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68382064006</t>
        </is>
      </c>
      <c r="D182" s="5" t="inlineStr">
        <is>
          <t>DUTASTERIDE-TAMSULOSIN HCL 0.5-0.4 MG ORAL CAPSULE</t>
        </is>
      </c>
      <c r="E182" s="6" t="inlineStr">
        <is>
          <t>30.0</t>
        </is>
      </c>
      <c r="F182" s="7" t="n">
        <v>30</v>
      </c>
      <c r="G182" s="7" t="n">
        <v>1</v>
      </c>
      <c r="H182" s="7" t="n">
        <v>0</v>
      </c>
      <c r="I182" s="7" t="n">
        <v>-1</v>
      </c>
      <c r="J182" s="8" t="n">
        <v>70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72266014201</t>
        </is>
      </c>
      <c r="D183" s="5" t="inlineStr">
        <is>
          <t>BROMFENAC SODIUM (ONCE-DAILY) 0.09% SOLUTION</t>
        </is>
      </c>
      <c r="E183" s="6" t="inlineStr">
        <is>
          <t>1.7</t>
        </is>
      </c>
      <c r="F183" s="7" t="n">
        <v>1.7</v>
      </c>
      <c r="G183" s="7" t="n">
        <v>1</v>
      </c>
      <c r="H183" s="7" t="n">
        <v>0</v>
      </c>
      <c r="I183" s="7" t="n">
        <v>-1</v>
      </c>
      <c r="J183" s="8" t="n">
        <v>69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45802059701</t>
        </is>
      </c>
      <c r="D184" s="5" t="inlineStr">
        <is>
          <t>CLINDAMYCIN PHOS-BENZOYL PEROX 1.2-2.5 % EXTERNAL GEL</t>
        </is>
      </c>
      <c r="E184" s="6" t="inlineStr">
        <is>
          <t>50.0</t>
        </is>
      </c>
      <c r="F184" s="7" t="n">
        <v>100</v>
      </c>
      <c r="G184" s="7" t="n">
        <v>2</v>
      </c>
      <c r="H184" s="7" t="n">
        <v>0</v>
      </c>
      <c r="I184" s="7" t="n">
        <v>-2</v>
      </c>
      <c r="J184" s="8" t="n">
        <v>69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68462039710</t>
        </is>
      </c>
      <c r="D185" s="5" t="inlineStr">
        <is>
          <t>OMEPRAZOLE 40MG CAPSULE DR</t>
        </is>
      </c>
      <c r="E185" s="6" t="inlineStr">
        <is>
          <t>1000.0</t>
        </is>
      </c>
      <c r="F185" s="7" t="n">
        <v>1513</v>
      </c>
      <c r="G185" s="7" t="n">
        <v>1.513</v>
      </c>
      <c r="H185" s="7" t="n">
        <v>0</v>
      </c>
      <c r="I185" s="7" t="n">
        <v>-1.513</v>
      </c>
      <c r="J185" s="8" t="n">
        <v>69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70710135103</t>
        </is>
      </c>
      <c r="D186" s="5" t="inlineStr">
        <is>
          <t>COLCHICINE 0.6MG TABLET</t>
        </is>
      </c>
      <c r="E186" s="6" t="inlineStr">
        <is>
          <t>30.0</t>
        </is>
      </c>
      <c r="F186" s="7" t="n">
        <v>105</v>
      </c>
      <c r="G186" s="7" t="n">
        <v>3.5</v>
      </c>
      <c r="H186" s="7" t="n">
        <v>0</v>
      </c>
      <c r="I186" s="7" t="n">
        <v>-3.5</v>
      </c>
      <c r="J186" s="8" t="n">
        <v>69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68462026310</t>
        </is>
      </c>
      <c r="D187" s="5" t="inlineStr">
        <is>
          <t>ROSUVASTATIN 20MG TABLET</t>
        </is>
      </c>
      <c r="E187" s="6" t="inlineStr">
        <is>
          <t>1000.0</t>
        </is>
      </c>
      <c r="F187" s="7" t="n">
        <v>810</v>
      </c>
      <c r="G187" s="7" t="n">
        <v>0.8100000000000001</v>
      </c>
      <c r="H187" s="7" t="n">
        <v>0</v>
      </c>
      <c r="I187" s="7" t="n">
        <v>-0.8100000000000001</v>
      </c>
      <c r="J187" s="8" t="n">
        <v>68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61314063715</t>
        </is>
      </c>
      <c r="D188" s="5" t="inlineStr">
        <is>
          <t>PREDNISOLONE ACETATE 1% SUSPENSION</t>
        </is>
      </c>
      <c r="E188" s="6" t="inlineStr">
        <is>
          <t>15.0</t>
        </is>
      </c>
      <c r="F188" s="7" t="n">
        <v>15</v>
      </c>
      <c r="G188" s="7" t="n">
        <v>1</v>
      </c>
      <c r="H188" s="7" t="n">
        <v>0</v>
      </c>
      <c r="I188" s="7" t="n">
        <v>-1</v>
      </c>
      <c r="J188" s="8" t="n">
        <v>65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68180096803</t>
        </is>
      </c>
      <c r="D189" s="5" t="inlineStr">
        <is>
          <t>LEVOTHYROXINE 88MCG TABLET</t>
        </is>
      </c>
      <c r="E189" s="6" t="inlineStr">
        <is>
          <t>1000.0</t>
        </is>
      </c>
      <c r="F189" s="7" t="n">
        <v>270</v>
      </c>
      <c r="G189" s="7" t="n">
        <v>0.27</v>
      </c>
      <c r="H189" s="7" t="n">
        <v>0</v>
      </c>
      <c r="I189" s="7" t="n">
        <v>-0.27</v>
      </c>
      <c r="J189" s="8" t="n">
        <v>65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00713063437</t>
        </is>
      </c>
      <c r="D190" s="5" t="inlineStr">
        <is>
          <t>MOMETASONE FUROATE 0.1 % EXTERNAL CREAM</t>
        </is>
      </c>
      <c r="E190" s="6" t="inlineStr">
        <is>
          <t>45.0</t>
        </is>
      </c>
      <c r="F190" s="7" t="n">
        <v>135</v>
      </c>
      <c r="G190" s="7" t="n">
        <v>3</v>
      </c>
      <c r="H190" s="7" t="n">
        <v>5</v>
      </c>
      <c r="I190" s="7" t="n">
        <v>2</v>
      </c>
      <c r="J190" s="8" t="n">
        <v>64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00378581377</t>
        </is>
      </c>
      <c r="D191" s="5" t="inlineStr">
        <is>
          <t>VALSARTAN 80MG TABLET</t>
        </is>
      </c>
      <c r="E191" s="6" t="inlineStr">
        <is>
          <t>90.0</t>
        </is>
      </c>
      <c r="F191" s="7" t="n">
        <v>210</v>
      </c>
      <c r="G191" s="7" t="n">
        <v>2.333333333333333</v>
      </c>
      <c r="H191" s="7" t="n">
        <v>0</v>
      </c>
      <c r="I191" s="7" t="n">
        <v>-2.333333333333333</v>
      </c>
      <c r="J191" s="8" t="n">
        <v>63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50742026103</t>
        </is>
      </c>
      <c r="D192" s="5" t="inlineStr">
        <is>
          <t>NIFEDIPINE 60MG TABLET ER</t>
        </is>
      </c>
      <c r="E192" s="6" t="inlineStr">
        <is>
          <t>300.0</t>
        </is>
      </c>
      <c r="F192" s="7" t="n">
        <v>480</v>
      </c>
      <c r="G192" s="7" t="n">
        <v>1.6</v>
      </c>
      <c r="H192" s="7" t="n">
        <v>2</v>
      </c>
      <c r="I192" s="7" t="n">
        <v>0.3999999999999999</v>
      </c>
      <c r="J192" s="8" t="n">
        <v>61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65862020399</t>
        </is>
      </c>
      <c r="D193" s="5" t="inlineStr">
        <is>
          <t>LOSARTAN 100MG TABLET</t>
        </is>
      </c>
      <c r="E193" s="6" t="inlineStr">
        <is>
          <t>1000.0</t>
        </is>
      </c>
      <c r="F193" s="7" t="n">
        <v>930</v>
      </c>
      <c r="G193" s="7" t="n">
        <v>0.93</v>
      </c>
      <c r="H193" s="7" t="n">
        <v>0</v>
      </c>
      <c r="I193" s="7" t="n">
        <v>-0.93</v>
      </c>
      <c r="J193" s="8" t="n">
        <v>60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51672130104</t>
        </is>
      </c>
      <c r="D194" s="5" t="inlineStr">
        <is>
          <t>AMMONIUM LACTATE 12 % EXTERNAL CREAM</t>
        </is>
      </c>
      <c r="E194" s="6" t="inlineStr">
        <is>
          <t>280.0</t>
        </is>
      </c>
      <c r="F194" s="7" t="n">
        <v>980</v>
      </c>
      <c r="G194" s="7" t="n">
        <v>3.5</v>
      </c>
      <c r="H194" s="7" t="n">
        <v>0</v>
      </c>
      <c r="I194" s="7" t="n">
        <v>-3.5</v>
      </c>
      <c r="J194" s="8" t="n">
        <v>59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69097012815</t>
        </is>
      </c>
      <c r="D195" s="5" t="inlineStr">
        <is>
          <t>AMLODIPINE 10MG TABLET</t>
        </is>
      </c>
      <c r="E195" s="6" t="inlineStr">
        <is>
          <t>1000.0</t>
        </is>
      </c>
      <c r="F195" s="7" t="n">
        <v>1530</v>
      </c>
      <c r="G195" s="7" t="n">
        <v>1.53</v>
      </c>
      <c r="H195" s="7" t="n">
        <v>5</v>
      </c>
      <c r="I195" s="7" t="n">
        <v>3.47</v>
      </c>
      <c r="J195" s="8" t="n">
        <v>58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52937000340</t>
        </is>
      </c>
      <c r="D196" s="5" t="inlineStr">
        <is>
          <t>VASCEPA 0.5 GM ORAL CAPSULE</t>
        </is>
      </c>
      <c r="E196" s="6" t="inlineStr">
        <is>
          <t>240.0</t>
        </is>
      </c>
      <c r="F196" s="7" t="n">
        <v>60</v>
      </c>
      <c r="G196" s="7" t="n">
        <v>0.25</v>
      </c>
      <c r="H196" s="7" t="n">
        <v>0</v>
      </c>
      <c r="I196" s="7" t="n">
        <v>-0.25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47781023005</t>
        </is>
      </c>
      <c r="D197" s="5" t="inlineStr">
        <is>
          <t>OXYCODONE-APAP 10-325MG TABLET</t>
        </is>
      </c>
      <c r="E197" s="6" t="inlineStr">
        <is>
          <t>500.0</t>
        </is>
      </c>
      <c r="F197" s="7" t="n">
        <v>640</v>
      </c>
      <c r="G197" s="7" t="n">
        <v>1.28</v>
      </c>
      <c r="H197" s="7" t="n">
        <v>4</v>
      </c>
      <c r="I197" s="7" t="n">
        <v>2.72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31722083330</t>
        </is>
      </c>
      <c r="D198" s="5" t="inlineStr">
        <is>
          <t>ENTECAVIR 0.5 MG ORAL TABLET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7</v>
      </c>
      <c r="I198" s="7" t="n">
        <v>4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570</v>
      </c>
      <c r="G199" s="7" t="n">
        <v>0.57</v>
      </c>
      <c r="H199" s="7" t="n">
        <v>2</v>
      </c>
      <c r="I199" s="7" t="n">
        <v>1.43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16571065710</t>
        </is>
      </c>
      <c r="D200" s="5" t="inlineStr">
        <is>
          <t xml:space="preserve">CEVIMELINE 30MG CAP </t>
        </is>
      </c>
      <c r="E200" s="6" t="inlineStr">
        <is>
          <t>100.0</t>
        </is>
      </c>
      <c r="F200" s="7" t="n">
        <v>90</v>
      </c>
      <c r="G200" s="7" t="n">
        <v>0.9</v>
      </c>
      <c r="H200" s="7" t="n">
        <v>0</v>
      </c>
      <c r="I200" s="7" t="n">
        <v>-0.9</v>
      </c>
      <c r="J200" s="8" t="n">
        <v>52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43598032675</t>
        </is>
      </c>
      <c r="D201" s="5" t="inlineStr">
        <is>
          <t>CIPROFLOXACIN-DEXA 0.3-0.1% OTIC SUSP (EAR)</t>
        </is>
      </c>
      <c r="E201" s="6" t="inlineStr">
        <is>
          <t>7.5</t>
        </is>
      </c>
      <c r="F201" s="7" t="n">
        <v>7.5</v>
      </c>
      <c r="G201" s="7" t="n">
        <v>1</v>
      </c>
      <c r="H201" s="7" t="n">
        <v>0</v>
      </c>
      <c r="I201" s="7" t="n">
        <v>-1</v>
      </c>
      <c r="J201" s="8" t="n">
        <v>52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83257001532</t>
        </is>
      </c>
      <c r="D202" s="5" t="inlineStr">
        <is>
          <t>INSULIN GLARGINE 100 UNIT/ML YFGN</t>
        </is>
      </c>
      <c r="E202" s="6" t="inlineStr">
        <is>
          <t>15.0</t>
        </is>
      </c>
      <c r="F202" s="7" t="n">
        <v>9</v>
      </c>
      <c r="G202" s="7" t="n">
        <v>0.6</v>
      </c>
      <c r="H202" s="7" t="n">
        <v>3</v>
      </c>
      <c r="I202" s="7" t="n">
        <v>2.4</v>
      </c>
      <c r="J202" s="8" t="n">
        <v>51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00193755301</t>
        </is>
      </c>
      <c r="D203" s="5" t="inlineStr">
        <is>
          <t>CONTOUR NEXT EZ W/DEVICE KIT</t>
        </is>
      </c>
      <c r="E203" s="6" t="inlineStr">
        <is>
          <t>1.0</t>
        </is>
      </c>
      <c r="F203" s="7" t="n">
        <v>4</v>
      </c>
      <c r="G203" s="7" t="n">
        <v>4</v>
      </c>
      <c r="H203" s="7" t="n">
        <v>8</v>
      </c>
      <c r="I203" s="7" t="n">
        <v>4</v>
      </c>
      <c r="J203" s="8" t="n">
        <v>51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45963067696</t>
        </is>
      </c>
      <c r="D204" s="5" t="inlineStr">
        <is>
          <t>METOPROLOL SUCCINATE 50MG TABLET ER</t>
        </is>
      </c>
      <c r="E204" s="6" t="inlineStr">
        <is>
          <t>1000.0</t>
        </is>
      </c>
      <c r="F204" s="7" t="n">
        <v>480</v>
      </c>
      <c r="G204" s="7" t="n">
        <v>0.48</v>
      </c>
      <c r="H204" s="7" t="n">
        <v>0</v>
      </c>
      <c r="I204" s="7" t="n">
        <v>-0.48</v>
      </c>
      <c r="J204" s="8" t="n">
        <v>50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65862056099</t>
        </is>
      </c>
      <c r="D205" s="5" t="inlineStr">
        <is>
          <t xml:space="preserve">PANTOPRAZOLE 40MG TAB </t>
        </is>
      </c>
      <c r="E205" s="6" t="inlineStr">
        <is>
          <t>1000.0</t>
        </is>
      </c>
      <c r="F205" s="7" t="n">
        <v>870</v>
      </c>
      <c r="G205" s="7" t="n">
        <v>0.87</v>
      </c>
      <c r="H205" s="7" t="n">
        <v>0</v>
      </c>
      <c r="I205" s="7" t="n">
        <v>-0.87</v>
      </c>
      <c r="J205" s="8" t="n">
        <v>50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68180097103</t>
        </is>
      </c>
      <c r="D206" s="5" t="inlineStr">
        <is>
          <t>LEVOTHYROXINE 125MCG TABLET</t>
        </is>
      </c>
      <c r="E206" s="6" t="inlineStr">
        <is>
          <t>1000.0</t>
        </is>
      </c>
      <c r="F206" s="7" t="n">
        <v>210</v>
      </c>
      <c r="G206" s="7" t="n">
        <v>0.21</v>
      </c>
      <c r="H206" s="7" t="n">
        <v>0</v>
      </c>
      <c r="I206" s="7" t="n">
        <v>-0.21</v>
      </c>
      <c r="J206" s="8" t="n">
        <v>49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00115521116</t>
        </is>
      </c>
      <c r="D207" s="5" t="inlineStr">
        <is>
          <t>COLESTIPOL HCL 1 GM ORAL TABLET</t>
        </is>
      </c>
      <c r="E207" s="6" t="inlineStr">
        <is>
          <t>120.0</t>
        </is>
      </c>
      <c r="F207" s="7" t="n">
        <v>90</v>
      </c>
      <c r="G207" s="7" t="n">
        <v>0.75</v>
      </c>
      <c r="H207" s="7" t="n">
        <v>0</v>
      </c>
      <c r="I207" s="7" t="n">
        <v>-0.75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1</v>
      </c>
      <c r="I208" s="7" t="n">
        <v>0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68180097003</t>
        </is>
      </c>
      <c r="D209" s="5" t="inlineStr">
        <is>
          <t>LEVOTHYROXINE 112MCG TABLET</t>
        </is>
      </c>
      <c r="E209" s="6" t="inlineStr">
        <is>
          <t>1000.0</t>
        </is>
      </c>
      <c r="F209" s="7" t="n">
        <v>270</v>
      </c>
      <c r="G209" s="7" t="n">
        <v>0.27</v>
      </c>
      <c r="H209" s="7" t="n">
        <v>0</v>
      </c>
      <c r="I209" s="7" t="n">
        <v>-0.27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70377008013</t>
        </is>
      </c>
      <c r="D210" s="5" t="inlineStr">
        <is>
          <t>ATORVASTATIN 80MG  TABLET</t>
        </is>
      </c>
      <c r="E210" s="6" t="inlineStr">
        <is>
          <t>1000.0</t>
        </is>
      </c>
      <c r="F210" s="7" t="n">
        <v>1170</v>
      </c>
      <c r="G210" s="7" t="n">
        <v>1.17</v>
      </c>
      <c r="H210" s="7" t="n">
        <v>2</v>
      </c>
      <c r="I210" s="7" t="n">
        <v>0.8300000000000001</v>
      </c>
      <c r="J210" s="8" t="n">
        <v>47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43598012105</t>
        </is>
      </c>
      <c r="D211" s="5" t="inlineStr">
        <is>
          <t>CLOPIDOGREL BISULFATE 75 MG ORAL TABLET</t>
        </is>
      </c>
      <c r="E211" s="6" t="inlineStr">
        <is>
          <t>500.0</t>
        </is>
      </c>
      <c r="F211" s="7" t="n">
        <v>540</v>
      </c>
      <c r="G211" s="7" t="n">
        <v>1.08</v>
      </c>
      <c r="H211" s="7" t="n">
        <v>4</v>
      </c>
      <c r="I211" s="7" t="n">
        <v>2.92</v>
      </c>
      <c r="J211" s="8" t="n">
        <v>45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08470104201</t>
        </is>
      </c>
      <c r="D212" s="5" t="inlineStr">
        <is>
          <t>LANCET UNISTIK 3 COMFORT (NYM)</t>
        </is>
      </c>
      <c r="E212" s="6" t="inlineStr">
        <is>
          <t>100.0</t>
        </is>
      </c>
      <c r="F212" s="7" t="n">
        <v>200</v>
      </c>
      <c r="G212" s="7" t="n">
        <v>2</v>
      </c>
      <c r="H212" s="7" t="n">
        <v>0</v>
      </c>
      <c r="I212" s="7" t="n">
        <v>-2</v>
      </c>
      <c r="J212" s="8" t="n">
        <v>43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70954066210</t>
        </is>
      </c>
      <c r="D213" s="5" t="inlineStr">
        <is>
          <t>KETOCONAZOLE 2 % EXTERNAL SHAMPOO</t>
        </is>
      </c>
      <c r="E213" s="6" t="inlineStr">
        <is>
          <t>120.0</t>
        </is>
      </c>
      <c r="F213" s="7" t="n">
        <v>960</v>
      </c>
      <c r="G213" s="7" t="n">
        <v>8</v>
      </c>
      <c r="H213" s="7" t="n">
        <v>17</v>
      </c>
      <c r="I213" s="7" t="n">
        <v>9</v>
      </c>
      <c r="J213" s="8" t="n">
        <v>43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61314022715</t>
        </is>
      </c>
      <c r="D214" s="5" t="inlineStr">
        <is>
          <t>TIMOLOL MALEATE 0.5 % OPHTHALMIC SOLUTION</t>
        </is>
      </c>
      <c r="E214" s="6" t="inlineStr">
        <is>
          <t>15.0</t>
        </is>
      </c>
      <c r="F214" s="7" t="n">
        <v>30</v>
      </c>
      <c r="G214" s="7" t="n">
        <v>2</v>
      </c>
      <c r="H214" s="7" t="n">
        <v>0</v>
      </c>
      <c r="I214" s="7" t="n">
        <v>-2</v>
      </c>
      <c r="J214" s="8" t="n">
        <v>43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67877072592</t>
        </is>
      </c>
      <c r="D215" s="5" t="inlineStr">
        <is>
          <t>NA SULFATE-K SULFATE-MG SULF 17.5-3.13-1.6 GM/177ML ORAL SOLUTION</t>
        </is>
      </c>
      <c r="E215" s="6" t="inlineStr">
        <is>
          <t>354.0</t>
        </is>
      </c>
      <c r="F215" s="7" t="n">
        <v>354</v>
      </c>
      <c r="G215" s="7" t="n">
        <v>1</v>
      </c>
      <c r="H215" s="7" t="n">
        <v>2</v>
      </c>
      <c r="I215" s="7" t="n">
        <v>1</v>
      </c>
      <c r="J215" s="8" t="n">
        <v>42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45802010284</t>
        </is>
      </c>
      <c r="D216" s="5" t="inlineStr">
        <is>
          <t>IVERMECTIN 1 % EXTERNAL CREAM</t>
        </is>
      </c>
      <c r="E216" s="6" t="inlineStr">
        <is>
          <t>45.0</t>
        </is>
      </c>
      <c r="F216" s="7" t="n">
        <v>45</v>
      </c>
      <c r="G216" s="7" t="n">
        <v>1</v>
      </c>
      <c r="H216" s="7" t="n">
        <v>0</v>
      </c>
      <c r="I216" s="7" t="n">
        <v>-1</v>
      </c>
      <c r="J216" s="8" t="n">
        <v>42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69238154001</t>
        </is>
      </c>
      <c r="D217" s="5" t="inlineStr">
        <is>
          <t>URSODIOL 300MG CAPSULE</t>
        </is>
      </c>
      <c r="E217" s="6" t="inlineStr">
        <is>
          <t>100.0</t>
        </is>
      </c>
      <c r="F217" s="7" t="n">
        <v>120</v>
      </c>
      <c r="G217" s="7" t="n">
        <v>1.2</v>
      </c>
      <c r="H217" s="7" t="n">
        <v>0</v>
      </c>
      <c r="I217" s="7" t="n">
        <v>-1.2</v>
      </c>
      <c r="J217" s="8" t="n">
        <v>41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00781543920</t>
        </is>
      </c>
      <c r="D218" s="5" t="inlineStr">
        <is>
          <t xml:space="preserve">CEFPODOXIME 200MG TAB </t>
        </is>
      </c>
      <c r="E218" s="6" t="inlineStr">
        <is>
          <t>20.0</t>
        </is>
      </c>
      <c r="F218" s="7" t="n">
        <v>28</v>
      </c>
      <c r="G218" s="7" t="n">
        <v>1.4</v>
      </c>
      <c r="H218" s="7" t="n">
        <v>0</v>
      </c>
      <c r="I218" s="7" t="n">
        <v>-1.4</v>
      </c>
      <c r="J218" s="8" t="n">
        <v>41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52817026830</t>
        </is>
      </c>
      <c r="D219" s="5" t="inlineStr">
        <is>
          <t>BISOPROLOL FUMARATE 2.5 MG ORAL TABLET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41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68462010430</t>
        </is>
      </c>
      <c r="D220" s="5" t="inlineStr">
        <is>
          <t>FLUCONAZOLE 200MG TABLET</t>
        </is>
      </c>
      <c r="E220" s="6" t="inlineStr">
        <is>
          <t>30.0</t>
        </is>
      </c>
      <c r="F220" s="7" t="n">
        <v>82</v>
      </c>
      <c r="G220" s="7" t="n">
        <v>2.733333333333333</v>
      </c>
      <c r="H220" s="7" t="n">
        <v>0</v>
      </c>
      <c r="I220" s="7" t="n">
        <v>-2.733333333333333</v>
      </c>
      <c r="J220" s="8" t="n">
        <v>41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45802046653</t>
        </is>
      </c>
      <c r="D221" s="5" t="inlineStr">
        <is>
          <t xml:space="preserve">ECONAZOLE NITRATE 1% CREAM </t>
        </is>
      </c>
      <c r="E221" s="6" t="inlineStr">
        <is>
          <t>85.0</t>
        </is>
      </c>
      <c r="F221" s="7" t="n">
        <v>85</v>
      </c>
      <c r="G221" s="7" t="n">
        <v>1</v>
      </c>
      <c r="H221" s="7" t="n">
        <v>0</v>
      </c>
      <c r="I221" s="7" t="n">
        <v>-1</v>
      </c>
      <c r="J221" s="8" t="n">
        <v>41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33342005044</t>
        </is>
      </c>
      <c r="D222" s="5" t="inlineStr">
        <is>
          <t>LOSARTAN-HCTZ 50-12.5 MG TABLET</t>
        </is>
      </c>
      <c r="E222" s="6" t="inlineStr">
        <is>
          <t>1000.0</t>
        </is>
      </c>
      <c r="F222" s="7" t="n">
        <v>570</v>
      </c>
      <c r="G222" s="7" t="n">
        <v>0.57</v>
      </c>
      <c r="H222" s="7" t="n">
        <v>0</v>
      </c>
      <c r="I222" s="7" t="n">
        <v>-0.57</v>
      </c>
      <c r="J222" s="8" t="n">
        <v>41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65162099708</t>
        </is>
      </c>
      <c r="D223" s="5" t="inlineStr">
        <is>
          <t>DOTTI 0.1 MG/24HR TRANSDERMAL PATCH TWICE WEEKLY</t>
        </is>
      </c>
      <c r="E223" s="6" t="inlineStr">
        <is>
          <t>8.0</t>
        </is>
      </c>
      <c r="F223" s="7" t="n">
        <v>8</v>
      </c>
      <c r="G223" s="7" t="n">
        <v>1</v>
      </c>
      <c r="H223" s="7" t="n">
        <v>0</v>
      </c>
      <c r="I223" s="7" t="n">
        <v>-1</v>
      </c>
      <c r="J223" s="8" t="n">
        <v>40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62332034290</t>
        </is>
      </c>
      <c r="D224" s="5" t="inlineStr">
        <is>
          <t>CANDESARTAN CILEXETIL 8 MG ORAL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0</v>
      </c>
      <c r="I224" s="7" t="n">
        <v>-1</v>
      </c>
      <c r="J224" s="8" t="n">
        <v>39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67877024201</t>
        </is>
      </c>
      <c r="D225" s="5" t="inlineStr">
        <is>
          <t>QUETIAPINE 25MG TABLET</t>
        </is>
      </c>
      <c r="E225" s="6" t="inlineStr">
        <is>
          <t>100.0</t>
        </is>
      </c>
      <c r="F225" s="7" t="n">
        <v>210</v>
      </c>
      <c r="G225" s="7" t="n">
        <v>2.1</v>
      </c>
      <c r="H225" s="7" t="n">
        <v>0</v>
      </c>
      <c r="I225" s="7" t="n">
        <v>-2.1</v>
      </c>
      <c r="J225" s="8" t="n">
        <v>39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00781712254</t>
        </is>
      </c>
      <c r="D226" s="5" t="inlineStr">
        <is>
          <t>ESTRADIOL 0.0375 MG/24HR TRANSDERMAL PATCH WEEKLY</t>
        </is>
      </c>
      <c r="E226" s="6" t="inlineStr">
        <is>
          <t>4.0</t>
        </is>
      </c>
      <c r="F226" s="7" t="n">
        <v>4</v>
      </c>
      <c r="G226" s="7" t="n">
        <v>1</v>
      </c>
      <c r="H226" s="7" t="n">
        <v>0</v>
      </c>
      <c r="I226" s="7" t="n">
        <v>-1</v>
      </c>
      <c r="J226" s="8" t="n">
        <v>38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08484081028</t>
        </is>
      </c>
      <c r="D227" s="5" t="inlineStr">
        <is>
          <t>LANCETS PRODIGY</t>
        </is>
      </c>
      <c r="E227" s="6" t="inlineStr">
        <is>
          <t>100.0</t>
        </is>
      </c>
      <c r="F227" s="7" t="n">
        <v>400</v>
      </c>
      <c r="G227" s="7" t="n">
        <v>4</v>
      </c>
      <c r="H227" s="7" t="n">
        <v>0</v>
      </c>
      <c r="I227" s="7" t="n">
        <v>-4</v>
      </c>
      <c r="J227" s="8" t="n">
        <v>38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00093736810</t>
        </is>
      </c>
      <c r="D228" s="5" t="inlineStr">
        <is>
          <t>LOSARTAN HCTZ 100-25MG TABLET</t>
        </is>
      </c>
      <c r="E228" s="6" t="inlineStr">
        <is>
          <t>1000.0</t>
        </is>
      </c>
      <c r="F228" s="7" t="n">
        <v>450</v>
      </c>
      <c r="G228" s="7" t="n">
        <v>0.45</v>
      </c>
      <c r="H228" s="7" t="n">
        <v>0</v>
      </c>
      <c r="I228" s="7" t="n">
        <v>-0.45</v>
      </c>
      <c r="J228" s="8" t="n">
        <v>38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65862020299</t>
        </is>
      </c>
      <c r="D229" s="5" t="inlineStr">
        <is>
          <t>LOSARTAN 50MG TABLET</t>
        </is>
      </c>
      <c r="E229" s="6" t="inlineStr">
        <is>
          <t>1000.0</t>
        </is>
      </c>
      <c r="F229" s="7" t="n">
        <v>570</v>
      </c>
      <c r="G229" s="7" t="n">
        <v>0.57</v>
      </c>
      <c r="H229" s="7" t="n">
        <v>0</v>
      </c>
      <c r="I229" s="7" t="n">
        <v>-0.57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70010078005</t>
        </is>
      </c>
      <c r="D230" s="5" t="inlineStr">
        <is>
          <t>METOPROLOL SUCCINATE ER 25MG TABLET</t>
        </is>
      </c>
      <c r="E230" s="6" t="inlineStr">
        <is>
          <t>500.0</t>
        </is>
      </c>
      <c r="F230" s="7" t="n">
        <v>810</v>
      </c>
      <c r="G230" s="7" t="n">
        <v>1.62</v>
      </c>
      <c r="H230" s="7" t="n">
        <v>2</v>
      </c>
      <c r="I230" s="7" t="n">
        <v>0.3799999999999999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00378042401</t>
        </is>
      </c>
      <c r="D231" s="5" t="inlineStr">
        <is>
          <t>METOPROLOL-HCTZ 50-25MG TABLET</t>
        </is>
      </c>
      <c r="E231" s="6" t="inlineStr">
        <is>
          <t>100.0</t>
        </is>
      </c>
      <c r="F231" s="7" t="n">
        <v>90</v>
      </c>
      <c r="G231" s="7" t="n">
        <v>0.9</v>
      </c>
      <c r="H231" s="7" t="n">
        <v>0</v>
      </c>
      <c r="I231" s="7" t="n">
        <v>-0.9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69097012715</t>
        </is>
      </c>
      <c r="D232" s="5" t="inlineStr">
        <is>
          <t xml:space="preserve">AMLODIPINE 5MG TABLET </t>
        </is>
      </c>
      <c r="E232" s="6" t="inlineStr">
        <is>
          <t>1000.0</t>
        </is>
      </c>
      <c r="F232" s="7" t="n">
        <v>2460</v>
      </c>
      <c r="G232" s="7" t="n">
        <v>2.46</v>
      </c>
      <c r="H232" s="7" t="n">
        <v>5</v>
      </c>
      <c r="I232" s="7" t="n">
        <v>2.54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70010006599</t>
        </is>
      </c>
      <c r="D233" s="5" t="inlineStr">
        <is>
          <t>METFORMIN 1000MG TABLET</t>
        </is>
      </c>
      <c r="E233" s="6" t="inlineStr">
        <is>
          <t>1000.0</t>
        </is>
      </c>
      <c r="F233" s="7" t="n">
        <v>1650</v>
      </c>
      <c r="G233" s="7" t="n">
        <v>1.65</v>
      </c>
      <c r="H233" s="7" t="n">
        <v>4</v>
      </c>
      <c r="I233" s="7" t="n">
        <v>2.35</v>
      </c>
      <c r="J233" s="8" t="n">
        <v>37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50924097110</t>
        </is>
      </c>
      <c r="D234" s="5" t="inlineStr">
        <is>
          <t>ACCU-CHEK SOFTCLIX LANCETS</t>
        </is>
      </c>
      <c r="E234" s="6" t="inlineStr">
        <is>
          <t>100.0</t>
        </is>
      </c>
      <c r="F234" s="7" t="n">
        <v>300</v>
      </c>
      <c r="G234" s="7" t="n">
        <v>3</v>
      </c>
      <c r="H234" s="7" t="n">
        <v>0</v>
      </c>
      <c r="I234" s="7" t="n">
        <v>-3</v>
      </c>
      <c r="J234" s="8" t="n">
        <v>34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45802040049</t>
        </is>
      </c>
      <c r="D235" s="5" t="inlineStr">
        <is>
          <t>CICLOPIROX 0.77 % EXTERNAL SUSPENSION</t>
        </is>
      </c>
      <c r="E235" s="6" t="inlineStr">
        <is>
          <t>30.0</t>
        </is>
      </c>
      <c r="F235" s="7" t="n">
        <v>30</v>
      </c>
      <c r="G235" s="7" t="n">
        <v>1</v>
      </c>
      <c r="H235" s="7" t="n">
        <v>0</v>
      </c>
      <c r="I235" s="7" t="n">
        <v>-1</v>
      </c>
      <c r="J235" s="8" t="n">
        <v>33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68180096703</t>
        </is>
      </c>
      <c r="D236" s="5" t="inlineStr">
        <is>
          <t>LEVOTHYROXINE 75MCG TABLET</t>
        </is>
      </c>
      <c r="E236" s="6" t="inlineStr">
        <is>
          <t>1000.0</t>
        </is>
      </c>
      <c r="F236" s="7" t="n">
        <v>330</v>
      </c>
      <c r="G236" s="7" t="n">
        <v>0.33</v>
      </c>
      <c r="H236" s="7" t="n">
        <v>0</v>
      </c>
      <c r="I236" s="7" t="n">
        <v>-0.33</v>
      </c>
      <c r="J236" s="8" t="n">
        <v>33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47781001301</t>
        </is>
      </c>
      <c r="D237" s="5" t="inlineStr">
        <is>
          <t>HYOSCYAMINE SULFATE 0.125MG TABLET</t>
        </is>
      </c>
      <c r="E237" s="6" t="inlineStr">
        <is>
          <t>100.0</t>
        </is>
      </c>
      <c r="F237" s="7" t="n">
        <v>80</v>
      </c>
      <c r="G237" s="7" t="n">
        <v>0.8</v>
      </c>
      <c r="H237" s="7" t="n">
        <v>0</v>
      </c>
      <c r="I237" s="7" t="n">
        <v>-0.8</v>
      </c>
      <c r="J237" s="8" t="n">
        <v>33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47781023001</t>
        </is>
      </c>
      <c r="D238" s="5" t="inlineStr">
        <is>
          <t>OXYCODONE-ACETAMINOPHEN 10-325MG TABLET</t>
        </is>
      </c>
      <c r="E238" s="6" t="inlineStr">
        <is>
          <t>100.0</t>
        </is>
      </c>
      <c r="F238" s="7" t="n">
        <v>315</v>
      </c>
      <c r="G238" s="7" t="n">
        <v>3.15</v>
      </c>
      <c r="H238" s="7" t="n">
        <v>14</v>
      </c>
      <c r="I238" s="7" t="n">
        <v>10.85</v>
      </c>
      <c r="J238" s="8" t="n">
        <v>32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71093014311</t>
        </is>
      </c>
      <c r="D239" s="5" t="inlineStr">
        <is>
          <t>SERTRALINE HCL 20 MG/ML ORAL CONCENTRATE</t>
        </is>
      </c>
      <c r="E239" s="6" t="inlineStr">
        <is>
          <t>60.0</t>
        </is>
      </c>
      <c r="F239" s="7" t="n">
        <v>120</v>
      </c>
      <c r="G239" s="7" t="n">
        <v>2</v>
      </c>
      <c r="H239" s="7" t="n">
        <v>2</v>
      </c>
      <c r="I239" s="7" t="n">
        <v>0</v>
      </c>
      <c r="J239" s="8" t="n">
        <v>32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76204080025</t>
        </is>
      </c>
      <c r="D240" s="5" t="inlineStr">
        <is>
          <t>LEVALBUTEROL HCL 0.63 MG/3ML INHALATION NEBULIZATION SOLUTION</t>
        </is>
      </c>
      <c r="E240" s="6" t="inlineStr">
        <is>
          <t>75.0</t>
        </is>
      </c>
      <c r="F240" s="7" t="n">
        <v>225</v>
      </c>
      <c r="G240" s="7" t="n">
        <v>3</v>
      </c>
      <c r="H240" s="7" t="n">
        <v>0</v>
      </c>
      <c r="I240" s="7" t="n">
        <v>-3</v>
      </c>
      <c r="J240" s="8" t="n">
        <v>32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61442019205</t>
        </is>
      </c>
      <c r="D241" s="5" t="inlineStr">
        <is>
          <t>MEMANTINE 5MG TABLET</t>
        </is>
      </c>
      <c r="E241" s="6" t="inlineStr">
        <is>
          <t>500.0</t>
        </is>
      </c>
      <c r="F241" s="7" t="n">
        <v>210</v>
      </c>
      <c r="G241" s="7" t="n">
        <v>0.42</v>
      </c>
      <c r="H241" s="7" t="n">
        <v>0</v>
      </c>
      <c r="I241" s="7" t="n">
        <v>-0.42</v>
      </c>
      <c r="J241" s="8" t="n">
        <v>31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68382045219</t>
        </is>
      </c>
      <c r="D242" s="5" t="inlineStr">
        <is>
          <t>MESALAMINE ER 0.375GCAPSULE</t>
        </is>
      </c>
      <c r="E242" s="6" t="inlineStr">
        <is>
          <t>120.0</t>
        </is>
      </c>
      <c r="F242" s="7" t="n">
        <v>120</v>
      </c>
      <c r="G242" s="7" t="n">
        <v>1</v>
      </c>
      <c r="H242" s="7" t="n">
        <v>0</v>
      </c>
      <c r="I242" s="7" t="n">
        <v>-1</v>
      </c>
      <c r="J242" s="8" t="n">
        <v>31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65862078090</t>
        </is>
      </c>
      <c r="D243" s="5" t="inlineStr">
        <is>
          <t>OLMESARTAN MEDOXOMIL-HCTZ 40-12.5 MG ORAL TABLET</t>
        </is>
      </c>
      <c r="E243" s="6" t="inlineStr">
        <is>
          <t>90.0</t>
        </is>
      </c>
      <c r="F243" s="7" t="n">
        <v>90</v>
      </c>
      <c r="G243" s="7" t="n">
        <v>1</v>
      </c>
      <c r="H243" s="7" t="n">
        <v>0</v>
      </c>
      <c r="I243" s="7" t="n">
        <v>-1</v>
      </c>
      <c r="J243" s="8" t="n">
        <v>31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65862030901</t>
        </is>
      </c>
      <c r="D244" s="5" t="inlineStr">
        <is>
          <t xml:space="preserve">FOSINOPRIL-HCTZ 20-12.5MG TAB </t>
        </is>
      </c>
      <c r="E244" s="6" t="inlineStr">
        <is>
          <t>100.0</t>
        </is>
      </c>
      <c r="F244" s="7" t="n">
        <v>90</v>
      </c>
      <c r="G244" s="7" t="n">
        <v>0.9</v>
      </c>
      <c r="H244" s="7" t="n">
        <v>0</v>
      </c>
      <c r="I244" s="7" t="n">
        <v>-0.9</v>
      </c>
      <c r="J244" s="8" t="n">
        <v>30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00378581477</t>
        </is>
      </c>
      <c r="D245" s="5" t="inlineStr">
        <is>
          <t>VALSARTAN 160MG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30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55111073130</t>
        </is>
      </c>
      <c r="D246" s="5" t="inlineStr">
        <is>
          <t>VALSARTAN 40MG TABLET</t>
        </is>
      </c>
      <c r="E246" s="6" t="inlineStr">
        <is>
          <t>30.0</t>
        </is>
      </c>
      <c r="F246" s="7" t="n">
        <v>90</v>
      </c>
      <c r="G246" s="7" t="n">
        <v>3</v>
      </c>
      <c r="H246" s="7" t="n">
        <v>0</v>
      </c>
      <c r="I246" s="7" t="n">
        <v>-3</v>
      </c>
      <c r="J246" s="8" t="n">
        <v>30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68180097903</t>
        </is>
      </c>
      <c r="D247" s="5" t="inlineStr">
        <is>
          <t>LISINOPRIL 40MG TABLET</t>
        </is>
      </c>
      <c r="E247" s="6" t="inlineStr">
        <is>
          <t>1000.0</t>
        </is>
      </c>
      <c r="F247" s="7" t="n">
        <v>1110</v>
      </c>
      <c r="G247" s="7" t="n">
        <v>1.11</v>
      </c>
      <c r="H247" s="7" t="n">
        <v>0</v>
      </c>
      <c r="I247" s="7" t="n">
        <v>-1.11</v>
      </c>
      <c r="J247" s="8" t="n">
        <v>30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69238201603</t>
        </is>
      </c>
      <c r="D248" s="5" t="inlineStr">
        <is>
          <t>IPRATROPIUM BROMIDE 0.03 % NASAL SOLUTION</t>
        </is>
      </c>
      <c r="E248" s="6" t="inlineStr">
        <is>
          <t>30.0</t>
        </is>
      </c>
      <c r="F248" s="7" t="n">
        <v>90</v>
      </c>
      <c r="G248" s="7" t="n">
        <v>3</v>
      </c>
      <c r="H248" s="7" t="n">
        <v>0</v>
      </c>
      <c r="I248" s="7" t="n">
        <v>-3</v>
      </c>
      <c r="J248" s="8" t="n">
        <v>30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00093681673</t>
        </is>
      </c>
      <c r="D249" s="5" t="inlineStr">
        <is>
          <t>BUDESONIDE 0.5MG/2ML INHALATION SUSPENSION</t>
        </is>
      </c>
      <c r="E249" s="6" t="inlineStr">
        <is>
          <t>60.0</t>
        </is>
      </c>
      <c r="F249" s="7" t="n">
        <v>120</v>
      </c>
      <c r="G249" s="7" t="n">
        <v>2</v>
      </c>
      <c r="H249" s="7" t="n">
        <v>0</v>
      </c>
      <c r="I249" s="7" t="n">
        <v>-2</v>
      </c>
      <c r="J249" s="8" t="n">
        <v>29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69367036005</t>
        </is>
      </c>
      <c r="D250" s="5" t="inlineStr">
        <is>
          <t>ROSUVASTATIN 10 MG ORAL TABLET</t>
        </is>
      </c>
      <c r="E250" s="6" t="inlineStr">
        <is>
          <t>500.0</t>
        </is>
      </c>
      <c r="F250" s="7" t="n">
        <v>450</v>
      </c>
      <c r="G250" s="7" t="n">
        <v>0.9</v>
      </c>
      <c r="H250" s="7" t="n">
        <v>0</v>
      </c>
      <c r="I250" s="7" t="n">
        <v>-0.9</v>
      </c>
      <c r="J250" s="8" t="n">
        <v>29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24208048610</t>
        </is>
      </c>
      <c r="D251" s="5" t="inlineStr">
        <is>
          <t xml:space="preserve">DORZOLAMID-TIMOLO 22.3-6.8MG/ML (EYE) </t>
        </is>
      </c>
      <c r="E251" s="6" t="inlineStr">
        <is>
          <t>10.0</t>
        </is>
      </c>
      <c r="F251" s="7" t="n">
        <v>70</v>
      </c>
      <c r="G251" s="7" t="n">
        <v>7</v>
      </c>
      <c r="H251" s="7" t="n">
        <v>11</v>
      </c>
      <c r="I251" s="7" t="n">
        <v>4</v>
      </c>
      <c r="J251" s="8" t="n">
        <v>29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00378172493</t>
        </is>
      </c>
      <c r="D252" s="5" t="inlineStr">
        <is>
          <t>AMLODIPINE VALSARTAN 10-320MG TABLET</t>
        </is>
      </c>
      <c r="E252" s="6" t="inlineStr">
        <is>
          <t>30.0</t>
        </is>
      </c>
      <c r="F252" s="7" t="n">
        <v>90</v>
      </c>
      <c r="G252" s="7" t="n">
        <v>3</v>
      </c>
      <c r="H252" s="7" t="n">
        <v>0</v>
      </c>
      <c r="I252" s="7" t="n">
        <v>-3</v>
      </c>
      <c r="J252" s="8" t="n">
        <v>29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43598097710</t>
        </is>
      </c>
      <c r="D253" s="5" t="inlineStr">
        <is>
          <t>DICLOFENAC SODIUM 1 % EXT GEL **NYM</t>
        </is>
      </c>
      <c r="E253" s="6" t="inlineStr">
        <is>
          <t>100.0</t>
        </is>
      </c>
      <c r="F253" s="7" t="n">
        <v>700</v>
      </c>
      <c r="G253" s="7" t="n">
        <v>7</v>
      </c>
      <c r="H253" s="7" t="n">
        <v>48</v>
      </c>
      <c r="I253" s="7" t="n">
        <v>41</v>
      </c>
      <c r="J253" s="8" t="n">
        <v>28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69315030805</t>
        </is>
      </c>
      <c r="D254" s="5" t="inlineStr">
        <is>
          <t>CIPROFLOXACIN HCL 0.3 % OPHTHALMIC SOLUTION</t>
        </is>
      </c>
      <c r="E254" s="6" t="inlineStr">
        <is>
          <t>5.0</t>
        </is>
      </c>
      <c r="F254" s="7" t="n">
        <v>20</v>
      </c>
      <c r="G254" s="7" t="n">
        <v>4</v>
      </c>
      <c r="H254" s="7" t="n">
        <v>5</v>
      </c>
      <c r="I254" s="7" t="n">
        <v>1</v>
      </c>
      <c r="J254" s="8" t="n">
        <v>28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00193658621</t>
        </is>
      </c>
      <c r="D255" s="5" t="inlineStr">
        <is>
          <t>MICROLET LANCETS</t>
        </is>
      </c>
      <c r="E255" s="6" t="inlineStr">
        <is>
          <t>100.0</t>
        </is>
      </c>
      <c r="F255" s="7" t="n">
        <v>300</v>
      </c>
      <c r="G255" s="7" t="n">
        <v>3</v>
      </c>
      <c r="H255" s="7" t="n">
        <v>0</v>
      </c>
      <c r="I255" s="7" t="n">
        <v>-3</v>
      </c>
      <c r="J255" s="8" t="n">
        <v>28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68382077501</t>
        </is>
      </c>
      <c r="D256" s="5" t="inlineStr">
        <is>
          <t xml:space="preserve">METHOTREXATE 2.5MG TAB </t>
        </is>
      </c>
      <c r="E256" s="6" t="inlineStr">
        <is>
          <t>100.0</t>
        </is>
      </c>
      <c r="F256" s="7" t="n">
        <v>56</v>
      </c>
      <c r="G256" s="7" t="n">
        <v>0.5600000000000001</v>
      </c>
      <c r="H256" s="7" t="n">
        <v>1</v>
      </c>
      <c r="I256" s="7" t="n">
        <v>0.4399999999999999</v>
      </c>
      <c r="J256" s="8" t="n">
        <v>28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00536589553</t>
        </is>
      </c>
      <c r="D257" s="5" t="inlineStr">
        <is>
          <t>NICOTINE 14 MG/24HR TRANSDERMAL PATCH 24 HOUR</t>
        </is>
      </c>
      <c r="E257" s="6" t="inlineStr">
        <is>
          <t>7.0</t>
        </is>
      </c>
      <c r="F257" s="7" t="n">
        <v>28</v>
      </c>
      <c r="G257" s="7" t="n">
        <v>4</v>
      </c>
      <c r="H257" s="7" t="n">
        <v>0</v>
      </c>
      <c r="I257" s="7" t="n">
        <v>-4</v>
      </c>
      <c r="J257" s="8" t="n">
        <v>27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00093970210</t>
        </is>
      </c>
      <c r="D258" s="5" t="inlineStr">
        <is>
          <t xml:space="preserve">CARBIDOPA-LEVODOPA 25-100 MG TABLET </t>
        </is>
      </c>
      <c r="E258" s="6" t="inlineStr">
        <is>
          <t>1000.0</t>
        </is>
      </c>
      <c r="F258" s="7" t="n">
        <v>270</v>
      </c>
      <c r="G258" s="7" t="n">
        <v>0.27</v>
      </c>
      <c r="H258" s="7" t="n">
        <v>1</v>
      </c>
      <c r="I258" s="7" t="n">
        <v>0.73</v>
      </c>
      <c r="J258" s="8" t="n">
        <v>27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57237022105</t>
        </is>
      </c>
      <c r="D259" s="5" t="inlineStr">
        <is>
          <t>PIOGLITAZONE 45MG TABLET</t>
        </is>
      </c>
      <c r="E259" s="6" t="inlineStr">
        <is>
          <t>500.0</t>
        </is>
      </c>
      <c r="F259" s="7" t="n">
        <v>180</v>
      </c>
      <c r="G259" s="7" t="n">
        <v>0.36</v>
      </c>
      <c r="H259" s="7" t="n">
        <v>0</v>
      </c>
      <c r="I259" s="7" t="n">
        <v>-0.36</v>
      </c>
      <c r="J259" s="8" t="n">
        <v>27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16729000617</t>
        </is>
      </c>
      <c r="D260" s="5" t="inlineStr">
        <is>
          <t>SIMVASTATIN 40MG TABLET</t>
        </is>
      </c>
      <c r="E260" s="6" t="inlineStr">
        <is>
          <t>1000.0</t>
        </is>
      </c>
      <c r="F260" s="7" t="n">
        <v>180</v>
      </c>
      <c r="G260" s="7" t="n">
        <v>0.18</v>
      </c>
      <c r="H260" s="7" t="n">
        <v>0</v>
      </c>
      <c r="I260" s="7" t="n">
        <v>-0.18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61314064511</t>
        </is>
      </c>
      <c r="D261" s="5" t="inlineStr">
        <is>
          <t>NEOMYCIN-POLYMYXIN-HC 3.5-10000-1 OTIC SUSPENSION</t>
        </is>
      </c>
      <c r="E261" s="6" t="inlineStr">
        <is>
          <t>10.0</t>
        </is>
      </c>
      <c r="F261" s="7" t="n">
        <v>10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61314001910</t>
        </is>
      </c>
      <c r="D262" s="5" t="inlineStr">
        <is>
          <t>DORZOLAMIDE HCL 2% SOLUTION</t>
        </is>
      </c>
      <c r="E262" s="6" t="inlineStr">
        <is>
          <t>10.0</t>
        </is>
      </c>
      <c r="F262" s="7" t="n">
        <v>50</v>
      </c>
      <c r="G262" s="7" t="n">
        <v>5</v>
      </c>
      <c r="H262" s="7" t="n">
        <v>0</v>
      </c>
      <c r="I262" s="7" t="n">
        <v>-5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68382066010</t>
        </is>
      </c>
      <c r="D263" s="5" t="inlineStr">
        <is>
          <t>SPIRONOLACTONE 25MG TABLET</t>
        </is>
      </c>
      <c r="E263" s="6" t="inlineStr">
        <is>
          <t>1000.0</t>
        </is>
      </c>
      <c r="F263" s="7" t="n">
        <v>660</v>
      </c>
      <c r="G263" s="7" t="n">
        <v>0.66</v>
      </c>
      <c r="H263" s="7" t="n">
        <v>0</v>
      </c>
      <c r="I263" s="7" t="n">
        <v>-0.66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70010078305</t>
        </is>
      </c>
      <c r="D264" s="5" t="inlineStr">
        <is>
          <t>METOPROLOL SUCCINATE ER 200MG TABLET</t>
        </is>
      </c>
      <c r="E264" s="6" t="inlineStr">
        <is>
          <t>500.0</t>
        </is>
      </c>
      <c r="F264" s="7" t="n">
        <v>90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43386009019</t>
        </is>
      </c>
      <c r="D265" s="5" t="inlineStr">
        <is>
          <t xml:space="preserve">GAVILYTE G SOLUTION </t>
        </is>
      </c>
      <c r="E265" s="6" t="inlineStr">
        <is>
          <t>4000.0</t>
        </is>
      </c>
      <c r="F265" s="7" t="n">
        <v>12000</v>
      </c>
      <c r="G265" s="7" t="n">
        <v>3</v>
      </c>
      <c r="H265" s="7" t="n">
        <v>6</v>
      </c>
      <c r="I265" s="7" t="n">
        <v>3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50742025130</t>
        </is>
      </c>
      <c r="D266" s="5" t="inlineStr">
        <is>
          <t>DILTIAZEM 300MG CAPSULE ER</t>
        </is>
      </c>
      <c r="E266" s="6" t="inlineStr">
        <is>
          <t>30.0</t>
        </is>
      </c>
      <c r="F266" s="7" t="n">
        <v>90</v>
      </c>
      <c r="G266" s="7" t="n">
        <v>3</v>
      </c>
      <c r="H266" s="7" t="n">
        <v>0</v>
      </c>
      <c r="I266" s="7" t="n">
        <v>-3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00574220545</t>
        </is>
      </c>
      <c r="D267" s="5" t="inlineStr">
        <is>
          <t>TRETINOIN 0.05% CREAM</t>
        </is>
      </c>
      <c r="E267" s="6" t="inlineStr">
        <is>
          <t>45.0</t>
        </is>
      </c>
      <c r="F267" s="7" t="n">
        <v>45</v>
      </c>
      <c r="G267" s="7" t="n">
        <v>1</v>
      </c>
      <c r="H267" s="7" t="n">
        <v>0</v>
      </c>
      <c r="I267" s="7" t="n">
        <v>-1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3</v>
      </c>
      <c r="I268" s="7" t="n">
        <v>1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29300015501</t>
        </is>
      </c>
      <c r="D269" s="5" t="inlineStr">
        <is>
          <t>ALFUZOSIN HCL ER 10 MG TABLET</t>
        </is>
      </c>
      <c r="E269" s="6" t="inlineStr">
        <is>
          <t>100.0</t>
        </is>
      </c>
      <c r="F269" s="7" t="n">
        <v>391</v>
      </c>
      <c r="G269" s="7" t="n">
        <v>3.91</v>
      </c>
      <c r="H269" s="7" t="n">
        <v>0</v>
      </c>
      <c r="I269" s="7" t="n">
        <v>-3.91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16729048516</t>
        </is>
      </c>
      <c r="D270" s="5" t="inlineStr">
        <is>
          <t>HYDROXYCHLOROQUINE 200MG TABLET</t>
        </is>
      </c>
      <c r="E270" s="6" t="inlineStr">
        <is>
          <t>500.0</t>
        </is>
      </c>
      <c r="F270" s="7" t="n">
        <v>180</v>
      </c>
      <c r="G270" s="7" t="n">
        <v>0.36</v>
      </c>
      <c r="H270" s="7" t="n">
        <v>0</v>
      </c>
      <c r="I270" s="7" t="n">
        <v>-0.36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68180096603</t>
        </is>
      </c>
      <c r="D271" s="5" t="inlineStr">
        <is>
          <t>LEVOTHYROXINE 50MCG TABLET</t>
        </is>
      </c>
      <c r="E271" s="6" t="inlineStr">
        <is>
          <t>1000.0</t>
        </is>
      </c>
      <c r="F271" s="7" t="n">
        <v>150</v>
      </c>
      <c r="G271" s="7" t="n">
        <v>0.15</v>
      </c>
      <c r="H271" s="7" t="n">
        <v>0</v>
      </c>
      <c r="I271" s="7" t="n">
        <v>-0.15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64980051505</t>
        </is>
      </c>
      <c r="D272" s="5" t="inlineStr">
        <is>
          <t xml:space="preserve">OFLOXACIN 0.3% SOL (EYE) </t>
        </is>
      </c>
      <c r="E272" s="6" t="inlineStr">
        <is>
          <t>5.0</t>
        </is>
      </c>
      <c r="F272" s="7" t="n">
        <v>10</v>
      </c>
      <c r="G272" s="7" t="n">
        <v>2</v>
      </c>
      <c r="H272" s="7" t="n">
        <v>0</v>
      </c>
      <c r="I272" s="7" t="n">
        <v>-2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65162067684</t>
        </is>
      </c>
      <c r="D273" s="5" t="inlineStr">
        <is>
          <t>AZELASTINE HCL 137 MCG/SPRAY NASAL SOLUTION</t>
        </is>
      </c>
      <c r="E273" s="6" t="inlineStr">
        <is>
          <t>30.0</t>
        </is>
      </c>
      <c r="F273" s="7" t="n">
        <v>120</v>
      </c>
      <c r="G273" s="7" t="n">
        <v>4</v>
      </c>
      <c r="H273" s="7" t="n">
        <v>0</v>
      </c>
      <c r="I273" s="7" t="n">
        <v>-4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68180037603</t>
        </is>
      </c>
      <c r="D274" s="5" t="inlineStr">
        <is>
          <t>LOSARTAN POTASSIUM 25MG TABLET</t>
        </is>
      </c>
      <c r="E274" s="6" t="inlineStr">
        <is>
          <t>1000.0</t>
        </is>
      </c>
      <c r="F274" s="7" t="n">
        <v>540</v>
      </c>
      <c r="G274" s="7" t="n">
        <v>0.54</v>
      </c>
      <c r="H274" s="7" t="n">
        <v>0</v>
      </c>
      <c r="I274" s="7" t="n">
        <v>-0.54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42571034201</t>
        </is>
      </c>
      <c r="D275" s="5" t="inlineStr">
        <is>
          <t>CLOMIPRAMINE HCL 25 MG ORAL CAPSULE</t>
        </is>
      </c>
      <c r="E275" s="6" t="inlineStr">
        <is>
          <t>100.0</t>
        </is>
      </c>
      <c r="F275" s="7" t="n">
        <v>30</v>
      </c>
      <c r="G275" s="7" t="n">
        <v>0.3</v>
      </c>
      <c r="H275" s="7" t="n">
        <v>0</v>
      </c>
      <c r="I275" s="7" t="n">
        <v>-0.3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45802005911</t>
        </is>
      </c>
      <c r="D276" s="5" t="inlineStr">
        <is>
          <t>NYSTATIN 100000UNIT/GM CREAM</t>
        </is>
      </c>
      <c r="E276" s="6" t="inlineStr">
        <is>
          <t>30.0</t>
        </is>
      </c>
      <c r="F276" s="7" t="n">
        <v>60</v>
      </c>
      <c r="G276" s="7" t="n">
        <v>2</v>
      </c>
      <c r="H276" s="7" t="n">
        <v>0</v>
      </c>
      <c r="I276" s="7" t="n">
        <v>-2</v>
      </c>
      <c r="J276" s="8" t="n">
        <v>22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33342005144</t>
        </is>
      </c>
      <c r="D277" s="5" t="inlineStr">
        <is>
          <t>LOSARTANHCTZ 100-12.5 MG TABLET</t>
        </is>
      </c>
      <c r="E277" s="6" t="inlineStr">
        <is>
          <t>1000.0</t>
        </is>
      </c>
      <c r="F277" s="7" t="n">
        <v>270</v>
      </c>
      <c r="G277" s="7" t="n">
        <v>0.27</v>
      </c>
      <c r="H277" s="7" t="n">
        <v>0</v>
      </c>
      <c r="I277" s="7" t="n">
        <v>-0.27</v>
      </c>
      <c r="J277" s="8" t="n">
        <v>22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60219174903</t>
        </is>
      </c>
      <c r="D278" s="5" t="inlineStr">
        <is>
          <t>ATROPINE SULFATE 1 % OPHTHALMIC SOLUTION</t>
        </is>
      </c>
      <c r="E278" s="6" t="inlineStr">
        <is>
          <t>5.0</t>
        </is>
      </c>
      <c r="F278" s="7" t="n">
        <v>5</v>
      </c>
      <c r="G278" s="7" t="n">
        <v>1</v>
      </c>
      <c r="H278" s="7" t="n">
        <v>0</v>
      </c>
      <c r="I278" s="7" t="n">
        <v>-1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68462043890</t>
        </is>
      </c>
      <c r="D279" s="5" t="inlineStr">
        <is>
          <t>OLMESARTAN 40MG TABLET</t>
        </is>
      </c>
      <c r="E279" s="6" t="inlineStr">
        <is>
          <t>90.0</t>
        </is>
      </c>
      <c r="F279" s="7" t="n">
        <v>180</v>
      </c>
      <c r="G279" s="7" t="n">
        <v>2</v>
      </c>
      <c r="H279" s="7" t="n">
        <v>0</v>
      </c>
      <c r="I279" s="7" t="n">
        <v>-2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70377007713</t>
        </is>
      </c>
      <c r="D280" s="5" t="inlineStr">
        <is>
          <t>ATORVASTATIN 10MG TABLET</t>
        </is>
      </c>
      <c r="E280" s="6" t="inlineStr">
        <is>
          <t>1000.0</t>
        </is>
      </c>
      <c r="F280" s="7" t="n">
        <v>930</v>
      </c>
      <c r="G280" s="7" t="n">
        <v>0.93</v>
      </c>
      <c r="H280" s="7" t="n">
        <v>2</v>
      </c>
      <c r="I280" s="7" t="n">
        <v>1.07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00574022901</t>
        </is>
      </c>
      <c r="D281" s="5" t="inlineStr">
        <is>
          <t>BENAZEPRIL-HCTZ 20-12.5MG TABLET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0</v>
      </c>
      <c r="I281" s="7" t="n">
        <v>-0.9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00168034720</t>
        </is>
      </c>
      <c r="D282" s="5" t="inlineStr">
        <is>
          <t>TERCONAZOLE 0.8 % VAGINAL CREAM</t>
        </is>
      </c>
      <c r="E282" s="6" t="inlineStr">
        <is>
          <t>20.0</t>
        </is>
      </c>
      <c r="F282" s="7" t="n">
        <v>20</v>
      </c>
      <c r="G282" s="7" t="n">
        <v>1</v>
      </c>
      <c r="H282" s="7" t="n">
        <v>0</v>
      </c>
      <c r="I282" s="7" t="n">
        <v>-1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57237021905</t>
        </is>
      </c>
      <c r="D283" s="5" t="inlineStr">
        <is>
          <t>PIOGLITAZONE 15MG TABLET</t>
        </is>
      </c>
      <c r="E283" s="6" t="inlineStr">
        <is>
          <t>500.0</t>
        </is>
      </c>
      <c r="F283" s="7" t="n">
        <v>330</v>
      </c>
      <c r="G283" s="7" t="n">
        <v>0.66</v>
      </c>
      <c r="H283" s="7" t="n">
        <v>1</v>
      </c>
      <c r="I283" s="7" t="n">
        <v>0.34</v>
      </c>
      <c r="J283" s="8" t="n">
        <v>21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57664051083</t>
        </is>
      </c>
      <c r="D284" s="5" t="inlineStr">
        <is>
          <t>MIRTAZAPINE 7.5MG TABLET</t>
        </is>
      </c>
      <c r="E284" s="6" t="inlineStr">
        <is>
          <t>30.0</t>
        </is>
      </c>
      <c r="F284" s="7" t="n">
        <v>120</v>
      </c>
      <c r="G284" s="7" t="n">
        <v>4</v>
      </c>
      <c r="H284" s="7" t="n">
        <v>0</v>
      </c>
      <c r="I284" s="7" t="n">
        <v>-4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56151211401</t>
        </is>
      </c>
      <c r="D285" s="5" t="inlineStr">
        <is>
          <t>PEN NEEDLES 32G X 4 MM</t>
        </is>
      </c>
      <c r="E285" s="6" t="inlineStr">
        <is>
          <t>100.0</t>
        </is>
      </c>
      <c r="F285" s="7" t="n">
        <v>100</v>
      </c>
      <c r="G285" s="7" t="n">
        <v>1</v>
      </c>
      <c r="H285" s="7" t="n">
        <v>0</v>
      </c>
      <c r="I285" s="7" t="n">
        <v>-1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00713032637</t>
        </is>
      </c>
      <c r="D286" s="5" t="inlineStr">
        <is>
          <t>BETAMETHASONE VALERATE 0.1% CREAM</t>
        </is>
      </c>
      <c r="E286" s="6" t="inlineStr">
        <is>
          <t>45.0</t>
        </is>
      </c>
      <c r="F286" s="7" t="n">
        <v>45</v>
      </c>
      <c r="G286" s="7" t="n">
        <v>1</v>
      </c>
      <c r="H286" s="7" t="n">
        <v>0</v>
      </c>
      <c r="I286" s="7" t="n">
        <v>-1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69097007212</t>
        </is>
      </c>
      <c r="D287" s="5" t="inlineStr">
        <is>
          <t>BUPROPION HCL ER (XL) 300MG TABLET</t>
        </is>
      </c>
      <c r="E287" s="6" t="inlineStr">
        <is>
          <t>500.0</t>
        </is>
      </c>
      <c r="F287" s="7" t="n">
        <v>120</v>
      </c>
      <c r="G287" s="7" t="n">
        <v>0.24</v>
      </c>
      <c r="H287" s="7" t="n">
        <v>0</v>
      </c>
      <c r="I287" s="7" t="n">
        <v>-0.24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50742050504</t>
        </is>
      </c>
      <c r="D288" s="5" t="inlineStr">
        <is>
          <t>SCOPOLAMINE 1 MG/3DAYS TRANSDERMAL PATCH 72 HOUR</t>
        </is>
      </c>
      <c r="E288" s="6" t="inlineStr">
        <is>
          <t>4.0</t>
        </is>
      </c>
      <c r="F288" s="7" t="n">
        <v>4</v>
      </c>
      <c r="G288" s="7" t="n">
        <v>1</v>
      </c>
      <c r="H288" s="7" t="n">
        <v>2</v>
      </c>
      <c r="I288" s="7" t="n">
        <v>1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62559027790</t>
        </is>
      </c>
      <c r="D289" s="5" t="inlineStr">
        <is>
          <t>NEBIVOLOL 10MG TABLET</t>
        </is>
      </c>
      <c r="E289" s="6" t="inlineStr">
        <is>
          <t>90.0</t>
        </is>
      </c>
      <c r="F289" s="7" t="n">
        <v>90</v>
      </c>
      <c r="G289" s="7" t="n">
        <v>1</v>
      </c>
      <c r="H289" s="7" t="n">
        <v>0</v>
      </c>
      <c r="I289" s="7" t="n">
        <v>-1</v>
      </c>
      <c r="J289" s="8" t="n">
        <v>19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65162003416</t>
        </is>
      </c>
      <c r="D290" s="5" t="inlineStr">
        <is>
          <t>OMEGA-3-ACID ETHYL ESTERS 1 GM ORAL CAPSULE</t>
        </is>
      </c>
      <c r="E290" s="6" t="inlineStr">
        <is>
          <t>120.0</t>
        </is>
      </c>
      <c r="F290" s="7" t="n">
        <v>60</v>
      </c>
      <c r="G290" s="7" t="n">
        <v>0.5</v>
      </c>
      <c r="H290" s="7" t="n">
        <v>0</v>
      </c>
      <c r="I290" s="7" t="n">
        <v>-0.5</v>
      </c>
      <c r="J290" s="8" t="n">
        <v>19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00185005501</t>
        </is>
      </c>
      <c r="D291" s="5" t="inlineStr">
        <is>
          <t>METOLAZONE 5 MG TABLET</t>
        </is>
      </c>
      <c r="E291" s="6" t="inlineStr">
        <is>
          <t>100.0</t>
        </is>
      </c>
      <c r="F291" s="7" t="n">
        <v>42</v>
      </c>
      <c r="G291" s="7" t="n">
        <v>0.42</v>
      </c>
      <c r="H291" s="7" t="n">
        <v>0</v>
      </c>
      <c r="I291" s="7" t="n">
        <v>-0.42</v>
      </c>
      <c r="J291" s="8" t="n">
        <v>19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62559027730</t>
        </is>
      </c>
      <c r="D292" s="5" t="inlineStr">
        <is>
          <t>NEBIVOLOL 10MG TABLET</t>
        </is>
      </c>
      <c r="E292" s="6" t="inlineStr">
        <is>
          <t>30.0</t>
        </is>
      </c>
      <c r="F292" s="7" t="n">
        <v>90</v>
      </c>
      <c r="G292" s="7" t="n">
        <v>3</v>
      </c>
      <c r="H292" s="7" t="n">
        <v>0</v>
      </c>
      <c r="I292" s="7" t="n">
        <v>-3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69238131209</t>
        </is>
      </c>
      <c r="D293" s="5" t="inlineStr">
        <is>
          <t>PREGABALIN 75MG CAPSULE</t>
        </is>
      </c>
      <c r="E293" s="6" t="inlineStr">
        <is>
          <t>90.0</t>
        </is>
      </c>
      <c r="F293" s="7" t="n">
        <v>90</v>
      </c>
      <c r="G293" s="7" t="n">
        <v>1</v>
      </c>
      <c r="H293" s="7" t="n">
        <v>0</v>
      </c>
      <c r="I293" s="7" t="n">
        <v>-1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00093221005</t>
        </is>
      </c>
      <c r="D294" s="5" t="inlineStr">
        <is>
          <t xml:space="preserve">SUCRALFATE 1GM TAB </t>
        </is>
      </c>
      <c r="E294" s="6" t="inlineStr">
        <is>
          <t>500.0</t>
        </is>
      </c>
      <c r="F294" s="7" t="n">
        <v>240</v>
      </c>
      <c r="G294" s="7" t="n">
        <v>0.48</v>
      </c>
      <c r="H294" s="7" t="n">
        <v>2</v>
      </c>
      <c r="I294" s="7" t="n">
        <v>1.52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16729000517</t>
        </is>
      </c>
      <c r="D295" s="5" t="inlineStr">
        <is>
          <t>SIMVASTATIN 20MG TABLET</t>
        </is>
      </c>
      <c r="E295" s="6" t="inlineStr">
        <is>
          <t>1000.0</t>
        </is>
      </c>
      <c r="F295" s="7" t="n">
        <v>1230</v>
      </c>
      <c r="G295" s="7" t="n">
        <v>1.23</v>
      </c>
      <c r="H295" s="7" t="n">
        <v>0</v>
      </c>
      <c r="I295" s="7" t="n">
        <v>-1.23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57237002801</t>
        </is>
      </c>
      <c r="D296" s="5" t="inlineStr">
        <is>
          <t>AMOXICILLIN 500MG TABLET</t>
        </is>
      </c>
      <c r="E296" s="6" t="inlineStr">
        <is>
          <t>100.0</t>
        </is>
      </c>
      <c r="F296" s="7" t="n">
        <v>257</v>
      </c>
      <c r="G296" s="7" t="n">
        <v>2.57</v>
      </c>
      <c r="H296" s="7" t="n">
        <v>3</v>
      </c>
      <c r="I296" s="7" t="n">
        <v>0.4300000000000002</v>
      </c>
      <c r="J296" s="8" t="n">
        <v>19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55150027701</t>
        </is>
      </c>
      <c r="D297" s="5" t="inlineStr">
        <is>
          <t>TESTOSTERONE CYPIONATE 200 MG/ML INTRAMUSCULAR SOLUTION</t>
        </is>
      </c>
      <c r="E297" s="6" t="inlineStr">
        <is>
          <t>1.0</t>
        </is>
      </c>
      <c r="F297" s="7" t="n">
        <v>2</v>
      </c>
      <c r="G297" s="7" t="n">
        <v>2</v>
      </c>
      <c r="H297" s="7" t="n">
        <v>2</v>
      </c>
      <c r="I297" s="7" t="n">
        <v>0</v>
      </c>
      <c r="J297" s="8" t="n">
        <v>19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67877019710</t>
        </is>
      </c>
      <c r="D298" s="5" t="inlineStr">
        <is>
          <t>AMLODIPINE 2.5MG TABLET</t>
        </is>
      </c>
      <c r="E298" s="6" t="inlineStr">
        <is>
          <t>1000.0</t>
        </is>
      </c>
      <c r="F298" s="7" t="n">
        <v>900</v>
      </c>
      <c r="G298" s="7" t="n">
        <v>0.9</v>
      </c>
      <c r="H298" s="7" t="n">
        <v>1</v>
      </c>
      <c r="I298" s="7" t="n">
        <v>0.09999999999999998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68462026005</t>
        </is>
      </c>
      <c r="D299" s="5" t="inlineStr">
        <is>
          <t>VERAPAMIL ER 240MG TABLET</t>
        </is>
      </c>
      <c r="E299" s="6" t="inlineStr">
        <is>
          <t>500.0</t>
        </is>
      </c>
      <c r="F299" s="7" t="n">
        <v>270</v>
      </c>
      <c r="G299" s="7" t="n">
        <v>0.54</v>
      </c>
      <c r="H299" s="7" t="n">
        <v>0</v>
      </c>
      <c r="I299" s="7" t="n">
        <v>-0.54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70010006310</t>
        </is>
      </c>
      <c r="D300" s="5" t="inlineStr">
        <is>
          <t>METFORMIN HCL 500 MG TABLET</t>
        </is>
      </c>
      <c r="E300" s="6" t="inlineStr">
        <is>
          <t>1000.0</t>
        </is>
      </c>
      <c r="F300" s="7" t="n">
        <v>2520</v>
      </c>
      <c r="G300" s="7" t="n">
        <v>2.52</v>
      </c>
      <c r="H300" s="7" t="n">
        <v>4</v>
      </c>
      <c r="I300" s="7" t="n">
        <v>1.48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51672130406</t>
        </is>
      </c>
      <c r="D301" s="5" t="inlineStr">
        <is>
          <t>TERCONAZOLE 0.4% CREAM</t>
        </is>
      </c>
      <c r="E301" s="6" t="inlineStr">
        <is>
          <t>45.0</t>
        </is>
      </c>
      <c r="F301" s="7" t="n">
        <v>45</v>
      </c>
      <c r="G301" s="7" t="n">
        <v>1</v>
      </c>
      <c r="H301" s="7" t="n">
        <v>4</v>
      </c>
      <c r="I301" s="7" t="n">
        <v>3</v>
      </c>
      <c r="J301" s="8" t="n">
        <v>18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59651021430</t>
        </is>
      </c>
      <c r="D302" s="5" t="inlineStr">
        <is>
          <t>AZELASTINE HCL 137MCG/SPRAY SOLUTION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12</v>
      </c>
      <c r="I302" s="7" t="n">
        <v>11</v>
      </c>
      <c r="J302" s="8" t="n">
        <v>18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68180096503</t>
        </is>
      </c>
      <c r="D303" s="5" t="inlineStr">
        <is>
          <t>LEVOTHYROXINE 25MCG TABLET</t>
        </is>
      </c>
      <c r="E303" s="6" t="inlineStr">
        <is>
          <t>1000.0</t>
        </is>
      </c>
      <c r="F303" s="7" t="n">
        <v>120</v>
      </c>
      <c r="G303" s="7" t="n">
        <v>0.12</v>
      </c>
      <c r="H303" s="7" t="n">
        <v>0</v>
      </c>
      <c r="I303" s="7" t="n">
        <v>-0.12</v>
      </c>
      <c r="J303" s="8" t="n">
        <v>18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57237022005</t>
        </is>
      </c>
      <c r="D304" s="5" t="inlineStr">
        <is>
          <t>PIOGLITAZONE 30MG TABLET</t>
        </is>
      </c>
      <c r="E304" s="6" t="inlineStr">
        <is>
          <t>500.0</t>
        </is>
      </c>
      <c r="F304" s="7" t="n">
        <v>330</v>
      </c>
      <c r="G304" s="7" t="n">
        <v>0.66</v>
      </c>
      <c r="H304" s="7" t="n">
        <v>1</v>
      </c>
      <c r="I304" s="7" t="n">
        <v>0.34</v>
      </c>
      <c r="J304" s="8" t="n">
        <v>18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45802005611</t>
        </is>
      </c>
      <c r="D305" s="5" t="inlineStr">
        <is>
          <t>GENTAMICIN SULFATE 0.1% CREAM</t>
        </is>
      </c>
      <c r="E305" s="6" t="inlineStr">
        <is>
          <t>30.0</t>
        </is>
      </c>
      <c r="F305" s="7" t="n">
        <v>30</v>
      </c>
      <c r="G305" s="7" t="n">
        <v>1</v>
      </c>
      <c r="H305" s="7" t="n">
        <v>2</v>
      </c>
      <c r="I305" s="7" t="n">
        <v>1</v>
      </c>
      <c r="J305" s="8" t="n">
        <v>18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62559027890</t>
        </is>
      </c>
      <c r="D306" s="5" t="inlineStr">
        <is>
          <t>NEBIVOLOL 20MG TABLET</t>
        </is>
      </c>
      <c r="E306" s="6" t="inlineStr">
        <is>
          <t>90.0</t>
        </is>
      </c>
      <c r="F306" s="7" t="n">
        <v>90</v>
      </c>
      <c r="G306" s="7" t="n">
        <v>1</v>
      </c>
      <c r="H306" s="7" t="n">
        <v>0</v>
      </c>
      <c r="I306" s="7" t="n">
        <v>-1</v>
      </c>
      <c r="J306" s="8" t="n">
        <v>18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69452031132</t>
        </is>
      </c>
      <c r="D307" s="5" t="inlineStr">
        <is>
          <t>DICYCLOMINE HCL 20 MG ORAL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16729009016</t>
        </is>
      </c>
      <c r="D308" s="5" t="inlineStr">
        <is>
          <t xml:space="preserve">FINASTERIDE 5MG TAB </t>
        </is>
      </c>
      <c r="E308" s="6" t="inlineStr">
        <is>
          <t>500.0</t>
        </is>
      </c>
      <c r="F308" s="7" t="n">
        <v>420</v>
      </c>
      <c r="G308" s="7" t="n">
        <v>0.84</v>
      </c>
      <c r="H308" s="7" t="n">
        <v>0</v>
      </c>
      <c r="I308" s="7" t="n">
        <v>-0.84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62332004290</t>
        </is>
      </c>
      <c r="D309" s="5" t="inlineStr">
        <is>
          <t>IRBESARTAN 150MG TABLET</t>
        </is>
      </c>
      <c r="E309" s="6" t="inlineStr">
        <is>
          <t>90.0</t>
        </is>
      </c>
      <c r="F309" s="7" t="n">
        <v>90</v>
      </c>
      <c r="G309" s="7" t="n">
        <v>1</v>
      </c>
      <c r="H309" s="7" t="n">
        <v>0</v>
      </c>
      <c r="I309" s="7" t="n">
        <v>-1</v>
      </c>
      <c r="J309" s="8" t="n">
        <v>17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51672139509</t>
        </is>
      </c>
      <c r="D310" s="5" t="inlineStr">
        <is>
          <t>TRETINOIN 0.1 % EXTERNAL CREAM</t>
        </is>
      </c>
      <c r="E310" s="6" t="inlineStr">
        <is>
          <t>45.0</t>
        </is>
      </c>
      <c r="F310" s="7" t="n">
        <v>45</v>
      </c>
      <c r="G310" s="7" t="n">
        <v>1</v>
      </c>
      <c r="H310" s="7" t="n">
        <v>1</v>
      </c>
      <c r="I310" s="7" t="n">
        <v>0</v>
      </c>
      <c r="J310" s="8" t="n">
        <v>17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43547042409</t>
        </is>
      </c>
      <c r="D311" s="5" t="inlineStr">
        <is>
          <t>LOSARTAN-HCTZ 100-25MG TABLET</t>
        </is>
      </c>
      <c r="E311" s="6" t="inlineStr">
        <is>
          <t>90.0</t>
        </is>
      </c>
      <c r="F311" s="7" t="n">
        <v>240</v>
      </c>
      <c r="G311" s="7" t="n">
        <v>2.666666666666667</v>
      </c>
      <c r="H311" s="7" t="n">
        <v>0</v>
      </c>
      <c r="I311" s="7" t="n">
        <v>-2.666666666666667</v>
      </c>
      <c r="J311" s="8" t="n">
        <v>17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70954000530</t>
        </is>
      </c>
      <c r="D312" s="5" t="inlineStr">
        <is>
          <t>OXYBUTYNIN CHLORIDE 5MG TABLET</t>
        </is>
      </c>
      <c r="E312" s="6" t="inlineStr">
        <is>
          <t>1000.0</t>
        </is>
      </c>
      <c r="F312" s="7" t="n">
        <v>180</v>
      </c>
      <c r="G312" s="7" t="n">
        <v>0.18</v>
      </c>
      <c r="H312" s="7" t="n">
        <v>0</v>
      </c>
      <c r="I312" s="7" t="n">
        <v>-0.18</v>
      </c>
      <c r="J312" s="8" t="n">
        <v>17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27241015704</t>
        </is>
      </c>
      <c r="D313" s="5" t="inlineStr">
        <is>
          <t>OXYBUTYNIN 15MG TABLET ER</t>
        </is>
      </c>
      <c r="E313" s="6" t="inlineStr">
        <is>
          <t>100.0</t>
        </is>
      </c>
      <c r="F313" s="7" t="n">
        <v>30</v>
      </c>
      <c r="G313" s="7" t="n">
        <v>0.3</v>
      </c>
      <c r="H313" s="7" t="n">
        <v>1</v>
      </c>
      <c r="I313" s="7" t="n">
        <v>0.7</v>
      </c>
      <c r="J313" s="8" t="n">
        <v>17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59651078205</t>
        </is>
      </c>
      <c r="D314" s="5" t="inlineStr">
        <is>
          <t>GLIPIZIDE ER 10MG TABLET</t>
        </is>
      </c>
      <c r="E314" s="6" t="inlineStr">
        <is>
          <t>500.0</t>
        </is>
      </c>
      <c r="F314" s="7" t="n">
        <v>150</v>
      </c>
      <c r="G314" s="7" t="n">
        <v>0.3</v>
      </c>
      <c r="H314" s="7" t="n">
        <v>0</v>
      </c>
      <c r="I314" s="7" t="n">
        <v>-0.3</v>
      </c>
      <c r="J314" s="8" t="n">
        <v>17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00603516632</t>
        </is>
      </c>
      <c r="D315" s="5" t="inlineStr">
        <is>
          <t>PHENOBARBITAL 32.4 MG TABLET</t>
        </is>
      </c>
      <c r="E315" s="6" t="inlineStr">
        <is>
          <t>1000.0</t>
        </is>
      </c>
      <c r="F315" s="7" t="n">
        <v>60</v>
      </c>
      <c r="G315" s="7" t="n">
        <v>0.06</v>
      </c>
      <c r="H315" s="7" t="n">
        <v>0</v>
      </c>
      <c r="I315" s="7" t="n">
        <v>-0.06</v>
      </c>
      <c r="J315" s="8" t="n">
        <v>17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00713068231</t>
        </is>
      </c>
      <c r="D316" s="5" t="inlineStr">
        <is>
          <t>GENTAMICIN SULFATE 0.1 % EXTERNAL OINTMENT</t>
        </is>
      </c>
      <c r="E316" s="6" t="inlineStr">
        <is>
          <t>30.0</t>
        </is>
      </c>
      <c r="F316" s="7" t="n">
        <v>30</v>
      </c>
      <c r="G316" s="7" t="n">
        <v>1</v>
      </c>
      <c r="H316" s="7" t="n">
        <v>0</v>
      </c>
      <c r="I316" s="7" t="n">
        <v>-1</v>
      </c>
      <c r="J316" s="8" t="n">
        <v>17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57664069288</t>
        </is>
      </c>
      <c r="D317" s="5" t="inlineStr">
        <is>
          <t>AMITRIPTYLINE HCL 75MG TABLET</t>
        </is>
      </c>
      <c r="E317" s="6" t="inlineStr">
        <is>
          <t>100.0</t>
        </is>
      </c>
      <c r="F317" s="7" t="n">
        <v>90</v>
      </c>
      <c r="G317" s="7" t="n">
        <v>0.9</v>
      </c>
      <c r="H317" s="7" t="n">
        <v>0</v>
      </c>
      <c r="I317" s="7" t="n">
        <v>-0.9</v>
      </c>
      <c r="J317" s="8" t="n">
        <v>16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50111056003</t>
        </is>
      </c>
      <c r="D318" s="5" t="inlineStr">
        <is>
          <t>TRAZODONE 50MG TABLET</t>
        </is>
      </c>
      <c r="E318" s="6" t="inlineStr">
        <is>
          <t>1000.0</t>
        </is>
      </c>
      <c r="F318" s="7" t="n">
        <v>735</v>
      </c>
      <c r="G318" s="7" t="n">
        <v>0.735</v>
      </c>
      <c r="H318" s="7" t="n">
        <v>1</v>
      </c>
      <c r="I318" s="7" t="n">
        <v>0.265</v>
      </c>
      <c r="J318" s="8" t="n">
        <v>16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21922003601</t>
        </is>
      </c>
      <c r="D319" s="5" t="inlineStr">
        <is>
          <t>CLINDAMYCIN PHOSPHATE 1 % EXTERNAL LOTION</t>
        </is>
      </c>
      <c r="E319" s="6" t="inlineStr">
        <is>
          <t>60.0</t>
        </is>
      </c>
      <c r="F319" s="7" t="n">
        <v>120</v>
      </c>
      <c r="G319" s="7" t="n">
        <v>2</v>
      </c>
      <c r="H319" s="7" t="n">
        <v>3</v>
      </c>
      <c r="I319" s="7" t="n">
        <v>1</v>
      </c>
      <c r="J319" s="8" t="n">
        <v>16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50742025290</t>
        </is>
      </c>
      <c r="D320" s="5" t="inlineStr">
        <is>
          <t>DILTIAZEM 360MG CAPSULE ER</t>
        </is>
      </c>
      <c r="E320" s="6" t="inlineStr">
        <is>
          <t>90.0</t>
        </is>
      </c>
      <c r="F320" s="7" t="n">
        <v>60</v>
      </c>
      <c r="G320" s="7" t="n">
        <v>0.6666666666666666</v>
      </c>
      <c r="H320" s="7" t="n">
        <v>0</v>
      </c>
      <c r="I320" s="7" t="n">
        <v>-0.6666666666666666</v>
      </c>
      <c r="J320" s="8" t="n">
        <v>16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29300012601</t>
        </is>
      </c>
      <c r="D321" s="5" t="inlineStr">
        <is>
          <t>BISOPROLOL 5MG TABLET</t>
        </is>
      </c>
      <c r="E321" s="6" t="inlineStr">
        <is>
          <t>100.0</t>
        </is>
      </c>
      <c r="F321" s="7" t="n">
        <v>180</v>
      </c>
      <c r="G321" s="7" t="n">
        <v>1.8</v>
      </c>
      <c r="H321" s="7" t="n">
        <v>0</v>
      </c>
      <c r="I321" s="7" t="n">
        <v>-1.8</v>
      </c>
      <c r="J321" s="8" t="n">
        <v>16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00832532411</t>
        </is>
      </c>
      <c r="D322" s="5" t="inlineStr">
        <is>
          <t>POTASSIUM CHLORIDE 10MEQ TABLET ER</t>
        </is>
      </c>
      <c r="E322" s="6" t="inlineStr">
        <is>
          <t>100.0</t>
        </is>
      </c>
      <c r="F322" s="7" t="n">
        <v>180</v>
      </c>
      <c r="G322" s="7" t="n">
        <v>1.8</v>
      </c>
      <c r="H322" s="7" t="n">
        <v>0</v>
      </c>
      <c r="I322" s="7" t="n">
        <v>-1.8</v>
      </c>
      <c r="J322" s="8" t="n">
        <v>16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31722055190</t>
        </is>
      </c>
      <c r="D323" s="5" t="inlineStr">
        <is>
          <t>LEVOCETIRIZINE 5MG TABLET</t>
        </is>
      </c>
      <c r="E323" s="6" t="inlineStr">
        <is>
          <t>90.0</t>
        </is>
      </c>
      <c r="F323" s="7" t="n">
        <v>270</v>
      </c>
      <c r="G323" s="7" t="n">
        <v>3</v>
      </c>
      <c r="H323" s="7" t="n">
        <v>5</v>
      </c>
      <c r="I323" s="7" t="n">
        <v>2</v>
      </c>
      <c r="J323" s="8" t="n">
        <v>16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00536105227</t>
        </is>
      </c>
      <c r="D324" s="5" t="inlineStr">
        <is>
          <t>POLYETHYLENE GLYCOL 3350 17GM/SCOOP POWDER</t>
        </is>
      </c>
      <c r="E324" s="6" t="inlineStr">
        <is>
          <t>510.0</t>
        </is>
      </c>
      <c r="F324" s="7" t="n">
        <v>1530</v>
      </c>
      <c r="G324" s="7" t="n">
        <v>3</v>
      </c>
      <c r="H324" s="7" t="n">
        <v>24</v>
      </c>
      <c r="I324" s="7" t="n">
        <v>21</v>
      </c>
      <c r="J324" s="8" t="n">
        <v>16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00536120207</t>
        </is>
      </c>
      <c r="D325" s="5" t="inlineStr">
        <is>
          <t>LIDOCAINE PAIN RELIEF 4 % EXTERNAL PATCH</t>
        </is>
      </c>
      <c r="E325" s="6" t="inlineStr">
        <is>
          <t>30.0</t>
        </is>
      </c>
      <c r="F325" s="7" t="n">
        <v>30</v>
      </c>
      <c r="G325" s="7" t="n">
        <v>1</v>
      </c>
      <c r="H325" s="7" t="n">
        <v>42</v>
      </c>
      <c r="I325" s="7" t="n">
        <v>41</v>
      </c>
      <c r="J325" s="8" t="n">
        <v>16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61314022705</t>
        </is>
      </c>
      <c r="D326" s="5" t="inlineStr">
        <is>
          <t>TIMOLOL MALEATE 0.5% SOLUTION</t>
        </is>
      </c>
      <c r="E326" s="6" t="inlineStr">
        <is>
          <t>5.0</t>
        </is>
      </c>
      <c r="F326" s="7" t="n">
        <v>10</v>
      </c>
      <c r="G326" s="7" t="n">
        <v>2</v>
      </c>
      <c r="H326" s="7" t="n">
        <v>0</v>
      </c>
      <c r="I326" s="7" t="n">
        <v>-2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43547033109</t>
        </is>
      </c>
      <c r="D327" s="5" t="inlineStr">
        <is>
          <t>IRBESARTAN-HYDROCHLOROTHIAZIDE 300-12.5 MG ORAL TABLET</t>
        </is>
      </c>
      <c r="E327" s="6" t="inlineStr">
        <is>
          <t>90.0</t>
        </is>
      </c>
      <c r="F327" s="7" t="n">
        <v>90</v>
      </c>
      <c r="G327" s="7" t="n">
        <v>1</v>
      </c>
      <c r="H327" s="7" t="n">
        <v>0</v>
      </c>
      <c r="I327" s="7" t="n">
        <v>-1</v>
      </c>
      <c r="J327" s="8" t="n">
        <v>15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31722053201</t>
        </is>
      </c>
      <c r="D328" s="5" t="inlineStr">
        <is>
          <t>TORSEMIDE 100MG TABLET</t>
        </is>
      </c>
      <c r="E328" s="6" t="inlineStr">
        <is>
          <t>100.0</t>
        </is>
      </c>
      <c r="F328" s="7" t="n">
        <v>90</v>
      </c>
      <c r="G328" s="7" t="n">
        <v>0.9</v>
      </c>
      <c r="H328" s="7" t="n">
        <v>0</v>
      </c>
      <c r="I328" s="7" t="n">
        <v>-0.9</v>
      </c>
      <c r="J328" s="8" t="n">
        <v>15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61314014305</t>
        </is>
      </c>
      <c r="D329" s="5" t="inlineStr">
        <is>
          <t>BRIMONIDINE TARTRATE 0.2% SOLUTION</t>
        </is>
      </c>
      <c r="E329" s="6" t="inlineStr">
        <is>
          <t>5.0</t>
        </is>
      </c>
      <c r="F329" s="7" t="n">
        <v>15</v>
      </c>
      <c r="G329" s="7" t="n">
        <v>3</v>
      </c>
      <c r="H329" s="7" t="n">
        <v>5</v>
      </c>
      <c r="I329" s="7" t="n">
        <v>2</v>
      </c>
      <c r="J329" s="8" t="n">
        <v>15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60505014201</t>
        </is>
      </c>
      <c r="D330" s="5" t="inlineStr">
        <is>
          <t xml:space="preserve">GLIPIZIDE 10MG TAB </t>
        </is>
      </c>
      <c r="E330" s="6" t="inlineStr">
        <is>
          <t>1000.0</t>
        </is>
      </c>
      <c r="F330" s="7" t="n">
        <v>660</v>
      </c>
      <c r="G330" s="7" t="n">
        <v>0.66</v>
      </c>
      <c r="H330" s="7" t="n">
        <v>1</v>
      </c>
      <c r="I330" s="7" t="n">
        <v>0.34</v>
      </c>
      <c r="J330" s="8" t="n">
        <v>15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23155083310</t>
        </is>
      </c>
      <c r="D331" s="5" t="inlineStr">
        <is>
          <t>HYDRALAZINE HCL 25 MG TABLET</t>
        </is>
      </c>
      <c r="E331" s="6" t="inlineStr">
        <is>
          <t>1000.0</t>
        </is>
      </c>
      <c r="F331" s="7" t="n">
        <v>420</v>
      </c>
      <c r="G331" s="7" t="n">
        <v>0.42</v>
      </c>
      <c r="H331" s="7" t="n">
        <v>0</v>
      </c>
      <c r="I331" s="7" t="n">
        <v>-0.42</v>
      </c>
      <c r="J331" s="8" t="n">
        <v>15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120</v>
      </c>
      <c r="G332" s="7" t="n">
        <v>1</v>
      </c>
      <c r="H332" s="7" t="n">
        <v>0</v>
      </c>
      <c r="I332" s="7" t="n">
        <v>-1</v>
      </c>
      <c r="J332" s="8" t="n">
        <v>15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69097045805</t>
        </is>
      </c>
      <c r="D333" s="5" t="inlineStr">
        <is>
          <t xml:space="preserve">FENOFIBRATE 145MG TAB </t>
        </is>
      </c>
      <c r="E333" s="6" t="inlineStr">
        <is>
          <t>90.0</t>
        </is>
      </c>
      <c r="F333" s="7" t="n">
        <v>90</v>
      </c>
      <c r="G333" s="7" t="n">
        <v>1</v>
      </c>
      <c r="H333" s="7" t="n">
        <v>0</v>
      </c>
      <c r="I333" s="7" t="n">
        <v>-1</v>
      </c>
      <c r="J333" s="8" t="n">
        <v>15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51672127506</t>
        </is>
      </c>
      <c r="D334" s="5" t="inlineStr">
        <is>
          <t xml:space="preserve">CLOTRIMAZOLE 1% CREAM </t>
        </is>
      </c>
      <c r="E334" s="6" t="inlineStr">
        <is>
          <t>45.0</t>
        </is>
      </c>
      <c r="F334" s="7" t="n">
        <v>90</v>
      </c>
      <c r="G334" s="7" t="n">
        <v>2</v>
      </c>
      <c r="H334" s="7" t="n">
        <v>0</v>
      </c>
      <c r="I334" s="7" t="n">
        <v>-2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67877025145</t>
        </is>
      </c>
      <c r="D335" s="5" t="inlineStr">
        <is>
          <t>TRIAMCINOLONE ACETONIDE 0.1% CREAM</t>
        </is>
      </c>
      <c r="E335" s="6" t="inlineStr">
        <is>
          <t>454.0</t>
        </is>
      </c>
      <c r="F335" s="7" t="n">
        <v>454</v>
      </c>
      <c r="G335" s="7" t="n">
        <v>1</v>
      </c>
      <c r="H335" s="7" t="n">
        <v>0</v>
      </c>
      <c r="I335" s="7" t="n">
        <v>-1</v>
      </c>
      <c r="J335" s="8" t="n">
        <v>14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65862018830</t>
        </is>
      </c>
      <c r="D336" s="5" t="inlineStr">
        <is>
          <t xml:space="preserve">ONDANSETRON 8MG TAB </t>
        </is>
      </c>
      <c r="E336" s="6" t="inlineStr">
        <is>
          <t>30.0</t>
        </is>
      </c>
      <c r="F336" s="7" t="n">
        <v>230</v>
      </c>
      <c r="G336" s="7" t="n">
        <v>7.666666666666667</v>
      </c>
      <c r="H336" s="7" t="n">
        <v>5</v>
      </c>
      <c r="I336" s="7" t="n">
        <v>-2.666666666666667</v>
      </c>
      <c r="J336" s="8" t="n">
        <v>14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70756040411</t>
        </is>
      </c>
      <c r="D337" s="5" t="inlineStr">
        <is>
          <t>NITROFURANTOIN MONOHYD MACRO 100 MG ORAL CAPSULE</t>
        </is>
      </c>
      <c r="E337" s="6" t="inlineStr">
        <is>
          <t>100.0</t>
        </is>
      </c>
      <c r="F337" s="7" t="n">
        <v>40</v>
      </c>
      <c r="G337" s="7" t="n">
        <v>0.4</v>
      </c>
      <c r="H337" s="7" t="n">
        <v>0</v>
      </c>
      <c r="I337" s="7" t="n">
        <v>-0.4</v>
      </c>
      <c r="J337" s="8" t="n">
        <v>14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00378632277</t>
        </is>
      </c>
      <c r="D338" s="5" t="inlineStr">
        <is>
          <t>VALSARTAN-HCTZ 160-12.5MG TABLET</t>
        </is>
      </c>
      <c r="E338" s="6" t="inlineStr">
        <is>
          <t>90.0</t>
        </is>
      </c>
      <c r="F338" s="7" t="n">
        <v>90</v>
      </c>
      <c r="G338" s="7" t="n">
        <v>1</v>
      </c>
      <c r="H338" s="7" t="n">
        <v>3</v>
      </c>
      <c r="I338" s="7" t="n">
        <v>2</v>
      </c>
      <c r="J338" s="8" t="n">
        <v>14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99073070914</t>
        </is>
      </c>
      <c r="D339" s="5" t="inlineStr">
        <is>
          <t>FREESTYLE FREEDOM LITE  KIT KINRAY</t>
        </is>
      </c>
      <c r="E339" s="6" t="inlineStr">
        <is>
          <t>1.0</t>
        </is>
      </c>
      <c r="F339" s="7" t="n">
        <v>1</v>
      </c>
      <c r="G339" s="7" t="n">
        <v>1</v>
      </c>
      <c r="H339" s="7" t="n">
        <v>4</v>
      </c>
      <c r="I339" s="7" t="n">
        <v>3</v>
      </c>
      <c r="J339" s="8" t="n">
        <v>14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00185012801</t>
        </is>
      </c>
      <c r="D340" s="5" t="inlineStr">
        <is>
          <t>BUMETANIDE 0.5 MG ORAL TABLET</t>
        </is>
      </c>
      <c r="E340" s="6" t="inlineStr">
        <is>
          <t>100.0</t>
        </is>
      </c>
      <c r="F340" s="7" t="n">
        <v>90</v>
      </c>
      <c r="G340" s="7" t="n">
        <v>0.9</v>
      </c>
      <c r="H340" s="7" t="n">
        <v>0</v>
      </c>
      <c r="I340" s="7" t="n">
        <v>-0.9</v>
      </c>
      <c r="J340" s="8" t="n">
        <v>14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00168035730</t>
        </is>
      </c>
      <c r="D341" s="5" t="inlineStr">
        <is>
          <t>LIDOCAINE-PRILOCAINE 2.5-2.5 % EXTERNAL CREAM</t>
        </is>
      </c>
      <c r="E341" s="6" t="inlineStr">
        <is>
          <t>30.0</t>
        </is>
      </c>
      <c r="F341" s="7" t="n">
        <v>60</v>
      </c>
      <c r="G341" s="7" t="n">
        <v>2</v>
      </c>
      <c r="H341" s="7" t="n">
        <v>0</v>
      </c>
      <c r="I341" s="7" t="n">
        <v>-2</v>
      </c>
      <c r="J341" s="8" t="n">
        <v>14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64980051401</t>
        </is>
      </c>
      <c r="D342" s="5" t="inlineStr">
        <is>
          <t>TIMOLOL MALEATE 0.5% SOLUTION</t>
        </is>
      </c>
      <c r="E342" s="6" t="inlineStr">
        <is>
          <t>10.0</t>
        </is>
      </c>
      <c r="F342" s="7" t="n">
        <v>10</v>
      </c>
      <c r="G342" s="7" t="n">
        <v>1</v>
      </c>
      <c r="H342" s="7" t="n">
        <v>0</v>
      </c>
      <c r="I342" s="7" t="n">
        <v>-1</v>
      </c>
      <c r="J342" s="8" t="n">
        <v>14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65862017099</t>
        </is>
      </c>
      <c r="D343" s="5" t="inlineStr">
        <is>
          <t>ATENOLOL 100 MG TABLET</t>
        </is>
      </c>
      <c r="E343" s="6" t="inlineStr">
        <is>
          <t>1000.0</t>
        </is>
      </c>
      <c r="F343" s="7" t="n">
        <v>180</v>
      </c>
      <c r="G343" s="7" t="n">
        <v>0.18</v>
      </c>
      <c r="H343" s="7" t="n">
        <v>0</v>
      </c>
      <c r="I343" s="7" t="n">
        <v>-0.18</v>
      </c>
      <c r="J343" s="8" t="n">
        <v>14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69238134703</t>
        </is>
      </c>
      <c r="D344" s="5" t="inlineStr">
        <is>
          <t>TADALAFIL 5MG TABLET</t>
        </is>
      </c>
      <c r="E344" s="6" t="inlineStr">
        <is>
          <t>30.0</t>
        </is>
      </c>
      <c r="F344" s="7" t="n">
        <v>30</v>
      </c>
      <c r="G344" s="7" t="n">
        <v>1</v>
      </c>
      <c r="H344" s="7" t="n">
        <v>0</v>
      </c>
      <c r="I344" s="7" t="n">
        <v>-1</v>
      </c>
      <c r="J344" s="8" t="n">
        <v>14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00378632177</t>
        </is>
      </c>
      <c r="D345" s="5" t="inlineStr">
        <is>
          <t>VALSARTAN-HYDROCHLOROTHIAZIDE 80-12.5 MG ORAL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14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72888003700</t>
        </is>
      </c>
      <c r="D346" s="5" t="inlineStr">
        <is>
          <t xml:space="preserve">CARVEDILOL 25 MG TABLET </t>
        </is>
      </c>
      <c r="E346" s="6" t="inlineStr">
        <is>
          <t>1000.0</t>
        </is>
      </c>
      <c r="F346" s="7" t="n">
        <v>600</v>
      </c>
      <c r="G346" s="7" t="n">
        <v>0.6</v>
      </c>
      <c r="H346" s="7" t="n">
        <v>2</v>
      </c>
      <c r="I346" s="7" t="n">
        <v>1.4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00093720110</t>
        </is>
      </c>
      <c r="D347" s="5" t="inlineStr">
        <is>
          <t>PRAVASTATIN 20MG TABLET</t>
        </is>
      </c>
      <c r="E347" s="6" t="inlineStr">
        <is>
          <t>1000.0</t>
        </is>
      </c>
      <c r="F347" s="7" t="n">
        <v>180</v>
      </c>
      <c r="G347" s="7" t="n">
        <v>0.18</v>
      </c>
      <c r="H347" s="7" t="n">
        <v>0</v>
      </c>
      <c r="I347" s="7" t="n">
        <v>-0.18</v>
      </c>
      <c r="J347" s="8" t="n">
        <v>13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51672130005</t>
        </is>
      </c>
      <c r="D348" s="5" t="inlineStr">
        <is>
          <t>AMMONIUM LACTATE 12 % EXTERNAL LOTION</t>
        </is>
      </c>
      <c r="E348" s="6" t="inlineStr">
        <is>
          <t>225.0</t>
        </is>
      </c>
      <c r="F348" s="7" t="n">
        <v>450</v>
      </c>
      <c r="G348" s="7" t="n">
        <v>2</v>
      </c>
      <c r="H348" s="7" t="n">
        <v>0</v>
      </c>
      <c r="I348" s="7" t="n">
        <v>-2</v>
      </c>
      <c r="J348" s="8" t="n">
        <v>13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31722053812</t>
        </is>
      </c>
      <c r="D349" s="5" t="inlineStr">
        <is>
          <t>LEVETIRACETAM 750MG TABLET</t>
        </is>
      </c>
      <c r="E349" s="6" t="inlineStr">
        <is>
          <t>120.0</t>
        </is>
      </c>
      <c r="F349" s="7" t="n">
        <v>120</v>
      </c>
      <c r="G349" s="7" t="n">
        <v>1</v>
      </c>
      <c r="H349" s="7" t="n">
        <v>0</v>
      </c>
      <c r="I349" s="7" t="n">
        <v>-1</v>
      </c>
      <c r="J349" s="8" t="n">
        <v>13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72578000805</t>
        </is>
      </c>
      <c r="D350" s="5" t="inlineStr">
        <is>
          <t>METRONIDAZOLE 500MG TABLET</t>
        </is>
      </c>
      <c r="E350" s="6" t="inlineStr">
        <is>
          <t>500.0</t>
        </is>
      </c>
      <c r="F350" s="7" t="n">
        <v>126</v>
      </c>
      <c r="G350" s="7" t="n">
        <v>0.252</v>
      </c>
      <c r="H350" s="7" t="n">
        <v>0</v>
      </c>
      <c r="I350" s="7" t="n">
        <v>-0.252</v>
      </c>
      <c r="J350" s="8" t="n">
        <v>13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00781286810</t>
        </is>
      </c>
      <c r="D351" s="5" t="inlineStr">
        <is>
          <t>OMEPRAZOLE 20MG CAPSULE DR</t>
        </is>
      </c>
      <c r="E351" s="6" t="inlineStr">
        <is>
          <t>1000.0</t>
        </is>
      </c>
      <c r="F351" s="7" t="n">
        <v>958</v>
      </c>
      <c r="G351" s="7" t="n">
        <v>0.958</v>
      </c>
      <c r="H351" s="7" t="n">
        <v>0</v>
      </c>
      <c r="I351" s="7" t="n">
        <v>-0.958</v>
      </c>
      <c r="J351" s="8" t="n">
        <v>13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51672131201</t>
        </is>
      </c>
      <c r="D352" s="5" t="inlineStr">
        <is>
          <t>MUPIROCIN 2 % EXTERNAL OINTMENT</t>
        </is>
      </c>
      <c r="E352" s="6" t="inlineStr">
        <is>
          <t>15.0</t>
        </is>
      </c>
      <c r="F352" s="7" t="n">
        <v>45</v>
      </c>
      <c r="G352" s="7" t="n">
        <v>3</v>
      </c>
      <c r="H352" s="7" t="n">
        <v>14</v>
      </c>
      <c r="I352" s="7" t="n">
        <v>11</v>
      </c>
      <c r="J352" s="8" t="n">
        <v>13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00143992801</t>
        </is>
      </c>
      <c r="D353" s="5" t="inlineStr">
        <is>
          <t>CIPROFLOXACIN 500MG TABLET</t>
        </is>
      </c>
      <c r="E353" s="6" t="inlineStr">
        <is>
          <t>100.0</t>
        </is>
      </c>
      <c r="F353" s="7" t="n">
        <v>20</v>
      </c>
      <c r="G353" s="7" t="n">
        <v>0.2</v>
      </c>
      <c r="H353" s="7" t="n">
        <v>0</v>
      </c>
      <c r="I353" s="7" t="n">
        <v>-0.2</v>
      </c>
      <c r="J353" s="8" t="n">
        <v>13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69315016401</t>
        </is>
      </c>
      <c r="D354" s="5" t="inlineStr">
        <is>
          <t>HYDROXYUREA 500MG CAPSULE</t>
        </is>
      </c>
      <c r="E354" s="6" t="inlineStr">
        <is>
          <t>100.0</t>
        </is>
      </c>
      <c r="F354" s="7" t="n">
        <v>90</v>
      </c>
      <c r="G354" s="7" t="n">
        <v>0.9</v>
      </c>
      <c r="H354" s="7" t="n">
        <v>0</v>
      </c>
      <c r="I354" s="7" t="n">
        <v>-0.9</v>
      </c>
      <c r="J354" s="8" t="n">
        <v>13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51224010760</t>
        </is>
      </c>
      <c r="D355" s="5" t="inlineStr">
        <is>
          <t>METFORMIN 750MG TABLET ER</t>
        </is>
      </c>
      <c r="E355" s="6" t="inlineStr">
        <is>
          <t>500.0</t>
        </is>
      </c>
      <c r="F355" s="7" t="n">
        <v>270</v>
      </c>
      <c r="G355" s="7" t="n">
        <v>0.54</v>
      </c>
      <c r="H355" s="7" t="n">
        <v>0</v>
      </c>
      <c r="I355" s="7" t="n">
        <v>-0.54</v>
      </c>
      <c r="J355" s="8" t="n">
        <v>13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67877084210</t>
        </is>
      </c>
      <c r="D356" s="5" t="inlineStr">
        <is>
          <t>FAMOTIDINE 20MG TABLET</t>
        </is>
      </c>
      <c r="E356" s="6" t="inlineStr">
        <is>
          <t>1000.0</t>
        </is>
      </c>
      <c r="F356" s="7" t="n">
        <v>1140</v>
      </c>
      <c r="G356" s="7" t="n">
        <v>1.14</v>
      </c>
      <c r="H356" s="7" t="n">
        <v>2</v>
      </c>
      <c r="I356" s="7" t="n">
        <v>0.8600000000000001</v>
      </c>
      <c r="J356" s="8" t="n">
        <v>13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31722053001</t>
        </is>
      </c>
      <c r="D357" s="5" t="inlineStr">
        <is>
          <t>TORSEMIDE 10MG TABLET</t>
        </is>
      </c>
      <c r="E357" s="6" t="inlineStr">
        <is>
          <t>100.0</t>
        </is>
      </c>
      <c r="F357" s="7" t="n">
        <v>90</v>
      </c>
      <c r="G357" s="7" t="n">
        <v>0.9</v>
      </c>
      <c r="H357" s="7" t="n">
        <v>0</v>
      </c>
      <c r="I357" s="7" t="n">
        <v>-0.9</v>
      </c>
      <c r="J357" s="8" t="n">
        <v>13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67877022210</t>
        </is>
      </c>
      <c r="D358" s="5" t="inlineStr">
        <is>
          <t>GABAPENTIN 100MG CAPSULE</t>
        </is>
      </c>
      <c r="E358" s="6" t="inlineStr">
        <is>
          <t>1000.0</t>
        </is>
      </c>
      <c r="F358" s="7" t="n">
        <v>759</v>
      </c>
      <c r="G358" s="7" t="n">
        <v>0.759</v>
      </c>
      <c r="H358" s="7" t="n">
        <v>2</v>
      </c>
      <c r="I358" s="7" t="n">
        <v>1.241</v>
      </c>
      <c r="J358" s="8" t="n">
        <v>13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00378050501</t>
        </is>
      </c>
      <c r="D359" s="5" t="inlineStr">
        <is>
          <t>BISOPROLOL-HCTZ 10-6.25MG TABLET</t>
        </is>
      </c>
      <c r="E359" s="6" t="inlineStr">
        <is>
          <t>100.0</t>
        </is>
      </c>
      <c r="F359" s="7" t="n">
        <v>90</v>
      </c>
      <c r="G359" s="7" t="n">
        <v>0.9</v>
      </c>
      <c r="H359" s="7" t="n">
        <v>1</v>
      </c>
      <c r="I359" s="7" t="n">
        <v>0.09999999999999998</v>
      </c>
      <c r="J359" s="8" t="n">
        <v>13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67877012405</t>
        </is>
      </c>
      <c r="D360" s="5" t="inlineStr">
        <is>
          <t>SILVER SULFADIAZINE 1 % EXTERNAL CREAM</t>
        </is>
      </c>
      <c r="E360" s="6" t="inlineStr">
        <is>
          <t>50.0</t>
        </is>
      </c>
      <c r="F360" s="7" t="n">
        <v>100</v>
      </c>
      <c r="G360" s="7" t="n">
        <v>2</v>
      </c>
      <c r="H360" s="7" t="n">
        <v>0</v>
      </c>
      <c r="I360" s="7" t="n">
        <v>-2</v>
      </c>
      <c r="J360" s="8" t="n">
        <v>12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50742024930</t>
        </is>
      </c>
      <c r="D361" s="5" t="inlineStr">
        <is>
          <t>DILTIAZEM 180MG CAPSULE ER</t>
        </is>
      </c>
      <c r="E361" s="6" t="inlineStr">
        <is>
          <t>30.0</t>
        </is>
      </c>
      <c r="F361" s="7" t="n">
        <v>90</v>
      </c>
      <c r="G361" s="7" t="n">
        <v>3</v>
      </c>
      <c r="H361" s="7" t="n">
        <v>0</v>
      </c>
      <c r="I361" s="7" t="n">
        <v>-3</v>
      </c>
      <c r="J361" s="8" t="n">
        <v>12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50111056103</t>
        </is>
      </c>
      <c r="D362" s="5" t="inlineStr">
        <is>
          <t>TRAZODONE 100MG TABLET</t>
        </is>
      </c>
      <c r="E362" s="6" t="inlineStr">
        <is>
          <t>1000.0</t>
        </is>
      </c>
      <c r="F362" s="7" t="n">
        <v>180</v>
      </c>
      <c r="G362" s="7" t="n">
        <v>0.18</v>
      </c>
      <c r="H362" s="7" t="n">
        <v>0</v>
      </c>
      <c r="I362" s="7" t="n">
        <v>-0.18</v>
      </c>
      <c r="J362" s="8" t="n">
        <v>12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70756005212</t>
        </is>
      </c>
      <c r="D363" s="5" t="inlineStr">
        <is>
          <t>FAMOTIDINE 40MG TABLET</t>
        </is>
      </c>
      <c r="E363" s="6" t="inlineStr">
        <is>
          <t>1000.0</t>
        </is>
      </c>
      <c r="F363" s="7" t="n">
        <v>450</v>
      </c>
      <c r="G363" s="7" t="n">
        <v>0.45</v>
      </c>
      <c r="H363" s="7" t="n">
        <v>2</v>
      </c>
      <c r="I363" s="7" t="n">
        <v>1.55</v>
      </c>
      <c r="J363" s="8" t="n">
        <v>12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23155077210</t>
        </is>
      </c>
      <c r="D364" s="5" t="inlineStr">
        <is>
          <t>ENALAPRIL 10MG TABLET</t>
        </is>
      </c>
      <c r="E364" s="6" t="inlineStr">
        <is>
          <t>1000.0</t>
        </is>
      </c>
      <c r="F364" s="7" t="n">
        <v>120</v>
      </c>
      <c r="G364" s="7" t="n">
        <v>0.12</v>
      </c>
      <c r="H364" s="7" t="n">
        <v>0</v>
      </c>
      <c r="I364" s="7" t="n">
        <v>-0.12</v>
      </c>
      <c r="J364" s="8" t="n">
        <v>12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24208091055</t>
        </is>
      </c>
      <c r="D365" s="5" t="inlineStr">
        <is>
          <t>ERYTHROMYCIN 5MG/GM OINTMENT</t>
        </is>
      </c>
      <c r="E365" s="6" t="inlineStr">
        <is>
          <t>3.5</t>
        </is>
      </c>
      <c r="F365" s="7" t="n">
        <v>7</v>
      </c>
      <c r="G365" s="7" t="n">
        <v>2</v>
      </c>
      <c r="H365" s="7" t="n">
        <v>4</v>
      </c>
      <c r="I365" s="7" t="n">
        <v>2</v>
      </c>
      <c r="J365" s="8" t="n">
        <v>12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13668013610</t>
        </is>
      </c>
      <c r="D366" s="5" t="inlineStr">
        <is>
          <t>ESCITALOPRAM 10MG TABLET</t>
        </is>
      </c>
      <c r="E366" s="6" t="inlineStr">
        <is>
          <t>1000.0</t>
        </is>
      </c>
      <c r="F366" s="7" t="n">
        <v>420</v>
      </c>
      <c r="G366" s="7" t="n">
        <v>0.42</v>
      </c>
      <c r="H366" s="7" t="n">
        <v>0</v>
      </c>
      <c r="I366" s="7" t="n">
        <v>-0.42</v>
      </c>
      <c r="J366" s="8" t="n">
        <v>12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70710116701</t>
        </is>
      </c>
      <c r="D367" s="5" t="inlineStr">
        <is>
          <t>ATENOLOL-CHLORTHALIDONE 50-25MG TABLET</t>
        </is>
      </c>
      <c r="E367" s="6" t="inlineStr">
        <is>
          <t>100.0</t>
        </is>
      </c>
      <c r="F367" s="7" t="n">
        <v>120</v>
      </c>
      <c r="G367" s="7" t="n">
        <v>1.2</v>
      </c>
      <c r="H367" s="7" t="n">
        <v>2</v>
      </c>
      <c r="I367" s="7" t="n">
        <v>0.8</v>
      </c>
      <c r="J367" s="8" t="n">
        <v>12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67877022405</t>
        </is>
      </c>
      <c r="D368" s="5" t="inlineStr">
        <is>
          <t xml:space="preserve">GABAPENTIN 400MG CAP </t>
        </is>
      </c>
      <c r="E368" s="6" t="inlineStr">
        <is>
          <t>500.0</t>
        </is>
      </c>
      <c r="F368" s="7" t="n">
        <v>420</v>
      </c>
      <c r="G368" s="7" t="n">
        <v>0.84</v>
      </c>
      <c r="H368" s="7" t="n">
        <v>0</v>
      </c>
      <c r="I368" s="7" t="n">
        <v>-0.84</v>
      </c>
      <c r="J368" s="8" t="n">
        <v>12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65702028810</t>
        </is>
      </c>
      <c r="D369" s="5" t="inlineStr">
        <is>
          <t>ACCU-CHEK FASTCLIX LANCETS</t>
        </is>
      </c>
      <c r="E369" s="6" t="inlineStr">
        <is>
          <t>102.0</t>
        </is>
      </c>
      <c r="F369" s="7" t="n">
        <v>100</v>
      </c>
      <c r="G369" s="7" t="n">
        <v>0.9803921568627451</v>
      </c>
      <c r="H369" s="7" t="n">
        <v>0</v>
      </c>
      <c r="I369" s="7" t="n">
        <v>-0.9803921568627451</v>
      </c>
      <c r="J369" s="8" t="n">
        <v>12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57237004230</t>
        </is>
      </c>
      <c r="D370" s="5" t="inlineStr">
        <is>
          <t>VALACYCLOVIR 500MG TABLET</t>
        </is>
      </c>
      <c r="E370" s="6" t="inlineStr">
        <is>
          <t>30.0</t>
        </is>
      </c>
      <c r="F370" s="7" t="n">
        <v>96</v>
      </c>
      <c r="G370" s="7" t="n">
        <v>3.2</v>
      </c>
      <c r="H370" s="7" t="n">
        <v>0</v>
      </c>
      <c r="I370" s="7" t="n">
        <v>-3.2</v>
      </c>
      <c r="J370" s="8" t="n">
        <v>11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70700011685</t>
        </is>
      </c>
      <c r="D371" s="5" t="inlineStr">
        <is>
          <t>ALTAVERA 0.15-30MG TABLET</t>
        </is>
      </c>
      <c r="E371" s="6" t="inlineStr">
        <is>
          <t>28.0</t>
        </is>
      </c>
      <c r="F371" s="7" t="n">
        <v>84</v>
      </c>
      <c r="G371" s="7" t="n">
        <v>3</v>
      </c>
      <c r="H371" s="7" t="n">
        <v>2</v>
      </c>
      <c r="I371" s="7" t="n">
        <v>-1</v>
      </c>
      <c r="J371" s="8" t="n">
        <v>11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68382007901</t>
        </is>
      </c>
      <c r="D372" s="5" t="inlineStr">
        <is>
          <t xml:space="preserve">HALOPERIDOL 5MG TAB </t>
        </is>
      </c>
      <c r="E372" s="6" t="inlineStr">
        <is>
          <t>100.0</t>
        </is>
      </c>
      <c r="F372" s="7" t="n">
        <v>60</v>
      </c>
      <c r="G372" s="7" t="n">
        <v>0.6</v>
      </c>
      <c r="H372" s="7" t="n">
        <v>1</v>
      </c>
      <c r="I372" s="7" t="n">
        <v>0.4</v>
      </c>
      <c r="J372" s="8" t="n">
        <v>11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13107003105</t>
        </is>
      </c>
      <c r="D373" s="5" t="inlineStr">
        <is>
          <t>MIRTAZAPINE 15MG TABLET</t>
        </is>
      </c>
      <c r="E373" s="6" t="inlineStr">
        <is>
          <t>500.0</t>
        </is>
      </c>
      <c r="F373" s="7" t="n">
        <v>150</v>
      </c>
      <c r="G373" s="7" t="n">
        <v>0.3</v>
      </c>
      <c r="H373" s="7" t="n">
        <v>1</v>
      </c>
      <c r="I373" s="7" t="n">
        <v>0.7</v>
      </c>
      <c r="J373" s="8" t="n">
        <v>11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23155077310</t>
        </is>
      </c>
      <c r="D374" s="5" t="inlineStr">
        <is>
          <t>ENALAPRIL 20MG TABLET</t>
        </is>
      </c>
      <c r="E374" s="6" t="inlineStr">
        <is>
          <t>1000.0</t>
        </is>
      </c>
      <c r="F374" s="7" t="n">
        <v>120</v>
      </c>
      <c r="G374" s="7" t="n">
        <v>0.12</v>
      </c>
      <c r="H374" s="7" t="n">
        <v>1</v>
      </c>
      <c r="I374" s="7" t="n">
        <v>0.88</v>
      </c>
      <c r="J374" s="8" t="n">
        <v>11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60505057804</t>
        </is>
      </c>
      <c r="D375" s="5" t="inlineStr">
        <is>
          <t>AZELASTINE 0.05% OPHTHALMIC SOLUTION</t>
        </is>
      </c>
      <c r="E375" s="6" t="inlineStr">
        <is>
          <t>6.0</t>
        </is>
      </c>
      <c r="F375" s="7" t="n">
        <v>24</v>
      </c>
      <c r="G375" s="7" t="n">
        <v>4</v>
      </c>
      <c r="H375" s="7" t="n">
        <v>0</v>
      </c>
      <c r="I375" s="7" t="n">
        <v>-4</v>
      </c>
      <c r="J375" s="8" t="n">
        <v>11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00832532510</t>
        </is>
      </c>
      <c r="D376" s="5" t="inlineStr">
        <is>
          <t>POTASSIUM ER 20MEQ TABLET</t>
        </is>
      </c>
      <c r="E376" s="6" t="inlineStr">
        <is>
          <t>1000.0</t>
        </is>
      </c>
      <c r="F376" s="7" t="n">
        <v>300</v>
      </c>
      <c r="G376" s="7" t="n">
        <v>0.3</v>
      </c>
      <c r="H376" s="7" t="n">
        <v>0</v>
      </c>
      <c r="I376" s="7" t="n">
        <v>-0.3</v>
      </c>
      <c r="J376" s="8" t="n">
        <v>11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57237015801</t>
        </is>
      </c>
      <c r="D377" s="5" t="inlineStr">
        <is>
          <t xml:space="preserve">REPAGLINIDE 1MG TAB </t>
        </is>
      </c>
      <c r="E377" s="6" t="inlineStr">
        <is>
          <t>100.0</t>
        </is>
      </c>
      <c r="F377" s="7" t="n">
        <v>90</v>
      </c>
      <c r="G377" s="7" t="n">
        <v>0.9</v>
      </c>
      <c r="H377" s="7" t="n">
        <v>0</v>
      </c>
      <c r="I377" s="7" t="n">
        <v>-0.9</v>
      </c>
      <c r="J377" s="8" t="n">
        <v>11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76204020030</t>
        </is>
      </c>
      <c r="D378" s="5" t="inlineStr">
        <is>
          <t>ALBUTEROL SULFATE (2.5 MG/3ML) 0.083% INHALATION NEBULIZATION SOLUTION</t>
        </is>
      </c>
      <c r="E378" s="6" t="inlineStr">
        <is>
          <t>90.0</t>
        </is>
      </c>
      <c r="F378" s="7" t="n">
        <v>450</v>
      </c>
      <c r="G378" s="7" t="n">
        <v>5</v>
      </c>
      <c r="H378" s="7" t="n">
        <v>0</v>
      </c>
      <c r="I378" s="7" t="n">
        <v>-5</v>
      </c>
      <c r="J378" s="8" t="n">
        <v>11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70069008101</t>
        </is>
      </c>
      <c r="D379" s="5" t="inlineStr">
        <is>
          <t>MOXIFLOXACIN HCL 0.5 % OPHTHALMIC SOLUTION</t>
        </is>
      </c>
      <c r="E379" s="6" t="inlineStr">
        <is>
          <t>3.0</t>
        </is>
      </c>
      <c r="F379" s="7" t="n">
        <v>6</v>
      </c>
      <c r="G379" s="7" t="n">
        <v>2</v>
      </c>
      <c r="H379" s="7" t="n">
        <v>0</v>
      </c>
      <c r="I379" s="7" t="n">
        <v>-2</v>
      </c>
      <c r="J379" s="8" t="n">
        <v>11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69315030810</t>
        </is>
      </c>
      <c r="D380" s="5" t="inlineStr">
        <is>
          <t>CIPROFLOXACIN HCL 0.3 % OPHTHALMIC SOLUTION</t>
        </is>
      </c>
      <c r="E380" s="6" t="inlineStr">
        <is>
          <t>10.0</t>
        </is>
      </c>
      <c r="F380" s="7" t="n">
        <v>10</v>
      </c>
      <c r="G380" s="7" t="n">
        <v>1</v>
      </c>
      <c r="H380" s="7" t="n">
        <v>5</v>
      </c>
      <c r="I380" s="7" t="n">
        <v>4</v>
      </c>
      <c r="J380" s="8" t="n">
        <v>10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16729000216</t>
        </is>
      </c>
      <c r="D381" s="5" t="inlineStr">
        <is>
          <t xml:space="preserve">GLIMEPIRIDE 2MG TAB </t>
        </is>
      </c>
      <c r="E381" s="6" t="inlineStr">
        <is>
          <t>500.0</t>
        </is>
      </c>
      <c r="F381" s="7" t="n">
        <v>90</v>
      </c>
      <c r="G381" s="7" t="n">
        <v>0.18</v>
      </c>
      <c r="H381" s="7" t="n">
        <v>0</v>
      </c>
      <c r="I381" s="7" t="n">
        <v>-0.18</v>
      </c>
      <c r="J381" s="8" t="n">
        <v>10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67877032105</t>
        </is>
      </c>
      <c r="D382" s="5" t="inlineStr">
        <is>
          <t xml:space="preserve">IBUPROFEN 800MG TAB </t>
        </is>
      </c>
      <c r="E382" s="6" t="inlineStr">
        <is>
          <t>500.0</t>
        </is>
      </c>
      <c r="F382" s="7" t="n">
        <v>481</v>
      </c>
      <c r="G382" s="7" t="n">
        <v>0.962</v>
      </c>
      <c r="H382" s="7" t="n">
        <v>0</v>
      </c>
      <c r="I382" s="7" t="n">
        <v>-0.962</v>
      </c>
      <c r="J382" s="8" t="n">
        <v>10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00378910293</t>
        </is>
      </c>
      <c r="D383" s="5" t="inlineStr">
        <is>
          <t>NITROGLYCERIN 0.1 MG/HR TRANSDERMAL PATCH 24 HOUR</t>
        </is>
      </c>
      <c r="E383" s="6" t="inlineStr">
        <is>
          <t>30.0</t>
        </is>
      </c>
      <c r="F383" s="7" t="n">
        <v>30</v>
      </c>
      <c r="G383" s="7" t="n">
        <v>1</v>
      </c>
      <c r="H383" s="7" t="n">
        <v>1</v>
      </c>
      <c r="I383" s="7" t="n">
        <v>0</v>
      </c>
      <c r="J383" s="8" t="n">
        <v>10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00116200116</t>
        </is>
      </c>
      <c r="D384" s="5" t="inlineStr">
        <is>
          <t xml:space="preserve">CHLORHEXIDINE 0.12% SOLUTION </t>
        </is>
      </c>
      <c r="E384" s="6" t="inlineStr">
        <is>
          <t>473.0</t>
        </is>
      </c>
      <c r="F384" s="7" t="n">
        <v>2838</v>
      </c>
      <c r="G384" s="7" t="n">
        <v>6</v>
      </c>
      <c r="H384" s="7" t="n">
        <v>9</v>
      </c>
      <c r="I384" s="7" t="n">
        <v>3</v>
      </c>
      <c r="J384" s="8" t="n">
        <v>10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51672131802</t>
        </is>
      </c>
      <c r="D385" s="5" t="inlineStr">
        <is>
          <t xml:space="preserve">CICLOPIROX 0.77% CREAM </t>
        </is>
      </c>
      <c r="E385" s="6" t="inlineStr">
        <is>
          <t>30.0</t>
        </is>
      </c>
      <c r="F385" s="7" t="n">
        <v>60</v>
      </c>
      <c r="G385" s="7" t="n">
        <v>2</v>
      </c>
      <c r="H385" s="7" t="n">
        <v>0</v>
      </c>
      <c r="I385" s="7" t="n">
        <v>-2</v>
      </c>
      <c r="J385" s="8" t="n">
        <v>10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68180087673</t>
        </is>
      </c>
      <c r="D386" s="5" t="inlineStr">
        <is>
          <t xml:space="preserve">NORETHINDRONE 0.35MG TABLET </t>
        </is>
      </c>
      <c r="E386" s="6" t="inlineStr">
        <is>
          <t>84.0</t>
        </is>
      </c>
      <c r="F386" s="7" t="n">
        <v>28</v>
      </c>
      <c r="G386" s="7" t="n">
        <v>0.3333333333333333</v>
      </c>
      <c r="H386" s="7" t="n">
        <v>0</v>
      </c>
      <c r="I386" s="7" t="n">
        <v>-0.3333333333333333</v>
      </c>
      <c r="J386" s="8" t="n">
        <v>10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59651078105</t>
        </is>
      </c>
      <c r="D387" s="5" t="inlineStr">
        <is>
          <t>GLIPIZIDE ER 5 MG ORAL TABLET EXTENDED RELEASE 24 HOUR</t>
        </is>
      </c>
      <c r="E387" s="6" t="inlineStr">
        <is>
          <t>500.0</t>
        </is>
      </c>
      <c r="F387" s="7" t="n">
        <v>180</v>
      </c>
      <c r="G387" s="7" t="n">
        <v>0.36</v>
      </c>
      <c r="H387" s="7" t="n">
        <v>0</v>
      </c>
      <c r="I387" s="7" t="n">
        <v>-0.36</v>
      </c>
      <c r="J387" s="8" t="n">
        <v>10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67877024910</t>
        </is>
      </c>
      <c r="D388" s="5" t="inlineStr">
        <is>
          <t>QUETIAPINE 50MG TABLET</t>
        </is>
      </c>
      <c r="E388" s="6" t="inlineStr">
        <is>
          <t>1000.0</t>
        </is>
      </c>
      <c r="F388" s="7" t="n">
        <v>180</v>
      </c>
      <c r="G388" s="7" t="n">
        <v>0.18</v>
      </c>
      <c r="H388" s="7" t="n">
        <v>0</v>
      </c>
      <c r="I388" s="7" t="n">
        <v>-0.18</v>
      </c>
      <c r="J388" s="8" t="n">
        <v>10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69292056201</t>
        </is>
      </c>
      <c r="D389" s="5" t="inlineStr">
        <is>
          <t>METOLAZONE 2.5 MG ORAL TABLET</t>
        </is>
      </c>
      <c r="E389" s="6" t="inlineStr">
        <is>
          <t>100.0</t>
        </is>
      </c>
      <c r="F389" s="7" t="n">
        <v>60</v>
      </c>
      <c r="G389" s="7" t="n">
        <v>0.6</v>
      </c>
      <c r="H389" s="7" t="n">
        <v>0</v>
      </c>
      <c r="I389" s="7" t="n">
        <v>-0.6</v>
      </c>
      <c r="J389" s="8" t="n">
        <v>10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00713068631</t>
        </is>
      </c>
      <c r="D390" s="5" t="inlineStr">
        <is>
          <t>NYSTATIN 100000UNIT/GM OINTMENT</t>
        </is>
      </c>
      <c r="E390" s="6" t="inlineStr">
        <is>
          <t>30.0</t>
        </is>
      </c>
      <c r="F390" s="7" t="n">
        <v>30</v>
      </c>
      <c r="G390" s="7" t="n">
        <v>1</v>
      </c>
      <c r="H390" s="7" t="n">
        <v>0</v>
      </c>
      <c r="I390" s="7" t="n">
        <v>-1</v>
      </c>
      <c r="J390" s="8" t="n">
        <v>10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00093319601</t>
        </is>
      </c>
      <c r="D391" s="5" t="inlineStr">
        <is>
          <t>CEFADROXIL 500 MG ORAL CAPSULE</t>
        </is>
      </c>
      <c r="E391" s="6" t="inlineStr">
        <is>
          <t>100.0</t>
        </is>
      </c>
      <c r="F391" s="7" t="n">
        <v>32</v>
      </c>
      <c r="G391" s="7" t="n">
        <v>0.32</v>
      </c>
      <c r="H391" s="7" t="n">
        <v>0</v>
      </c>
      <c r="I391" s="7" t="n">
        <v>-0.32</v>
      </c>
      <c r="J391" s="8" t="n">
        <v>9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00054350049</t>
        </is>
      </c>
      <c r="D392" s="5" t="inlineStr">
        <is>
          <t>LIDOCAINE VISCOUS 2 % ORAL SOLUTION</t>
        </is>
      </c>
      <c r="E392" s="6" t="inlineStr">
        <is>
          <t>100.0</t>
        </is>
      </c>
      <c r="F392" s="7" t="n">
        <v>200</v>
      </c>
      <c r="G392" s="7" t="n">
        <v>2</v>
      </c>
      <c r="H392" s="7" t="n">
        <v>4</v>
      </c>
      <c r="I392" s="7" t="n">
        <v>2</v>
      </c>
      <c r="J392" s="8" t="n">
        <v>9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10702005601</t>
        </is>
      </c>
      <c r="D393" s="5" t="inlineStr">
        <is>
          <t>OXYCODONE HCL 10 MG ORAL TABLET</t>
        </is>
      </c>
      <c r="E393" s="6" t="inlineStr">
        <is>
          <t>100.0</t>
        </is>
      </c>
      <c r="F393" s="7" t="n">
        <v>120</v>
      </c>
      <c r="G393" s="7" t="n">
        <v>1.2</v>
      </c>
      <c r="H393" s="7" t="n">
        <v>3</v>
      </c>
      <c r="I393" s="7" t="n">
        <v>1.8</v>
      </c>
      <c r="J393" s="8" t="n">
        <v>9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00116400516</t>
        </is>
      </c>
      <c r="D394" s="5" t="inlineStr">
        <is>
          <t>LACTULOSE 10 GM/15ML ORAL SOLUTION</t>
        </is>
      </c>
      <c r="E394" s="6" t="inlineStr">
        <is>
          <t>473.0</t>
        </is>
      </c>
      <c r="F394" s="7" t="n">
        <v>473</v>
      </c>
      <c r="G394" s="7" t="n">
        <v>1</v>
      </c>
      <c r="H394" s="7" t="n">
        <v>2</v>
      </c>
      <c r="I394" s="7" t="n">
        <v>1</v>
      </c>
      <c r="J394" s="8" t="n">
        <v>9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65862009520</t>
        </is>
      </c>
      <c r="D395" s="5" t="inlineStr">
        <is>
          <t xml:space="preserve">CEFPODOXIME 100MG TAB 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9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70377004812</t>
        </is>
      </c>
      <c r="D396" s="5" t="inlineStr">
        <is>
          <t>PRAVASTATIN 80MG TABLET</t>
        </is>
      </c>
      <c r="E396" s="6" t="inlineStr">
        <is>
          <t>90.0</t>
        </is>
      </c>
      <c r="F396" s="7" t="n">
        <v>30</v>
      </c>
      <c r="G396" s="7" t="n">
        <v>0.3333333333333333</v>
      </c>
      <c r="H396" s="7" t="n">
        <v>0</v>
      </c>
      <c r="I396" s="7" t="n">
        <v>-0.3333333333333333</v>
      </c>
      <c r="J396" s="8" t="n">
        <v>9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55111073005</t>
        </is>
      </c>
      <c r="D397" s="5" t="inlineStr">
        <is>
          <t>ALLOPURINOL 300 MG TABLET</t>
        </is>
      </c>
      <c r="E397" s="6" t="inlineStr">
        <is>
          <t>500.0</t>
        </is>
      </c>
      <c r="F397" s="7" t="n">
        <v>120</v>
      </c>
      <c r="G397" s="7" t="n">
        <v>0.24</v>
      </c>
      <c r="H397" s="7" t="n">
        <v>0</v>
      </c>
      <c r="I397" s="7" t="n">
        <v>-0.24</v>
      </c>
      <c r="J397" s="8" t="n">
        <v>9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00378013710</t>
        </is>
      </c>
      <c r="D398" s="5" t="inlineStr">
        <is>
          <t>ALLOPURINOL 100 MG TABLET</t>
        </is>
      </c>
      <c r="E398" s="6" t="inlineStr">
        <is>
          <t>1000.0</t>
        </is>
      </c>
      <c r="F398" s="7" t="n">
        <v>150</v>
      </c>
      <c r="G398" s="7" t="n">
        <v>0.15</v>
      </c>
      <c r="H398" s="7" t="n">
        <v>0</v>
      </c>
      <c r="I398" s="7" t="n">
        <v>-0.15</v>
      </c>
      <c r="J398" s="8" t="n">
        <v>9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55111016730</t>
        </is>
      </c>
      <c r="D399" s="5" t="inlineStr">
        <is>
          <t>OLANZAPINE 15MG TABLET</t>
        </is>
      </c>
      <c r="E399" s="6" t="inlineStr">
        <is>
          <t>30.0</t>
        </is>
      </c>
      <c r="F399" s="7" t="n">
        <v>90</v>
      </c>
      <c r="G399" s="7" t="n">
        <v>3</v>
      </c>
      <c r="H399" s="7" t="n">
        <v>3</v>
      </c>
      <c r="I399" s="7" t="n">
        <v>0</v>
      </c>
      <c r="J399" s="8" t="n">
        <v>9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67877043405</t>
        </is>
      </c>
      <c r="D400" s="5" t="inlineStr">
        <is>
          <t>ARIPIPRAZOLE 20 MG ORAL TABLET</t>
        </is>
      </c>
      <c r="E400" s="6" t="inlineStr">
        <is>
          <t>500.0</t>
        </is>
      </c>
      <c r="F400" s="7" t="n">
        <v>30</v>
      </c>
      <c r="G400" s="7" t="n">
        <v>0.06</v>
      </c>
      <c r="H400" s="7" t="n">
        <v>0</v>
      </c>
      <c r="I400" s="7" t="n">
        <v>-0.06</v>
      </c>
      <c r="J400" s="8" t="n">
        <v>9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00832011150</t>
        </is>
      </c>
      <c r="D401" s="5" t="inlineStr">
        <is>
          <t>AMANTADINE 100MG TABLET</t>
        </is>
      </c>
      <c r="E401" s="6" t="inlineStr">
        <is>
          <t>500.0</t>
        </is>
      </c>
      <c r="F401" s="7" t="n">
        <v>30</v>
      </c>
      <c r="G401" s="7" t="n">
        <v>0.06</v>
      </c>
      <c r="H401" s="7" t="n">
        <v>0</v>
      </c>
      <c r="I401" s="7" t="n">
        <v>-0.06</v>
      </c>
      <c r="J401" s="8" t="n">
        <v>9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00904731427</t>
        </is>
      </c>
      <c r="D402" s="5" t="inlineStr">
        <is>
          <t>ACETAMINOPHEN ER 650MG TABLET ER</t>
        </is>
      </c>
      <c r="E402" s="6" t="inlineStr">
        <is>
          <t>400.0</t>
        </is>
      </c>
      <c r="F402" s="7" t="n">
        <v>180</v>
      </c>
      <c r="G402" s="7" t="n">
        <v>0.45</v>
      </c>
      <c r="H402" s="7" t="n">
        <v>4</v>
      </c>
      <c r="I402" s="7" t="n">
        <v>3.55</v>
      </c>
      <c r="J402" s="8" t="n">
        <v>9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51672126403</t>
        </is>
      </c>
      <c r="D403" s="5" t="inlineStr">
        <is>
          <t>FLUOCINONIDE 0.05 % EXTERNAL OINTMENT</t>
        </is>
      </c>
      <c r="E403" s="6" t="inlineStr">
        <is>
          <t>60.0</t>
        </is>
      </c>
      <c r="F403" s="7" t="n">
        <v>60</v>
      </c>
      <c r="G403" s="7" t="n">
        <v>1</v>
      </c>
      <c r="H403" s="7" t="n">
        <v>0</v>
      </c>
      <c r="I403" s="7" t="n">
        <v>-1</v>
      </c>
      <c r="J403" s="8" t="n">
        <v>9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00378797052</t>
        </is>
      </c>
      <c r="D404" s="5" t="inlineStr">
        <is>
          <t>IPRATROPIUM BROMIDE 0.02 % INHALATION SOLUTION</t>
        </is>
      </c>
      <c r="E404" s="6" t="inlineStr">
        <is>
          <t>62.5</t>
        </is>
      </c>
      <c r="F404" s="7" t="n">
        <v>125</v>
      </c>
      <c r="G404" s="7" t="n">
        <v>2</v>
      </c>
      <c r="H404" s="7" t="n">
        <v>3</v>
      </c>
      <c r="I404" s="7" t="n">
        <v>1</v>
      </c>
      <c r="J404" s="8" t="n">
        <v>9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23155073601</t>
        </is>
      </c>
      <c r="D405" s="5" t="inlineStr">
        <is>
          <t>TERAZOSIN 2MG CAPSULE</t>
        </is>
      </c>
      <c r="E405" s="6" t="inlineStr">
        <is>
          <t>100.0</t>
        </is>
      </c>
      <c r="F405" s="7" t="n">
        <v>120</v>
      </c>
      <c r="G405" s="7" t="n">
        <v>1.2</v>
      </c>
      <c r="H405" s="7" t="n">
        <v>0</v>
      </c>
      <c r="I405" s="7" t="n">
        <v>-1.2</v>
      </c>
      <c r="J405" s="8" t="n">
        <v>9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00168008031</t>
        </is>
      </c>
      <c r="D406" s="5" t="inlineStr">
        <is>
          <t>HYDROCORTISONE 2.5% CREAM</t>
        </is>
      </c>
      <c r="E406" s="6" t="inlineStr">
        <is>
          <t>30.0</t>
        </is>
      </c>
      <c r="F406" s="7" t="n">
        <v>90</v>
      </c>
      <c r="G406" s="7" t="n">
        <v>3</v>
      </c>
      <c r="H406" s="7" t="n">
        <v>10</v>
      </c>
      <c r="I406" s="7" t="n">
        <v>7</v>
      </c>
      <c r="J406" s="8" t="n">
        <v>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00378050101</t>
        </is>
      </c>
      <c r="D407" s="5" t="inlineStr">
        <is>
          <t>BISOPROLOL-HYDROCHLOROTHIAZIDE 2.5-6.25 MG ORAL TABLET</t>
        </is>
      </c>
      <c r="E407" s="6" t="inlineStr">
        <is>
          <t>100.0</t>
        </is>
      </c>
      <c r="F407" s="7" t="n">
        <v>90</v>
      </c>
      <c r="G407" s="7" t="n">
        <v>0.9</v>
      </c>
      <c r="H407" s="7" t="n">
        <v>0</v>
      </c>
      <c r="I407" s="7" t="n">
        <v>-0.9</v>
      </c>
      <c r="J407" s="8" t="n">
        <v>8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65862001305</t>
        </is>
      </c>
      <c r="D408" s="5" t="inlineStr">
        <is>
          <t>SERTRALINE 100MG TABLET</t>
        </is>
      </c>
      <c r="E408" s="6" t="inlineStr">
        <is>
          <t>500.0</t>
        </is>
      </c>
      <c r="F408" s="7" t="n">
        <v>270</v>
      </c>
      <c r="G408" s="7" t="n">
        <v>0.54</v>
      </c>
      <c r="H408" s="7" t="n">
        <v>2</v>
      </c>
      <c r="I408" s="7" t="n">
        <v>1.46</v>
      </c>
      <c r="J408" s="8" t="n">
        <v>8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59746000103</t>
        </is>
      </c>
      <c r="D409" s="5" t="inlineStr">
        <is>
          <t xml:space="preserve">METHYLPREDNISOLONE 4MG (MEDROL) </t>
        </is>
      </c>
      <c r="E409" s="6" t="inlineStr">
        <is>
          <t>21.0</t>
        </is>
      </c>
      <c r="F409" s="7" t="n">
        <v>84</v>
      </c>
      <c r="G409" s="7" t="n">
        <v>4</v>
      </c>
      <c r="H409" s="7" t="n">
        <v>0</v>
      </c>
      <c r="I409" s="7" t="n">
        <v>-4</v>
      </c>
      <c r="J409" s="8" t="n">
        <v>8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00378705852</t>
        </is>
      </c>
      <c r="D410" s="5" t="inlineStr">
        <is>
          <t>ALBUTEROL SULFATE 1.25 MG/3ML INHALATION NEBULIZATION SOLUTION</t>
        </is>
      </c>
      <c r="E410" s="6" t="inlineStr">
        <is>
          <t>75.0</t>
        </is>
      </c>
      <c r="F410" s="7" t="n">
        <v>75</v>
      </c>
      <c r="G410" s="7" t="n">
        <v>1</v>
      </c>
      <c r="H410" s="7" t="n">
        <v>0</v>
      </c>
      <c r="I410" s="7" t="n">
        <v>-1</v>
      </c>
      <c r="J410" s="8" t="n">
        <v>8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00093227434</t>
        </is>
      </c>
      <c r="D411" s="5" t="inlineStr">
        <is>
          <t>AMOXICILLIN-CLAVULANATE 500-125MG TABLET</t>
        </is>
      </c>
      <c r="E411" s="6" t="inlineStr">
        <is>
          <t>20.0</t>
        </is>
      </c>
      <c r="F411" s="7" t="n">
        <v>44</v>
      </c>
      <c r="G411" s="7" t="n">
        <v>2.2</v>
      </c>
      <c r="H411" s="7" t="n">
        <v>0</v>
      </c>
      <c r="I411" s="7" t="n">
        <v>-2.2</v>
      </c>
      <c r="J411" s="8" t="n">
        <v>8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68180029603</t>
        </is>
      </c>
      <c r="D412" s="5" t="inlineStr">
        <is>
          <t>DULOXETINE 60MG CAPSULE DR</t>
        </is>
      </c>
      <c r="E412" s="6" t="inlineStr">
        <is>
          <t>1000.0</t>
        </is>
      </c>
      <c r="F412" s="7" t="n">
        <v>60</v>
      </c>
      <c r="G412" s="7" t="n">
        <v>0.06</v>
      </c>
      <c r="H412" s="7" t="n">
        <v>0</v>
      </c>
      <c r="I412" s="7" t="n">
        <v>-0.06</v>
      </c>
      <c r="J412" s="8" t="n">
        <v>8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62559051001</t>
        </is>
      </c>
      <c r="D413" s="5" t="inlineStr">
        <is>
          <t>INDAPAMIDE 1.25MG TABLET</t>
        </is>
      </c>
      <c r="E413" s="6" t="inlineStr">
        <is>
          <t>100.0</t>
        </is>
      </c>
      <c r="F413" s="7" t="n">
        <v>90</v>
      </c>
      <c r="G413" s="7" t="n">
        <v>0.9</v>
      </c>
      <c r="H413" s="7" t="n">
        <v>0</v>
      </c>
      <c r="I413" s="7" t="n">
        <v>-0.9</v>
      </c>
      <c r="J413" s="8" t="n">
        <v>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64980032005</t>
        </is>
      </c>
      <c r="D414" s="5" t="inlineStr">
        <is>
          <t>TRIAMCINOLONE ACETONIDE 0.1 % MOUTH/THROAT PASTE</t>
        </is>
      </c>
      <c r="E414" s="6" t="inlineStr">
        <is>
          <t>5.0</t>
        </is>
      </c>
      <c r="F414" s="7" t="n">
        <v>5</v>
      </c>
      <c r="G414" s="7" t="n">
        <v>1</v>
      </c>
      <c r="H414" s="7" t="n">
        <v>2</v>
      </c>
      <c r="I414" s="7" t="n">
        <v>1</v>
      </c>
      <c r="J414" s="8" t="n">
        <v>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68180052002</t>
        </is>
      </c>
      <c r="D415" s="5" t="inlineStr">
        <is>
          <t xml:space="preserve">LISINOPRIL-HCTZ 20-25MG TAB </t>
        </is>
      </c>
      <c r="E415" s="6" t="inlineStr">
        <is>
          <t>500.0</t>
        </is>
      </c>
      <c r="F415" s="7" t="n">
        <v>330</v>
      </c>
      <c r="G415" s="7" t="n">
        <v>0.66</v>
      </c>
      <c r="H415" s="7" t="n">
        <v>0</v>
      </c>
      <c r="I415" s="7" t="n">
        <v>-0.66</v>
      </c>
      <c r="J415" s="8" t="n">
        <v>7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45802006336</t>
        </is>
      </c>
      <c r="D416" s="5" t="inlineStr">
        <is>
          <t xml:space="preserve">TRIAMCINOLONE ACETONIDE 0.025 % EXTERNAL CREAM </t>
        </is>
      </c>
      <c r="E416" s="6" t="inlineStr">
        <is>
          <t>80.0</t>
        </is>
      </c>
      <c r="F416" s="7" t="n">
        <v>160</v>
      </c>
      <c r="G416" s="7" t="n">
        <v>2</v>
      </c>
      <c r="H416" s="7" t="n">
        <v>6</v>
      </c>
      <c r="I416" s="7" t="n">
        <v>4</v>
      </c>
      <c r="J416" s="8" t="n">
        <v>7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62332008531</t>
        </is>
      </c>
      <c r="D417" s="5" t="inlineStr">
        <is>
          <t>FENOFIBRATE MICRONIZED 134MG CAPSULE</t>
        </is>
      </c>
      <c r="E417" s="6" t="inlineStr">
        <is>
          <t>100.0</t>
        </is>
      </c>
      <c r="F417" s="7" t="n">
        <v>90</v>
      </c>
      <c r="G417" s="7" t="n">
        <v>0.9</v>
      </c>
      <c r="H417" s="7" t="n">
        <v>0</v>
      </c>
      <c r="I417" s="7" t="n">
        <v>-0.9</v>
      </c>
      <c r="J417" s="8" t="n">
        <v>7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21922006215</t>
        </is>
      </c>
      <c r="D418" s="5" t="inlineStr">
        <is>
          <t>TRIAMCINOLONE ACETONIDE 0.1 % EXTERNAL CREAM</t>
        </is>
      </c>
      <c r="E418" s="6" t="inlineStr">
        <is>
          <t>80.0</t>
        </is>
      </c>
      <c r="F418" s="7" t="n">
        <v>160</v>
      </c>
      <c r="G418" s="7" t="n">
        <v>2</v>
      </c>
      <c r="H418" s="7" t="n">
        <v>0</v>
      </c>
      <c r="I418" s="7" t="n">
        <v>-2</v>
      </c>
      <c r="J418" s="8" t="n">
        <v>7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62756035664</t>
        </is>
      </c>
      <c r="D419" s="5" t="inlineStr">
        <is>
          <t xml:space="preserve">ONDANSETRON ODT 8MG TAB </t>
        </is>
      </c>
      <c r="E419" s="6" t="inlineStr">
        <is>
          <t>30.0</t>
        </is>
      </c>
      <c r="F419" s="7" t="n">
        <v>60</v>
      </c>
      <c r="G419" s="7" t="n">
        <v>2</v>
      </c>
      <c r="H419" s="7" t="n">
        <v>0</v>
      </c>
      <c r="I419" s="7" t="n">
        <v>-2</v>
      </c>
      <c r="J419" s="8" t="n">
        <v>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67877015905</t>
        </is>
      </c>
      <c r="D420" s="5" t="inlineStr">
        <is>
          <t xml:space="preserve">METFORMIN ER 500MG TABLET </t>
        </is>
      </c>
      <c r="E420" s="6" t="inlineStr">
        <is>
          <t>500.0</t>
        </is>
      </c>
      <c r="F420" s="7" t="n">
        <v>360</v>
      </c>
      <c r="G420" s="7" t="n">
        <v>0.72</v>
      </c>
      <c r="H420" s="7" t="n">
        <v>3</v>
      </c>
      <c r="I420" s="7" t="n">
        <v>2.28</v>
      </c>
      <c r="J420" s="8" t="n">
        <v>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00781207401</t>
        </is>
      </c>
      <c r="D421" s="5" t="inlineStr">
        <is>
          <t xml:space="preserve">TRIAMTERENE-HCTZ 37.5-25MG CAP </t>
        </is>
      </c>
      <c r="E421" s="6" t="inlineStr">
        <is>
          <t>100.0</t>
        </is>
      </c>
      <c r="F421" s="7" t="n">
        <v>90</v>
      </c>
      <c r="G421" s="7" t="n">
        <v>0.9</v>
      </c>
      <c r="H421" s="7" t="n">
        <v>0</v>
      </c>
      <c r="I421" s="7" t="n">
        <v>-0.9</v>
      </c>
      <c r="J421" s="8" t="n">
        <v>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33342029815</t>
        </is>
      </c>
      <c r="D422" s="5" t="inlineStr">
        <is>
          <t>MEMANTINE 10MG TABLET</t>
        </is>
      </c>
      <c r="E422" s="6" t="inlineStr">
        <is>
          <t>500.0</t>
        </is>
      </c>
      <c r="F422" s="7" t="n">
        <v>90</v>
      </c>
      <c r="G422" s="7" t="n">
        <v>0.18</v>
      </c>
      <c r="H422" s="7" t="n">
        <v>0</v>
      </c>
      <c r="I422" s="7" t="n">
        <v>-0.18</v>
      </c>
      <c r="J422" s="8" t="n">
        <v>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70512052005</t>
        </is>
      </c>
      <c r="D423" s="5" t="inlineStr">
        <is>
          <t>OLOPATADINE HCL 0.1 % OPHTHALMIC SOLUTION</t>
        </is>
      </c>
      <c r="E423" s="6" t="inlineStr">
        <is>
          <t>5.0</t>
        </is>
      </c>
      <c r="F423" s="7" t="n">
        <v>5</v>
      </c>
      <c r="G423" s="7" t="n">
        <v>1</v>
      </c>
      <c r="H423" s="7" t="n">
        <v>0</v>
      </c>
      <c r="I423" s="7" t="n">
        <v>-1</v>
      </c>
      <c r="J423" s="8" t="n">
        <v>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57237000511</t>
        </is>
      </c>
      <c r="D424" s="5" t="inlineStr">
        <is>
          <t xml:space="preserve">FLUCONAZOLE 150MG TAB </t>
        </is>
      </c>
      <c r="E424" s="6" t="inlineStr">
        <is>
          <t>12.0</t>
        </is>
      </c>
      <c r="F424" s="7" t="n">
        <v>12</v>
      </c>
      <c r="G424" s="7" t="n">
        <v>1</v>
      </c>
      <c r="H424" s="7" t="n">
        <v>2</v>
      </c>
      <c r="I424" s="7" t="n">
        <v>1</v>
      </c>
      <c r="J424" s="8" t="n">
        <v>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70752013812</t>
        </is>
      </c>
      <c r="D425" s="5" t="inlineStr">
        <is>
          <t>PROMETHAZINE HCL 6.25 MG/5ML ORAL SOLUTION</t>
        </is>
      </c>
      <c r="E425" s="6" t="inlineStr">
        <is>
          <t>473.0</t>
        </is>
      </c>
      <c r="F425" s="7" t="n">
        <v>340</v>
      </c>
      <c r="G425" s="7" t="n">
        <v>0.718816067653277</v>
      </c>
      <c r="H425" s="7" t="n">
        <v>0</v>
      </c>
      <c r="I425" s="7" t="n">
        <v>-0.718816067653277</v>
      </c>
      <c r="J425" s="8" t="n">
        <v>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59651015201</t>
        </is>
      </c>
      <c r="D426" s="5" t="inlineStr">
        <is>
          <t>PROGESTERONE 100 MG CAPSULE</t>
        </is>
      </c>
      <c r="E426" s="6" t="inlineStr">
        <is>
          <t>100.0</t>
        </is>
      </c>
      <c r="F426" s="7" t="n">
        <v>30</v>
      </c>
      <c r="G426" s="7" t="n">
        <v>0.3</v>
      </c>
      <c r="H426" s="7" t="n">
        <v>0</v>
      </c>
      <c r="I426" s="7" t="n">
        <v>-0.3</v>
      </c>
      <c r="J426" s="8" t="n">
        <v>7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57237004390</t>
        </is>
      </c>
      <c r="D427" s="5" t="inlineStr">
        <is>
          <t>VALACYCLOVIR 1GM TABLET</t>
        </is>
      </c>
      <c r="E427" s="6" t="inlineStr">
        <is>
          <t>90.0</t>
        </is>
      </c>
      <c r="F427" s="7" t="n">
        <v>40</v>
      </c>
      <c r="G427" s="7" t="n">
        <v>0.4444444444444444</v>
      </c>
      <c r="H427" s="7" t="n">
        <v>0</v>
      </c>
      <c r="I427" s="7" t="n">
        <v>-0.4444444444444444</v>
      </c>
      <c r="J427" s="8" t="n">
        <v>7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64980028001</t>
        </is>
      </c>
      <c r="D428" s="5" t="inlineStr">
        <is>
          <t>GLIPIZIDE ER 5 MG TABLET</t>
        </is>
      </c>
      <c r="E428" s="6" t="inlineStr">
        <is>
          <t>100.0</t>
        </is>
      </c>
      <c r="F428" s="7" t="n">
        <v>120</v>
      </c>
      <c r="G428" s="7" t="n">
        <v>1.2</v>
      </c>
      <c r="H428" s="7" t="n">
        <v>0</v>
      </c>
      <c r="I428" s="7" t="n">
        <v>-1.2</v>
      </c>
      <c r="J428" s="8" t="n">
        <v>7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68462043790</t>
        </is>
      </c>
      <c r="D429" s="5" t="inlineStr">
        <is>
          <t>OLMESARTAN 20MG TABLET</t>
        </is>
      </c>
      <c r="E429" s="6" t="inlineStr">
        <is>
          <t>90.0</t>
        </is>
      </c>
      <c r="F429" s="7" t="n">
        <v>90</v>
      </c>
      <c r="G429" s="7" t="n">
        <v>1</v>
      </c>
      <c r="H429" s="7" t="n">
        <v>0</v>
      </c>
      <c r="I429" s="7" t="n">
        <v>-1</v>
      </c>
      <c r="J429" s="8" t="n">
        <v>7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69097082312</t>
        </is>
      </c>
      <c r="D430" s="5" t="inlineStr">
        <is>
          <t>CITALOPRAM 20MG TABLET</t>
        </is>
      </c>
      <c r="E430" s="6" t="inlineStr">
        <is>
          <t>500.0</t>
        </is>
      </c>
      <c r="F430" s="7" t="n">
        <v>30</v>
      </c>
      <c r="G430" s="7" t="n">
        <v>0.06</v>
      </c>
      <c r="H430" s="7" t="n">
        <v>0</v>
      </c>
      <c r="I430" s="7" t="n">
        <v>-0.06</v>
      </c>
      <c r="J430" s="8" t="n">
        <v>7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59746012110</t>
        </is>
      </c>
      <c r="D431" s="5" t="inlineStr">
        <is>
          <t>MECLIZINE HCL 25MG TABLET</t>
        </is>
      </c>
      <c r="E431" s="6" t="inlineStr">
        <is>
          <t>1000.0</t>
        </is>
      </c>
      <c r="F431" s="7" t="n">
        <v>150</v>
      </c>
      <c r="G431" s="7" t="n">
        <v>0.15</v>
      </c>
      <c r="H431" s="7" t="n">
        <v>0</v>
      </c>
      <c r="I431" s="7" t="n">
        <v>-0.15</v>
      </c>
      <c r="J431" s="8" t="n">
        <v>6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68462074635</t>
        </is>
      </c>
      <c r="D432" s="5" t="inlineStr">
        <is>
          <t>ACYCLOVIR 5 % EXTERNAL OINTMENT</t>
        </is>
      </c>
      <c r="E432" s="6" t="inlineStr">
        <is>
          <t>30.0</t>
        </is>
      </c>
      <c r="F432" s="7" t="n">
        <v>30</v>
      </c>
      <c r="G432" s="7" t="n">
        <v>1</v>
      </c>
      <c r="H432" s="7" t="n">
        <v>2</v>
      </c>
      <c r="I432" s="7" t="n">
        <v>1</v>
      </c>
      <c r="J432" s="8" t="n">
        <v>6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00536110301</t>
        </is>
      </c>
      <c r="D433" s="5" t="inlineStr">
        <is>
          <t>ALCOHOL PREP 70 % PAD CVS</t>
        </is>
      </c>
      <c r="E433" s="6" t="inlineStr">
        <is>
          <t>100.0</t>
        </is>
      </c>
      <c r="F433" s="7" t="n">
        <v>300</v>
      </c>
      <c r="G433" s="7" t="n">
        <v>3</v>
      </c>
      <c r="H433" s="7" t="n">
        <v>0</v>
      </c>
      <c r="I433" s="7" t="n">
        <v>-3</v>
      </c>
      <c r="J433" s="8" t="n">
        <v>6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68180051902</t>
        </is>
      </c>
      <c r="D434" s="5" t="inlineStr">
        <is>
          <t xml:space="preserve">LISINOPRIL-HCTZ 20-12.5MG TAB </t>
        </is>
      </c>
      <c r="E434" s="6" t="inlineStr">
        <is>
          <t>500.0</t>
        </is>
      </c>
      <c r="F434" s="7" t="n">
        <v>300</v>
      </c>
      <c r="G434" s="7" t="n">
        <v>0.6</v>
      </c>
      <c r="H434" s="7" t="n">
        <v>0</v>
      </c>
      <c r="I434" s="7" t="n">
        <v>-0.6</v>
      </c>
      <c r="J434" s="8" t="n">
        <v>6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60505252101</t>
        </is>
      </c>
      <c r="D435" s="5" t="inlineStr">
        <is>
          <t>CILOSTAZOL 50MG TABLET</t>
        </is>
      </c>
      <c r="E435" s="6" t="inlineStr">
        <is>
          <t>60.0</t>
        </is>
      </c>
      <c r="F435" s="7" t="n">
        <v>120</v>
      </c>
      <c r="G435" s="7" t="n">
        <v>2</v>
      </c>
      <c r="H435" s="7" t="n">
        <v>3</v>
      </c>
      <c r="I435" s="7" t="n">
        <v>1</v>
      </c>
      <c r="J435" s="8" t="n">
        <v>6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64980034001</t>
        </is>
      </c>
      <c r="D436" s="5" t="inlineStr">
        <is>
          <t>ALENDRONATE SODIUM 10 MG ORAL TABLET</t>
        </is>
      </c>
      <c r="E436" s="6" t="inlineStr">
        <is>
          <t>100.0</t>
        </is>
      </c>
      <c r="F436" s="7" t="n">
        <v>90</v>
      </c>
      <c r="G436" s="7" t="n">
        <v>0.9</v>
      </c>
      <c r="H436" s="7" t="n">
        <v>1</v>
      </c>
      <c r="I436" s="7" t="n">
        <v>0.09999999999999998</v>
      </c>
      <c r="J436" s="8" t="n">
        <v>6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00168001531</t>
        </is>
      </c>
      <c r="D437" s="5" t="inlineStr">
        <is>
          <t>HYDROCORTISONE 1% CREAM</t>
        </is>
      </c>
      <c r="E437" s="6" t="inlineStr">
        <is>
          <t>28.35</t>
        </is>
      </c>
      <c r="F437" s="7" t="n">
        <v>56.7</v>
      </c>
      <c r="G437" s="7" t="n">
        <v>2</v>
      </c>
      <c r="H437" s="7" t="n">
        <v>6</v>
      </c>
      <c r="I437" s="7" t="n">
        <v>4</v>
      </c>
      <c r="J437" s="8" t="n">
        <v>6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68462029201</t>
        </is>
      </c>
      <c r="D438" s="5" t="inlineStr">
        <is>
          <t>VERAPAMIL ER 120MG TABLET</t>
        </is>
      </c>
      <c r="E438" s="6" t="inlineStr">
        <is>
          <t>100.0</t>
        </is>
      </c>
      <c r="F438" s="7" t="n">
        <v>30</v>
      </c>
      <c r="G438" s="7" t="n">
        <v>0.3</v>
      </c>
      <c r="H438" s="7" t="n">
        <v>3</v>
      </c>
      <c r="I438" s="7" t="n">
        <v>2.7</v>
      </c>
      <c r="J438" s="8" t="n">
        <v>6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69315011610</t>
        </is>
      </c>
      <c r="D439" s="5" t="inlineStr">
        <is>
          <t xml:space="preserve">FUROSEMIDE 20MG TAB </t>
        </is>
      </c>
      <c r="E439" s="6" t="inlineStr">
        <is>
          <t>1000.0</t>
        </is>
      </c>
      <c r="F439" s="7" t="n">
        <v>275</v>
      </c>
      <c r="G439" s="7" t="n">
        <v>0.275</v>
      </c>
      <c r="H439" s="7" t="n">
        <v>0</v>
      </c>
      <c r="I439" s="7" t="n">
        <v>-0.275</v>
      </c>
      <c r="J439" s="8" t="n">
        <v>6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69367039505</t>
        </is>
      </c>
      <c r="D440" s="5" t="inlineStr">
        <is>
          <t>IBUPROFEN 600 MG TABLET</t>
        </is>
      </c>
      <c r="E440" s="6" t="inlineStr">
        <is>
          <t>500.0</t>
        </is>
      </c>
      <c r="F440" s="7" t="n">
        <v>448</v>
      </c>
      <c r="G440" s="7" t="n">
        <v>0.896</v>
      </c>
      <c r="H440" s="7" t="n">
        <v>2</v>
      </c>
      <c r="I440" s="7" t="n">
        <v>1.104</v>
      </c>
      <c r="J440" s="8" t="n">
        <v>6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45802000910</t>
        </is>
      </c>
      <c r="D441" s="5" t="inlineStr">
        <is>
          <t>FLUOCINOLONE ACETONIDE 0.01 % OTIC OIL</t>
        </is>
      </c>
      <c r="E441" s="6" t="inlineStr">
        <is>
          <t>20.0</t>
        </is>
      </c>
      <c r="F441" s="7" t="n">
        <v>20</v>
      </c>
      <c r="G441" s="7" t="n">
        <v>1</v>
      </c>
      <c r="H441" s="7" t="n">
        <v>0</v>
      </c>
      <c r="I441" s="7" t="n">
        <v>-1</v>
      </c>
      <c r="J441" s="8" t="n">
        <v>6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42571016201</t>
        </is>
      </c>
      <c r="D442" s="5" t="inlineStr">
        <is>
          <t>AMOXICILLIN-CLAVULANATE 875-125MG TABLET</t>
        </is>
      </c>
      <c r="E442" s="6" t="inlineStr">
        <is>
          <t>100.0</t>
        </is>
      </c>
      <c r="F442" s="7" t="n">
        <v>24</v>
      </c>
      <c r="G442" s="7" t="n">
        <v>0.24</v>
      </c>
      <c r="H442" s="7" t="n">
        <v>2</v>
      </c>
      <c r="I442" s="7" t="n">
        <v>1.76</v>
      </c>
      <c r="J442" s="8" t="n">
        <v>6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43547027511</t>
        </is>
      </c>
      <c r="D443" s="5" t="inlineStr">
        <is>
          <t xml:space="preserve">DONEPEZIL 5MG TAB </t>
        </is>
      </c>
      <c r="E443" s="6" t="inlineStr">
        <is>
          <t>1000.0</t>
        </is>
      </c>
      <c r="F443" s="7" t="n">
        <v>300</v>
      </c>
      <c r="G443" s="7" t="n">
        <v>0.3</v>
      </c>
      <c r="H443" s="7" t="n">
        <v>0</v>
      </c>
      <c r="I443" s="7" t="n">
        <v>-0.3</v>
      </c>
      <c r="J443" s="8" t="n">
        <v>6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47781026405</t>
        </is>
      </c>
      <c r="D444" s="5" t="inlineStr">
        <is>
          <t xml:space="preserve">OXYCODONE 15 MG TABLET </t>
        </is>
      </c>
      <c r="E444" s="6" t="inlineStr">
        <is>
          <t>500.0</t>
        </is>
      </c>
      <c r="F444" s="7" t="n">
        <v>90</v>
      </c>
      <c r="G444" s="7" t="n">
        <v>0.18</v>
      </c>
      <c r="H444" s="7" t="n">
        <v>2</v>
      </c>
      <c r="I444" s="7" t="n">
        <v>1.82</v>
      </c>
      <c r="J444" s="8" t="n">
        <v>6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70377000613</t>
        </is>
      </c>
      <c r="D445" s="5" t="inlineStr">
        <is>
          <t>ROSUVASTATIN 5MG TABLET</t>
        </is>
      </c>
      <c r="E445" s="6" t="inlineStr">
        <is>
          <t>500.0</t>
        </is>
      </c>
      <c r="F445" s="7" t="n">
        <v>120</v>
      </c>
      <c r="G445" s="7" t="n">
        <v>0.24</v>
      </c>
      <c r="H445" s="7" t="n">
        <v>0</v>
      </c>
      <c r="I445" s="7" t="n">
        <v>-0.24</v>
      </c>
      <c r="J445" s="8" t="n">
        <v>6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210</v>
      </c>
      <c r="G446" s="7" t="n">
        <v>0.42</v>
      </c>
      <c r="H446" s="7" t="n">
        <v>1</v>
      </c>
      <c r="I446" s="7" t="n">
        <v>0.5800000000000001</v>
      </c>
      <c r="J446" s="8" t="n">
        <v>6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16729000301</t>
        </is>
      </c>
      <c r="D447" s="5" t="inlineStr">
        <is>
          <t xml:space="preserve">GLIMEPIRIDE 4MG TAB </t>
        </is>
      </c>
      <c r="E447" s="6" t="inlineStr">
        <is>
          <t>100.0</t>
        </is>
      </c>
      <c r="F447" s="7" t="n">
        <v>90</v>
      </c>
      <c r="G447" s="7" t="n">
        <v>0.9</v>
      </c>
      <c r="H447" s="7" t="n">
        <v>0</v>
      </c>
      <c r="I447" s="7" t="n">
        <v>-0.9</v>
      </c>
      <c r="J447" s="8" t="n">
        <v>6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68180096903</t>
        </is>
      </c>
      <c r="D448" s="5" t="inlineStr">
        <is>
          <t>LEVOTHYROXINE 100MCG TABLET</t>
        </is>
      </c>
      <c r="E448" s="6" t="inlineStr">
        <is>
          <t>1000.0</t>
        </is>
      </c>
      <c r="F448" s="7" t="n">
        <v>30</v>
      </c>
      <c r="G448" s="7" t="n">
        <v>0.03</v>
      </c>
      <c r="H448" s="7" t="n">
        <v>0</v>
      </c>
      <c r="I448" s="7" t="n">
        <v>-0.03</v>
      </c>
      <c r="J448" s="8" t="n">
        <v>6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13668009690</t>
        </is>
      </c>
      <c r="D449" s="5" t="inlineStr">
        <is>
          <t xml:space="preserve">PANTOPRAZOLE 20MG TAB </t>
        </is>
      </c>
      <c r="E449" s="6" t="inlineStr">
        <is>
          <t>90.0</t>
        </is>
      </c>
      <c r="F449" s="7" t="n">
        <v>90</v>
      </c>
      <c r="G449" s="7" t="n">
        <v>1</v>
      </c>
      <c r="H449" s="7" t="n">
        <v>0</v>
      </c>
      <c r="I449" s="7" t="n">
        <v>-1</v>
      </c>
      <c r="J449" s="8" t="n">
        <v>6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59651054005</t>
        </is>
      </c>
      <c r="D450" s="5" t="inlineStr">
        <is>
          <t>ISOSORBIDE MONONITRATE ER 60 MG ORAL TABLET EXTENDED RELEASE 24 HOUR</t>
        </is>
      </c>
      <c r="E450" s="6" t="inlineStr">
        <is>
          <t>500.0</t>
        </is>
      </c>
      <c r="F450" s="7" t="n">
        <v>90</v>
      </c>
      <c r="G450" s="7" t="n">
        <v>0.18</v>
      </c>
      <c r="H450" s="7" t="n">
        <v>0</v>
      </c>
      <c r="I450" s="7" t="n">
        <v>-0.18</v>
      </c>
      <c r="J450" s="8" t="n">
        <v>6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43598016630</t>
        </is>
      </c>
      <c r="D451" s="5" t="inlineStr">
        <is>
          <t>OLANZAPINE 10MG TABLET</t>
        </is>
      </c>
      <c r="E451" s="6" t="inlineStr">
        <is>
          <t>30.0</t>
        </is>
      </c>
      <c r="F451" s="7" t="n">
        <v>120</v>
      </c>
      <c r="G451" s="7" t="n">
        <v>4</v>
      </c>
      <c r="H451" s="7" t="n">
        <v>0</v>
      </c>
      <c r="I451" s="7" t="n">
        <v>-4</v>
      </c>
      <c r="J451" s="8" t="n">
        <v>6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68382013905</t>
        </is>
      </c>
      <c r="D452" s="5" t="inlineStr">
        <is>
          <t xml:space="preserve">TOPIRAMATE 50MG TAB </t>
        </is>
      </c>
      <c r="E452" s="6" t="inlineStr">
        <is>
          <t>500.0</t>
        </is>
      </c>
      <c r="F452" s="7" t="n">
        <v>210</v>
      </c>
      <c r="G452" s="7" t="n">
        <v>0.42</v>
      </c>
      <c r="H452" s="7" t="n">
        <v>1</v>
      </c>
      <c r="I452" s="7" t="n">
        <v>0.5800000000000001</v>
      </c>
      <c r="J452" s="8" t="n">
        <v>6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33342015052</t>
        </is>
      </c>
      <c r="D453" s="5" t="inlineStr">
        <is>
          <t>IBANDRONATE SODIUM 150 MG ORAL TABLET</t>
        </is>
      </c>
      <c r="E453" s="6" t="inlineStr">
        <is>
          <t>3.0</t>
        </is>
      </c>
      <c r="F453" s="7" t="n">
        <v>3</v>
      </c>
      <c r="G453" s="7" t="n">
        <v>1</v>
      </c>
      <c r="H453" s="7" t="n">
        <v>1</v>
      </c>
      <c r="I453" s="7" t="n">
        <v>0</v>
      </c>
      <c r="J453" s="8" t="n">
        <v>6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68382013805</t>
        </is>
      </c>
      <c r="D454" s="5" t="inlineStr">
        <is>
          <t>TOPIRAMATE 25MG TABLET</t>
        </is>
      </c>
      <c r="E454" s="6" t="inlineStr">
        <is>
          <t>500.0</t>
        </is>
      </c>
      <c r="F454" s="7" t="n">
        <v>300</v>
      </c>
      <c r="G454" s="7" t="n">
        <v>0.6</v>
      </c>
      <c r="H454" s="7" t="n">
        <v>0</v>
      </c>
      <c r="I454" s="7" t="n">
        <v>-0.6</v>
      </c>
      <c r="J454" s="8" t="n">
        <v>6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43547028211</t>
        </is>
      </c>
      <c r="D455" s="5" t="inlineStr">
        <is>
          <t>ESCITALOPRAM 20MG TABLET</t>
        </is>
      </c>
      <c r="E455" s="6" t="inlineStr">
        <is>
          <t>1000.0</t>
        </is>
      </c>
      <c r="F455" s="7" t="n">
        <v>105</v>
      </c>
      <c r="G455" s="7" t="n">
        <v>0.105</v>
      </c>
      <c r="H455" s="7" t="n">
        <v>0</v>
      </c>
      <c r="I455" s="7" t="n">
        <v>-0.105</v>
      </c>
      <c r="J455" s="8" t="n">
        <v>5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00781809003</t>
        </is>
      </c>
      <c r="D456" s="5" t="inlineStr">
        <is>
          <t>AZITHROMYCIN 500MG TAB</t>
        </is>
      </c>
      <c r="E456" s="6" t="inlineStr">
        <is>
          <t>3.0</t>
        </is>
      </c>
      <c r="F456" s="7" t="n">
        <v>10</v>
      </c>
      <c r="G456" s="7" t="n">
        <v>3.333333333333333</v>
      </c>
      <c r="H456" s="7" t="n">
        <v>0</v>
      </c>
      <c r="I456" s="7" t="n">
        <v>-3.333333333333333</v>
      </c>
      <c r="J456" s="8" t="n">
        <v>5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68180029407</t>
        </is>
      </c>
      <c r="D457" s="5" t="inlineStr">
        <is>
          <t>DULOXETINE 20MG CAPSULE DR</t>
        </is>
      </c>
      <c r="E457" s="6" t="inlineStr">
        <is>
          <t>60.0</t>
        </is>
      </c>
      <c r="F457" s="7" t="n">
        <v>90</v>
      </c>
      <c r="G457" s="7" t="n">
        <v>1.5</v>
      </c>
      <c r="H457" s="7" t="n">
        <v>3</v>
      </c>
      <c r="I457" s="7" t="n">
        <v>1.5</v>
      </c>
      <c r="J457" s="8" t="n">
        <v>5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00832035711</t>
        </is>
      </c>
      <c r="D458" s="5" t="inlineStr">
        <is>
          <t>DOXAZOSIN MESYLATE 2MG TABLET</t>
        </is>
      </c>
      <c r="E458" s="6" t="inlineStr">
        <is>
          <t>100.0</t>
        </is>
      </c>
      <c r="F458" s="7" t="n">
        <v>90</v>
      </c>
      <c r="G458" s="7" t="n">
        <v>0.9</v>
      </c>
      <c r="H458" s="7" t="n">
        <v>0</v>
      </c>
      <c r="I458" s="7" t="n">
        <v>-0.9</v>
      </c>
      <c r="J458" s="8" t="n">
        <v>5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61442010201</t>
        </is>
      </c>
      <c r="D459" s="5" t="inlineStr">
        <is>
          <t xml:space="preserve">DICLOFENAC SOD 50MG TAB DR </t>
        </is>
      </c>
      <c r="E459" s="6" t="inlineStr">
        <is>
          <t>100.0</t>
        </is>
      </c>
      <c r="F459" s="7" t="n">
        <v>90</v>
      </c>
      <c r="G459" s="7" t="n">
        <v>0.9</v>
      </c>
      <c r="H459" s="7" t="n">
        <v>0</v>
      </c>
      <c r="I459" s="7" t="n">
        <v>-0.9</v>
      </c>
      <c r="J459" s="8" t="n">
        <v>5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00245010811</t>
        </is>
      </c>
      <c r="D460" s="5" t="inlineStr">
        <is>
          <t>FERROUS SULFATE 325MG TABLET (NYM)</t>
        </is>
      </c>
      <c r="E460" s="6" t="inlineStr">
        <is>
          <t>100.0</t>
        </is>
      </c>
      <c r="F460" s="7" t="n">
        <v>90</v>
      </c>
      <c r="G460" s="7" t="n">
        <v>0.9</v>
      </c>
      <c r="H460" s="7" t="n">
        <v>0</v>
      </c>
      <c r="I460" s="7" t="n">
        <v>-0.9</v>
      </c>
      <c r="J460" s="8" t="n">
        <v>5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68382009305</t>
        </is>
      </c>
      <c r="D461" s="5" t="inlineStr">
        <is>
          <t xml:space="preserve">CARVEDILOL 6.25MG TAB </t>
        </is>
      </c>
      <c r="E461" s="6" t="inlineStr">
        <is>
          <t>500.0</t>
        </is>
      </c>
      <c r="F461" s="7" t="n">
        <v>420</v>
      </c>
      <c r="G461" s="7" t="n">
        <v>0.84</v>
      </c>
      <c r="H461" s="7" t="n">
        <v>2</v>
      </c>
      <c r="I461" s="7" t="n">
        <v>1.16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68462015713</t>
        </is>
      </c>
      <c r="D462" s="5" t="inlineStr">
        <is>
          <t xml:space="preserve">ONDANSETRON ODT  4MG TAB </t>
        </is>
      </c>
      <c r="E462" s="6" t="inlineStr">
        <is>
          <t>30.0</t>
        </is>
      </c>
      <c r="F462" s="7" t="n">
        <v>40</v>
      </c>
      <c r="G462" s="7" t="n">
        <v>1.333333333333333</v>
      </c>
      <c r="H462" s="7" t="n">
        <v>0</v>
      </c>
      <c r="I462" s="7" t="n">
        <v>-1.333333333333333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59651078030</t>
        </is>
      </c>
      <c r="D463" s="5" t="inlineStr">
        <is>
          <t>GLIPIZIDE ER 2.5 MG ORAL TABLET EXTENDED RELEASE 24 HOUR</t>
        </is>
      </c>
      <c r="E463" s="6" t="inlineStr">
        <is>
          <t>30.0</t>
        </is>
      </c>
      <c r="F463" s="7" t="n">
        <v>90</v>
      </c>
      <c r="G463" s="7" t="n">
        <v>3</v>
      </c>
      <c r="H463" s="7" t="n">
        <v>0</v>
      </c>
      <c r="I463" s="7" t="n">
        <v>-3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00781196260</t>
        </is>
      </c>
      <c r="D464" s="5" t="inlineStr">
        <is>
          <t xml:space="preserve">CLARITHROMYCIN 500MG TAB </t>
        </is>
      </c>
      <c r="E464" s="6" t="inlineStr">
        <is>
          <t>60.0</t>
        </is>
      </c>
      <c r="F464" s="7" t="n">
        <v>28</v>
      </c>
      <c r="G464" s="7" t="n">
        <v>0.4666666666666667</v>
      </c>
      <c r="H464" s="7" t="n">
        <v>0</v>
      </c>
      <c r="I464" s="7" t="n">
        <v>-0.4666666666666667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31722054501</t>
        </is>
      </c>
      <c r="D465" s="5" t="inlineStr">
        <is>
          <t xml:space="preserve">LITHIUM CARBONATE 300MG CAP </t>
        </is>
      </c>
      <c r="E465" s="6" t="inlineStr">
        <is>
          <t>100.0</t>
        </is>
      </c>
      <c r="F465" s="7" t="n">
        <v>120</v>
      </c>
      <c r="G465" s="7" t="n">
        <v>1.2</v>
      </c>
      <c r="H465" s="7" t="n">
        <v>0</v>
      </c>
      <c r="I465" s="7" t="n">
        <v>-1.2</v>
      </c>
      <c r="J465" s="8" t="n">
        <v>5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27241015508</t>
        </is>
      </c>
      <c r="D466" s="5" t="inlineStr">
        <is>
          <t>OXYBUTYNIN 5MG TABLET ER</t>
        </is>
      </c>
      <c r="E466" s="6" t="inlineStr">
        <is>
          <t>500.0</t>
        </is>
      </c>
      <c r="F466" s="7" t="n">
        <v>90</v>
      </c>
      <c r="G466" s="7" t="n">
        <v>0.18</v>
      </c>
      <c r="H466" s="7" t="n">
        <v>0</v>
      </c>
      <c r="I466" s="7" t="n">
        <v>-0.18</v>
      </c>
      <c r="J466" s="8" t="n">
        <v>5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72888007715</t>
        </is>
      </c>
      <c r="D467" s="5" t="inlineStr">
        <is>
          <t>DORZOLAMIDE HCL 2 % OPHTHALMIC SOLUTION</t>
        </is>
      </c>
      <c r="E467" s="6" t="inlineStr">
        <is>
          <t>10.0</t>
        </is>
      </c>
      <c r="F467" s="7" t="n">
        <v>10</v>
      </c>
      <c r="G467" s="7" t="n">
        <v>1</v>
      </c>
      <c r="H467" s="7" t="n">
        <v>7</v>
      </c>
      <c r="I467" s="7" t="n">
        <v>6</v>
      </c>
      <c r="J467" s="8" t="n">
        <v>5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47781019601</t>
        </is>
      </c>
      <c r="D468" s="5" t="inlineStr">
        <is>
          <t>OXYCODONE-ACETAMINOPHEN 5-325 MG ORAL TABLET</t>
        </is>
      </c>
      <c r="E468" s="6" t="inlineStr">
        <is>
          <t>100.0</t>
        </is>
      </c>
      <c r="F468" s="7" t="n">
        <v>90</v>
      </c>
      <c r="G468" s="7" t="n">
        <v>0.9</v>
      </c>
      <c r="H468" s="7" t="n">
        <v>2</v>
      </c>
      <c r="I468" s="7" t="n">
        <v>1.1</v>
      </c>
      <c r="J468" s="8" t="n">
        <v>5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33342040550</t>
        </is>
      </c>
      <c r="D469" s="5" t="inlineStr">
        <is>
          <t>LIDOCAINE 5 % EXTERNAL OINTMENT</t>
        </is>
      </c>
      <c r="E469" s="6" t="inlineStr">
        <is>
          <t>50.0</t>
        </is>
      </c>
      <c r="F469" s="7" t="n">
        <v>50</v>
      </c>
      <c r="G469" s="7" t="n">
        <v>1</v>
      </c>
      <c r="H469" s="7" t="n">
        <v>0</v>
      </c>
      <c r="I469" s="7" t="n">
        <v>-1</v>
      </c>
      <c r="J469" s="8" t="n">
        <v>5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70010006405</t>
        </is>
      </c>
      <c r="D470" s="5" t="inlineStr">
        <is>
          <t>METFORMIN HCL 850 MG ORAL TABLET</t>
        </is>
      </c>
      <c r="E470" s="6" t="inlineStr">
        <is>
          <t>500.0</t>
        </is>
      </c>
      <c r="F470" s="7" t="n">
        <v>270</v>
      </c>
      <c r="G470" s="7" t="n">
        <v>0.54</v>
      </c>
      <c r="H470" s="7" t="n">
        <v>2</v>
      </c>
      <c r="I470" s="7" t="n">
        <v>1.46</v>
      </c>
      <c r="J470" s="8" t="n">
        <v>5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57237010099</t>
        </is>
      </c>
      <c r="D471" s="5" t="inlineStr">
        <is>
          <t>METOPROLOL TARTRATE 25MG TABLET</t>
        </is>
      </c>
      <c r="E471" s="6" t="inlineStr">
        <is>
          <t>1000.0</t>
        </is>
      </c>
      <c r="F471" s="7" t="n">
        <v>540</v>
      </c>
      <c r="G471" s="7" t="n">
        <v>0.54</v>
      </c>
      <c r="H471" s="7" t="n">
        <v>0</v>
      </c>
      <c r="I471" s="7" t="n">
        <v>-0.54</v>
      </c>
      <c r="J471" s="8" t="n">
        <v>5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13668000805</t>
        </is>
      </c>
      <c r="D472" s="5" t="inlineStr">
        <is>
          <t xml:space="preserve">ZOLPIDEM TARTRATE 10MG TAB </t>
        </is>
      </c>
      <c r="E472" s="6" t="inlineStr">
        <is>
          <t>500.0</t>
        </is>
      </c>
      <c r="F472" s="7" t="n">
        <v>270</v>
      </c>
      <c r="G472" s="7" t="n">
        <v>0.54</v>
      </c>
      <c r="H472" s="7" t="n">
        <v>1</v>
      </c>
      <c r="I472" s="7" t="n">
        <v>0.46</v>
      </c>
      <c r="J472" s="8" t="n">
        <v>5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23155007001</t>
        </is>
      </c>
      <c r="D473" s="5" t="inlineStr">
        <is>
          <t xml:space="preserve">METHIMAZOLE 5MG TABLE </t>
        </is>
      </c>
      <c r="E473" s="6" t="inlineStr">
        <is>
          <t>100.0</t>
        </is>
      </c>
      <c r="F473" s="7" t="n">
        <v>90</v>
      </c>
      <c r="G473" s="7" t="n">
        <v>0.9</v>
      </c>
      <c r="H473" s="7" t="n">
        <v>0</v>
      </c>
      <c r="I473" s="7" t="n">
        <v>-0.9</v>
      </c>
      <c r="J473" s="8" t="n">
        <v>5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00168000215</t>
        </is>
      </c>
      <c r="D474" s="5" t="inlineStr">
        <is>
          <t>TRIAMCINOLONE ACETONIDE 0.5 % CREAM</t>
        </is>
      </c>
      <c r="E474" s="6" t="inlineStr">
        <is>
          <t>15.0</t>
        </is>
      </c>
      <c r="F474" s="7" t="n">
        <v>15</v>
      </c>
      <c r="G474" s="7" t="n">
        <v>1</v>
      </c>
      <c r="H474" s="7" t="n">
        <v>0</v>
      </c>
      <c r="I474" s="7" t="n">
        <v>-1</v>
      </c>
      <c r="J474" s="8" t="n">
        <v>5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23155000810</t>
        </is>
      </c>
      <c r="D475" s="5" t="inlineStr">
        <is>
          <t>HYDROCHLOROTHIAZIDE 25MG TABLET</t>
        </is>
      </c>
      <c r="E475" s="6" t="inlineStr">
        <is>
          <t>1000.0</t>
        </is>
      </c>
      <c r="F475" s="7" t="n">
        <v>1320</v>
      </c>
      <c r="G475" s="7" t="n">
        <v>1.32</v>
      </c>
      <c r="H475" s="7" t="n">
        <v>0</v>
      </c>
      <c r="I475" s="7" t="n">
        <v>-1.32</v>
      </c>
      <c r="J475" s="8" t="n">
        <v>4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69097022416</t>
        </is>
      </c>
      <c r="D476" s="5" t="inlineStr">
        <is>
          <t xml:space="preserve">ALENDRONATE 70MG TAB </t>
        </is>
      </c>
      <c r="E476" s="6" t="inlineStr">
        <is>
          <t>4.0</t>
        </is>
      </c>
      <c r="F476" s="7" t="n">
        <v>24</v>
      </c>
      <c r="G476" s="7" t="n">
        <v>6</v>
      </c>
      <c r="H476" s="7" t="n">
        <v>22</v>
      </c>
      <c r="I476" s="7" t="n">
        <v>16</v>
      </c>
      <c r="J476" s="8" t="n">
        <v>4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23155070510</t>
        </is>
      </c>
      <c r="D477" s="5" t="inlineStr">
        <is>
          <t>ENALAPRIL 5MG TABLET</t>
        </is>
      </c>
      <c r="E477" s="6" t="inlineStr">
        <is>
          <t>1000.0</t>
        </is>
      </c>
      <c r="F477" s="7" t="n">
        <v>90</v>
      </c>
      <c r="G477" s="7" t="n">
        <v>0.09</v>
      </c>
      <c r="H477" s="7" t="n">
        <v>0</v>
      </c>
      <c r="I477" s="7" t="n">
        <v>-0.09</v>
      </c>
      <c r="J477" s="8" t="n">
        <v>4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57237003105</t>
        </is>
      </c>
      <c r="D478" s="5" t="inlineStr">
        <is>
          <t>AMOXICILLIN 500 MG CAPSULE</t>
        </is>
      </c>
      <c r="E478" s="6" t="inlineStr">
        <is>
          <t>500.0</t>
        </is>
      </c>
      <c r="F478" s="7" t="n">
        <v>195</v>
      </c>
      <c r="G478" s="7" t="n">
        <v>0.39</v>
      </c>
      <c r="H478" s="7" t="n">
        <v>1</v>
      </c>
      <c r="I478" s="7" t="n">
        <v>0.61</v>
      </c>
      <c r="J478" s="8" t="n">
        <v>4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63304082990</t>
        </is>
      </c>
      <c r="D479" s="5" t="inlineStr">
        <is>
          <t>ATORVASTATIN CALCIUM 40MG TABLET</t>
        </is>
      </c>
      <c r="E479" s="6" t="inlineStr">
        <is>
          <t>90.0</t>
        </is>
      </c>
      <c r="F479" s="7" t="n">
        <v>90</v>
      </c>
      <c r="G479" s="7" t="n">
        <v>1</v>
      </c>
      <c r="H479" s="7" t="n">
        <v>0</v>
      </c>
      <c r="I479" s="7" t="n">
        <v>-1</v>
      </c>
      <c r="J479" s="8" t="n">
        <v>4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00172409680</t>
        </is>
      </c>
      <c r="D480" s="5" t="inlineStr">
        <is>
          <t xml:space="preserve">BACLOFEN 10MG TAB </t>
        </is>
      </c>
      <c r="E480" s="6" t="inlineStr">
        <is>
          <t>1000.0</t>
        </is>
      </c>
      <c r="F480" s="7" t="n">
        <v>270</v>
      </c>
      <c r="G480" s="7" t="n">
        <v>0.27</v>
      </c>
      <c r="H480" s="7" t="n">
        <v>1</v>
      </c>
      <c r="I480" s="7" t="n">
        <v>0.73</v>
      </c>
      <c r="J480" s="8" t="n">
        <v>4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00143924920</t>
        </is>
      </c>
      <c r="D481" s="5" t="inlineStr">
        <is>
          <t xml:space="preserve">AMOXICILLIN-POT CLAVULANATE 875-125 MG TABLET </t>
        </is>
      </c>
      <c r="E481" s="6" t="inlineStr">
        <is>
          <t>20.0</t>
        </is>
      </c>
      <c r="F481" s="7" t="n">
        <v>34</v>
      </c>
      <c r="G481" s="7" t="n">
        <v>1.7</v>
      </c>
      <c r="H481" s="7" t="n">
        <v>0</v>
      </c>
      <c r="I481" s="7" t="n">
        <v>-1.7</v>
      </c>
      <c r="J481" s="8" t="n">
        <v>4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65862001501</t>
        </is>
      </c>
      <c r="D482" s="5" t="inlineStr">
        <is>
          <t>AMOXICILLIN 875 MG TABLET</t>
        </is>
      </c>
      <c r="E482" s="6" t="inlineStr">
        <is>
          <t>100.0</t>
        </is>
      </c>
      <c r="F482" s="7" t="n">
        <v>42</v>
      </c>
      <c r="G482" s="7" t="n">
        <v>0.42</v>
      </c>
      <c r="H482" s="7" t="n">
        <v>1</v>
      </c>
      <c r="I482" s="7" t="n">
        <v>0.5800000000000001</v>
      </c>
      <c r="J482" s="8" t="n">
        <v>4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24689088201</t>
        </is>
      </c>
      <c r="D483" s="5" t="inlineStr">
        <is>
          <t>TERAZOSIN HCL 5 MG ORAL CAPSULE</t>
        </is>
      </c>
      <c r="E483" s="6" t="inlineStr">
        <is>
          <t>100.0</t>
        </is>
      </c>
      <c r="F483" s="7" t="n">
        <v>60</v>
      </c>
      <c r="G483" s="7" t="n">
        <v>0.6</v>
      </c>
      <c r="H483" s="7" t="n">
        <v>0</v>
      </c>
      <c r="I483" s="7" t="n">
        <v>-0.6</v>
      </c>
      <c r="J483" s="8" t="n">
        <v>4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70377000215</t>
        </is>
      </c>
      <c r="D484" s="5" t="inlineStr">
        <is>
          <t>SIMVASTATIN 10MG TABLET</t>
        </is>
      </c>
      <c r="E484" s="6" t="inlineStr">
        <is>
          <t>1000.0</t>
        </is>
      </c>
      <c r="F484" s="7" t="n">
        <v>330</v>
      </c>
      <c r="G484" s="7" t="n">
        <v>0.33</v>
      </c>
      <c r="H484" s="7" t="n">
        <v>0</v>
      </c>
      <c r="I484" s="7" t="n">
        <v>-0.33</v>
      </c>
      <c r="J484" s="8" t="n">
        <v>4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72888000901</t>
        </is>
      </c>
      <c r="D485" s="5" t="inlineStr">
        <is>
          <t>BACLOFEN 5 MG ORAL TABLET</t>
        </is>
      </c>
      <c r="E485" s="6" t="inlineStr">
        <is>
          <t>100.0</t>
        </is>
      </c>
      <c r="F485" s="7" t="n">
        <v>60</v>
      </c>
      <c r="G485" s="7" t="n">
        <v>0.6</v>
      </c>
      <c r="H485" s="7" t="n">
        <v>2</v>
      </c>
      <c r="I485" s="7" t="n">
        <v>1.4</v>
      </c>
      <c r="J485" s="8" t="n">
        <v>4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69315031228</t>
        </is>
      </c>
      <c r="D486" s="5" t="inlineStr">
        <is>
          <t>PROCTO-MED HC 2.5 % EXTERNAL CREAM</t>
        </is>
      </c>
      <c r="E486" s="6" t="inlineStr">
        <is>
          <t>28.0</t>
        </is>
      </c>
      <c r="F486" s="7" t="n">
        <v>28</v>
      </c>
      <c r="G486" s="7" t="n">
        <v>1</v>
      </c>
      <c r="H486" s="7" t="n">
        <v>3</v>
      </c>
      <c r="I486" s="7" t="n">
        <v>2</v>
      </c>
      <c r="J486" s="8" t="n">
        <v>4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64980032430</t>
        </is>
      </c>
      <c r="D487" s="5" t="inlineStr">
        <is>
          <t>PROCTOZONE-HC 2.5% CREAM</t>
        </is>
      </c>
      <c r="E487" s="6" t="inlineStr">
        <is>
          <t>30.0</t>
        </is>
      </c>
      <c r="F487" s="7" t="n">
        <v>90</v>
      </c>
      <c r="G487" s="7" t="n">
        <v>3</v>
      </c>
      <c r="H487" s="7" t="n">
        <v>0</v>
      </c>
      <c r="I487" s="7" t="n">
        <v>-3</v>
      </c>
      <c r="J487" s="8" t="n">
        <v>4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65862001205</t>
        </is>
      </c>
      <c r="D488" s="5" t="inlineStr">
        <is>
          <t>SERTRALINE 50MG TABLET</t>
        </is>
      </c>
      <c r="E488" s="6" t="inlineStr">
        <is>
          <t>500.0</t>
        </is>
      </c>
      <c r="F488" s="7" t="n">
        <v>210</v>
      </c>
      <c r="G488" s="7" t="n">
        <v>0.42</v>
      </c>
      <c r="H488" s="7" t="n">
        <v>0</v>
      </c>
      <c r="I488" s="7" t="n">
        <v>-0.42</v>
      </c>
      <c r="J488" s="8" t="n">
        <v>4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13107015530</t>
        </is>
      </c>
      <c r="D489" s="5" t="inlineStr">
        <is>
          <t xml:space="preserve">PAROXETINE 20MG TABLET </t>
        </is>
      </c>
      <c r="E489" s="6" t="inlineStr">
        <is>
          <t>30.0</t>
        </is>
      </c>
      <c r="F489" s="7" t="n">
        <v>120</v>
      </c>
      <c r="G489" s="7" t="n">
        <v>4</v>
      </c>
      <c r="H489" s="7" t="n">
        <v>0</v>
      </c>
      <c r="I489" s="7" t="n">
        <v>-4</v>
      </c>
      <c r="J489" s="8" t="n">
        <v>4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80681009600</t>
        </is>
      </c>
      <c r="D490" s="5" t="inlineStr">
        <is>
          <t>REGULOID 28.3 % ORAL POWDER</t>
        </is>
      </c>
      <c r="E490" s="6" t="inlineStr">
        <is>
          <t>369.0</t>
        </is>
      </c>
      <c r="F490" s="7" t="n">
        <v>369</v>
      </c>
      <c r="G490" s="7" t="n">
        <v>1</v>
      </c>
      <c r="H490" s="7" t="n">
        <v>0</v>
      </c>
      <c r="I490" s="7" t="n">
        <v>-1</v>
      </c>
      <c r="J490" s="8" t="n">
        <v>4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67877025001</t>
        </is>
      </c>
      <c r="D491" s="5" t="inlineStr">
        <is>
          <t>QUETIAPINE FUMARATE 100MG TABLET</t>
        </is>
      </c>
      <c r="E491" s="6" t="inlineStr">
        <is>
          <t>100.0</t>
        </is>
      </c>
      <c r="F491" s="7" t="n">
        <v>210</v>
      </c>
      <c r="G491" s="7" t="n">
        <v>2.1</v>
      </c>
      <c r="H491" s="7" t="n">
        <v>0</v>
      </c>
      <c r="I491" s="7" t="n">
        <v>-2.1</v>
      </c>
      <c r="J491" s="8" t="n">
        <v>4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13107015630</t>
        </is>
      </c>
      <c r="D492" s="5" t="inlineStr">
        <is>
          <t>PAROXETINE 30MG TABLET</t>
        </is>
      </c>
      <c r="E492" s="6" t="inlineStr">
        <is>
          <t>30.0</t>
        </is>
      </c>
      <c r="F492" s="7" t="n">
        <v>120</v>
      </c>
      <c r="G492" s="7" t="n">
        <v>4</v>
      </c>
      <c r="H492" s="7" t="n">
        <v>0</v>
      </c>
      <c r="I492" s="7" t="n">
        <v>-4</v>
      </c>
      <c r="J492" s="8" t="n">
        <v>4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64980050448</t>
        </is>
      </c>
      <c r="D493" s="5" t="inlineStr">
        <is>
          <t>CYPROHEPTADINE HCL 2MG/5ML SYRUP</t>
        </is>
      </c>
      <c r="E493" s="6" t="inlineStr">
        <is>
          <t>473.0</t>
        </is>
      </c>
      <c r="F493" s="7" t="n">
        <v>190</v>
      </c>
      <c r="G493" s="7" t="n">
        <v>0.4016913319238901</v>
      </c>
      <c r="H493" s="7" t="n">
        <v>2</v>
      </c>
      <c r="I493" s="7" t="n">
        <v>1.59830866807611</v>
      </c>
      <c r="J493" s="8" t="n">
        <v>4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23155023501</t>
        </is>
      </c>
      <c r="D494" s="5" t="inlineStr">
        <is>
          <t>GLYBURIDE-METFORMIN 5-500 MG ORAL TABLET</t>
        </is>
      </c>
      <c r="E494" s="6" t="inlineStr">
        <is>
          <t>100.0</t>
        </is>
      </c>
      <c r="F494" s="7" t="n">
        <v>90</v>
      </c>
      <c r="G494" s="7" t="n">
        <v>0.9</v>
      </c>
      <c r="H494" s="7" t="n">
        <v>0</v>
      </c>
      <c r="I494" s="7" t="n">
        <v>-0.9</v>
      </c>
      <c r="J494" s="8" t="n">
        <v>4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68180098003</t>
        </is>
      </c>
      <c r="D495" s="5" t="inlineStr">
        <is>
          <t>LISINOPRIL 10MG TABLET</t>
        </is>
      </c>
      <c r="E495" s="6" t="inlineStr">
        <is>
          <t>1000.0</t>
        </is>
      </c>
      <c r="F495" s="7" t="n">
        <v>540</v>
      </c>
      <c r="G495" s="7" t="n">
        <v>0.54</v>
      </c>
      <c r="H495" s="7" t="n">
        <v>0</v>
      </c>
      <c r="I495" s="7" t="n">
        <v>-0.54</v>
      </c>
      <c r="J495" s="8" t="n">
        <v>4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68180098103</t>
        </is>
      </c>
      <c r="D496" s="5" t="inlineStr">
        <is>
          <t>LISINOPRIL 20MG TABLET</t>
        </is>
      </c>
      <c r="E496" s="6" t="inlineStr">
        <is>
          <t>1000.0</t>
        </is>
      </c>
      <c r="F496" s="7" t="n">
        <v>360</v>
      </c>
      <c r="G496" s="7" t="n">
        <v>0.36</v>
      </c>
      <c r="H496" s="7" t="n">
        <v>0</v>
      </c>
      <c r="I496" s="7" t="n">
        <v>-0.36</v>
      </c>
      <c r="J496" s="8" t="n">
        <v>4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65862052205</t>
        </is>
      </c>
      <c r="D497" s="5" t="inlineStr">
        <is>
          <t>NAPROXEN 500MG TABLET</t>
        </is>
      </c>
      <c r="E497" s="6" t="inlineStr">
        <is>
          <t>500.0</t>
        </is>
      </c>
      <c r="F497" s="7" t="n">
        <v>120</v>
      </c>
      <c r="G497" s="7" t="n">
        <v>0.24</v>
      </c>
      <c r="H497" s="7" t="n">
        <v>0</v>
      </c>
      <c r="I497" s="7" t="n">
        <v>-0.24</v>
      </c>
      <c r="J497" s="8" t="n">
        <v>4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24208079535</t>
        </is>
      </c>
      <c r="D498" s="5" t="inlineStr">
        <is>
          <t>NEOMYCIN-POLYMYXIN-DEXAMETH 3.5-10000-0.1 OPHTHALMIC OINTMENT</t>
        </is>
      </c>
      <c r="E498" s="6" t="inlineStr">
        <is>
          <t>3.5</t>
        </is>
      </c>
      <c r="F498" s="7" t="n">
        <v>3.5</v>
      </c>
      <c r="G498" s="7" t="n">
        <v>1</v>
      </c>
      <c r="H498" s="7" t="n">
        <v>0</v>
      </c>
      <c r="I498" s="7" t="n">
        <v>-1</v>
      </c>
      <c r="J498" s="8" t="n">
        <v>4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69097015912</t>
        </is>
      </c>
      <c r="D499" s="5" t="inlineStr">
        <is>
          <t xml:space="preserve">MELOXICAM 15MG TAB </t>
        </is>
      </c>
      <c r="E499" s="6" t="inlineStr">
        <is>
          <t>500.0</t>
        </is>
      </c>
      <c r="F499" s="7" t="n">
        <v>270</v>
      </c>
      <c r="G499" s="7" t="n">
        <v>0.54</v>
      </c>
      <c r="H499" s="7" t="n">
        <v>0</v>
      </c>
      <c r="I499" s="7" t="n">
        <v>-0.54</v>
      </c>
      <c r="J499" s="8" t="n">
        <v>4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23155050110</t>
        </is>
      </c>
      <c r="D500" s="5" t="inlineStr">
        <is>
          <t>HYDROXYZINE HCL 25MG TABLET</t>
        </is>
      </c>
      <c r="E500" s="6" t="inlineStr">
        <is>
          <t>1000.0</t>
        </is>
      </c>
      <c r="F500" s="7" t="n">
        <v>240</v>
      </c>
      <c r="G500" s="7" t="n">
        <v>0.24</v>
      </c>
      <c r="H500" s="7" t="n">
        <v>0</v>
      </c>
      <c r="I500" s="7" t="n">
        <v>-0.24</v>
      </c>
      <c r="J500" s="8" t="n">
        <v>4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61314063006</t>
        </is>
      </c>
      <c r="D501" s="5" t="inlineStr">
        <is>
          <t>NEOMYCIN-POLY-DEX OPTH SUSPENSION (EYE)</t>
        </is>
      </c>
      <c r="E501" s="6" t="inlineStr">
        <is>
          <t>5.0</t>
        </is>
      </c>
      <c r="F501" s="7" t="n">
        <v>5</v>
      </c>
      <c r="G501" s="7" t="n">
        <v>1</v>
      </c>
      <c r="H501" s="7" t="n">
        <v>0</v>
      </c>
      <c r="I501" s="7" t="n">
        <v>-1</v>
      </c>
      <c r="J501" s="8" t="n">
        <v>4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65862052890</t>
        </is>
      </c>
      <c r="D502" s="5" t="inlineStr">
        <is>
          <t>VENLAFAXINE HCL ER 75 MG CAPSULE</t>
        </is>
      </c>
      <c r="E502" s="6" t="inlineStr">
        <is>
          <t>90.0</t>
        </is>
      </c>
      <c r="F502" s="7" t="n">
        <v>30</v>
      </c>
      <c r="G502" s="7" t="n">
        <v>0.3333333333333333</v>
      </c>
      <c r="H502" s="7" t="n">
        <v>0</v>
      </c>
      <c r="I502" s="7" t="n">
        <v>-0.3333333333333333</v>
      </c>
      <c r="J502" s="8" t="n">
        <v>3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76204010030</t>
        </is>
      </c>
      <c r="D503" s="5" t="inlineStr">
        <is>
          <t>IPRATROPIUM BROMIDE 0.02 % INHALATION SOLUTION</t>
        </is>
      </c>
      <c r="E503" s="6" t="inlineStr">
        <is>
          <t>75.0</t>
        </is>
      </c>
      <c r="F503" s="7" t="n">
        <v>75</v>
      </c>
      <c r="G503" s="7" t="n">
        <v>1</v>
      </c>
      <c r="H503" s="7" t="n">
        <v>0</v>
      </c>
      <c r="I503" s="7" t="n">
        <v>-1</v>
      </c>
      <c r="J503" s="8" t="n">
        <v>3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64380073706</t>
        </is>
      </c>
      <c r="D504" s="5" t="inlineStr">
        <is>
          <t>VITAMIN D 50 000 U CAPSULE</t>
        </is>
      </c>
      <c r="E504" s="6" t="inlineStr">
        <is>
          <t>100.0</t>
        </is>
      </c>
      <c r="F504" s="7" t="n">
        <v>84</v>
      </c>
      <c r="G504" s="7" t="n">
        <v>0.84</v>
      </c>
      <c r="H504" s="7" t="n">
        <v>4</v>
      </c>
      <c r="I504" s="7" t="n">
        <v>3.16</v>
      </c>
      <c r="J504" s="8" t="n">
        <v>3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65162044210</t>
        </is>
      </c>
      <c r="D505" s="5" t="inlineStr">
        <is>
          <t>MECLIZINE 25MG TABLET</t>
        </is>
      </c>
      <c r="E505" s="6" t="inlineStr">
        <is>
          <t>100.0</t>
        </is>
      </c>
      <c r="F505" s="7" t="n">
        <v>60</v>
      </c>
      <c r="G505" s="7" t="n">
        <v>0.6</v>
      </c>
      <c r="H505" s="7" t="n">
        <v>0</v>
      </c>
      <c r="I505" s="7" t="n">
        <v>-0.6</v>
      </c>
      <c r="J505" s="8" t="n">
        <v>3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55111016830</t>
        </is>
      </c>
      <c r="D506" s="5" t="inlineStr">
        <is>
          <t>OLANZAPINE 20MG TABLET</t>
        </is>
      </c>
      <c r="E506" s="6" t="inlineStr">
        <is>
          <t>30.0</t>
        </is>
      </c>
      <c r="F506" s="7" t="n">
        <v>30</v>
      </c>
      <c r="G506" s="7" t="n">
        <v>1</v>
      </c>
      <c r="H506" s="7" t="n">
        <v>6</v>
      </c>
      <c r="I506" s="7" t="n">
        <v>5</v>
      </c>
      <c r="J506" s="8" t="n">
        <v>3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50228014610</t>
        </is>
      </c>
      <c r="D507" s="5" t="inlineStr">
        <is>
          <t>HYDROCHLOROTHIAZIDE 12.5MG CAPSULE</t>
        </is>
      </c>
      <c r="E507" s="6" t="inlineStr">
        <is>
          <t>1000.0</t>
        </is>
      </c>
      <c r="F507" s="7" t="n">
        <v>270</v>
      </c>
      <c r="G507" s="7" t="n">
        <v>0.27</v>
      </c>
      <c r="H507" s="7" t="n">
        <v>0</v>
      </c>
      <c r="I507" s="7" t="n">
        <v>-0.27</v>
      </c>
      <c r="J507" s="8" t="n">
        <v>3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23155000310</t>
        </is>
      </c>
      <c r="D508" s="5" t="inlineStr">
        <is>
          <t>HYDRALAZINE HCL 50MG TABLET</t>
        </is>
      </c>
      <c r="E508" s="6" t="inlineStr">
        <is>
          <t>1000.0</t>
        </is>
      </c>
      <c r="F508" s="7" t="n">
        <v>90</v>
      </c>
      <c r="G508" s="7" t="n">
        <v>0.09</v>
      </c>
      <c r="H508" s="7" t="n">
        <v>0</v>
      </c>
      <c r="I508" s="7" t="n">
        <v>-0.09</v>
      </c>
      <c r="J508" s="8" t="n">
        <v>3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43598016430</t>
        </is>
      </c>
      <c r="D509" s="5" t="inlineStr">
        <is>
          <t>OLANZAPINE 5MG TABLET</t>
        </is>
      </c>
      <c r="E509" s="6" t="inlineStr">
        <is>
          <t>30.0</t>
        </is>
      </c>
      <c r="F509" s="7" t="n">
        <v>120</v>
      </c>
      <c r="G509" s="7" t="n">
        <v>4</v>
      </c>
      <c r="H509" s="7" t="n">
        <v>0</v>
      </c>
      <c r="I509" s="7" t="n">
        <v>-4</v>
      </c>
      <c r="J509" s="8" t="n">
        <v>3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65862014736</t>
        </is>
      </c>
      <c r="D510" s="5" t="inlineStr">
        <is>
          <t xml:space="preserve">SUMATRIPTAN SUCCINATE 50MG TAB </t>
        </is>
      </c>
      <c r="E510" s="6" t="inlineStr">
        <is>
          <t>9.0</t>
        </is>
      </c>
      <c r="F510" s="7" t="n">
        <v>9</v>
      </c>
      <c r="G510" s="7" t="n">
        <v>1</v>
      </c>
      <c r="H510" s="7" t="n">
        <v>0</v>
      </c>
      <c r="I510" s="7" t="n">
        <v>-1</v>
      </c>
      <c r="J510" s="8" t="n">
        <v>3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42806001801</t>
        </is>
      </c>
      <c r="D511" s="5" t="inlineStr">
        <is>
          <t>SULINDAC 150 MG ORAL TABLET</t>
        </is>
      </c>
      <c r="E511" s="6" t="inlineStr">
        <is>
          <t>100.0</t>
        </is>
      </c>
      <c r="F511" s="7" t="n">
        <v>30</v>
      </c>
      <c r="G511" s="7" t="n">
        <v>0.3</v>
      </c>
      <c r="H511" s="7" t="n">
        <v>1</v>
      </c>
      <c r="I511" s="7" t="n">
        <v>0.7</v>
      </c>
      <c r="J511" s="8" t="n">
        <v>3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69238207807</t>
        </is>
      </c>
      <c r="D512" s="5" t="inlineStr">
        <is>
          <t>PROPRANOLOL HCL 20 MG ORAL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3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69097042207</t>
        </is>
      </c>
      <c r="D513" s="5" t="inlineStr">
        <is>
          <t xml:space="preserve">CELECOXIB 100MG CAP </t>
        </is>
      </c>
      <c r="E513" s="6" t="inlineStr">
        <is>
          <t>100.0</t>
        </is>
      </c>
      <c r="F513" s="7" t="n">
        <v>180</v>
      </c>
      <c r="G513" s="7" t="n">
        <v>1.8</v>
      </c>
      <c r="H513" s="7" t="n">
        <v>0</v>
      </c>
      <c r="I513" s="7" t="n">
        <v>-1.8</v>
      </c>
      <c r="J513" s="8" t="n">
        <v>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68382009205</t>
        </is>
      </c>
      <c r="D514" s="5" t="inlineStr">
        <is>
          <t xml:space="preserve">CARVEDILOL 3.125MG TAB </t>
        </is>
      </c>
      <c r="E514" s="6" t="inlineStr">
        <is>
          <t>500.0</t>
        </is>
      </c>
      <c r="F514" s="7" t="n">
        <v>450</v>
      </c>
      <c r="G514" s="7" t="n">
        <v>0.9</v>
      </c>
      <c r="H514" s="7" t="n">
        <v>0</v>
      </c>
      <c r="I514" s="7" t="n">
        <v>-0.9</v>
      </c>
      <c r="J514" s="8" t="n">
        <v>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60505014101</t>
        </is>
      </c>
      <c r="D515" s="5" t="inlineStr">
        <is>
          <t xml:space="preserve">GLIPIZIDE 5MG TAB </t>
        </is>
      </c>
      <c r="E515" s="6" t="inlineStr">
        <is>
          <t>1000.0</t>
        </is>
      </c>
      <c r="F515" s="7" t="n">
        <v>210</v>
      </c>
      <c r="G515" s="7" t="n">
        <v>0.21</v>
      </c>
      <c r="H515" s="7" t="n">
        <v>0</v>
      </c>
      <c r="I515" s="7" t="n">
        <v>-0.21</v>
      </c>
      <c r="J515" s="8" t="n">
        <v>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23155075001</t>
        </is>
      </c>
      <c r="D516" s="5" t="inlineStr">
        <is>
          <t>BENAZEPRIL HCL 10 MG ORAL TABLET</t>
        </is>
      </c>
      <c r="E516" s="6" t="inlineStr">
        <is>
          <t>100.0</t>
        </is>
      </c>
      <c r="F516" s="7" t="n">
        <v>90</v>
      </c>
      <c r="G516" s="7" t="n">
        <v>0.9</v>
      </c>
      <c r="H516" s="7" t="n">
        <v>0</v>
      </c>
      <c r="I516" s="7" t="n">
        <v>-0.9</v>
      </c>
      <c r="J516" s="8" t="n">
        <v>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16729003510</t>
        </is>
      </c>
      <c r="D517" s="5" t="inlineStr">
        <is>
          <t>ANASTROZOLE 1MG TABLET</t>
        </is>
      </c>
      <c r="E517" s="6" t="inlineStr">
        <is>
          <t>30.0</t>
        </is>
      </c>
      <c r="F517" s="7" t="n">
        <v>30</v>
      </c>
      <c r="G517" s="7" t="n">
        <v>1</v>
      </c>
      <c r="H517" s="7" t="n">
        <v>0</v>
      </c>
      <c r="I517" s="7" t="n">
        <v>-1</v>
      </c>
      <c r="J517" s="8" t="n">
        <v>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57237010199</t>
        </is>
      </c>
      <c r="D518" s="5" t="inlineStr">
        <is>
          <t>METOPROLOL TARTRATE 50MG TABLET</t>
        </is>
      </c>
      <c r="E518" s="6" t="inlineStr">
        <is>
          <t>1000.0</t>
        </is>
      </c>
      <c r="F518" s="7" t="n">
        <v>180</v>
      </c>
      <c r="G518" s="7" t="n">
        <v>0.18</v>
      </c>
      <c r="H518" s="7" t="n">
        <v>0</v>
      </c>
      <c r="I518" s="7" t="n">
        <v>-0.18</v>
      </c>
      <c r="J518" s="8" t="n">
        <v>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57237010299</t>
        </is>
      </c>
      <c r="D519" s="5" t="inlineStr">
        <is>
          <t>METOPROLOL TARTRATE 100MG TABLET</t>
        </is>
      </c>
      <c r="E519" s="6" t="inlineStr">
        <is>
          <t>1000.0</t>
        </is>
      </c>
      <c r="F519" s="7" t="n">
        <v>180</v>
      </c>
      <c r="G519" s="7" t="n">
        <v>0.18</v>
      </c>
      <c r="H519" s="7" t="n">
        <v>0</v>
      </c>
      <c r="I519" s="7" t="n">
        <v>-0.18</v>
      </c>
      <c r="J519" s="8" t="n">
        <v>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65862052305</t>
        </is>
      </c>
      <c r="D520" s="5" t="inlineStr">
        <is>
          <t>GABAPENTIN 600MG TABLET</t>
        </is>
      </c>
      <c r="E520" s="6" t="inlineStr">
        <is>
          <t>500.0</t>
        </is>
      </c>
      <c r="F520" s="7" t="n">
        <v>180</v>
      </c>
      <c r="G520" s="7" t="n">
        <v>0.36</v>
      </c>
      <c r="H520" s="7" t="n">
        <v>1</v>
      </c>
      <c r="I520" s="7" t="n">
        <v>0.64</v>
      </c>
      <c r="J520" s="8" t="n">
        <v>2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67877031905</t>
        </is>
      </c>
      <c r="D521" s="5" t="inlineStr">
        <is>
          <t>IBUPROFEN 400MG TABLET</t>
        </is>
      </c>
      <c r="E521" s="6" t="inlineStr">
        <is>
          <t>500.0</t>
        </is>
      </c>
      <c r="F521" s="7" t="n">
        <v>150</v>
      </c>
      <c r="G521" s="7" t="n">
        <v>0.3</v>
      </c>
      <c r="H521" s="7" t="n">
        <v>0</v>
      </c>
      <c r="I521" s="7" t="n">
        <v>-0.3</v>
      </c>
      <c r="J521" s="8" t="n">
        <v>2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43598096830</t>
        </is>
      </c>
      <c r="D522" s="5" t="inlineStr">
        <is>
          <t>ARIPIPRAZOLE 15MG TABLET</t>
        </is>
      </c>
      <c r="E522" s="6" t="inlineStr">
        <is>
          <t>30.0</t>
        </is>
      </c>
      <c r="F522" s="7" t="n">
        <v>30</v>
      </c>
      <c r="G522" s="7" t="n">
        <v>1</v>
      </c>
      <c r="H522" s="7" t="n">
        <v>0</v>
      </c>
      <c r="I522" s="7" t="n">
        <v>-1</v>
      </c>
      <c r="J522" s="8" t="n">
        <v>2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00172409760</t>
        </is>
      </c>
      <c r="D523" s="5" t="inlineStr">
        <is>
          <t>BACLOFEN 20MG TABLET</t>
        </is>
      </c>
      <c r="E523" s="6" t="inlineStr">
        <is>
          <t>100.0</t>
        </is>
      </c>
      <c r="F523" s="7" t="n">
        <v>30</v>
      </c>
      <c r="G523" s="7" t="n">
        <v>0.3</v>
      </c>
      <c r="H523" s="7" t="n">
        <v>0</v>
      </c>
      <c r="I523" s="7" t="n">
        <v>-0.3</v>
      </c>
      <c r="J523" s="8" t="n">
        <v>2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00143980305</t>
        </is>
      </c>
      <c r="D524" s="5" t="inlineStr">
        <is>
          <t>DOXYCYCLINE HYCLATE 100MG CAPSULE</t>
        </is>
      </c>
      <c r="E524" s="6" t="inlineStr">
        <is>
          <t>500.0</t>
        </is>
      </c>
      <c r="F524" s="7" t="n">
        <v>28</v>
      </c>
      <c r="G524" s="7" t="n">
        <v>0.056</v>
      </c>
      <c r="H524" s="7" t="n">
        <v>0</v>
      </c>
      <c r="I524" s="7" t="n">
        <v>-0.056</v>
      </c>
      <c r="J524" s="8" t="n">
        <v>2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60258016001</t>
        </is>
      </c>
      <c r="D525" s="5" t="inlineStr">
        <is>
          <t>RENA-VITE  TABLET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5</v>
      </c>
      <c r="I525" s="7" t="n">
        <v>4.7</v>
      </c>
      <c r="J525" s="8" t="n">
        <v>2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13668013510</t>
        </is>
      </c>
      <c r="D526" s="5" t="inlineStr">
        <is>
          <t>ESCITALOPRAM 5MG TABLET</t>
        </is>
      </c>
      <c r="E526" s="6" t="inlineStr">
        <is>
          <t>1000.0</t>
        </is>
      </c>
      <c r="F526" s="7" t="n">
        <v>120</v>
      </c>
      <c r="G526" s="7" t="n">
        <v>0.12</v>
      </c>
      <c r="H526" s="7" t="n">
        <v>0</v>
      </c>
      <c r="I526" s="7" t="n">
        <v>-0.12</v>
      </c>
      <c r="J526" s="8" t="n">
        <v>2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61442010305</t>
        </is>
      </c>
      <c r="D527" s="5" t="inlineStr">
        <is>
          <t xml:space="preserve">DICLOFENAC SOD 75MG TAB DR </t>
        </is>
      </c>
      <c r="E527" s="6" t="inlineStr">
        <is>
          <t>500.0</t>
        </is>
      </c>
      <c r="F527" s="7" t="n">
        <v>30</v>
      </c>
      <c r="G527" s="7" t="n">
        <v>0.06</v>
      </c>
      <c r="H527" s="7" t="n">
        <v>0</v>
      </c>
      <c r="I527" s="7" t="n">
        <v>-0.06</v>
      </c>
      <c r="J527" s="8" t="n">
        <v>2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72888001205</t>
        </is>
      </c>
      <c r="D528" s="5" t="inlineStr">
        <is>
          <t>CYCLOBENZAPRINE 5MG TABLET</t>
        </is>
      </c>
      <c r="E528" s="6" t="inlineStr">
        <is>
          <t>500.0</t>
        </is>
      </c>
      <c r="F528" s="7" t="n">
        <v>157</v>
      </c>
      <c r="G528" s="7" t="n">
        <v>0.314</v>
      </c>
      <c r="H528" s="7" t="n">
        <v>0</v>
      </c>
      <c r="I528" s="7" t="n">
        <v>-0.314</v>
      </c>
      <c r="J528" s="8" t="n">
        <v>2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00093171601</t>
        </is>
      </c>
      <c r="D529" s="5" t="inlineStr">
        <is>
          <t xml:space="preserve">WARFARIN 4MG TAB </t>
        </is>
      </c>
      <c r="E529" s="6" t="inlineStr">
        <is>
          <t>100.0</t>
        </is>
      </c>
      <c r="F529" s="7" t="n">
        <v>50</v>
      </c>
      <c r="G529" s="7" t="n">
        <v>0.5</v>
      </c>
      <c r="H529" s="7" t="n">
        <v>0</v>
      </c>
      <c r="I529" s="7" t="n">
        <v>-0.5</v>
      </c>
      <c r="J529" s="8" t="n">
        <v>2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00406324301</t>
        </is>
      </c>
      <c r="D530" s="5" t="inlineStr">
        <is>
          <t>HYDROMORPHONE HCL 2 MG ORAL TABLET</t>
        </is>
      </c>
      <c r="E530" s="6" t="inlineStr">
        <is>
          <t>100.0</t>
        </is>
      </c>
      <c r="F530" s="7" t="n">
        <v>28</v>
      </c>
      <c r="G530" s="7" t="n">
        <v>0.28</v>
      </c>
      <c r="H530" s="7" t="n">
        <v>0</v>
      </c>
      <c r="I530" s="7" t="n">
        <v>-0.28</v>
      </c>
      <c r="J530" s="8" t="n">
        <v>2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80681004900</t>
        </is>
      </c>
      <c r="D531" s="5" t="inlineStr">
        <is>
          <t>MULTIVITAMIN CHILDRENS TABLET CHEWABLE</t>
        </is>
      </c>
      <c r="E531" s="6" t="inlineStr">
        <is>
          <t>100.0</t>
        </is>
      </c>
      <c r="F531" s="7" t="n">
        <v>60</v>
      </c>
      <c r="G531" s="7" t="n">
        <v>0.6</v>
      </c>
      <c r="H531" s="7" t="n">
        <v>0</v>
      </c>
      <c r="I531" s="7" t="n">
        <v>-0.6</v>
      </c>
      <c r="J531" s="8" t="n">
        <v>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64980043401</t>
        </is>
      </c>
      <c r="D532" s="5" t="inlineStr">
        <is>
          <t>MIDODRINE 5MG TABLET</t>
        </is>
      </c>
      <c r="E532" s="6" t="inlineStr">
        <is>
          <t>100.0</t>
        </is>
      </c>
      <c r="F532" s="7" t="n">
        <v>12</v>
      </c>
      <c r="G532" s="7" t="n">
        <v>0.12</v>
      </c>
      <c r="H532" s="7" t="n">
        <v>0</v>
      </c>
      <c r="I532" s="7" t="n">
        <v>-0.12</v>
      </c>
      <c r="J532" s="8" t="n">
        <v>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00378210005</t>
        </is>
      </c>
      <c r="D533" s="5" t="inlineStr">
        <is>
          <t xml:space="preserve">LOPERAMIDE 2MG CAP </t>
        </is>
      </c>
      <c r="E533" s="6" t="inlineStr">
        <is>
          <t>500.0</t>
        </is>
      </c>
      <c r="F533" s="7" t="n">
        <v>15</v>
      </c>
      <c r="G533" s="7" t="n">
        <v>0.03</v>
      </c>
      <c r="H533" s="7" t="n">
        <v>0</v>
      </c>
      <c r="I533" s="7" t="n">
        <v>-0.03</v>
      </c>
      <c r="J533" s="8" t="n">
        <v>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69097042112</t>
        </is>
      </c>
      <c r="D534" s="5" t="inlineStr">
        <is>
          <t>CELECOXIB 200 MG ORAL CAPSULE</t>
        </is>
      </c>
      <c r="E534" s="6" t="inlineStr">
        <is>
          <t>500.0</t>
        </is>
      </c>
      <c r="F534" s="7" t="n">
        <v>60</v>
      </c>
      <c r="G534" s="7" t="n">
        <v>0.12</v>
      </c>
      <c r="H534" s="7" t="n">
        <v>0</v>
      </c>
      <c r="I534" s="7" t="n">
        <v>-0.12</v>
      </c>
      <c r="J534" s="8" t="n">
        <v>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00904676520</t>
        </is>
      </c>
      <c r="D535" s="5" t="inlineStr">
        <is>
          <t>CETIRIZINE 5 MG/5ML SOLUTION</t>
        </is>
      </c>
      <c r="E535" s="6" t="inlineStr">
        <is>
          <t>118.0</t>
        </is>
      </c>
      <c r="F535" s="7" t="n">
        <v>118</v>
      </c>
      <c r="G535" s="7" t="n">
        <v>1</v>
      </c>
      <c r="H535" s="7" t="n">
        <v>0</v>
      </c>
      <c r="I535" s="7" t="n">
        <v>-1</v>
      </c>
      <c r="J535" s="8" t="n">
        <v>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69238207701</t>
        </is>
      </c>
      <c r="D536" s="5" t="inlineStr">
        <is>
          <t xml:space="preserve">PROPRANOLOL 10MG TABLET </t>
        </is>
      </c>
      <c r="E536" s="6" t="inlineStr">
        <is>
          <t>100.0</t>
        </is>
      </c>
      <c r="F536" s="7" t="n">
        <v>120</v>
      </c>
      <c r="G536" s="7" t="n">
        <v>1.2</v>
      </c>
      <c r="H536" s="7" t="n">
        <v>4</v>
      </c>
      <c r="I536" s="7" t="n">
        <v>2.8</v>
      </c>
      <c r="J536" s="8" t="n">
        <v>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43547027611</t>
        </is>
      </c>
      <c r="D537" s="5" t="inlineStr">
        <is>
          <t xml:space="preserve">DONEPEZIL 10MG TAB </t>
        </is>
      </c>
      <c r="E537" s="6" t="inlineStr">
        <is>
          <t>1000.0</t>
        </is>
      </c>
      <c r="F537" s="7" t="n">
        <v>60</v>
      </c>
      <c r="G537" s="7" t="n">
        <v>0.06</v>
      </c>
      <c r="H537" s="7" t="n">
        <v>0</v>
      </c>
      <c r="I537" s="7" t="n">
        <v>-0.06</v>
      </c>
      <c r="J537" s="8" t="n">
        <v>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67877026218</t>
        </is>
      </c>
      <c r="D538" s="5" t="inlineStr">
        <is>
          <t>RIZATRIPTAN BENZOATE 10MG TABLET</t>
        </is>
      </c>
      <c r="E538" s="6" t="inlineStr">
        <is>
          <t>18.0</t>
        </is>
      </c>
      <c r="F538" s="7" t="n">
        <v>12</v>
      </c>
      <c r="G538" s="7" t="n">
        <v>0.6666666666666666</v>
      </c>
      <c r="H538" s="7" t="n">
        <v>0</v>
      </c>
      <c r="I538" s="7" t="n">
        <v>-0.6666666666666666</v>
      </c>
      <c r="J538" s="8" t="n">
        <v>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64380076111</t>
        </is>
      </c>
      <c r="D539" s="5" t="inlineStr">
        <is>
          <t>OMEGA-3-ACID ETHYL ESTERS 1 GM ORAL CAPSULE</t>
        </is>
      </c>
      <c r="E539" s="6" t="inlineStr">
        <is>
          <t>120.0</t>
        </is>
      </c>
      <c r="F539" s="7" t="n">
        <v>30</v>
      </c>
      <c r="G539" s="7" t="n">
        <v>0.25</v>
      </c>
      <c r="H539" s="7" t="n">
        <v>6</v>
      </c>
      <c r="I539" s="7" t="n">
        <v>5.75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68462039610</t>
        </is>
      </c>
      <c r="D540" s="5" t="inlineStr">
        <is>
          <t>OMEPRAZOLE 20MG CAPSULE DR</t>
        </is>
      </c>
      <c r="E540" s="6" t="inlineStr">
        <is>
          <t>1000.0</t>
        </is>
      </c>
      <c r="F540" s="7" t="n">
        <v>90</v>
      </c>
      <c r="G540" s="7" t="n">
        <v>0.09</v>
      </c>
      <c r="H540" s="7" t="n">
        <v>2</v>
      </c>
      <c r="I540" s="7" t="n">
        <v>1.91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51672400101</t>
        </is>
      </c>
      <c r="D541" s="5" t="inlineStr">
        <is>
          <t>NORTRIPTYLINE 10MG CAPSULE</t>
        </is>
      </c>
      <c r="E541" s="6" t="inlineStr">
        <is>
          <t>100.0</t>
        </is>
      </c>
      <c r="F541" s="7" t="n">
        <v>30</v>
      </c>
      <c r="G541" s="7" t="n">
        <v>0.3</v>
      </c>
      <c r="H541" s="7" t="n">
        <v>0</v>
      </c>
      <c r="I541" s="7" t="n">
        <v>-0.3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51672403001</t>
        </is>
      </c>
      <c r="D542" s="5" t="inlineStr">
        <is>
          <t>WARFARIN SODIUM 3MG TABLET</t>
        </is>
      </c>
      <c r="E542" s="6" t="inlineStr">
        <is>
          <t>100.0</t>
        </is>
      </c>
      <c r="F542" s="7" t="n">
        <v>30</v>
      </c>
      <c r="G542" s="7" t="n">
        <v>0.3</v>
      </c>
      <c r="H542" s="7" t="n">
        <v>0</v>
      </c>
      <c r="I542" s="7" t="n">
        <v>-0.3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00904662735</t>
        </is>
      </c>
      <c r="D543" s="5" t="inlineStr">
        <is>
          <t>EAR DROPS 6.5% SOLUTION</t>
        </is>
      </c>
      <c r="E543" s="6" t="inlineStr">
        <is>
          <t>15.0</t>
        </is>
      </c>
      <c r="F543" s="7" t="n">
        <v>15</v>
      </c>
      <c r="G543" s="7" t="n">
        <v>1</v>
      </c>
      <c r="H543" s="7" t="n">
        <v>0</v>
      </c>
      <c r="I543" s="7" t="n">
        <v>-1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62756014202</t>
        </is>
      </c>
      <c r="D544" s="5" t="inlineStr">
        <is>
          <t xml:space="preserve">METFORMIN ER 500MG TAB </t>
        </is>
      </c>
      <c r="E544" s="6" t="inlineStr">
        <is>
          <t>500.0</t>
        </is>
      </c>
      <c r="F544" s="7" t="n">
        <v>30</v>
      </c>
      <c r="G544" s="7" t="n">
        <v>0.06</v>
      </c>
      <c r="H544" s="7" t="n">
        <v>0</v>
      </c>
      <c r="I544" s="7" t="n">
        <v>-0.06</v>
      </c>
      <c r="J544" s="8" t="n">
        <v>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CVS</t>
        </is>
      </c>
      <c r="C545" s="5" t="inlineStr">
        <is>
          <t>69367024101</t>
        </is>
      </c>
      <c r="D545" s="5" t="inlineStr">
        <is>
          <t>NABUMETONE 500MG TABLET</t>
        </is>
      </c>
      <c r="E545" s="6" t="inlineStr">
        <is>
          <t>100.0</t>
        </is>
      </c>
      <c r="F545" s="7" t="n">
        <v>14</v>
      </c>
      <c r="G545" s="7" t="n">
        <v>0.14</v>
      </c>
      <c r="H545" s="7" t="n">
        <v>0</v>
      </c>
      <c r="I545" s="7" t="n">
        <v>-0.14</v>
      </c>
      <c r="J545" s="8" t="n">
        <v>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CVS</t>
        </is>
      </c>
      <c r="C546" s="5" t="inlineStr">
        <is>
          <t>69097015815</t>
        </is>
      </c>
      <c r="D546" s="5" t="inlineStr">
        <is>
          <t xml:space="preserve">MELOXICAM 7.5MG TAB </t>
        </is>
      </c>
      <c r="E546" s="6" t="inlineStr">
        <is>
          <t>1000.0</t>
        </is>
      </c>
      <c r="F546" s="7" t="n">
        <v>134</v>
      </c>
      <c r="G546" s="7" t="n">
        <v>0.134</v>
      </c>
      <c r="H546" s="7" t="n">
        <v>0</v>
      </c>
      <c r="I546" s="7" t="n">
        <v>-0.134</v>
      </c>
      <c r="J546" s="8" t="n">
        <v>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CVS</t>
        </is>
      </c>
      <c r="C547" s="5" t="inlineStr">
        <is>
          <t>69097015915</t>
        </is>
      </c>
      <c r="D547" s="5" t="inlineStr">
        <is>
          <t>MELOXICAM 15MG TABLET</t>
        </is>
      </c>
      <c r="E547" s="6" t="inlineStr">
        <is>
          <t>1000.0</t>
        </is>
      </c>
      <c r="F547" s="7" t="n">
        <v>30</v>
      </c>
      <c r="G547" s="7" t="n">
        <v>0.03</v>
      </c>
      <c r="H547" s="7" t="n">
        <v>1</v>
      </c>
      <c r="I547" s="7" t="n">
        <v>0.97</v>
      </c>
      <c r="J547" s="8" t="n">
        <v>1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CVS</t>
        </is>
      </c>
      <c r="C548" s="5" t="inlineStr">
        <is>
          <t>80681002000</t>
        </is>
      </c>
      <c r="D548" s="5" t="inlineStr">
        <is>
          <t>MULTI-VITAMIN TABLET</t>
        </is>
      </c>
      <c r="E548" s="6" t="inlineStr">
        <is>
          <t>1000.0</t>
        </is>
      </c>
      <c r="F548" s="7" t="n">
        <v>120</v>
      </c>
      <c r="G548" s="7" t="n">
        <v>0.12</v>
      </c>
      <c r="H548" s="7" t="n">
        <v>1</v>
      </c>
      <c r="I548" s="7" t="n">
        <v>0.88</v>
      </c>
      <c r="J548" s="8" t="n">
        <v>1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CVS</t>
        </is>
      </c>
      <c r="C549" s="5" t="inlineStr">
        <is>
          <t>59651072405</t>
        </is>
      </c>
      <c r="D549" s="5" t="inlineStr">
        <is>
          <t>CLONAZEPAM 2MG TABLET</t>
        </is>
      </c>
      <c r="E549" s="6" t="inlineStr">
        <is>
          <t>500.0</t>
        </is>
      </c>
      <c r="F549" s="7" t="n">
        <v>150</v>
      </c>
      <c r="G549" s="7" t="n">
        <v>0.3</v>
      </c>
      <c r="H549" s="7" t="n">
        <v>0</v>
      </c>
      <c r="I549" s="7" t="n">
        <v>-0.3</v>
      </c>
      <c r="J549" s="8" t="n">
        <v>1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CVS</t>
        </is>
      </c>
      <c r="C550" s="5" t="inlineStr">
        <is>
          <t>00904728080</t>
        </is>
      </c>
      <c r="D550" s="5" t="inlineStr">
        <is>
          <t>DOCUSATE SODIUM 100MG CAPSULE ****NYM</t>
        </is>
      </c>
      <c r="E550" s="6" t="inlineStr">
        <is>
          <t>1000.0</t>
        </is>
      </c>
      <c r="F550" s="7" t="n">
        <v>60</v>
      </c>
      <c r="G550" s="7" t="n">
        <v>0.06</v>
      </c>
      <c r="H550" s="7" t="n">
        <v>1</v>
      </c>
      <c r="I550" s="7" t="n">
        <v>0.9399999999999999</v>
      </c>
      <c r="J550" s="8" t="n">
        <v>1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CVS</t>
        </is>
      </c>
      <c r="C551" s="5" t="inlineStr">
        <is>
          <t>16571040250</t>
        </is>
      </c>
      <c r="D551" s="5" t="inlineStr">
        <is>
          <t xml:space="preserve">CETIRIZINE 10MG TAB </t>
        </is>
      </c>
      <c r="E551" s="6" t="inlineStr">
        <is>
          <t>500.0</t>
        </is>
      </c>
      <c r="F551" s="7" t="n">
        <v>30</v>
      </c>
      <c r="G551" s="7" t="n">
        <v>0.06</v>
      </c>
      <c r="H551" s="7" t="n">
        <v>0</v>
      </c>
      <c r="I551" s="7" t="n">
        <v>-0.06</v>
      </c>
      <c r="J551" s="8" t="n">
        <v>1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CVS</t>
        </is>
      </c>
      <c r="C552" s="5" t="inlineStr">
        <is>
          <t>00143983601</t>
        </is>
      </c>
      <c r="D552" s="5" t="inlineStr">
        <is>
          <t>PENICILLIN V POTASSIUM 500 MG TABLET</t>
        </is>
      </c>
      <c r="E552" s="6" t="inlineStr">
        <is>
          <t>100.0</t>
        </is>
      </c>
      <c r="F552" s="7" t="n">
        <v>21</v>
      </c>
      <c r="G552" s="7" t="n">
        <v>0.21</v>
      </c>
      <c r="H552" s="7" t="n">
        <v>1</v>
      </c>
      <c r="I552" s="7" t="n">
        <v>0.79</v>
      </c>
      <c r="J552" s="8" t="n">
        <v>1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CVS</t>
        </is>
      </c>
      <c r="C553" s="5" t="inlineStr">
        <is>
          <t>55111032005</t>
        </is>
      </c>
      <c r="D553" s="5" t="inlineStr">
        <is>
          <t>GLIMEPIRIDE 1 MG ORAL TABLET</t>
        </is>
      </c>
      <c r="E553" s="6" t="inlineStr">
        <is>
          <t>500.0</t>
        </is>
      </c>
      <c r="F553" s="7" t="n">
        <v>30</v>
      </c>
      <c r="G553" s="7" t="n">
        <v>0.06</v>
      </c>
      <c r="H553" s="7" t="n">
        <v>0</v>
      </c>
      <c r="I553" s="7" t="n">
        <v>-0.06</v>
      </c>
      <c r="J553" s="8" t="n">
        <v>1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CVS</t>
        </is>
      </c>
      <c r="C554" s="5" t="inlineStr">
        <is>
          <t>69680011225</t>
        </is>
      </c>
      <c r="D554" s="5" t="inlineStr">
        <is>
          <t>CYANOCOBALAMIN 1000 MCG/ML INJECTION SOLUTION</t>
        </is>
      </c>
      <c r="E554" s="6" t="inlineStr">
        <is>
          <t>25.0</t>
        </is>
      </c>
      <c r="F554" s="7" t="n">
        <v>1</v>
      </c>
      <c r="G554" s="7" t="n">
        <v>0.04</v>
      </c>
      <c r="H554" s="7" t="n">
        <v>0</v>
      </c>
      <c r="I554" s="7" t="n">
        <v>-0.04</v>
      </c>
      <c r="J554" s="8" t="n">
        <v>1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CVS</t>
        </is>
      </c>
      <c r="C555" s="5" t="inlineStr">
        <is>
          <t>47781026305</t>
        </is>
      </c>
      <c r="D555" s="5" t="inlineStr">
        <is>
          <t>OXYCODONE HCL 5 MG TABLET</t>
        </is>
      </c>
      <c r="E555" s="6" t="inlineStr">
        <is>
          <t>500.0</t>
        </is>
      </c>
      <c r="F555" s="7" t="n">
        <v>15</v>
      </c>
      <c r="G555" s="7" t="n">
        <v>0.03</v>
      </c>
      <c r="H555" s="7" t="n">
        <v>0</v>
      </c>
      <c r="I555" s="7" t="n">
        <v>-0.03</v>
      </c>
      <c r="J555" s="8" t="n">
        <v>1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CVS</t>
        </is>
      </c>
      <c r="C556" s="5" t="inlineStr">
        <is>
          <t>72888003600</t>
        </is>
      </c>
      <c r="D556" s="5" t="inlineStr">
        <is>
          <t>CARVEDILOL 12.5MG TABLET</t>
        </is>
      </c>
      <c r="E556" s="6" t="inlineStr">
        <is>
          <t>1000.0</t>
        </is>
      </c>
      <c r="F556" s="7" t="n">
        <v>60</v>
      </c>
      <c r="G556" s="7" t="n">
        <v>0.06</v>
      </c>
      <c r="H556" s="7" t="n">
        <v>0</v>
      </c>
      <c r="I556" s="7" t="n">
        <v>-0.06</v>
      </c>
      <c r="J556" s="8" t="n">
        <v>1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CVS</t>
        </is>
      </c>
      <c r="C557" s="5" t="inlineStr">
        <is>
          <t>65862022801</t>
        </is>
      </c>
      <c r="D557" s="5" t="inlineStr">
        <is>
          <t>LAMOTRIGINE 100MG TABLET</t>
        </is>
      </c>
      <c r="E557" s="6" t="inlineStr">
        <is>
          <t>100.0</t>
        </is>
      </c>
      <c r="F557" s="7" t="n">
        <v>30</v>
      </c>
      <c r="G557" s="7" t="n">
        <v>0.3</v>
      </c>
      <c r="H557" s="7" t="n">
        <v>0</v>
      </c>
      <c r="I557" s="7" t="n">
        <v>-0.3</v>
      </c>
      <c r="J557" s="8" t="n">
        <v>1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CVS</t>
        </is>
      </c>
      <c r="C558" s="5" t="inlineStr">
        <is>
          <t>68180029503</t>
        </is>
      </c>
      <c r="D558" s="5" t="inlineStr">
        <is>
          <t>DULOXETINE 30MG  CAPSULE DR</t>
        </is>
      </c>
      <c r="E558" s="6" t="inlineStr">
        <is>
          <t>1000.0</t>
        </is>
      </c>
      <c r="F558" s="7" t="n">
        <v>90</v>
      </c>
      <c r="G558" s="7" t="n">
        <v>0.09</v>
      </c>
      <c r="H558" s="7" t="n">
        <v>0</v>
      </c>
      <c r="I558" s="7" t="n">
        <v>-0.09</v>
      </c>
      <c r="J558" s="8" t="n">
        <v>1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CVS</t>
        </is>
      </c>
      <c r="C559" s="5" t="inlineStr">
        <is>
          <t>71921016201</t>
        </is>
      </c>
      <c r="D559" s="5" t="inlineStr">
        <is>
          <t>DOXEPIN 10MG CAPSULE</t>
        </is>
      </c>
      <c r="E559" s="6" t="inlineStr">
        <is>
          <t>100.0</t>
        </is>
      </c>
      <c r="F559" s="7" t="n">
        <v>30</v>
      </c>
      <c r="G559" s="7" t="n">
        <v>0.3</v>
      </c>
      <c r="H559" s="7" t="n">
        <v>0</v>
      </c>
      <c r="I559" s="7" t="n">
        <v>-0.3</v>
      </c>
      <c r="J559" s="8" t="n">
        <v>1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CVS</t>
        </is>
      </c>
      <c r="C560" s="5" t="inlineStr">
        <is>
          <t>72578010092</t>
        </is>
      </c>
      <c r="D560" s="5" t="inlineStr">
        <is>
          <t>LEVOFLOXACIN 750MG TABLET</t>
        </is>
      </c>
      <c r="E560" s="6" t="inlineStr">
        <is>
          <t>20.0</t>
        </is>
      </c>
      <c r="F560" s="7" t="n">
        <v>3</v>
      </c>
      <c r="G560" s="7" t="n">
        <v>0.15</v>
      </c>
      <c r="H560" s="7" t="n">
        <v>0</v>
      </c>
      <c r="I560" s="7" t="n">
        <v>-0.15</v>
      </c>
      <c r="J560" s="8" t="n">
        <v>1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CVS</t>
        </is>
      </c>
      <c r="C561" s="5" t="inlineStr">
        <is>
          <t>57664050289</t>
        </is>
      </c>
      <c r="D561" s="5" t="inlineStr">
        <is>
          <t>TIZANIDINE 2MG TABLET</t>
        </is>
      </c>
      <c r="E561" s="6" t="inlineStr">
        <is>
          <t>150.0</t>
        </is>
      </c>
      <c r="F561" s="7" t="n">
        <v>30</v>
      </c>
      <c r="G561" s="7" t="n">
        <v>0.2</v>
      </c>
      <c r="H561" s="7" t="n">
        <v>0</v>
      </c>
      <c r="I561" s="7" t="n">
        <v>-0.2</v>
      </c>
      <c r="J561" s="8" t="n">
        <v>1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CVS</t>
        </is>
      </c>
      <c r="C562" s="5" t="inlineStr">
        <is>
          <t>00904719260</t>
        </is>
      </c>
      <c r="D562" s="5" t="inlineStr">
        <is>
          <t>FEXOFENADINE 60MG TABLET</t>
        </is>
      </c>
      <c r="E562" s="6" t="inlineStr">
        <is>
          <t>100.0</t>
        </is>
      </c>
      <c r="F562" s="7" t="n">
        <v>180</v>
      </c>
      <c r="G562" s="7" t="n">
        <v>1.8</v>
      </c>
      <c r="H562" s="7" t="n">
        <v>0</v>
      </c>
      <c r="I562" s="7" t="n">
        <v>-1.8</v>
      </c>
      <c r="J562" s="8" t="n">
        <v>1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CVS</t>
        </is>
      </c>
      <c r="C563" s="5" t="inlineStr">
        <is>
          <t>00536132710</t>
        </is>
      </c>
      <c r="D563" s="5" t="inlineStr">
        <is>
          <t>ACETAMINOPHEN 325MG TABLET</t>
        </is>
      </c>
      <c r="E563" s="6" t="inlineStr">
        <is>
          <t>1000.0</t>
        </is>
      </c>
      <c r="F563" s="7" t="n">
        <v>120</v>
      </c>
      <c r="G563" s="7" t="n">
        <v>0.12</v>
      </c>
      <c r="H563" s="7" t="n">
        <v>0</v>
      </c>
      <c r="I563" s="7" t="n">
        <v>-0.12</v>
      </c>
      <c r="J563" s="8" t="n">
        <v>1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CVS</t>
        </is>
      </c>
      <c r="C564" s="5" t="inlineStr">
        <is>
          <t>00904672080</t>
        </is>
      </c>
      <c r="D564" s="5" t="inlineStr">
        <is>
          <t>ACETAMINOPHEN 500MG TABLET NYM</t>
        </is>
      </c>
      <c r="E564" s="6" t="inlineStr">
        <is>
          <t>1000.0</t>
        </is>
      </c>
      <c r="F564" s="7" t="n">
        <v>60</v>
      </c>
      <c r="G564" s="7" t="n">
        <v>0.06</v>
      </c>
      <c r="H564" s="7" t="n">
        <v>0</v>
      </c>
      <c r="I564" s="7" t="n">
        <v>-0.06</v>
      </c>
      <c r="J564" s="8" t="n">
        <v>1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CVS</t>
        </is>
      </c>
      <c r="C565" s="5" t="inlineStr">
        <is>
          <t>00904052360</t>
        </is>
      </c>
      <c r="D565" s="5" t="inlineStr">
        <is>
          <t>VITAMIN C 500MG TABLET</t>
        </is>
      </c>
      <c r="E565" s="6" t="inlineStr">
        <is>
          <t>100.0</t>
        </is>
      </c>
      <c r="F565" s="7" t="n">
        <v>90</v>
      </c>
      <c r="G565" s="7" t="n">
        <v>0.9</v>
      </c>
      <c r="H565" s="7" t="n">
        <v>0</v>
      </c>
      <c r="I565" s="7" t="n">
        <v>-0.9</v>
      </c>
      <c r="J565" s="8" t="n">
        <v>1</v>
      </c>
      <c r="K565" s="9">
        <f>IFERROR(IF((ROUND((J565/G565)*I565,1))&lt;0,(ROUND((J565/G565)*I565,1)),0),0)</f>
        <v/>
      </c>
    </row>
    <row r="566">
      <c r="E566" s="10" t="inlineStr">
        <is>
          <t>TOTAL</t>
        </is>
      </c>
      <c r="F566" s="11">
        <f>SUM(F4:F565)</f>
        <v/>
      </c>
      <c r="G566" s="11">
        <f>SUM(G4:G565)</f>
        <v/>
      </c>
      <c r="H566" s="11">
        <f>SUM(H4:H565)</f>
        <v/>
      </c>
      <c r="I566" s="11">
        <f>SUM(I4:I565)</f>
        <v/>
      </c>
      <c r="J566" s="12">
        <f>SUM(J4:J565)</f>
        <v/>
      </c>
      <c r="K566" s="13">
        <f>SUM(K4:K565)</f>
        <v/>
      </c>
    </row>
    <row r="567">
      <c r="J567" s="14" t="inlineStr">
        <is>
          <t>Audited Drugs Count</t>
        </is>
      </c>
      <c r="K567" s="15">
        <f>COUNTIF(K4:K565,"&lt;0")</f>
        <v/>
      </c>
    </row>
    <row r="568">
      <c r="J568" s="14" t="inlineStr">
        <is>
          <t>Total Audit Exposure</t>
        </is>
      </c>
      <c r="K568" s="16">
        <f>SUMIF(K4:K565,"&lt;0",K4:K565)</f>
        <v/>
      </c>
    </row>
  </sheetData>
  <autoFilter ref="A3:K565"/>
  <mergeCells count="2">
    <mergeCell ref="A2:K2"/>
    <mergeCell ref="A1:K1"/>
  </mergeCells>
  <conditionalFormatting sqref="E4:K56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ENVISIONRX</t>
        </is>
      </c>
    </row>
    <row r="2" ht="24" customHeight="1">
      <c r="A2" s="2" t="inlineStr">
        <is>
          <t>Overall ENVISIONRX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ENVISIONRX</t>
        </is>
      </c>
      <c r="G3" s="3" t="inlineStr">
        <is>
          <t>Packages Billed to ENVISIONRX</t>
        </is>
      </c>
      <c r="H3" s="3" t="inlineStr">
        <is>
          <t>Total Qty Purchased</t>
        </is>
      </c>
      <c r="I3" s="3" t="inlineStr">
        <is>
          <t>Qty Difference for ENVISIONRX</t>
        </is>
      </c>
      <c r="J3" s="3" t="inlineStr">
        <is>
          <t>Actual $ Paid by ENVISIONRX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ENVISIONRX</t>
        </is>
      </c>
      <c r="C4" s="5" t="inlineStr">
        <is>
          <t>68180096301</t>
        </is>
      </c>
      <c r="D4" s="5" t="inlineStr">
        <is>
          <t>ALBUTEROL SULFATE HFA 108 (90 BASE)MCG/ACT AEROSOL</t>
        </is>
      </c>
      <c r="E4" s="6" t="inlineStr">
        <is>
          <t>8.5</t>
        </is>
      </c>
      <c r="F4" s="7" t="n">
        <v>25.5</v>
      </c>
      <c r="G4" s="7" t="n">
        <v>3</v>
      </c>
      <c r="H4" s="7" t="n">
        <v>36</v>
      </c>
      <c r="I4" s="7" t="n">
        <v>33</v>
      </c>
      <c r="J4" s="8" t="n">
        <v>91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ENVISIONRX</t>
        </is>
      </c>
      <c r="C5" s="5" t="inlineStr">
        <is>
          <t>68180029603</t>
        </is>
      </c>
      <c r="D5" s="5" t="inlineStr">
        <is>
          <t>DULOXETINE 60MG CAPSULE DR</t>
        </is>
      </c>
      <c r="E5" s="6" t="inlineStr">
        <is>
          <t>1000.0</t>
        </is>
      </c>
      <c r="F5" s="7" t="n">
        <v>90</v>
      </c>
      <c r="G5" s="7" t="n">
        <v>0.09</v>
      </c>
      <c r="H5" s="7" t="n">
        <v>0</v>
      </c>
      <c r="I5" s="7" t="n">
        <v>-0.09</v>
      </c>
      <c r="J5" s="8" t="n">
        <v>19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ENVISIONRX</t>
        </is>
      </c>
      <c r="C6" s="5" t="inlineStr">
        <is>
          <t>70377007813</t>
        </is>
      </c>
      <c r="D6" s="5" t="inlineStr">
        <is>
          <t>ATORVASTATIN 20MG TABLET</t>
        </is>
      </c>
      <c r="E6" s="6" t="inlineStr">
        <is>
          <t>1000.0</t>
        </is>
      </c>
      <c r="F6" s="7" t="n">
        <v>90</v>
      </c>
      <c r="G6" s="7" t="n">
        <v>0.09</v>
      </c>
      <c r="H6" s="7" t="n">
        <v>4</v>
      </c>
      <c r="I6" s="7" t="n">
        <v>3.91</v>
      </c>
      <c r="J6" s="8" t="n">
        <v>10</v>
      </c>
      <c r="K6" s="9">
        <f>IFERROR(IF((ROUND((J6/G6)*I6,1))&lt;0,(ROUND((J6/G6)*I6,1)),0),0)</f>
        <v/>
      </c>
    </row>
    <row r="7">
      <c r="E7" s="10" t="inlineStr">
        <is>
          <t>TOTAL</t>
        </is>
      </c>
      <c r="F7" s="11">
        <f>SUM(F4:F6)</f>
        <v/>
      </c>
      <c r="G7" s="11">
        <f>SUM(G4:G6)</f>
        <v/>
      </c>
      <c r="H7" s="11">
        <f>SUM(H4:H6)</f>
        <v/>
      </c>
      <c r="I7" s="11">
        <f>SUM(I4:I6)</f>
        <v/>
      </c>
      <c r="J7" s="12">
        <f>SUM(J4:J6)</f>
        <v/>
      </c>
      <c r="K7" s="13">
        <f>SUM(K4:K6)</f>
        <v/>
      </c>
    </row>
    <row r="8">
      <c r="J8" s="14" t="inlineStr">
        <is>
          <t>Audited Drugs Count</t>
        </is>
      </c>
      <c r="K8" s="15">
        <f>COUNTIF(K4:K6,"&lt;0")</f>
        <v/>
      </c>
    </row>
    <row r="9">
      <c r="J9" s="14" t="inlineStr">
        <is>
          <t>Total Audit Exposure</t>
        </is>
      </c>
      <c r="K9" s="16">
        <f>SUMIF(K4:K6,"&lt;0",K4:K6)</f>
        <v/>
      </c>
    </row>
  </sheetData>
  <autoFilter ref="A3:K6"/>
  <mergeCells count="2">
    <mergeCell ref="A2:K2"/>
    <mergeCell ref="A1:K1"/>
  </mergeCells>
  <conditionalFormatting sqref="E4:K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15</v>
      </c>
      <c r="G4" s="7" t="n">
        <v>5</v>
      </c>
      <c r="H4" s="7" t="n">
        <v>7</v>
      </c>
      <c r="I4" s="7" t="n">
        <v>2</v>
      </c>
      <c r="J4" s="8" t="n">
        <v>4613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00002149580</t>
        </is>
      </c>
      <c r="D5" s="5" t="inlineStr">
        <is>
          <t>MOUNJARO 5 MG/0.5ML PEN-INJECTOR</t>
        </is>
      </c>
      <c r="E5" s="6" t="inlineStr">
        <is>
          <t>2.0</t>
        </is>
      </c>
      <c r="F5" s="7" t="n">
        <v>8</v>
      </c>
      <c r="G5" s="7" t="n">
        <v>4</v>
      </c>
      <c r="H5" s="7" t="n">
        <v>9</v>
      </c>
      <c r="I5" s="7" t="n">
        <v>5</v>
      </c>
      <c r="J5" s="8" t="n">
        <v>3993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9</v>
      </c>
      <c r="G6" s="7" t="n">
        <v>3</v>
      </c>
      <c r="H6" s="7" t="n">
        <v>30</v>
      </c>
      <c r="I6" s="7" t="n">
        <v>27</v>
      </c>
      <c r="J6" s="8" t="n">
        <v>2704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50419054101</t>
        </is>
      </c>
      <c r="D7" s="5" t="inlineStr">
        <is>
          <t>KERENDIA 20MG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3</v>
      </c>
      <c r="I7" s="7" t="n">
        <v>0</v>
      </c>
      <c r="J7" s="8" t="n">
        <v>1914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4</v>
      </c>
      <c r="I8" s="7" t="n">
        <v>1</v>
      </c>
      <c r="J8" s="8" t="n">
        <v>1866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180</v>
      </c>
      <c r="G9" s="7" t="n">
        <v>3</v>
      </c>
      <c r="H9" s="7" t="n">
        <v>0</v>
      </c>
      <c r="I9" s="7" t="n">
        <v>-3</v>
      </c>
      <c r="J9" s="8" t="n">
        <v>1753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50458057930</t>
        </is>
      </c>
      <c r="D10" s="5" t="inlineStr">
        <is>
          <t>XARELTO 20MG TAB</t>
        </is>
      </c>
      <c r="E10" s="6" t="inlineStr">
        <is>
          <t>30.0</t>
        </is>
      </c>
      <c r="F10" s="7" t="n">
        <v>90</v>
      </c>
      <c r="G10" s="7" t="n">
        <v>3</v>
      </c>
      <c r="H10" s="7" t="n">
        <v>9</v>
      </c>
      <c r="I10" s="7" t="n">
        <v>6</v>
      </c>
      <c r="J10" s="8" t="n">
        <v>1596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00597015330</t>
        </is>
      </c>
      <c r="D11" s="5" t="inlineStr">
        <is>
          <t xml:space="preserve">JARDIANCE 25MG TAB 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36</v>
      </c>
      <c r="I11" s="7" t="n">
        <v>29</v>
      </c>
      <c r="J11" s="8" t="n">
        <v>1439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00310908012</t>
        </is>
      </c>
      <c r="D12" s="5" t="inlineStr">
        <is>
          <t>AIRSUPRA 90-80 MCG/ACT INHALATION AEROSOL</t>
        </is>
      </c>
      <c r="E12" s="6" t="inlineStr">
        <is>
          <t>10.7</t>
        </is>
      </c>
      <c r="F12" s="7" t="n">
        <v>32.09999999999999</v>
      </c>
      <c r="G12" s="7" t="n">
        <v>3</v>
      </c>
      <c r="H12" s="7" t="n">
        <v>3</v>
      </c>
      <c r="I12" s="7" t="n">
        <v>4.440892098500626e-16</v>
      </c>
      <c r="J12" s="8" t="n">
        <v>1318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240</v>
      </c>
      <c r="G13" s="7" t="n">
        <v>4</v>
      </c>
      <c r="H13" s="7" t="n">
        <v>21</v>
      </c>
      <c r="I13" s="7" t="n">
        <v>17</v>
      </c>
      <c r="J13" s="8" t="n">
        <v>1057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2</v>
      </c>
      <c r="G14" s="7" t="n">
        <v>1</v>
      </c>
      <c r="H14" s="7" t="n">
        <v>11</v>
      </c>
      <c r="I14" s="7" t="n">
        <v>10</v>
      </c>
      <c r="J14" s="8" t="n">
        <v>1015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00002146080</t>
        </is>
      </c>
      <c r="D15" s="5" t="inlineStr">
        <is>
          <t>MOUNJARO 12.5 MG/0.5ML PEN-INJECTOR</t>
        </is>
      </c>
      <c r="E15" s="6" t="inlineStr">
        <is>
          <t>2.0</t>
        </is>
      </c>
      <c r="F15" s="7" t="n">
        <v>2</v>
      </c>
      <c r="G15" s="7" t="n">
        <v>1</v>
      </c>
      <c r="H15" s="7" t="n">
        <v>6</v>
      </c>
      <c r="I15" s="7" t="n">
        <v>5</v>
      </c>
      <c r="J15" s="8" t="n">
        <v>979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30</v>
      </c>
      <c r="G16" s="7" t="n">
        <v>1</v>
      </c>
      <c r="H16" s="7" t="n">
        <v>3</v>
      </c>
      <c r="I16" s="7" t="n">
        <v>2</v>
      </c>
      <c r="J16" s="8" t="n">
        <v>909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50458057830</t>
        </is>
      </c>
      <c r="D17" s="5" t="inlineStr">
        <is>
          <t>XARELTO 15MG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4</v>
      </c>
      <c r="I17" s="7" t="n">
        <v>1</v>
      </c>
      <c r="J17" s="8" t="n">
        <v>629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00597015230</t>
        </is>
      </c>
      <c r="D18" s="5" t="inlineStr">
        <is>
          <t xml:space="preserve">JARDIANCE 10MG TAB </t>
        </is>
      </c>
      <c r="E18" s="6" t="inlineStr">
        <is>
          <t>30.0</t>
        </is>
      </c>
      <c r="F18" s="7" t="n">
        <v>90</v>
      </c>
      <c r="G18" s="7" t="n">
        <v>3</v>
      </c>
      <c r="H18" s="7" t="n">
        <v>38</v>
      </c>
      <c r="I18" s="7" t="n">
        <v>35</v>
      </c>
      <c r="J18" s="8" t="n">
        <v>608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00310461612</t>
        </is>
      </c>
      <c r="D19" s="5" t="inlineStr">
        <is>
          <t>BREZTRI AEROSPHERE 160-9-4.8 MCG/ACT INHALATION AEROSOL</t>
        </is>
      </c>
      <c r="E19" s="6" t="inlineStr">
        <is>
          <t>10.7</t>
        </is>
      </c>
      <c r="F19" s="7" t="n">
        <v>10.7</v>
      </c>
      <c r="G19" s="7" t="n">
        <v>1</v>
      </c>
      <c r="H19" s="7" t="n">
        <v>5</v>
      </c>
      <c r="I19" s="7" t="n">
        <v>4</v>
      </c>
      <c r="J19" s="8" t="n">
        <v>604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00023916360</t>
        </is>
      </c>
      <c r="D20" s="5" t="inlineStr">
        <is>
          <t xml:space="preserve">RESTASIS 0.05% EMULSION </t>
        </is>
      </c>
      <c r="E20" s="6" t="inlineStr">
        <is>
          <t>60.0</t>
        </is>
      </c>
      <c r="F20" s="7" t="n">
        <v>60</v>
      </c>
      <c r="G20" s="7" t="n">
        <v>1</v>
      </c>
      <c r="H20" s="7" t="n">
        <v>16</v>
      </c>
      <c r="I20" s="7" t="n">
        <v>15</v>
      </c>
      <c r="J20" s="8" t="n">
        <v>588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00002771559</t>
        </is>
      </c>
      <c r="D21" s="5" t="inlineStr">
        <is>
          <t>BASAGLAR KWIKPEN 100UNIT/ML INJECTION</t>
        </is>
      </c>
      <c r="E21" s="6" t="inlineStr">
        <is>
          <t>15.0</t>
        </is>
      </c>
      <c r="F21" s="7" t="n">
        <v>27</v>
      </c>
      <c r="G21" s="7" t="n">
        <v>1.8</v>
      </c>
      <c r="H21" s="7" t="n">
        <v>10</v>
      </c>
      <c r="I21" s="7" t="n">
        <v>8.199999999999999</v>
      </c>
      <c r="J21" s="8" t="n">
        <v>534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00093598627</t>
        </is>
      </c>
      <c r="D22" s="5" t="inlineStr">
        <is>
          <t>EPINEPHRINE 0.3MG/0.3ML INJECTION</t>
        </is>
      </c>
      <c r="E22" s="6" t="inlineStr">
        <is>
          <t>2.0</t>
        </is>
      </c>
      <c r="F22" s="7" t="n">
        <v>4</v>
      </c>
      <c r="G22" s="7" t="n">
        <v>2</v>
      </c>
      <c r="H22" s="7" t="n">
        <v>0</v>
      </c>
      <c r="I22" s="7" t="n">
        <v>-2</v>
      </c>
      <c r="J22" s="8" t="n">
        <v>475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70710115903</t>
        </is>
      </c>
      <c r="D23" s="5" t="inlineStr">
        <is>
          <t>MIRABEGRON ER 25MG TABLET</t>
        </is>
      </c>
      <c r="E23" s="6" t="inlineStr">
        <is>
          <t>30.0</t>
        </is>
      </c>
      <c r="F23" s="7" t="n">
        <v>60</v>
      </c>
      <c r="G23" s="7" t="n">
        <v>2</v>
      </c>
      <c r="H23" s="7" t="n">
        <v>0</v>
      </c>
      <c r="I23" s="7" t="n">
        <v>-2</v>
      </c>
      <c r="J23" s="8" t="n">
        <v>440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72205028118</t>
        </is>
      </c>
      <c r="D24" s="5" t="inlineStr">
        <is>
          <t>SACUBITRIL-VALSARTAN 49-51 MG ORAL TABLET</t>
        </is>
      </c>
      <c r="E24" s="6" t="inlineStr">
        <is>
          <t>180.0</t>
        </is>
      </c>
      <c r="F24" s="7" t="n">
        <v>180</v>
      </c>
      <c r="G24" s="7" t="n">
        <v>1</v>
      </c>
      <c r="H24" s="7" t="n">
        <v>8</v>
      </c>
      <c r="I24" s="7" t="n">
        <v>7</v>
      </c>
      <c r="J24" s="8" t="n">
        <v>379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00006027731</t>
        </is>
      </c>
      <c r="D25" s="5" t="inlineStr">
        <is>
          <t>JANUVIA 100MG TAB</t>
        </is>
      </c>
      <c r="E25" s="6" t="inlineStr">
        <is>
          <t>30.0</t>
        </is>
      </c>
      <c r="F25" s="7" t="n">
        <v>90</v>
      </c>
      <c r="G25" s="7" t="n">
        <v>3</v>
      </c>
      <c r="H25" s="7" t="n">
        <v>25</v>
      </c>
      <c r="I25" s="7" t="n">
        <v>22</v>
      </c>
      <c r="J25" s="8" t="n">
        <v>362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00173085910</t>
        </is>
      </c>
      <c r="D26" s="5" t="inlineStr">
        <is>
          <t>BREO ELLIPTA 100-25 MCG/ACT INH AEROSOL</t>
        </is>
      </c>
      <c r="E26" s="6" t="inlineStr">
        <is>
          <t>60.0</t>
        </is>
      </c>
      <c r="F26" s="7" t="n">
        <v>60</v>
      </c>
      <c r="G26" s="7" t="n">
        <v>1</v>
      </c>
      <c r="H26" s="7" t="n">
        <v>4</v>
      </c>
      <c r="I26" s="7" t="n">
        <v>3</v>
      </c>
      <c r="J26" s="8" t="n">
        <v>360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08627007701</t>
        </is>
      </c>
      <c r="D27" s="5" t="inlineStr">
        <is>
          <t>DEXCOM G7 SENSOR</t>
        </is>
      </c>
      <c r="E27" s="6" t="inlineStr">
        <is>
          <t>1.0</t>
        </is>
      </c>
      <c r="F27" s="7" t="n">
        <v>3</v>
      </c>
      <c r="G27" s="7" t="n">
        <v>3</v>
      </c>
      <c r="H27" s="7" t="n">
        <v>10</v>
      </c>
      <c r="I27" s="7" t="n">
        <v>7</v>
      </c>
      <c r="J27" s="8" t="n">
        <v>357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00310737020</t>
        </is>
      </c>
      <c r="D28" s="5" t="inlineStr">
        <is>
          <t>BUDESONIDE/FORMOTEROL 160 /4.5 MCG (SYMBICORT)</t>
        </is>
      </c>
      <c r="E28" s="6" t="inlineStr">
        <is>
          <t>10.2</t>
        </is>
      </c>
      <c r="F28" s="7" t="n">
        <v>20.4</v>
      </c>
      <c r="G28" s="7" t="n">
        <v>2</v>
      </c>
      <c r="H28" s="7" t="n">
        <v>2</v>
      </c>
      <c r="I28" s="7" t="n">
        <v>0</v>
      </c>
      <c r="J28" s="8" t="n">
        <v>354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72205028060</t>
        </is>
      </c>
      <c r="D29" s="5" t="inlineStr">
        <is>
          <t>SACUBITRIL-VALSARTAN 24-26 MG ORAL TABLET</t>
        </is>
      </c>
      <c r="E29" s="6" t="inlineStr">
        <is>
          <t>60.0</t>
        </is>
      </c>
      <c r="F29" s="7" t="n">
        <v>180</v>
      </c>
      <c r="G29" s="7" t="n">
        <v>3</v>
      </c>
      <c r="H29" s="7" t="n">
        <v>0</v>
      </c>
      <c r="I29" s="7" t="n">
        <v>-3</v>
      </c>
      <c r="J29" s="8" t="n">
        <v>344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68462031065</t>
        </is>
      </c>
      <c r="D30" s="5" t="inlineStr">
        <is>
          <t>CALCIPOTRIENE 0.005 % EXTERNAL OINTMENT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1</v>
      </c>
      <c r="I30" s="7" t="n">
        <v>-1</v>
      </c>
      <c r="J30" s="8" t="n">
        <v>339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00005200002</t>
        </is>
      </c>
      <c r="D31" s="5" t="inlineStr">
        <is>
          <t>PREVNAR 20 0.5 ML INTRAMUSCULAR SUSPENSION PREFILLED SYRINGE</t>
        </is>
      </c>
      <c r="E31" s="6" t="inlineStr">
        <is>
          <t>0.5</t>
        </is>
      </c>
      <c r="F31" s="7" t="n">
        <v>0.5</v>
      </c>
      <c r="G31" s="7" t="n">
        <v>1</v>
      </c>
      <c r="H31" s="7" t="n">
        <v>0</v>
      </c>
      <c r="I31" s="7" t="n">
        <v>-1</v>
      </c>
      <c r="J31" s="8" t="n">
        <v>306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00005200010</t>
        </is>
      </c>
      <c r="D32" s="5" t="inlineStr">
        <is>
          <t>PREVNAR 20 0.5 ML PREFILLED SYRINGE</t>
        </is>
      </c>
      <c r="E32" s="6" t="inlineStr">
        <is>
          <t>5.0</t>
        </is>
      </c>
      <c r="F32" s="7" t="n">
        <v>0.5</v>
      </c>
      <c r="G32" s="7" t="n">
        <v>0.1</v>
      </c>
      <c r="H32" s="7" t="n">
        <v>0</v>
      </c>
      <c r="I32" s="7" t="n">
        <v>-0.1</v>
      </c>
      <c r="J32" s="8" t="n">
        <v>297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00173087310</t>
        </is>
      </c>
      <c r="D33" s="5" t="inlineStr">
        <is>
          <t>INCRUSE ELLIPTA 62.5MCG/INH AEROSOL</t>
        </is>
      </c>
      <c r="E33" s="6" t="inlineStr">
        <is>
          <t>30.0</t>
        </is>
      </c>
      <c r="F33" s="7" t="n">
        <v>30</v>
      </c>
      <c r="G33" s="7" t="n">
        <v>1</v>
      </c>
      <c r="H33" s="7" t="n">
        <v>0</v>
      </c>
      <c r="I33" s="7" t="n">
        <v>-1</v>
      </c>
      <c r="J33" s="8" t="n">
        <v>281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43598098160</t>
        </is>
      </c>
      <c r="D34" s="5" t="inlineStr">
        <is>
          <t>RIVAROXABAN 2.5 MG ORAL TABLET</t>
        </is>
      </c>
      <c r="E34" s="6" t="inlineStr">
        <is>
          <t>60.0</t>
        </is>
      </c>
      <c r="F34" s="7" t="n">
        <v>60</v>
      </c>
      <c r="G34" s="7" t="n">
        <v>1</v>
      </c>
      <c r="H34" s="7" t="n">
        <v>1</v>
      </c>
      <c r="I34" s="7" t="n">
        <v>0</v>
      </c>
      <c r="J34" s="8" t="n">
        <v>276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99073070822</t>
        </is>
      </c>
      <c r="D35" s="5" t="inlineStr">
        <is>
          <t>FREESTYLE LITE TEST 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10</v>
      </c>
      <c r="I35" s="7" t="n">
        <v>6</v>
      </c>
      <c r="J35" s="8" t="n">
        <v>252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00456120130</t>
        </is>
      </c>
      <c r="D36" s="5" t="inlineStr">
        <is>
          <t>LINZESS 145MCG CAPSULE</t>
        </is>
      </c>
      <c r="E36" s="6" t="inlineStr">
        <is>
          <t>30.0</t>
        </is>
      </c>
      <c r="F36" s="7" t="n">
        <v>30</v>
      </c>
      <c r="G36" s="7" t="n">
        <v>1</v>
      </c>
      <c r="H36" s="7" t="n">
        <v>20</v>
      </c>
      <c r="I36" s="7" t="n">
        <v>19</v>
      </c>
      <c r="J36" s="8" t="n">
        <v>250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00456120230</t>
        </is>
      </c>
      <c r="D37" s="5" t="inlineStr">
        <is>
          <t xml:space="preserve">LINZESS 290MCG CAP 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14</v>
      </c>
      <c r="I37" s="7" t="n">
        <v>13</v>
      </c>
      <c r="J37" s="8" t="n">
        <v>250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58160082311</t>
        </is>
      </c>
      <c r="D38" s="5" t="inlineStr">
        <is>
          <t>SHINGRIX 50 MCG/0.5ML IM SUSP RECON</t>
        </is>
      </c>
      <c r="E38" s="6" t="inlineStr">
        <is>
          <t>10.0</t>
        </is>
      </c>
      <c r="F38" s="7" t="n">
        <v>1</v>
      </c>
      <c r="G38" s="7" t="n">
        <v>0.1</v>
      </c>
      <c r="H38" s="7" t="n">
        <v>0</v>
      </c>
      <c r="I38" s="7" t="n">
        <v>-0.1</v>
      </c>
      <c r="J38" s="8" t="n">
        <v>224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68462028132</t>
        </is>
      </c>
      <c r="D39" s="5" t="inlineStr">
        <is>
          <t>BRIMONIDINE TARTRATE-TIMOLOL 0.2-0.5 % OPHTHALMIC SOLUTION</t>
        </is>
      </c>
      <c r="E39" s="6" t="inlineStr">
        <is>
          <t>10.0</t>
        </is>
      </c>
      <c r="F39" s="7" t="n">
        <v>10</v>
      </c>
      <c r="G39" s="7" t="n">
        <v>1</v>
      </c>
      <c r="H39" s="7" t="n">
        <v>1</v>
      </c>
      <c r="I39" s="7" t="n">
        <v>0</v>
      </c>
      <c r="J39" s="8" t="n">
        <v>173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59310030240</t>
        </is>
      </c>
      <c r="D40" s="5" t="inlineStr">
        <is>
          <t>QVAR REDIHALER 40MCG/ACT AEROSOL</t>
        </is>
      </c>
      <c r="E40" s="6" t="inlineStr">
        <is>
          <t>10.6</t>
        </is>
      </c>
      <c r="F40" s="7" t="n">
        <v>10.6</v>
      </c>
      <c r="G40" s="7" t="n">
        <v>1</v>
      </c>
      <c r="H40" s="7" t="n">
        <v>0</v>
      </c>
      <c r="I40" s="7" t="n">
        <v>-1</v>
      </c>
      <c r="J40" s="8" t="n">
        <v>165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00310737220</t>
        </is>
      </c>
      <c r="D41" s="5" t="inlineStr">
        <is>
          <t>BUDESONIDE-FORMOTEROL FUMARATE 80-4.5MCG/ACT AEROSOL</t>
        </is>
      </c>
      <c r="E41" s="6" t="inlineStr">
        <is>
          <t>10.2</t>
        </is>
      </c>
      <c r="F41" s="7" t="n">
        <v>10.2</v>
      </c>
      <c r="G41" s="7" t="n">
        <v>1</v>
      </c>
      <c r="H41" s="7" t="n">
        <v>8</v>
      </c>
      <c r="I41" s="7" t="n">
        <v>7</v>
      </c>
      <c r="J41" s="8" t="n">
        <v>159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23155076701</t>
        </is>
      </c>
      <c r="D42" s="5" t="inlineStr">
        <is>
          <t>TETRACYCLINE HCL 500 MG ORAL CAPSULE</t>
        </is>
      </c>
      <c r="E42" s="6" t="inlineStr">
        <is>
          <t>100.0</t>
        </is>
      </c>
      <c r="F42" s="7" t="n">
        <v>112</v>
      </c>
      <c r="G42" s="7" t="n">
        <v>1.12</v>
      </c>
      <c r="H42" s="7" t="n">
        <v>0</v>
      </c>
      <c r="I42" s="7" t="n">
        <v>-1.12</v>
      </c>
      <c r="J42" s="8" t="n">
        <v>138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00006022131</t>
        </is>
      </c>
      <c r="D43" s="5" t="inlineStr">
        <is>
          <t>JANUVIA 25MG TABLET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0</v>
      </c>
      <c r="I43" s="7" t="n">
        <v>-1</v>
      </c>
      <c r="J43" s="8" t="n">
        <v>128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43547046009</t>
        </is>
      </c>
      <c r="D44" s="5" t="inlineStr">
        <is>
          <t>CANDESARTAN CILEXETIL-HCTZ 32-12.5 MG ORAL TABLET</t>
        </is>
      </c>
      <c r="E44" s="6" t="inlineStr">
        <is>
          <t>90.0</t>
        </is>
      </c>
      <c r="F44" s="7" t="n">
        <v>90</v>
      </c>
      <c r="G44" s="7" t="n">
        <v>1</v>
      </c>
      <c r="H44" s="7" t="n">
        <v>0</v>
      </c>
      <c r="I44" s="7" t="n">
        <v>-1</v>
      </c>
      <c r="J44" s="8" t="n">
        <v>119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31722083330</t>
        </is>
      </c>
      <c r="D45" s="5" t="inlineStr">
        <is>
          <t>ENTECAVIR 0.5 MG ORAL TABLET</t>
        </is>
      </c>
      <c r="E45" s="6" t="inlineStr">
        <is>
          <t>30.0</t>
        </is>
      </c>
      <c r="F45" s="7" t="n">
        <v>90</v>
      </c>
      <c r="G45" s="7" t="n">
        <v>3</v>
      </c>
      <c r="H45" s="7" t="n">
        <v>7</v>
      </c>
      <c r="I45" s="7" t="n">
        <v>4</v>
      </c>
      <c r="J45" s="8" t="n">
        <v>114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00006011231</t>
        </is>
      </c>
      <c r="D46" s="5" t="inlineStr">
        <is>
          <t>JANUVIA 50MG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15</v>
      </c>
      <c r="I46" s="7" t="n">
        <v>14</v>
      </c>
      <c r="J46" s="8" t="n">
        <v>113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08290320122</t>
        </is>
      </c>
      <c r="D47" s="5" t="inlineStr">
        <is>
          <t>PEN NEEDLES ALL</t>
        </is>
      </c>
      <c r="E47" s="6" t="inlineStr">
        <is>
          <t>100.0</t>
        </is>
      </c>
      <c r="F47" s="7" t="n">
        <v>200</v>
      </c>
      <c r="G47" s="7" t="n">
        <v>2</v>
      </c>
      <c r="H47" s="7" t="n">
        <v>0</v>
      </c>
      <c r="I47" s="7" t="n">
        <v>-2</v>
      </c>
      <c r="J47" s="8" t="n">
        <v>110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1600</v>
      </c>
      <c r="G48" s="7" t="n">
        <v>4</v>
      </c>
      <c r="H48" s="7" t="n">
        <v>0</v>
      </c>
      <c r="I48" s="7" t="n">
        <v>-4</v>
      </c>
      <c r="J48" s="8" t="n">
        <v>109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70436005504</t>
        </is>
      </c>
      <c r="D49" s="5" t="inlineStr">
        <is>
          <t>MEMANTINE 14MG CAPSULE ER</t>
        </is>
      </c>
      <c r="E49" s="6" t="inlineStr">
        <is>
          <t>30.0</t>
        </is>
      </c>
      <c r="F49" s="7" t="n">
        <v>90</v>
      </c>
      <c r="G49" s="7" t="n">
        <v>3</v>
      </c>
      <c r="H49" s="7" t="n">
        <v>2</v>
      </c>
      <c r="I49" s="7" t="n">
        <v>-1</v>
      </c>
      <c r="J49" s="8" t="n">
        <v>105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31722000530</t>
        </is>
      </c>
      <c r="D50" s="5" t="inlineStr">
        <is>
          <t>MESALAMINE 1000 MG RECTAL SUPPOSITORY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2</v>
      </c>
      <c r="I50" s="7" t="n">
        <v>1</v>
      </c>
      <c r="J50" s="8" t="n">
        <v>105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00054032756</t>
        </is>
      </c>
      <c r="D51" s="5" t="inlineStr">
        <is>
          <t>FLUTICASONE-SALMETEROL 250-50 MCG/ACT INH AEROSOL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104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57599081800</t>
        </is>
      </c>
      <c r="D52" s="5" t="inlineStr">
        <is>
          <t>FREESTYLE LIBRE 3 SENSOR</t>
        </is>
      </c>
      <c r="E52" s="6" t="inlineStr">
        <is>
          <t>1.0</t>
        </is>
      </c>
      <c r="F52" s="7" t="n">
        <v>2</v>
      </c>
      <c r="G52" s="7" t="n">
        <v>2</v>
      </c>
      <c r="H52" s="7" t="n">
        <v>6</v>
      </c>
      <c r="I52" s="7" t="n">
        <v>4</v>
      </c>
      <c r="J52" s="8" t="n">
        <v>92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00093681655</t>
        </is>
      </c>
      <c r="D53" s="5" t="inlineStr">
        <is>
          <t>BUDESONIDE 0.5 MG/2ML INHALATION SUSPENSION</t>
        </is>
      </c>
      <c r="E53" s="6" t="inlineStr">
        <is>
          <t>60.0</t>
        </is>
      </c>
      <c r="F53" s="7" t="n">
        <v>120</v>
      </c>
      <c r="G53" s="7" t="n">
        <v>2</v>
      </c>
      <c r="H53" s="7" t="n">
        <v>0</v>
      </c>
      <c r="I53" s="7" t="n">
        <v>-2</v>
      </c>
      <c r="J53" s="8" t="n">
        <v>91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00378907293</t>
        </is>
      </c>
      <c r="D54" s="5" t="inlineStr">
        <is>
          <t>RIVASTIGMINE 13.3 MG/24HR TRANSDERMAL PATCH 24 HOUR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0</v>
      </c>
      <c r="I54" s="7" t="n">
        <v>-1</v>
      </c>
      <c r="J54" s="8" t="n">
        <v>89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49884078909</t>
        </is>
      </c>
      <c r="D55" s="5" t="inlineStr">
        <is>
          <t>OLMESARTAN-AMLODIPINE-HCTZ 40-10-12.5 MG ORAL TABLET</t>
        </is>
      </c>
      <c r="E55" s="6" t="inlineStr">
        <is>
          <t>90.0</t>
        </is>
      </c>
      <c r="F55" s="7" t="n">
        <v>30</v>
      </c>
      <c r="G55" s="7" t="n">
        <v>0.3333333333333333</v>
      </c>
      <c r="H55" s="7" t="n">
        <v>0</v>
      </c>
      <c r="I55" s="7" t="n">
        <v>-0.3333333333333333</v>
      </c>
      <c r="J55" s="8" t="n">
        <v>80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51</v>
      </c>
      <c r="G56" s="7" t="n">
        <v>6</v>
      </c>
      <c r="H56" s="7" t="n">
        <v>36</v>
      </c>
      <c r="I56" s="7" t="n">
        <v>30</v>
      </c>
      <c r="J56" s="8" t="n">
        <v>79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83257001532</t>
        </is>
      </c>
      <c r="D57" s="5" t="inlineStr">
        <is>
          <t>INSULIN GLARGINE 100 UNIT/ML YFGN</t>
        </is>
      </c>
      <c r="E57" s="6" t="inlineStr">
        <is>
          <t>15.0</t>
        </is>
      </c>
      <c r="F57" s="7" t="n">
        <v>15</v>
      </c>
      <c r="G57" s="7" t="n">
        <v>1</v>
      </c>
      <c r="H57" s="7" t="n">
        <v>3</v>
      </c>
      <c r="I57" s="7" t="n">
        <v>2</v>
      </c>
      <c r="J57" s="8" t="n">
        <v>79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50742050504</t>
        </is>
      </c>
      <c r="D58" s="5" t="inlineStr">
        <is>
          <t>SCOPOLAMINE 1 MG/3DAYS TRANSDERMAL PATCH 72 HOUR</t>
        </is>
      </c>
      <c r="E58" s="6" t="inlineStr">
        <is>
          <t>4.0</t>
        </is>
      </c>
      <c r="F58" s="7" t="n">
        <v>9</v>
      </c>
      <c r="G58" s="7" t="n">
        <v>2.25</v>
      </c>
      <c r="H58" s="7" t="n">
        <v>2</v>
      </c>
      <c r="I58" s="7" t="n">
        <v>-0.25</v>
      </c>
      <c r="J58" s="8" t="n">
        <v>74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45802040049</t>
        </is>
      </c>
      <c r="D59" s="5" t="inlineStr">
        <is>
          <t>CICLOPIROX 0.77 % EXTERNAL SUSPENSION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0</v>
      </c>
      <c r="I59" s="7" t="n">
        <v>-3</v>
      </c>
      <c r="J59" s="8" t="n">
        <v>71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61314063715</t>
        </is>
      </c>
      <c r="D60" s="5" t="inlineStr">
        <is>
          <t>PREDNISOLONE ACETATE 1% SUSPENSION</t>
        </is>
      </c>
      <c r="E60" s="6" t="inlineStr">
        <is>
          <t>15.0</t>
        </is>
      </c>
      <c r="F60" s="7" t="n">
        <v>15</v>
      </c>
      <c r="G60" s="7" t="n">
        <v>1</v>
      </c>
      <c r="H60" s="7" t="n">
        <v>0</v>
      </c>
      <c r="I60" s="7" t="n">
        <v>-1</v>
      </c>
      <c r="J60" s="8" t="n">
        <v>69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98302014071</t>
        </is>
      </c>
      <c r="D61" s="5" t="inlineStr">
        <is>
          <t>LANCETS CHOICE [CVS]</t>
        </is>
      </c>
      <c r="E61" s="6" t="inlineStr">
        <is>
          <t>100.0</t>
        </is>
      </c>
      <c r="F61" s="7" t="n">
        <v>200</v>
      </c>
      <c r="G61" s="7" t="n">
        <v>2</v>
      </c>
      <c r="H61" s="7" t="n">
        <v>0</v>
      </c>
      <c r="I61" s="7" t="n">
        <v>-2</v>
      </c>
      <c r="J61" s="8" t="n">
        <v>67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91237000116</t>
        </is>
      </c>
      <c r="D62" s="5" t="inlineStr">
        <is>
          <t>LANCETS EASY COMFORT</t>
        </is>
      </c>
      <c r="E62" s="6" t="inlineStr">
        <is>
          <t>100.0</t>
        </is>
      </c>
      <c r="F62" s="7" t="n">
        <v>200</v>
      </c>
      <c r="G62" s="7" t="n">
        <v>2</v>
      </c>
      <c r="H62" s="7" t="n">
        <v>0</v>
      </c>
      <c r="I62" s="7" t="n">
        <v>-2</v>
      </c>
      <c r="J62" s="8" t="n">
        <v>66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70010078005</t>
        </is>
      </c>
      <c r="D63" s="5" t="inlineStr">
        <is>
          <t>METOPROLOL SUCCINATE ER 25MG TABLET</t>
        </is>
      </c>
      <c r="E63" s="6" t="inlineStr">
        <is>
          <t>500.0</t>
        </is>
      </c>
      <c r="F63" s="7" t="n">
        <v>360</v>
      </c>
      <c r="G63" s="7" t="n">
        <v>0.72</v>
      </c>
      <c r="H63" s="7" t="n">
        <v>2</v>
      </c>
      <c r="I63" s="7" t="n">
        <v>1.28</v>
      </c>
      <c r="J63" s="8" t="n">
        <v>63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47781023005</t>
        </is>
      </c>
      <c r="D64" s="5" t="inlineStr">
        <is>
          <t>OXYCODONE-APAP 10-325MG TABLET</t>
        </is>
      </c>
      <c r="E64" s="6" t="inlineStr">
        <is>
          <t>500.0</t>
        </is>
      </c>
      <c r="F64" s="7" t="n">
        <v>390</v>
      </c>
      <c r="G64" s="7" t="n">
        <v>0.78</v>
      </c>
      <c r="H64" s="7" t="n">
        <v>4</v>
      </c>
      <c r="I64" s="7" t="n">
        <v>3.22</v>
      </c>
      <c r="J64" s="8" t="n">
        <v>61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65702071110</t>
        </is>
      </c>
      <c r="D65" s="5" t="inlineStr">
        <is>
          <t>ACCU-CHEK GUIDE IN VITRO STRIP</t>
        </is>
      </c>
      <c r="E65" s="6" t="inlineStr">
        <is>
          <t>50.0</t>
        </is>
      </c>
      <c r="F65" s="7" t="n">
        <v>200</v>
      </c>
      <c r="G65" s="7" t="n">
        <v>4</v>
      </c>
      <c r="H65" s="7" t="n">
        <v>4</v>
      </c>
      <c r="I65" s="7" t="n">
        <v>0</v>
      </c>
      <c r="J65" s="8" t="n">
        <v>57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91237000128</t>
        </is>
      </c>
      <c r="D66" s="5" t="inlineStr">
        <is>
          <t xml:space="preserve">ALCOHOL PADS EASY COMFORT  ALPINE </t>
        </is>
      </c>
      <c r="E66" s="6" t="inlineStr">
        <is>
          <t>100.0</t>
        </is>
      </c>
      <c r="F66" s="7" t="n">
        <v>200</v>
      </c>
      <c r="G66" s="7" t="n">
        <v>2</v>
      </c>
      <c r="H66" s="7" t="n">
        <v>0</v>
      </c>
      <c r="I66" s="7" t="n">
        <v>-2</v>
      </c>
      <c r="J66" s="8" t="n">
        <v>52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68180069806</t>
        </is>
      </c>
      <c r="D67" s="5" t="inlineStr">
        <is>
          <t>TRAMADOL HCL ER 200MG TABLET</t>
        </is>
      </c>
      <c r="E67" s="6" t="inlineStr">
        <is>
          <t>30.0</t>
        </is>
      </c>
      <c r="F67" s="7" t="n">
        <v>30</v>
      </c>
      <c r="G67" s="7" t="n">
        <v>1</v>
      </c>
      <c r="H67" s="7" t="n">
        <v>2</v>
      </c>
      <c r="I67" s="7" t="n">
        <v>1</v>
      </c>
      <c r="J67" s="8" t="n">
        <v>49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51672130100</t>
        </is>
      </c>
      <c r="D68" s="5" t="inlineStr">
        <is>
          <t>AMMONIUM LACTATE 12 % EXTERNAL CREAM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24208063110</t>
        </is>
      </c>
      <c r="D69" s="5" t="inlineStr">
        <is>
          <t>NEOMYCIN-POLYMYXIN-HC 1 % OTIC SOLUTION</t>
        </is>
      </c>
      <c r="E69" s="6" t="inlineStr">
        <is>
          <t>10.0</t>
        </is>
      </c>
      <c r="F69" s="7" t="n">
        <v>10</v>
      </c>
      <c r="G69" s="7" t="n">
        <v>1</v>
      </c>
      <c r="H69" s="7" t="n">
        <v>2</v>
      </c>
      <c r="I69" s="7" t="n">
        <v>1</v>
      </c>
      <c r="J69" s="8" t="n">
        <v>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65162003416</t>
        </is>
      </c>
      <c r="D70" s="5" t="inlineStr">
        <is>
          <t>OMEGA-3-ACID ETHYL ESTERS 1 GM ORAL CAPSULE</t>
        </is>
      </c>
      <c r="E70" s="6" t="inlineStr">
        <is>
          <t>120.0</t>
        </is>
      </c>
      <c r="F70" s="7" t="n">
        <v>300</v>
      </c>
      <c r="G70" s="7" t="n">
        <v>2.5</v>
      </c>
      <c r="H70" s="7" t="n">
        <v>0</v>
      </c>
      <c r="I70" s="7" t="n">
        <v>-2.5</v>
      </c>
      <c r="J70" s="8" t="n">
        <v>45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00713063737</t>
        </is>
      </c>
      <c r="D71" s="5" t="inlineStr">
        <is>
          <t>METRONIDAZOLE 0.75 % EXTERNAL GEL</t>
        </is>
      </c>
      <c r="E71" s="6" t="inlineStr">
        <is>
          <t>45.0</t>
        </is>
      </c>
      <c r="F71" s="7" t="n">
        <v>45</v>
      </c>
      <c r="G71" s="7" t="n">
        <v>1</v>
      </c>
      <c r="H71" s="7" t="n">
        <v>0</v>
      </c>
      <c r="I71" s="7" t="n">
        <v>-1</v>
      </c>
      <c r="J71" s="8" t="n">
        <v>44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10702000950</t>
        </is>
      </c>
      <c r="D72" s="5" t="inlineStr">
        <is>
          <t>OXYCODONE 30MG TABLET</t>
        </is>
      </c>
      <c r="E72" s="6" t="inlineStr">
        <is>
          <t>500.0</t>
        </is>
      </c>
      <c r="F72" s="7" t="n">
        <v>120</v>
      </c>
      <c r="G72" s="7" t="n">
        <v>0.24</v>
      </c>
      <c r="H72" s="7" t="n">
        <v>0</v>
      </c>
      <c r="I72" s="7" t="n">
        <v>-0.24</v>
      </c>
      <c r="J72" s="8" t="n">
        <v>43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45802040109</t>
        </is>
      </c>
      <c r="D73" s="5" t="inlineStr">
        <is>
          <t>CICLOPIROX 1 % EXTERNAL SHAMPOO</t>
        </is>
      </c>
      <c r="E73" s="6" t="inlineStr">
        <is>
          <t>120.0</t>
        </is>
      </c>
      <c r="F73" s="7" t="n">
        <v>120</v>
      </c>
      <c r="G73" s="7" t="n">
        <v>1</v>
      </c>
      <c r="H73" s="7" t="n">
        <v>0</v>
      </c>
      <c r="I73" s="7" t="n">
        <v>-1</v>
      </c>
      <c r="J73" s="8" t="n">
        <v>41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43547044103</t>
        </is>
      </c>
      <c r="D74" s="5" t="inlineStr">
        <is>
          <t>TELMISARTAN-HCTZ 40-12.5 MG ORAL TABLET</t>
        </is>
      </c>
      <c r="E74" s="6" t="inlineStr">
        <is>
          <t>30.0</t>
        </is>
      </c>
      <c r="F74" s="7" t="n">
        <v>90</v>
      </c>
      <c r="G74" s="7" t="n">
        <v>3</v>
      </c>
      <c r="H74" s="7" t="n">
        <v>0</v>
      </c>
      <c r="I74" s="7" t="n">
        <v>-3</v>
      </c>
      <c r="J74" s="8" t="n">
        <v>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47781023001</t>
        </is>
      </c>
      <c r="D75" s="5" t="inlineStr">
        <is>
          <t>OXYCODONE-ACETAMINOPHEN 10-325MG TABLET</t>
        </is>
      </c>
      <c r="E75" s="6" t="inlineStr">
        <is>
          <t>100.0</t>
        </is>
      </c>
      <c r="F75" s="7" t="n">
        <v>240</v>
      </c>
      <c r="G75" s="7" t="n">
        <v>2.4</v>
      </c>
      <c r="H75" s="7" t="n">
        <v>14</v>
      </c>
      <c r="I75" s="7" t="n">
        <v>11.6</v>
      </c>
      <c r="J75" s="8" t="n">
        <v>35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70010078205</t>
        </is>
      </c>
      <c r="D76" s="5" t="inlineStr">
        <is>
          <t>METOPROLOL SUCCINATE ER 100MG TABLET</t>
        </is>
      </c>
      <c r="E76" s="6" t="inlineStr">
        <is>
          <t>500.0</t>
        </is>
      </c>
      <c r="F76" s="7" t="n">
        <v>90</v>
      </c>
      <c r="G76" s="7" t="n">
        <v>0.18</v>
      </c>
      <c r="H76" s="7" t="n">
        <v>2</v>
      </c>
      <c r="I76" s="7" t="n">
        <v>1.82</v>
      </c>
      <c r="J76" s="8" t="n">
        <v>35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59762033302</t>
        </is>
      </c>
      <c r="D77" s="5" t="inlineStr">
        <is>
          <t>LATANOPROST 0.005 % OPHTHALMIC SOLUTION</t>
        </is>
      </c>
      <c r="E77" s="6" t="inlineStr">
        <is>
          <t>2.5</t>
        </is>
      </c>
      <c r="F77" s="7" t="n">
        <v>20</v>
      </c>
      <c r="G77" s="7" t="n">
        <v>8</v>
      </c>
      <c r="H77" s="7" t="n">
        <v>48</v>
      </c>
      <c r="I77" s="7" t="n">
        <v>40</v>
      </c>
      <c r="J77" s="8" t="n">
        <v>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23155007101</t>
        </is>
      </c>
      <c r="D78" s="5" t="inlineStr">
        <is>
          <t xml:space="preserve">METHIMAZOLE 10MG TAB </t>
        </is>
      </c>
      <c r="E78" s="6" t="inlineStr">
        <is>
          <t>100.0</t>
        </is>
      </c>
      <c r="F78" s="7" t="n">
        <v>180</v>
      </c>
      <c r="G78" s="7" t="n">
        <v>1.8</v>
      </c>
      <c r="H78" s="7" t="n">
        <v>3</v>
      </c>
      <c r="I78" s="7" t="n">
        <v>1.2</v>
      </c>
      <c r="J78" s="8" t="n">
        <v>32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52817080030</t>
        </is>
      </c>
      <c r="D79" s="5" t="inlineStr">
        <is>
          <t xml:space="preserve">CLOTRIMAZOLE 1 % SOLUTION </t>
        </is>
      </c>
      <c r="E79" s="6" t="inlineStr">
        <is>
          <t>30.0</t>
        </is>
      </c>
      <c r="F79" s="7" t="n">
        <v>30</v>
      </c>
      <c r="G79" s="7" t="n">
        <v>1</v>
      </c>
      <c r="H79" s="7" t="n">
        <v>0</v>
      </c>
      <c r="I79" s="7" t="n">
        <v>-1</v>
      </c>
      <c r="J79" s="8" t="n">
        <v>32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630</v>
      </c>
      <c r="G80" s="7" t="n">
        <v>0.63</v>
      </c>
      <c r="H80" s="7" t="n">
        <v>2</v>
      </c>
      <c r="I80" s="7" t="n">
        <v>1.37</v>
      </c>
      <c r="J80" s="8" t="n">
        <v>31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70436005404</t>
        </is>
      </c>
      <c r="D81" s="5" t="inlineStr">
        <is>
          <t>MEMANTINE HCL ER 7 MG ORAL CAPSULE EXTENDED RELEASE 24 HOUR</t>
        </is>
      </c>
      <c r="E81" s="6" t="inlineStr">
        <is>
          <t>30.0</t>
        </is>
      </c>
      <c r="F81" s="7" t="n">
        <v>30</v>
      </c>
      <c r="G81" s="7" t="n">
        <v>1</v>
      </c>
      <c r="H81" s="7" t="n">
        <v>0</v>
      </c>
      <c r="I81" s="7" t="n">
        <v>-1</v>
      </c>
      <c r="J81" s="8" t="n">
        <v>30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00574403110</t>
        </is>
      </c>
      <c r="D82" s="5" t="inlineStr">
        <is>
          <t>TOBRAMYCIN-DEXAMETHASONE 0.3-0.1 % OPHTHALMIC SUSPENSION</t>
        </is>
      </c>
      <c r="E82" s="6" t="inlineStr">
        <is>
          <t>10.0</t>
        </is>
      </c>
      <c r="F82" s="7" t="n">
        <v>10</v>
      </c>
      <c r="G82" s="7" t="n">
        <v>1</v>
      </c>
      <c r="H82" s="7" t="n">
        <v>0</v>
      </c>
      <c r="I82" s="7" t="n">
        <v>-1</v>
      </c>
      <c r="J82" s="8" t="n">
        <v>27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69238201702</t>
        </is>
      </c>
      <c r="D83" s="5" t="inlineStr">
        <is>
          <t>IPRATROPIUM BROMIDE 0.06 % NASAL SOLUTION</t>
        </is>
      </c>
      <c r="E83" s="6" t="inlineStr">
        <is>
          <t>15.0</t>
        </is>
      </c>
      <c r="F83" s="7" t="n">
        <v>15</v>
      </c>
      <c r="G83" s="7" t="n">
        <v>1</v>
      </c>
      <c r="H83" s="7" t="n">
        <v>0</v>
      </c>
      <c r="I83" s="7" t="n">
        <v>-1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51672408104</t>
        </is>
      </c>
      <c r="D84" s="5" t="inlineStr">
        <is>
          <t>CLINDAMYCIN PHOSPHATE 1 % EXTERNAL SOLUTION</t>
        </is>
      </c>
      <c r="E84" s="6" t="inlineStr">
        <is>
          <t>60.0</t>
        </is>
      </c>
      <c r="F84" s="7" t="n">
        <v>60</v>
      </c>
      <c r="G84" s="7" t="n">
        <v>1</v>
      </c>
      <c r="H84" s="7" t="n">
        <v>0</v>
      </c>
      <c r="I84" s="7" t="n">
        <v>-1</v>
      </c>
      <c r="J84" s="8" t="n">
        <v>26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60219174903</t>
        </is>
      </c>
      <c r="D85" s="5" t="inlineStr">
        <is>
          <t>ATROPINE SULFATE 1 % OPHTHALMIC SOLUTION</t>
        </is>
      </c>
      <c r="E85" s="6" t="inlineStr">
        <is>
          <t>5.0</t>
        </is>
      </c>
      <c r="F85" s="7" t="n">
        <v>5</v>
      </c>
      <c r="G85" s="7" t="n">
        <v>1</v>
      </c>
      <c r="H85" s="7" t="n">
        <v>0</v>
      </c>
      <c r="I85" s="7" t="n">
        <v>-1</v>
      </c>
      <c r="J85" s="8" t="n">
        <v>25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68462074635</t>
        </is>
      </c>
      <c r="D86" s="5" t="inlineStr">
        <is>
          <t>ACYCLOVIR 5 % EXTERNAL OINTMENT</t>
        </is>
      </c>
      <c r="E86" s="6" t="inlineStr">
        <is>
          <t>30.0</t>
        </is>
      </c>
      <c r="F86" s="7" t="n">
        <v>30</v>
      </c>
      <c r="G86" s="7" t="n">
        <v>1</v>
      </c>
      <c r="H86" s="7" t="n">
        <v>2</v>
      </c>
      <c r="I86" s="7" t="n">
        <v>1</v>
      </c>
      <c r="J86" s="8" t="n">
        <v>24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70954066210</t>
        </is>
      </c>
      <c r="D88" s="5" t="inlineStr">
        <is>
          <t>KETOCONAZOLE 2 % EXTERNAL SHAMPOO</t>
        </is>
      </c>
      <c r="E88" s="6" t="inlineStr">
        <is>
          <t>120.0</t>
        </is>
      </c>
      <c r="F88" s="7" t="n">
        <v>240</v>
      </c>
      <c r="G88" s="7" t="n">
        <v>2</v>
      </c>
      <c r="H88" s="7" t="n">
        <v>17</v>
      </c>
      <c r="I88" s="7" t="n">
        <v>15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20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60505082901</t>
        </is>
      </c>
      <c r="D90" s="5" t="inlineStr">
        <is>
          <t>FLUTICASONE 50MCG (NASAL) SUSPENSION</t>
        </is>
      </c>
      <c r="E90" s="6" t="inlineStr">
        <is>
          <t>16.0</t>
        </is>
      </c>
      <c r="F90" s="7" t="n">
        <v>112</v>
      </c>
      <c r="G90" s="7" t="n">
        <v>7</v>
      </c>
      <c r="H90" s="7" t="n">
        <v>42</v>
      </c>
      <c r="I90" s="7" t="n">
        <v>35</v>
      </c>
      <c r="J90" s="8" t="n">
        <v>18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51672130005</t>
        </is>
      </c>
      <c r="D91" s="5" t="inlineStr">
        <is>
          <t>AMMONIUM LACTATE 12 % EXTERNAL LOTION</t>
        </is>
      </c>
      <c r="E91" s="6" t="inlineStr">
        <is>
          <t>225.0</t>
        </is>
      </c>
      <c r="F91" s="7" t="n">
        <v>225</v>
      </c>
      <c r="G91" s="7" t="n">
        <v>1</v>
      </c>
      <c r="H91" s="7" t="n">
        <v>0</v>
      </c>
      <c r="I91" s="7" t="n">
        <v>-1</v>
      </c>
      <c r="J91" s="8" t="n">
        <v>17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65702072910</t>
        </is>
      </c>
      <c r="D92" s="5" t="inlineStr">
        <is>
          <t>ACCU-CHEK GUIDE W/DEVICE KIT</t>
        </is>
      </c>
      <c r="E92" s="6" t="inlineStr">
        <is>
          <t>1.0</t>
        </is>
      </c>
      <c r="F92" s="7" t="n">
        <v>1</v>
      </c>
      <c r="G92" s="7" t="n">
        <v>1</v>
      </c>
      <c r="H92" s="7" t="n">
        <v>0</v>
      </c>
      <c r="I92" s="7" t="n">
        <v>-1</v>
      </c>
      <c r="J92" s="8" t="n">
        <v>17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62332017360</t>
        </is>
      </c>
      <c r="D93" s="5" t="inlineStr">
        <is>
          <t>LACOSAMIDE 150MG TABLET</t>
        </is>
      </c>
      <c r="E93" s="6" t="inlineStr">
        <is>
          <t>60.0</t>
        </is>
      </c>
      <c r="F93" s="7" t="n">
        <v>60</v>
      </c>
      <c r="G93" s="7" t="n">
        <v>1</v>
      </c>
      <c r="H93" s="7" t="n">
        <v>0</v>
      </c>
      <c r="I93" s="7" t="n">
        <v>-1</v>
      </c>
      <c r="J93" s="8" t="n">
        <v>17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69097045805</t>
        </is>
      </c>
      <c r="D94" s="5" t="inlineStr">
        <is>
          <t xml:space="preserve">FENOFIBRATE 145MG TAB </t>
        </is>
      </c>
      <c r="E94" s="6" t="inlineStr">
        <is>
          <t>90.0</t>
        </is>
      </c>
      <c r="F94" s="7" t="n">
        <v>90</v>
      </c>
      <c r="G94" s="7" t="n">
        <v>1</v>
      </c>
      <c r="H94" s="7" t="n">
        <v>0</v>
      </c>
      <c r="I94" s="7" t="n">
        <v>-1</v>
      </c>
      <c r="J94" s="8" t="n">
        <v>17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180</v>
      </c>
      <c r="G95" s="7" t="n">
        <v>0.18</v>
      </c>
      <c r="H95" s="7" t="n">
        <v>2</v>
      </c>
      <c r="I95" s="7" t="n">
        <v>1.82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70756021490</t>
        </is>
      </c>
      <c r="D96" s="5" t="inlineStr">
        <is>
          <t>FENOFIBRATE 54 MG ORAL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0</v>
      </c>
      <c r="I96" s="7" t="n">
        <v>-1</v>
      </c>
      <c r="J96" s="8" t="n">
        <v>16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21922003601</t>
        </is>
      </c>
      <c r="D97" s="5" t="inlineStr">
        <is>
          <t>CLINDAMYCIN PHOSPHATE 1 % EXTERNAL LOTION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3</v>
      </c>
      <c r="I97" s="7" t="n">
        <v>2</v>
      </c>
      <c r="J97" s="8" t="n">
        <v>15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43386009019</t>
        </is>
      </c>
      <c r="D98" s="5" t="inlineStr">
        <is>
          <t xml:space="preserve">GAVILYTE G SOLUTION </t>
        </is>
      </c>
      <c r="E98" s="6" t="inlineStr">
        <is>
          <t>4000.0</t>
        </is>
      </c>
      <c r="F98" s="7" t="n">
        <v>4000</v>
      </c>
      <c r="G98" s="7" t="n">
        <v>1</v>
      </c>
      <c r="H98" s="7" t="n">
        <v>6</v>
      </c>
      <c r="I98" s="7" t="n">
        <v>5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61442019205</t>
        </is>
      </c>
      <c r="D99" s="5" t="inlineStr">
        <is>
          <t>MEMANTINE 5MG TABLET</t>
        </is>
      </c>
      <c r="E99" s="6" t="inlineStr">
        <is>
          <t>500.0</t>
        </is>
      </c>
      <c r="F99" s="7" t="n">
        <v>90</v>
      </c>
      <c r="G99" s="7" t="n">
        <v>0.18</v>
      </c>
      <c r="H99" s="7" t="n">
        <v>0</v>
      </c>
      <c r="I99" s="7" t="n">
        <v>-0.18</v>
      </c>
      <c r="J99" s="8" t="n">
        <v>14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72578000805</t>
        </is>
      </c>
      <c r="D100" s="5" t="inlineStr">
        <is>
          <t>METRONIDAZOLE 500MG TABLET</t>
        </is>
      </c>
      <c r="E100" s="6" t="inlineStr">
        <is>
          <t>500.0</t>
        </is>
      </c>
      <c r="F100" s="7" t="n">
        <v>56</v>
      </c>
      <c r="G100" s="7" t="n">
        <v>0.112</v>
      </c>
      <c r="H100" s="7" t="n">
        <v>0</v>
      </c>
      <c r="I100" s="7" t="n">
        <v>-0.112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00378581377</t>
        </is>
      </c>
      <c r="D101" s="5" t="inlineStr">
        <is>
          <t>VALSARTAN 80MG TABLET</t>
        </is>
      </c>
      <c r="E101" s="6" t="inlineStr">
        <is>
          <t>90.0</t>
        </is>
      </c>
      <c r="F101" s="7" t="n">
        <v>60</v>
      </c>
      <c r="G101" s="7" t="n">
        <v>0.6666666666666666</v>
      </c>
      <c r="H101" s="7" t="n">
        <v>0</v>
      </c>
      <c r="I101" s="7" t="n">
        <v>-0.6666666666666666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45963067696</t>
        </is>
      </c>
      <c r="D102" s="5" t="inlineStr">
        <is>
          <t>METOPROLOL SUCCINATE 50MG TABLET ER</t>
        </is>
      </c>
      <c r="E102" s="6" t="inlineStr">
        <is>
          <t>1000.0</t>
        </is>
      </c>
      <c r="F102" s="7" t="n">
        <v>90</v>
      </c>
      <c r="G102" s="7" t="n">
        <v>0.09</v>
      </c>
      <c r="H102" s="7" t="n">
        <v>0</v>
      </c>
      <c r="I102" s="7" t="n">
        <v>-0.09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67877025145</t>
        </is>
      </c>
      <c r="D103" s="5" t="inlineStr">
        <is>
          <t>TRIAMCINOLONE ACETONIDE 0.1% CREAM</t>
        </is>
      </c>
      <c r="E103" s="6" t="inlineStr">
        <is>
          <t>454.0</t>
        </is>
      </c>
      <c r="F103" s="7" t="n">
        <v>454</v>
      </c>
      <c r="G103" s="7" t="n">
        <v>1</v>
      </c>
      <c r="H103" s="7" t="n">
        <v>0</v>
      </c>
      <c r="I103" s="7" t="n">
        <v>-1</v>
      </c>
      <c r="J103" s="8" t="n">
        <v>13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10702005601</t>
        </is>
      </c>
      <c r="D104" s="5" t="inlineStr">
        <is>
          <t>OXYCODONE HCL 10 MG ORAL TABLET</t>
        </is>
      </c>
      <c r="E104" s="6" t="inlineStr">
        <is>
          <t>100.0</t>
        </is>
      </c>
      <c r="F104" s="7" t="n">
        <v>90</v>
      </c>
      <c r="G104" s="7" t="n">
        <v>0.9</v>
      </c>
      <c r="H104" s="7" t="n">
        <v>3</v>
      </c>
      <c r="I104" s="7" t="n">
        <v>2.1</v>
      </c>
      <c r="J104" s="8" t="n">
        <v>13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45802090096</t>
        </is>
      </c>
      <c r="D105" s="5" t="inlineStr">
        <is>
          <t>CLINDAMYCIN PHOS 1 % EXTERNAL GEL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57237004805</t>
        </is>
      </c>
      <c r="D106" s="5" t="inlineStr">
        <is>
          <t>DIVALPROEX 500MG TABLET DELAYED RELEASE</t>
        </is>
      </c>
      <c r="E106" s="6" t="inlineStr">
        <is>
          <t>500.0</t>
        </is>
      </c>
      <c r="F106" s="7" t="n">
        <v>60</v>
      </c>
      <c r="G106" s="7" t="n">
        <v>0.12</v>
      </c>
      <c r="H106" s="7" t="n">
        <v>0</v>
      </c>
      <c r="I106" s="7" t="n">
        <v>-0.12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42858080201</t>
        </is>
      </c>
      <c r="D107" s="5" t="inlineStr">
        <is>
          <t>MORPHINE SULFATE ER 30 MG ORAL TABLET EXTENDED RELEASE</t>
        </is>
      </c>
      <c r="E107" s="6" t="inlineStr">
        <is>
          <t>100.0</t>
        </is>
      </c>
      <c r="F107" s="7" t="n">
        <v>60</v>
      </c>
      <c r="G107" s="7" t="n">
        <v>0.6</v>
      </c>
      <c r="H107" s="7" t="n">
        <v>0</v>
      </c>
      <c r="I107" s="7" t="n">
        <v>-0.6</v>
      </c>
      <c r="J107" s="8" t="n">
        <v>12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57237015901</t>
        </is>
      </c>
      <c r="D108" s="5" t="inlineStr">
        <is>
          <t>REPAGLINIDE 2MG TABLET</t>
        </is>
      </c>
      <c r="E108" s="6" t="inlineStr">
        <is>
          <t>100.0</t>
        </is>
      </c>
      <c r="F108" s="7" t="n">
        <v>60</v>
      </c>
      <c r="G108" s="7" t="n">
        <v>0.6</v>
      </c>
      <c r="H108" s="7" t="n">
        <v>0</v>
      </c>
      <c r="I108" s="7" t="n">
        <v>-0.6</v>
      </c>
      <c r="J108" s="8" t="n">
        <v>12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62756035664</t>
        </is>
      </c>
      <c r="D109" s="5" t="inlineStr">
        <is>
          <t xml:space="preserve">ONDANSETRON ODT 8MG TAB 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59651029701</t>
        </is>
      </c>
      <c r="D110" s="5" t="inlineStr">
        <is>
          <t>NIFEDIPINE 90MG TABLET ER</t>
        </is>
      </c>
      <c r="E110" s="6" t="inlineStr">
        <is>
          <t>100.0</t>
        </is>
      </c>
      <c r="F110" s="7" t="n">
        <v>30</v>
      </c>
      <c r="G110" s="7" t="n">
        <v>0.3</v>
      </c>
      <c r="H110" s="7" t="n">
        <v>0</v>
      </c>
      <c r="I110" s="7" t="n">
        <v>-0.3</v>
      </c>
      <c r="J110" s="8" t="n">
        <v>10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70756044011</t>
        </is>
      </c>
      <c r="D112" s="5" t="inlineStr">
        <is>
          <t>PRAZOSIN HCL 5 MG ORAL CAPSULE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67877022305</t>
        </is>
      </c>
      <c r="D113" s="5" t="inlineStr">
        <is>
          <t>GABAPENTIN 300 MG CAPSULE</t>
        </is>
      </c>
      <c r="E113" s="6" t="inlineStr">
        <is>
          <t>500.0</t>
        </is>
      </c>
      <c r="F113" s="7" t="n">
        <v>180</v>
      </c>
      <c r="G113" s="7" t="n">
        <v>0.36</v>
      </c>
      <c r="H113" s="7" t="n">
        <v>0</v>
      </c>
      <c r="I113" s="7" t="n">
        <v>-0.36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33342029815</t>
        </is>
      </c>
      <c r="D114" s="5" t="inlineStr">
        <is>
          <t>MEMANTINE 10MG TABLET</t>
        </is>
      </c>
      <c r="E114" s="6" t="inlineStr">
        <is>
          <t>500.0</t>
        </is>
      </c>
      <c r="F114" s="7" t="n">
        <v>60</v>
      </c>
      <c r="G114" s="7" t="n">
        <v>0.12</v>
      </c>
      <c r="H114" s="7" t="n">
        <v>0</v>
      </c>
      <c r="I114" s="7" t="n">
        <v>-0.12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00832532411</t>
        </is>
      </c>
      <c r="D115" s="5" t="inlineStr">
        <is>
          <t>POTASSIUM CHLORIDE 10MEQ TABLET ER</t>
        </is>
      </c>
      <c r="E115" s="6" t="inlineStr">
        <is>
          <t>100.0</t>
        </is>
      </c>
      <c r="F115" s="7" t="n">
        <v>42</v>
      </c>
      <c r="G115" s="7" t="n">
        <v>0.42</v>
      </c>
      <c r="H115" s="7" t="n">
        <v>0</v>
      </c>
      <c r="I115" s="7" t="n">
        <v>-0.42</v>
      </c>
      <c r="J115" s="8" t="n">
        <v>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42806036201</t>
        </is>
      </c>
      <c r="D116" s="5" t="inlineStr">
        <is>
          <t>DOXYCYCLINE HYCLATE 20 MG ORAL TABLET</t>
        </is>
      </c>
      <c r="E116" s="6" t="inlineStr">
        <is>
          <t>100.0</t>
        </is>
      </c>
      <c r="F116" s="7" t="n">
        <v>60</v>
      </c>
      <c r="G116" s="7" t="n">
        <v>0.6</v>
      </c>
      <c r="H116" s="7" t="n">
        <v>0</v>
      </c>
      <c r="I116" s="7" t="n">
        <v>-0.6</v>
      </c>
      <c r="J116" s="8" t="n">
        <v>9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00023324015</t>
        </is>
      </c>
      <c r="D118" s="5" t="inlineStr">
        <is>
          <t>REFRESH OPTIVE 0.5-0.9% SOLUTION</t>
        </is>
      </c>
      <c r="E118" s="6" t="inlineStr">
        <is>
          <t>15.0</t>
        </is>
      </c>
      <c r="F118" s="7" t="n">
        <v>15</v>
      </c>
      <c r="G118" s="7" t="n">
        <v>1</v>
      </c>
      <c r="H118" s="7" t="n">
        <v>3</v>
      </c>
      <c r="I118" s="7" t="n">
        <v>2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00093316006</t>
        </is>
      </c>
      <c r="D120" s="5" t="inlineStr">
        <is>
          <t>CEFDINIR 300MG CAPSULE</t>
        </is>
      </c>
      <c r="E120" s="6" t="inlineStr">
        <is>
          <t>60.0</t>
        </is>
      </c>
      <c r="F120" s="7" t="n">
        <v>14</v>
      </c>
      <c r="G120" s="7" t="n">
        <v>0.2333333333333333</v>
      </c>
      <c r="H120" s="7" t="n">
        <v>0</v>
      </c>
      <c r="I120" s="7" t="n">
        <v>-0.2333333333333333</v>
      </c>
      <c r="J120" s="8" t="n">
        <v>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70756040411</t>
        </is>
      </c>
      <c r="D121" s="5" t="inlineStr">
        <is>
          <t>NITROFURANTOIN MONOHYD MACRO 100 MG ORAL CAPSULE</t>
        </is>
      </c>
      <c r="E121" s="6" t="inlineStr">
        <is>
          <t>100.0</t>
        </is>
      </c>
      <c r="F121" s="7" t="n">
        <v>14</v>
      </c>
      <c r="G121" s="7" t="n">
        <v>0.14</v>
      </c>
      <c r="H121" s="7" t="n">
        <v>0</v>
      </c>
      <c r="I121" s="7" t="n">
        <v>-0.14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13668013510</t>
        </is>
      </c>
      <c r="D122" s="5" t="inlineStr">
        <is>
          <t>ESCITALOPRAM 5MG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7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16729000617</t>
        </is>
      </c>
      <c r="D123" s="5" t="inlineStr">
        <is>
          <t>SIMVASTATIN 40MG TABLET</t>
        </is>
      </c>
      <c r="E123" s="6" t="inlineStr">
        <is>
          <t>1000.0</t>
        </is>
      </c>
      <c r="F123" s="7" t="n">
        <v>90</v>
      </c>
      <c r="G123" s="7" t="n">
        <v>0.09</v>
      </c>
      <c r="H123" s="7" t="n">
        <v>0</v>
      </c>
      <c r="I123" s="7" t="n">
        <v>-0.09</v>
      </c>
      <c r="J123" s="8" t="n">
        <v>7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82619014602</t>
        </is>
      </c>
      <c r="D124" s="5" t="inlineStr">
        <is>
          <t>GABAPENTIN 800 MG ORAL TABLET</t>
        </is>
      </c>
      <c r="E124" s="6" t="inlineStr">
        <is>
          <t>500.0</t>
        </is>
      </c>
      <c r="F124" s="7" t="n">
        <v>180</v>
      </c>
      <c r="G124" s="7" t="n">
        <v>0.36</v>
      </c>
      <c r="H124" s="7" t="n">
        <v>0</v>
      </c>
      <c r="I124" s="7" t="n">
        <v>-0.36</v>
      </c>
      <c r="J124" s="8" t="n">
        <v>7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00116400516</t>
        </is>
      </c>
      <c r="D125" s="5" t="inlineStr">
        <is>
          <t>LACTULOSE 10 GM/15ML ORAL SOLUTION</t>
        </is>
      </c>
      <c r="E125" s="6" t="inlineStr">
        <is>
          <t>473.0</t>
        </is>
      </c>
      <c r="F125" s="7" t="n">
        <v>473</v>
      </c>
      <c r="G125" s="7" t="n">
        <v>1</v>
      </c>
      <c r="H125" s="7" t="n">
        <v>2</v>
      </c>
      <c r="I125" s="7" t="n">
        <v>1</v>
      </c>
      <c r="J125" s="8" t="n">
        <v>7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59746000103</t>
        </is>
      </c>
      <c r="D126" s="5" t="inlineStr">
        <is>
          <t xml:space="preserve">METHYLPREDNISOLONE 4MG (MEDROL) </t>
        </is>
      </c>
      <c r="E126" s="6" t="inlineStr">
        <is>
          <t>21.0</t>
        </is>
      </c>
      <c r="F126" s="7" t="n">
        <v>21</v>
      </c>
      <c r="G126" s="7" t="n">
        <v>1</v>
      </c>
      <c r="H126" s="7" t="n">
        <v>0</v>
      </c>
      <c r="I126" s="7" t="n">
        <v>-1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00121185416</t>
        </is>
      </c>
      <c r="D127" s="5" t="inlineStr">
        <is>
          <t>PROMETHAZINE HCL 6.25 MG/5ML ORAL SOLUTION</t>
        </is>
      </c>
      <c r="E127" s="6" t="inlineStr">
        <is>
          <t>473.0</t>
        </is>
      </c>
      <c r="F127" s="7" t="n">
        <v>240</v>
      </c>
      <c r="G127" s="7" t="n">
        <v>0.507399577167019</v>
      </c>
      <c r="H127" s="7" t="n">
        <v>3</v>
      </c>
      <c r="I127" s="7" t="n">
        <v>2.492600422832981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70377007813</t>
        </is>
      </c>
      <c r="D128" s="5" t="inlineStr">
        <is>
          <t>ATORVASTATIN 20MG TABLET</t>
        </is>
      </c>
      <c r="E128" s="6" t="inlineStr">
        <is>
          <t>1000.0</t>
        </is>
      </c>
      <c r="F128" s="7" t="n">
        <v>180</v>
      </c>
      <c r="G128" s="7" t="n">
        <v>0.18</v>
      </c>
      <c r="H128" s="7" t="n">
        <v>4</v>
      </c>
      <c r="I128" s="7" t="n">
        <v>3.82</v>
      </c>
      <c r="J128" s="8" t="n">
        <v>6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31722008230</t>
        </is>
      </c>
      <c r="D129" s="5" t="inlineStr">
        <is>
          <t>LURASIDONE HCL 60 MG ORAL TABLET</t>
        </is>
      </c>
      <c r="E129" s="6" t="inlineStr">
        <is>
          <t>30.0</t>
        </is>
      </c>
      <c r="F129" s="7" t="n">
        <v>30</v>
      </c>
      <c r="G129" s="7" t="n">
        <v>1</v>
      </c>
      <c r="H129" s="7" t="n">
        <v>0</v>
      </c>
      <c r="I129" s="7" t="n">
        <v>-1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51672131201</t>
        </is>
      </c>
      <c r="D130" s="5" t="inlineStr">
        <is>
          <t>MUPIROCIN 2 % EXTERNAL OINTMENT</t>
        </is>
      </c>
      <c r="E130" s="6" t="inlineStr">
        <is>
          <t>15.0</t>
        </is>
      </c>
      <c r="F130" s="7" t="n">
        <v>60</v>
      </c>
      <c r="G130" s="7" t="n">
        <v>4</v>
      </c>
      <c r="H130" s="7" t="n">
        <v>14</v>
      </c>
      <c r="I130" s="7" t="n">
        <v>10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65862020399</t>
        </is>
      </c>
      <c r="D131" s="5" t="inlineStr">
        <is>
          <t>LOSARTAN 100MG TABLET</t>
        </is>
      </c>
      <c r="E131" s="6" t="inlineStr">
        <is>
          <t>1000.0</t>
        </is>
      </c>
      <c r="F131" s="7" t="n">
        <v>90</v>
      </c>
      <c r="G131" s="7" t="n">
        <v>0.09</v>
      </c>
      <c r="H131" s="7" t="n">
        <v>0</v>
      </c>
      <c r="I131" s="7" t="n">
        <v>-0.09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62756014202</t>
        </is>
      </c>
      <c r="D132" s="5" t="inlineStr">
        <is>
          <t xml:space="preserve">METFORMIN ER 500MG TAB </t>
        </is>
      </c>
      <c r="E132" s="6" t="inlineStr">
        <is>
          <t>500.0</t>
        </is>
      </c>
      <c r="F132" s="7" t="n">
        <v>180</v>
      </c>
      <c r="G132" s="7" t="n">
        <v>0.36</v>
      </c>
      <c r="H132" s="7" t="n">
        <v>0</v>
      </c>
      <c r="I132" s="7" t="n">
        <v>-0.36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67877043405</t>
        </is>
      </c>
      <c r="D133" s="5" t="inlineStr">
        <is>
          <t>ARIPIPRAZOLE 20 MG ORAL TABLET</t>
        </is>
      </c>
      <c r="E133" s="6" t="inlineStr">
        <is>
          <t>500.0</t>
        </is>
      </c>
      <c r="F133" s="7" t="n">
        <v>30</v>
      </c>
      <c r="G133" s="7" t="n">
        <v>0.06</v>
      </c>
      <c r="H133" s="7" t="n">
        <v>0</v>
      </c>
      <c r="I133" s="7" t="n">
        <v>-0.06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42192071506</t>
        </is>
      </c>
      <c r="D134" s="5" t="inlineStr">
        <is>
          <t>CICLOPIROX 8 % EXTERNAL SOLUTION</t>
        </is>
      </c>
      <c r="E134" s="6" t="inlineStr">
        <is>
          <t>6.6</t>
        </is>
      </c>
      <c r="F134" s="7" t="n">
        <v>6.6</v>
      </c>
      <c r="G134" s="7" t="n">
        <v>1</v>
      </c>
      <c r="H134" s="7" t="n">
        <v>0</v>
      </c>
      <c r="I134" s="7" t="n">
        <v>-1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50111091703</t>
        </is>
      </c>
      <c r="D135" s="5" t="inlineStr">
        <is>
          <t>TORSEMIDE 20MG TABLET</t>
        </is>
      </c>
      <c r="E135" s="6" t="inlineStr">
        <is>
          <t>1000.0</t>
        </is>
      </c>
      <c r="F135" s="7" t="n">
        <v>60</v>
      </c>
      <c r="G135" s="7" t="n">
        <v>0.06</v>
      </c>
      <c r="H135" s="7" t="n">
        <v>0</v>
      </c>
      <c r="I135" s="7" t="n">
        <v>-0.06</v>
      </c>
      <c r="J135" s="8" t="n">
        <v>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08222440006</t>
        </is>
      </c>
      <c r="D136" s="5" t="inlineStr">
        <is>
          <t>ALCOHOL PADS ULTICARE</t>
        </is>
      </c>
      <c r="E136" s="6" t="inlineStr">
        <is>
          <t>100.0</t>
        </is>
      </c>
      <c r="F136" s="7" t="n">
        <v>100</v>
      </c>
      <c r="G136" s="7" t="n">
        <v>1</v>
      </c>
      <c r="H136" s="7" t="n">
        <v>0</v>
      </c>
      <c r="I136" s="7" t="n">
        <v>-1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29300022010</t>
        </is>
      </c>
      <c r="D137" s="5" t="inlineStr">
        <is>
          <t xml:space="preserve">MONTELUKAST 10MG TAB </t>
        </is>
      </c>
      <c r="E137" s="6" t="inlineStr">
        <is>
          <t>1000.0</t>
        </is>
      </c>
      <c r="F137" s="7" t="n">
        <v>60</v>
      </c>
      <c r="G137" s="7" t="n">
        <v>0.06</v>
      </c>
      <c r="H137" s="7" t="n">
        <v>2</v>
      </c>
      <c r="I137" s="7" t="n">
        <v>1.94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23155065101</t>
        </is>
      </c>
      <c r="D138" s="5" t="inlineStr">
        <is>
          <t>METRONIDAZOLE 250MG TABLET</t>
        </is>
      </c>
      <c r="E138" s="6" t="inlineStr">
        <is>
          <t>100.0</t>
        </is>
      </c>
      <c r="F138" s="7" t="n">
        <v>56</v>
      </c>
      <c r="G138" s="7" t="n">
        <v>0.5600000000000001</v>
      </c>
      <c r="H138" s="7" t="n">
        <v>0</v>
      </c>
      <c r="I138" s="7" t="n">
        <v>-0.5600000000000001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59651054005</t>
        </is>
      </c>
      <c r="D139" s="5" t="inlineStr">
        <is>
          <t>ISOSORBIDE MONONITRATE ER 60 MG ORAL TABLET EXTENDED RELEASE 24 HOUR</t>
        </is>
      </c>
      <c r="E139" s="6" t="inlineStr">
        <is>
          <t>500.0</t>
        </is>
      </c>
      <c r="F139" s="7" t="n">
        <v>30</v>
      </c>
      <c r="G139" s="7" t="n">
        <v>0.06</v>
      </c>
      <c r="H139" s="7" t="n">
        <v>0</v>
      </c>
      <c r="I139" s="7" t="n">
        <v>-0.06</v>
      </c>
      <c r="J139" s="8" t="n">
        <v>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00093220405</t>
        </is>
      </c>
      <c r="D140" s="5" t="inlineStr">
        <is>
          <t>METOCLOPRAMIDE 5MG TABLET</t>
        </is>
      </c>
      <c r="E140" s="6" t="inlineStr">
        <is>
          <t>500.0</t>
        </is>
      </c>
      <c r="F140" s="7" t="n">
        <v>120</v>
      </c>
      <c r="G140" s="7" t="n">
        <v>0.24</v>
      </c>
      <c r="H140" s="7" t="n">
        <v>0</v>
      </c>
      <c r="I140" s="7" t="n">
        <v>-0.24</v>
      </c>
      <c r="J140" s="8" t="n">
        <v>4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50742026003</t>
        </is>
      </c>
      <c r="D141" s="5" t="inlineStr">
        <is>
          <t>NIFEDIPINE 30MG TABLET ER</t>
        </is>
      </c>
      <c r="E141" s="6" t="inlineStr">
        <is>
          <t>300.0</t>
        </is>
      </c>
      <c r="F141" s="7" t="n">
        <v>30</v>
      </c>
      <c r="G141" s="7" t="n">
        <v>0.1</v>
      </c>
      <c r="H141" s="7" t="n">
        <v>2</v>
      </c>
      <c r="I141" s="7" t="n">
        <v>1.9</v>
      </c>
      <c r="J141" s="8" t="n">
        <v>4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00168009915</t>
        </is>
      </c>
      <c r="D142" s="5" t="inlineStr">
        <is>
          <t>KETOCONAZOLE 2 % EXTERNAL CREAM</t>
        </is>
      </c>
      <c r="E142" s="6" t="inlineStr">
        <is>
          <t>15.0</t>
        </is>
      </c>
      <c r="F142" s="7" t="n">
        <v>15</v>
      </c>
      <c r="G142" s="7" t="n">
        <v>1</v>
      </c>
      <c r="H142" s="7" t="n">
        <v>4</v>
      </c>
      <c r="I142" s="7" t="n">
        <v>3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00121087316</t>
        </is>
      </c>
      <c r="D143" s="5" t="inlineStr">
        <is>
          <t>LACTULOSE 10 GM/15ML ORAL SOLUTION</t>
        </is>
      </c>
      <c r="E143" s="6" t="inlineStr">
        <is>
          <t>473.0</t>
        </is>
      </c>
      <c r="F143" s="7" t="n">
        <v>946</v>
      </c>
      <c r="G143" s="7" t="n">
        <v>2</v>
      </c>
      <c r="H143" s="7" t="n">
        <v>0</v>
      </c>
      <c r="I143" s="7" t="n">
        <v>-2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68462039710</t>
        </is>
      </c>
      <c r="D144" s="5" t="inlineStr">
        <is>
          <t>OMEPRAZOLE 40MG CAPSULE DR</t>
        </is>
      </c>
      <c r="E144" s="6" t="inlineStr">
        <is>
          <t>1000.0</t>
        </is>
      </c>
      <c r="F144" s="7" t="n">
        <v>208</v>
      </c>
      <c r="G144" s="7" t="n">
        <v>0.208</v>
      </c>
      <c r="H144" s="7" t="n">
        <v>0</v>
      </c>
      <c r="I144" s="7" t="n">
        <v>-0.208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72888007301</t>
        </is>
      </c>
      <c r="D145" s="5" t="inlineStr">
        <is>
          <t>DICLOFENAC POTASSIUM 50MG TABLET</t>
        </is>
      </c>
      <c r="E145" s="6" t="inlineStr">
        <is>
          <t>100.0</t>
        </is>
      </c>
      <c r="F145" s="7" t="n">
        <v>30</v>
      </c>
      <c r="G145" s="7" t="n">
        <v>0.3</v>
      </c>
      <c r="H145" s="7" t="n">
        <v>0</v>
      </c>
      <c r="I145" s="7" t="n">
        <v>-0.3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57237002801</t>
        </is>
      </c>
      <c r="D146" s="5" t="inlineStr">
        <is>
          <t>AMOXICILLIN 500MG TABLET</t>
        </is>
      </c>
      <c r="E146" s="6" t="inlineStr">
        <is>
          <t>100.0</t>
        </is>
      </c>
      <c r="F146" s="7" t="n">
        <v>21</v>
      </c>
      <c r="G146" s="7" t="n">
        <v>0.21</v>
      </c>
      <c r="H146" s="7" t="n">
        <v>3</v>
      </c>
      <c r="I146" s="7" t="n">
        <v>2.79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62559041701</t>
        </is>
      </c>
      <c r="D147" s="5" t="inlineStr">
        <is>
          <t>BENAZEPRIL-HYDROCHLOROTHIAZIDE 20-25 MG TABLET</t>
        </is>
      </c>
      <c r="E147" s="6" t="inlineStr">
        <is>
          <t>100.0</t>
        </is>
      </c>
      <c r="F147" s="7" t="n">
        <v>30</v>
      </c>
      <c r="G147" s="7" t="n">
        <v>0.3</v>
      </c>
      <c r="H147" s="7" t="n">
        <v>0</v>
      </c>
      <c r="I147" s="7" t="n">
        <v>-0.3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43547027511</t>
        </is>
      </c>
      <c r="D148" s="5" t="inlineStr">
        <is>
          <t xml:space="preserve">DONEPEZIL 5MG TAB 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70377007713</t>
        </is>
      </c>
      <c r="D149" s="5" t="inlineStr">
        <is>
          <t>ATORVASTATIN 10MG TABLET</t>
        </is>
      </c>
      <c r="E149" s="6" t="inlineStr">
        <is>
          <t>1000.0</t>
        </is>
      </c>
      <c r="F149" s="7" t="n">
        <v>120</v>
      </c>
      <c r="G149" s="7" t="n">
        <v>0.12</v>
      </c>
      <c r="H149" s="7" t="n">
        <v>2</v>
      </c>
      <c r="I149" s="7" t="n">
        <v>1.88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70010013801</t>
        </is>
      </c>
      <c r="D150" s="5" t="inlineStr">
        <is>
          <t>NAPROXEN 375 MG TABLET</t>
        </is>
      </c>
      <c r="E150" s="6" t="inlineStr">
        <is>
          <t>100.0</t>
        </is>
      </c>
      <c r="F150" s="7" t="n">
        <v>60</v>
      </c>
      <c r="G150" s="7" t="n">
        <v>0.6</v>
      </c>
      <c r="H150" s="7" t="n">
        <v>0</v>
      </c>
      <c r="I150" s="7" t="n">
        <v>-0.6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00781286810</t>
        </is>
      </c>
      <c r="D151" s="5" t="inlineStr">
        <is>
          <t>OMEPRAZOLE 20MG CAPSULE DR</t>
        </is>
      </c>
      <c r="E151" s="6" t="inlineStr">
        <is>
          <t>1000.0</t>
        </is>
      </c>
      <c r="F151" s="7" t="n">
        <v>178</v>
      </c>
      <c r="G151" s="7" t="n">
        <v>0.178</v>
      </c>
      <c r="H151" s="7" t="n">
        <v>0</v>
      </c>
      <c r="I151" s="7" t="n">
        <v>-0.178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23155083310</t>
        </is>
      </c>
      <c r="D152" s="5" t="inlineStr">
        <is>
          <t>HYDRALAZINE HCL 25 MG TABLET</t>
        </is>
      </c>
      <c r="E152" s="6" t="inlineStr">
        <is>
          <t>1000.0</t>
        </is>
      </c>
      <c r="F152" s="7" t="n">
        <v>90</v>
      </c>
      <c r="G152" s="7" t="n">
        <v>0.09</v>
      </c>
      <c r="H152" s="7" t="n">
        <v>0</v>
      </c>
      <c r="I152" s="7" t="n">
        <v>-0.09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70377000215</t>
        </is>
      </c>
      <c r="D154" s="5" t="inlineStr">
        <is>
          <t>SIMVASTATIN 10MG TABLET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3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65862020299</t>
        </is>
      </c>
      <c r="D155" s="5" t="inlineStr">
        <is>
          <t>LOSARTAN 50MG TABLET</t>
        </is>
      </c>
      <c r="E155" s="6" t="inlineStr">
        <is>
          <t>1000.0</t>
        </is>
      </c>
      <c r="F155" s="7" t="n">
        <v>60</v>
      </c>
      <c r="G155" s="7" t="n">
        <v>0.06</v>
      </c>
      <c r="H155" s="7" t="n">
        <v>0</v>
      </c>
      <c r="I155" s="7" t="n">
        <v>-0.06</v>
      </c>
      <c r="J155" s="8" t="n">
        <v>3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70010006599</t>
        </is>
      </c>
      <c r="D156" s="5" t="inlineStr">
        <is>
          <t>METFORMIN 1000MG TABLET</t>
        </is>
      </c>
      <c r="E156" s="6" t="inlineStr">
        <is>
          <t>1000.0</t>
        </is>
      </c>
      <c r="F156" s="7" t="n">
        <v>210</v>
      </c>
      <c r="G156" s="7" t="n">
        <v>0.21</v>
      </c>
      <c r="H156" s="7" t="n">
        <v>4</v>
      </c>
      <c r="I156" s="7" t="n">
        <v>3.79</v>
      </c>
      <c r="J156" s="8" t="n">
        <v>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61314014305</t>
        </is>
      </c>
      <c r="D157" s="5" t="inlineStr">
        <is>
          <t>BRIMONIDINE TARTRATE 0.2% SOLUTION</t>
        </is>
      </c>
      <c r="E157" s="6" t="inlineStr">
        <is>
          <t>5.0</t>
        </is>
      </c>
      <c r="F157" s="7" t="n">
        <v>5</v>
      </c>
      <c r="G157" s="7" t="n">
        <v>1</v>
      </c>
      <c r="H157" s="7" t="n">
        <v>5</v>
      </c>
      <c r="I157" s="7" t="n">
        <v>4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69097012815</t>
        </is>
      </c>
      <c r="D158" s="5" t="inlineStr">
        <is>
          <t>AMLODIPINE 10MG TABLET</t>
        </is>
      </c>
      <c r="E158" s="6" t="inlineStr">
        <is>
          <t>1000.0</t>
        </is>
      </c>
      <c r="F158" s="7" t="n">
        <v>360</v>
      </c>
      <c r="G158" s="7" t="n">
        <v>0.36</v>
      </c>
      <c r="H158" s="7" t="n">
        <v>5</v>
      </c>
      <c r="I158" s="7" t="n">
        <v>4.64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80681013900</t>
        </is>
      </c>
      <c r="D159" s="5" t="inlineStr">
        <is>
          <t xml:space="preserve">CALCIUM-VIT D 600-400MG TAB </t>
        </is>
      </c>
      <c r="E159" s="6" t="inlineStr">
        <is>
          <t>150.0</t>
        </is>
      </c>
      <c r="F159" s="7" t="n">
        <v>180</v>
      </c>
      <c r="G159" s="7" t="n">
        <v>1.2</v>
      </c>
      <c r="H159" s="7" t="n">
        <v>0</v>
      </c>
      <c r="I159" s="7" t="n">
        <v>-1.2</v>
      </c>
      <c r="J159" s="8" t="n">
        <v>2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67877021905</t>
        </is>
      </c>
      <c r="D160" s="5" t="inlineStr">
        <is>
          <t xml:space="preserve">CEPHALEXIN 500MG CAPSULE </t>
        </is>
      </c>
      <c r="E160" s="6" t="inlineStr">
        <is>
          <t>500.0</t>
        </is>
      </c>
      <c r="F160" s="7" t="n">
        <v>20</v>
      </c>
      <c r="G160" s="7" t="n">
        <v>0.04</v>
      </c>
      <c r="H160" s="7" t="n">
        <v>0</v>
      </c>
      <c r="I160" s="7" t="n">
        <v>-0.04</v>
      </c>
      <c r="J160" s="8" t="n">
        <v>2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00904539561</t>
        </is>
      </c>
      <c r="D161" s="5" t="inlineStr">
        <is>
          <t>FERREX 150 150 MG ORAL CAPSULE</t>
        </is>
      </c>
      <c r="E161" s="6" t="inlineStr">
        <is>
          <t>100.0</t>
        </is>
      </c>
      <c r="F161" s="7" t="n">
        <v>30</v>
      </c>
      <c r="G161" s="7" t="n">
        <v>0.3</v>
      </c>
      <c r="H161" s="7" t="n">
        <v>0</v>
      </c>
      <c r="I161" s="7" t="n">
        <v>-0.3</v>
      </c>
      <c r="J161" s="8" t="n">
        <v>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13668009690</t>
        </is>
      </c>
      <c r="D162" s="5" t="inlineStr">
        <is>
          <t xml:space="preserve">PANTOPRAZOLE 20MG TAB </t>
        </is>
      </c>
      <c r="E162" s="6" t="inlineStr">
        <is>
          <t>90.0</t>
        </is>
      </c>
      <c r="F162" s="7" t="n">
        <v>30</v>
      </c>
      <c r="G162" s="7" t="n">
        <v>0.3333333333333333</v>
      </c>
      <c r="H162" s="7" t="n">
        <v>0</v>
      </c>
      <c r="I162" s="7" t="n">
        <v>-0.3333333333333333</v>
      </c>
      <c r="J162" s="8" t="n">
        <v>2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67877084210</t>
        </is>
      </c>
      <c r="D163" s="5" t="inlineStr">
        <is>
          <t>FAMOTIDINE 20MG TABLET</t>
        </is>
      </c>
      <c r="E163" s="6" t="inlineStr">
        <is>
          <t>1000.0</t>
        </is>
      </c>
      <c r="F163" s="7" t="n">
        <v>270</v>
      </c>
      <c r="G163" s="7" t="n">
        <v>0.27</v>
      </c>
      <c r="H163" s="7" t="n">
        <v>2</v>
      </c>
      <c r="I163" s="7" t="n">
        <v>1.73</v>
      </c>
      <c r="J163" s="8" t="n">
        <v>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13668013610</t>
        </is>
      </c>
      <c r="D164" s="5" t="inlineStr">
        <is>
          <t>ESCITALOPRAM 10MG TABLET</t>
        </is>
      </c>
      <c r="E164" s="6" t="inlineStr">
        <is>
          <t>1000.0</t>
        </is>
      </c>
      <c r="F164" s="7" t="n">
        <v>60</v>
      </c>
      <c r="G164" s="7" t="n">
        <v>0.06</v>
      </c>
      <c r="H164" s="7" t="n">
        <v>0</v>
      </c>
      <c r="I164" s="7" t="n">
        <v>-0.06</v>
      </c>
      <c r="J164" s="8" t="n">
        <v>2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68180098003</t>
        </is>
      </c>
      <c r="D165" s="5" t="inlineStr">
        <is>
          <t>LISINOPRIL 10MG TABLET</t>
        </is>
      </c>
      <c r="E165" s="6" t="inlineStr">
        <is>
          <t>1000.0</t>
        </is>
      </c>
      <c r="F165" s="7" t="n">
        <v>90</v>
      </c>
      <c r="G165" s="7" t="n">
        <v>0.09</v>
      </c>
      <c r="H165" s="7" t="n">
        <v>0</v>
      </c>
      <c r="I165" s="7" t="n">
        <v>-0.09</v>
      </c>
      <c r="J165" s="8" t="n">
        <v>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67877032105</t>
        </is>
      </c>
      <c r="D166" s="5" t="inlineStr">
        <is>
          <t xml:space="preserve">IBUPROFEN 800MG TAB </t>
        </is>
      </c>
      <c r="E166" s="6" t="inlineStr">
        <is>
          <t>500.0</t>
        </is>
      </c>
      <c r="F166" s="7" t="n">
        <v>60</v>
      </c>
      <c r="G166" s="7" t="n">
        <v>0.12</v>
      </c>
      <c r="H166" s="7" t="n">
        <v>0</v>
      </c>
      <c r="I166" s="7" t="n">
        <v>-0.12</v>
      </c>
      <c r="J166" s="8" t="n">
        <v>2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68180037603</t>
        </is>
      </c>
      <c r="D167" s="5" t="inlineStr">
        <is>
          <t>LOSARTAN POTASSIUM 25MG TABLET</t>
        </is>
      </c>
      <c r="E167" s="6" t="inlineStr">
        <is>
          <t>1000.0</t>
        </is>
      </c>
      <c r="F167" s="7" t="n">
        <v>90</v>
      </c>
      <c r="G167" s="7" t="n">
        <v>0.09</v>
      </c>
      <c r="H167" s="7" t="n">
        <v>0</v>
      </c>
      <c r="I167" s="7" t="n">
        <v>-0.09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45802000403</t>
        </is>
      </c>
      <c r="D168" s="5" t="inlineStr">
        <is>
          <t xml:space="preserve">HYDROCORTISONE 2.5 % EXTERNAL CREAM </t>
        </is>
      </c>
      <c r="E168" s="6" t="inlineStr">
        <is>
          <t>28.0</t>
        </is>
      </c>
      <c r="F168" s="7" t="n">
        <v>28</v>
      </c>
      <c r="G168" s="7" t="n">
        <v>1</v>
      </c>
      <c r="H168" s="7" t="n">
        <v>0</v>
      </c>
      <c r="I168" s="7" t="n">
        <v>-1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50111056103</t>
        </is>
      </c>
      <c r="D169" s="5" t="inlineStr">
        <is>
          <t>TRAZODONE 100MG TABLET</t>
        </is>
      </c>
      <c r="E169" s="6" t="inlineStr">
        <is>
          <t>1000.0</t>
        </is>
      </c>
      <c r="F169" s="7" t="n">
        <v>135</v>
      </c>
      <c r="G169" s="7" t="n">
        <v>0.135</v>
      </c>
      <c r="H169" s="7" t="n">
        <v>0</v>
      </c>
      <c r="I169" s="7" t="n">
        <v>-0.135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70377000913</t>
        </is>
      </c>
      <c r="D170" s="5" t="inlineStr">
        <is>
          <t>ROSUVASTATIN 40MG TABLET</t>
        </is>
      </c>
      <c r="E170" s="6" t="inlineStr">
        <is>
          <t>500.0</t>
        </is>
      </c>
      <c r="F170" s="7" t="n">
        <v>30</v>
      </c>
      <c r="G170" s="7" t="n">
        <v>0.06</v>
      </c>
      <c r="H170" s="7" t="n">
        <v>0</v>
      </c>
      <c r="I170" s="7" t="n">
        <v>-0.06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45802005911</t>
        </is>
      </c>
      <c r="D171" s="5" t="inlineStr">
        <is>
          <t>NYSTATIN 100000UNIT/GM CREAM</t>
        </is>
      </c>
      <c r="E171" s="6" t="inlineStr">
        <is>
          <t>30.0</t>
        </is>
      </c>
      <c r="F171" s="7" t="n">
        <v>30</v>
      </c>
      <c r="G171" s="7" t="n">
        <v>1</v>
      </c>
      <c r="H171" s="7" t="n">
        <v>0</v>
      </c>
      <c r="I171" s="7" t="n">
        <v>-1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65862056099</t>
        </is>
      </c>
      <c r="D172" s="5" t="inlineStr">
        <is>
          <t xml:space="preserve">PANTOPRAZOLE 40MG TAB </t>
        </is>
      </c>
      <c r="E172" s="6" t="inlineStr">
        <is>
          <t>1000.0</t>
        </is>
      </c>
      <c r="F172" s="7" t="n">
        <v>60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70010006310</t>
        </is>
      </c>
      <c r="D173" s="5" t="inlineStr">
        <is>
          <t>METFORMIN HCL 500 MG TABLET</t>
        </is>
      </c>
      <c r="E173" s="6" t="inlineStr">
        <is>
          <t>1000.0</t>
        </is>
      </c>
      <c r="F173" s="7" t="n">
        <v>180</v>
      </c>
      <c r="G173" s="7" t="n">
        <v>0.18</v>
      </c>
      <c r="H173" s="7" t="n">
        <v>4</v>
      </c>
      <c r="I173" s="7" t="n">
        <v>3.82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57664043788</t>
        </is>
      </c>
      <c r="D174" s="5" t="inlineStr">
        <is>
          <t>DIGOXIN 125 MCG ORAL TABLET</t>
        </is>
      </c>
      <c r="E174" s="6" t="inlineStr">
        <is>
          <t>100.0</t>
        </is>
      </c>
      <c r="F174" s="7" t="n">
        <v>30</v>
      </c>
      <c r="G174" s="7" t="n">
        <v>0.3</v>
      </c>
      <c r="H174" s="7" t="n">
        <v>0</v>
      </c>
      <c r="I174" s="7" t="n">
        <v>-0.3</v>
      </c>
      <c r="J174" s="8" t="n">
        <v>1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43598097710</t>
        </is>
      </c>
      <c r="D175" s="5" t="inlineStr">
        <is>
          <t>DICLOFENAC SODIUM 1 % EXT GEL **NYM</t>
        </is>
      </c>
      <c r="E175" s="6" t="inlineStr">
        <is>
          <t>100.0</t>
        </is>
      </c>
      <c r="F175" s="7" t="n">
        <v>100</v>
      </c>
      <c r="G175" s="7" t="n">
        <v>1</v>
      </c>
      <c r="H175" s="7" t="n">
        <v>48</v>
      </c>
      <c r="I175" s="7" t="n">
        <v>47</v>
      </c>
      <c r="J175" s="8" t="n">
        <v>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69315011710</t>
        </is>
      </c>
      <c r="D176" s="5" t="inlineStr">
        <is>
          <t>FUROSEMIDE 40 MG TABLET</t>
        </is>
      </c>
      <c r="E176" s="6" t="inlineStr">
        <is>
          <t>1000.0</t>
        </is>
      </c>
      <c r="F176" s="7" t="n">
        <v>30</v>
      </c>
      <c r="G176" s="7" t="n">
        <v>0.03</v>
      </c>
      <c r="H176" s="7" t="n">
        <v>1</v>
      </c>
      <c r="I176" s="7" t="n">
        <v>0.97</v>
      </c>
      <c r="J176" s="8" t="n">
        <v>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00093220305</t>
        </is>
      </c>
      <c r="D177" s="5" t="inlineStr">
        <is>
          <t xml:space="preserve">METOCLOPRAMIDE 10MG TAB </t>
        </is>
      </c>
      <c r="E177" s="6" t="inlineStr">
        <is>
          <t>500.0</t>
        </is>
      </c>
      <c r="F177" s="7" t="n">
        <v>9</v>
      </c>
      <c r="G177" s="7" t="n">
        <v>0.018</v>
      </c>
      <c r="H177" s="7" t="n">
        <v>0</v>
      </c>
      <c r="I177" s="7" t="n">
        <v>-0.018</v>
      </c>
      <c r="J177" s="8" t="n">
        <v>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45802065087</t>
        </is>
      </c>
      <c r="D178" s="5" t="inlineStr">
        <is>
          <t xml:space="preserve">LORATADINE 10MG TAB </t>
        </is>
      </c>
      <c r="E178" s="6" t="inlineStr">
        <is>
          <t>300.0</t>
        </is>
      </c>
      <c r="F178" s="7" t="n">
        <v>60</v>
      </c>
      <c r="G178" s="7" t="n">
        <v>0.2</v>
      </c>
      <c r="H178" s="7" t="n">
        <v>0</v>
      </c>
      <c r="I178" s="7" t="n">
        <v>-0.2</v>
      </c>
      <c r="J178" s="8" t="n">
        <v>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10006073038</t>
        </is>
      </c>
      <c r="D179" s="5" t="inlineStr">
        <is>
          <t>MAGNESIUM OXIDE 400MG TABLET</t>
        </is>
      </c>
      <c r="E179" s="6" t="inlineStr">
        <is>
          <t>120.0</t>
        </is>
      </c>
      <c r="F179" s="7" t="n">
        <v>30</v>
      </c>
      <c r="G179" s="7" t="n">
        <v>0.25</v>
      </c>
      <c r="H179" s="7" t="n">
        <v>10</v>
      </c>
      <c r="I179" s="7" t="n">
        <v>9.75</v>
      </c>
      <c r="J179" s="8" t="n">
        <v>1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69097015912</t>
        </is>
      </c>
      <c r="D180" s="5" t="inlineStr">
        <is>
          <t xml:space="preserve">MELOXICAM 15MG TAB </t>
        </is>
      </c>
      <c r="E180" s="6" t="inlineStr">
        <is>
          <t>500.0</t>
        </is>
      </c>
      <c r="F180" s="7" t="n">
        <v>30</v>
      </c>
      <c r="G180" s="7" t="n">
        <v>0.06</v>
      </c>
      <c r="H180" s="7" t="n">
        <v>0</v>
      </c>
      <c r="I180" s="7" t="n">
        <v>-0.06</v>
      </c>
      <c r="J180" s="8" t="n">
        <v>1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68180096803</t>
        </is>
      </c>
      <c r="D181" s="5" t="inlineStr">
        <is>
          <t>LEVOTHYROXINE 88MCG TABLET</t>
        </is>
      </c>
      <c r="E181" s="6" t="inlineStr">
        <is>
          <t>1000.0</t>
        </is>
      </c>
      <c r="F181" s="7" t="n">
        <v>30</v>
      </c>
      <c r="G181" s="7" t="n">
        <v>0.03</v>
      </c>
      <c r="H181" s="7" t="n">
        <v>0</v>
      </c>
      <c r="I181" s="7" t="n">
        <v>-0.03</v>
      </c>
      <c r="J181" s="8" t="n">
        <v>1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61314012610</t>
        </is>
      </c>
      <c r="D182" s="5" t="inlineStr">
        <is>
          <t>KETOROLAC TROMETHAMINE 0.5 % OPHTHALMIC SOLUTION</t>
        </is>
      </c>
      <c r="E182" s="6" t="inlineStr">
        <is>
          <t>10.0</t>
        </is>
      </c>
      <c r="F182" s="7" t="n">
        <v>10</v>
      </c>
      <c r="G182" s="7" t="n">
        <v>1</v>
      </c>
      <c r="H182" s="7" t="n">
        <v>5</v>
      </c>
      <c r="I182" s="7" t="n">
        <v>4</v>
      </c>
      <c r="J182" s="8" t="n">
        <v>1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65862001205</t>
        </is>
      </c>
      <c r="D183" s="5" t="inlineStr">
        <is>
          <t>SERTRALINE 50MG TABLET</t>
        </is>
      </c>
      <c r="E183" s="6" t="inlineStr">
        <is>
          <t>500.0</t>
        </is>
      </c>
      <c r="F183" s="7" t="n">
        <v>30</v>
      </c>
      <c r="G183" s="7" t="n">
        <v>0.06</v>
      </c>
      <c r="H183" s="7" t="n">
        <v>0</v>
      </c>
      <c r="I183" s="7" t="n">
        <v>-0.06</v>
      </c>
      <c r="J183" s="8" t="n">
        <v>1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13668000705</t>
        </is>
      </c>
      <c r="D184" s="5" t="inlineStr">
        <is>
          <t xml:space="preserve">ZOLPIDEM TARTRATE 5MG TAB </t>
        </is>
      </c>
      <c r="E184" s="6" t="inlineStr">
        <is>
          <t>500.0</t>
        </is>
      </c>
      <c r="F184" s="7" t="n">
        <v>60</v>
      </c>
      <c r="G184" s="7" t="n">
        <v>0.12</v>
      </c>
      <c r="H184" s="7" t="n">
        <v>0</v>
      </c>
      <c r="I184" s="7" t="n">
        <v>-0.12</v>
      </c>
      <c r="J184" s="8" t="n">
        <v>1</v>
      </c>
      <c r="K184" s="9">
        <f>IFERROR(IF((ROUND((J184/G184)*I184,1))&lt;0,(ROUND((J184/G184)*I184,1)),0),0)</f>
        <v/>
      </c>
    </row>
    <row r="185">
      <c r="E185" s="10" t="inlineStr">
        <is>
          <t>TOTAL</t>
        </is>
      </c>
      <c r="F185" s="11">
        <f>SUM(F4:F184)</f>
        <v/>
      </c>
      <c r="G185" s="11">
        <f>SUM(G4:G184)</f>
        <v/>
      </c>
      <c r="H185" s="11">
        <f>SUM(H4:H184)</f>
        <v/>
      </c>
      <c r="I185" s="11">
        <f>SUM(I4:I184)</f>
        <v/>
      </c>
      <c r="J185" s="12">
        <f>SUM(J4:J184)</f>
        <v/>
      </c>
      <c r="K185" s="13">
        <f>SUM(K4:K184)</f>
        <v/>
      </c>
    </row>
    <row r="186">
      <c r="J186" s="14" t="inlineStr">
        <is>
          <t>Audited Drugs Count</t>
        </is>
      </c>
      <c r="K186" s="15">
        <f>COUNTIF(K4:K184,"&lt;0")</f>
        <v/>
      </c>
    </row>
    <row r="187">
      <c r="J187" s="14" t="inlineStr">
        <is>
          <t>Total Audit Exposure</t>
        </is>
      </c>
      <c r="K187" s="16">
        <f>SUMIF(K4:K184,"&lt;0",K4:K184)</f>
        <v/>
      </c>
    </row>
  </sheetData>
  <autoFilter ref="A3:K184"/>
  <mergeCells count="2">
    <mergeCell ref="A2:K2"/>
    <mergeCell ref="A1:K1"/>
  </mergeCells>
  <conditionalFormatting sqref="E4:K18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9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1</v>
      </c>
      <c r="I4" s="7" t="n">
        <v>0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24208091112</t>
        </is>
      </c>
      <c r="D5" s="5" t="inlineStr">
        <is>
          <t>XIIDRA 5 % OPHTHALMIC SOLUTION</t>
        </is>
      </c>
      <c r="E5" s="6" t="inlineStr">
        <is>
          <t>60.0</t>
        </is>
      </c>
      <c r="F5" s="7" t="n">
        <v>180</v>
      </c>
      <c r="G5" s="7" t="n">
        <v>3</v>
      </c>
      <c r="H5" s="7" t="n">
        <v>0</v>
      </c>
      <c r="I5" s="7" t="n">
        <v>-3</v>
      </c>
      <c r="J5" s="8" t="n">
        <v>2102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6</v>
      </c>
      <c r="G6" s="7" t="n">
        <v>2</v>
      </c>
      <c r="H6" s="7" t="n">
        <v>30</v>
      </c>
      <c r="I6" s="7" t="n">
        <v>28</v>
      </c>
      <c r="J6" s="8" t="n">
        <v>1944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61874011530</t>
        </is>
      </c>
      <c r="D7" s="5" t="inlineStr">
        <is>
          <t>VRAYLAR 1.5MG CAPSULE</t>
        </is>
      </c>
      <c r="E7" s="6" t="inlineStr">
        <is>
          <t>30.0</t>
        </is>
      </c>
      <c r="F7" s="7" t="n">
        <v>30</v>
      </c>
      <c r="G7" s="7" t="n">
        <v>1</v>
      </c>
      <c r="H7" s="7" t="n">
        <v>3</v>
      </c>
      <c r="I7" s="7" t="n">
        <v>2</v>
      </c>
      <c r="J7" s="8" t="n">
        <v>1507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66993045730</t>
        </is>
      </c>
      <c r="D8" s="5" t="inlineStr">
        <is>
          <t>DAPAGLIFLOZIN PROPANEDIOL 10MG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25</v>
      </c>
      <c r="I8" s="7" t="n">
        <v>19</v>
      </c>
      <c r="J8" s="8" t="n">
        <v>1086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00002148480</t>
        </is>
      </c>
      <c r="D9" s="5" t="inlineStr">
        <is>
          <t>MOUNJARO 7.5 MG/0.5ML PEN-INJECTOR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11</v>
      </c>
      <c r="I9" s="7" t="n">
        <v>10</v>
      </c>
      <c r="J9" s="8" t="n">
        <v>1054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00169430330</t>
        </is>
      </c>
      <c r="D10" s="5" t="inlineStr">
        <is>
          <t>RYBELSUS 3MG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3</v>
      </c>
      <c r="I10" s="7" t="n">
        <v>2</v>
      </c>
      <c r="J10" s="8" t="n">
        <v>974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00310737020</t>
        </is>
      </c>
      <c r="D11" s="5" t="inlineStr">
        <is>
          <t>BUDESONIDE/FORMOTEROL 160 /4.5 MCG (SYMBICORT)</t>
        </is>
      </c>
      <c r="E11" s="6" t="inlineStr">
        <is>
          <t>10.2</t>
        </is>
      </c>
      <c r="F11" s="7" t="n">
        <v>30.6</v>
      </c>
      <c r="G11" s="7" t="n">
        <v>3</v>
      </c>
      <c r="H11" s="7" t="n">
        <v>2</v>
      </c>
      <c r="I11" s="7" t="n">
        <v>-1</v>
      </c>
      <c r="J11" s="8" t="n">
        <v>709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00310461612</t>
        </is>
      </c>
      <c r="D12" s="5" t="inlineStr">
        <is>
          <t>BREZTRI AEROSPHERE 160-9-4.8 MCG/ACT INHALATION AEROSOL</t>
        </is>
      </c>
      <c r="E12" s="6" t="inlineStr">
        <is>
          <t>10.7</t>
        </is>
      </c>
      <c r="F12" s="7" t="n">
        <v>10.7</v>
      </c>
      <c r="G12" s="7" t="n">
        <v>1</v>
      </c>
      <c r="H12" s="7" t="n">
        <v>5</v>
      </c>
      <c r="I12" s="7" t="n">
        <v>4</v>
      </c>
      <c r="J12" s="8" t="n">
        <v>649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24208050402</t>
        </is>
      </c>
      <c r="D13" s="5" t="inlineStr">
        <is>
          <t>VYZULTA 0.024 % OPHTHALMIC SOLUTION</t>
        </is>
      </c>
      <c r="E13" s="6" t="inlineStr">
        <is>
          <t>2.5</t>
        </is>
      </c>
      <c r="F13" s="7" t="n">
        <v>5</v>
      </c>
      <c r="G13" s="7" t="n">
        <v>2</v>
      </c>
      <c r="H13" s="7" t="n">
        <v>0</v>
      </c>
      <c r="I13" s="7" t="n">
        <v>-2</v>
      </c>
      <c r="J13" s="8" t="n">
        <v>497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73336007530</t>
        </is>
      </c>
      <c r="D14" s="5" t="inlineStr">
        <is>
          <t>GEMTESA 75MG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489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400</v>
      </c>
      <c r="G15" s="7" t="n">
        <v>8</v>
      </c>
      <c r="H15" s="7" t="n">
        <v>0</v>
      </c>
      <c r="I15" s="7" t="n">
        <v>-8</v>
      </c>
      <c r="J15" s="8" t="n">
        <v>406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00088221905</t>
        </is>
      </c>
      <c r="D16" s="5" t="inlineStr">
        <is>
          <t>LANTUS SOLOSTAR 100UNIT/ML INJECTION</t>
        </is>
      </c>
      <c r="E16" s="6" t="inlineStr">
        <is>
          <t>15.0</t>
        </is>
      </c>
      <c r="F16" s="7" t="n">
        <v>63</v>
      </c>
      <c r="G16" s="7" t="n">
        <v>4.2</v>
      </c>
      <c r="H16" s="7" t="n">
        <v>27</v>
      </c>
      <c r="I16" s="7" t="n">
        <v>22.8</v>
      </c>
      <c r="J16" s="8" t="n">
        <v>362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00006011231</t>
        </is>
      </c>
      <c r="D17" s="5" t="inlineStr">
        <is>
          <t>JANUVIA 50MG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15</v>
      </c>
      <c r="I17" s="7" t="n">
        <v>12</v>
      </c>
      <c r="J17" s="8" t="n">
        <v>356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00005200002</t>
        </is>
      </c>
      <c r="D18" s="5" t="inlineStr">
        <is>
          <t>PREVNAR 20 0.5 ML INTRAMUSCULAR SUSPENSION PREFILLED SYRINGE</t>
        </is>
      </c>
      <c r="E18" s="6" t="inlineStr">
        <is>
          <t>0.5</t>
        </is>
      </c>
      <c r="F18" s="7" t="n">
        <v>0.5</v>
      </c>
      <c r="G18" s="7" t="n">
        <v>1</v>
      </c>
      <c r="H18" s="7" t="n">
        <v>0</v>
      </c>
      <c r="I18" s="7" t="n">
        <v>-1</v>
      </c>
      <c r="J18" s="8" t="n">
        <v>308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00093372755</t>
        </is>
      </c>
      <c r="D19" s="5" t="inlineStr">
        <is>
          <t>DICLOFENAC EPOLAMINE 1.3 % PATCH</t>
        </is>
      </c>
      <c r="E19" s="6" t="inlineStr">
        <is>
          <t>30.0</t>
        </is>
      </c>
      <c r="F19" s="7" t="n">
        <v>60</v>
      </c>
      <c r="G19" s="7" t="n">
        <v>2</v>
      </c>
      <c r="H19" s="7" t="n">
        <v>1</v>
      </c>
      <c r="I19" s="7" t="n">
        <v>-1</v>
      </c>
      <c r="J19" s="8" t="n">
        <v>284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58160082311</t>
        </is>
      </c>
      <c r="D20" s="5" t="inlineStr">
        <is>
          <t>SHINGRIX 50 MCG/0.5ML IM SUSP RECON</t>
        </is>
      </c>
      <c r="E20" s="6" t="inlineStr">
        <is>
          <t>10.0</t>
        </is>
      </c>
      <c r="F20" s="7" t="n">
        <v>1</v>
      </c>
      <c r="G20" s="7" t="n">
        <v>0.1</v>
      </c>
      <c r="H20" s="7" t="n">
        <v>0</v>
      </c>
      <c r="I20" s="7" t="n">
        <v>-0.1</v>
      </c>
      <c r="J20" s="8" t="n">
        <v>238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10.2</v>
      </c>
      <c r="G21" s="7" t="n">
        <v>1</v>
      </c>
      <c r="H21" s="7" t="n">
        <v>8</v>
      </c>
      <c r="I21" s="7" t="n">
        <v>7</v>
      </c>
      <c r="J21" s="8" t="n">
        <v>209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00597015330</t>
        </is>
      </c>
      <c r="D22" s="5" t="inlineStr">
        <is>
          <t xml:space="preserve">JARDIANCE 25MG TAB 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36</v>
      </c>
      <c r="I22" s="7" t="n">
        <v>35</v>
      </c>
      <c r="J22" s="8" t="n">
        <v>209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38</v>
      </c>
      <c r="I23" s="7" t="n">
        <v>37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00378876091</t>
        </is>
      </c>
      <c r="D24" s="5" t="inlineStr">
        <is>
          <t>CYCLOSPORINE 0.05 % OPHTHALMIC EMULSION</t>
        </is>
      </c>
      <c r="E24" s="6" t="inlineStr">
        <is>
          <t>60.0</t>
        </is>
      </c>
      <c r="F24" s="7" t="n">
        <v>60</v>
      </c>
      <c r="G24" s="7" t="n">
        <v>1</v>
      </c>
      <c r="H24" s="7" t="n">
        <v>0</v>
      </c>
      <c r="I24" s="7" t="n">
        <v>-1</v>
      </c>
      <c r="J24" s="8" t="n">
        <v>138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47781023005</t>
        </is>
      </c>
      <c r="D25" s="5" t="inlineStr">
        <is>
          <t>OXYCODONE-APAP 10-325MG TABLET</t>
        </is>
      </c>
      <c r="E25" s="6" t="inlineStr">
        <is>
          <t>500.0</t>
        </is>
      </c>
      <c r="F25" s="7" t="n">
        <v>360</v>
      </c>
      <c r="G25" s="7" t="n">
        <v>0.72</v>
      </c>
      <c r="H25" s="7" t="n">
        <v>4</v>
      </c>
      <c r="I25" s="7" t="n">
        <v>3.28</v>
      </c>
      <c r="J25" s="8" t="n">
        <v>90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61314063715</t>
        </is>
      </c>
      <c r="D26" s="5" t="inlineStr">
        <is>
          <t>PREDNISOLONE ACETATE 1% SUSPENSION</t>
        </is>
      </c>
      <c r="E26" s="6" t="inlineStr">
        <is>
          <t>15.0</t>
        </is>
      </c>
      <c r="F26" s="7" t="n">
        <v>15</v>
      </c>
      <c r="G26" s="7" t="n">
        <v>1</v>
      </c>
      <c r="H26" s="7" t="n">
        <v>0</v>
      </c>
      <c r="I26" s="7" t="n">
        <v>-1</v>
      </c>
      <c r="J26" s="8" t="n">
        <v>55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60505083001</t>
        </is>
      </c>
      <c r="D27" s="5" t="inlineStr">
        <is>
          <t>MOMETASONE FUROATE 50MCG/ACT SUSPENSION</t>
        </is>
      </c>
      <c r="E27" s="6" t="inlineStr">
        <is>
          <t>17.0</t>
        </is>
      </c>
      <c r="F27" s="7" t="n">
        <v>17</v>
      </c>
      <c r="G27" s="7" t="n">
        <v>1</v>
      </c>
      <c r="H27" s="7" t="n">
        <v>0</v>
      </c>
      <c r="I27" s="7" t="n">
        <v>-1</v>
      </c>
      <c r="J27" s="8" t="n">
        <v>30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16571020310</t>
        </is>
      </c>
      <c r="D28" s="5" t="inlineStr">
        <is>
          <t>DICLOFENAC SODIUM 25MG TABLET DR</t>
        </is>
      </c>
      <c r="E28" s="6" t="inlineStr">
        <is>
          <t>100.0</t>
        </is>
      </c>
      <c r="F28" s="7" t="n">
        <v>30</v>
      </c>
      <c r="G28" s="7" t="n">
        <v>0.3</v>
      </c>
      <c r="H28" s="7" t="n">
        <v>0</v>
      </c>
      <c r="I28" s="7" t="n">
        <v>-0.3</v>
      </c>
      <c r="J28" s="8" t="n">
        <v>29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59651078205</t>
        </is>
      </c>
      <c r="D29" s="5" t="inlineStr">
        <is>
          <t>GLIPIZIDE ER 10MG TABLET</t>
        </is>
      </c>
      <c r="E29" s="6" t="inlineStr">
        <is>
          <t>500.0</t>
        </is>
      </c>
      <c r="F29" s="7" t="n">
        <v>180</v>
      </c>
      <c r="G29" s="7" t="n">
        <v>0.36</v>
      </c>
      <c r="H29" s="7" t="n">
        <v>0</v>
      </c>
      <c r="I29" s="7" t="n">
        <v>-0.36</v>
      </c>
      <c r="J29" s="8" t="n">
        <v>29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68180051902</t>
        </is>
      </c>
      <c r="D30" s="5" t="inlineStr">
        <is>
          <t xml:space="preserve">LISINOPRIL-HCTZ 20-12.5MG TAB </t>
        </is>
      </c>
      <c r="E30" s="6" t="inlineStr">
        <is>
          <t>500.0</t>
        </is>
      </c>
      <c r="F30" s="7" t="n">
        <v>270</v>
      </c>
      <c r="G30" s="7" t="n">
        <v>0.54</v>
      </c>
      <c r="H30" s="7" t="n">
        <v>0</v>
      </c>
      <c r="I30" s="7" t="n">
        <v>-0.54</v>
      </c>
      <c r="J30" s="8" t="n">
        <v>29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51672130009</t>
        </is>
      </c>
      <c r="D31" s="5" t="inlineStr">
        <is>
          <t>AMMONIUM LACTATE 12 % EXTERNAL LOTION</t>
        </is>
      </c>
      <c r="E31" s="6" t="inlineStr">
        <is>
          <t>400.0</t>
        </is>
      </c>
      <c r="F31" s="7" t="n">
        <v>400</v>
      </c>
      <c r="G31" s="7" t="n">
        <v>1</v>
      </c>
      <c r="H31" s="7" t="n">
        <v>0</v>
      </c>
      <c r="I31" s="7" t="n">
        <v>-1</v>
      </c>
      <c r="J31" s="8" t="n">
        <v>27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51672130100</t>
        </is>
      </c>
      <c r="D32" s="5" t="inlineStr">
        <is>
          <t>AMMONIUM LACTATE 12 % EXTERNAL CREAM</t>
        </is>
      </c>
      <c r="E32" s="6" t="inlineStr">
        <is>
          <t>385.0</t>
        </is>
      </c>
      <c r="F32" s="7" t="n">
        <v>385</v>
      </c>
      <c r="G32" s="7" t="n">
        <v>1</v>
      </c>
      <c r="H32" s="7" t="n">
        <v>0</v>
      </c>
      <c r="I32" s="7" t="n">
        <v>-1</v>
      </c>
      <c r="J32" s="8" t="n">
        <v>26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98302014071</t>
        </is>
      </c>
      <c r="D33" s="5" t="inlineStr">
        <is>
          <t>LANCETS CHOICE [CVS]</t>
        </is>
      </c>
      <c r="E33" s="6" t="inlineStr">
        <is>
          <t>100.0</t>
        </is>
      </c>
      <c r="F33" s="7" t="n">
        <v>200</v>
      </c>
      <c r="G33" s="7" t="n">
        <v>2</v>
      </c>
      <c r="H33" s="7" t="n">
        <v>0</v>
      </c>
      <c r="I33" s="7" t="n">
        <v>-2</v>
      </c>
      <c r="J33" s="8" t="n">
        <v>26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70010006599</t>
        </is>
      </c>
      <c r="D34" s="5" t="inlineStr">
        <is>
          <t>METFORMIN 1000MG TABLET</t>
        </is>
      </c>
      <c r="E34" s="6" t="inlineStr">
        <is>
          <t>1000.0</t>
        </is>
      </c>
      <c r="F34" s="7" t="n">
        <v>540</v>
      </c>
      <c r="G34" s="7" t="n">
        <v>0.54</v>
      </c>
      <c r="H34" s="7" t="n">
        <v>4</v>
      </c>
      <c r="I34" s="7" t="n">
        <v>3.46</v>
      </c>
      <c r="J34" s="8" t="n">
        <v>22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68180096301</t>
        </is>
      </c>
      <c r="D35" s="5" t="inlineStr">
        <is>
          <t>ALBUTEROL SULFATE HFA 108 (90 BASE)MCG/ACT AEROSOL</t>
        </is>
      </c>
      <c r="E35" s="6" t="inlineStr">
        <is>
          <t>8.5</t>
        </is>
      </c>
      <c r="F35" s="7" t="n">
        <v>8.5</v>
      </c>
      <c r="G35" s="7" t="n">
        <v>1</v>
      </c>
      <c r="H35" s="7" t="n">
        <v>36</v>
      </c>
      <c r="I35" s="7" t="n">
        <v>35</v>
      </c>
      <c r="J35" s="8" t="n">
        <v>18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59762033302</t>
        </is>
      </c>
      <c r="D36" s="5" t="inlineStr">
        <is>
          <t>LATANOPROST 0.005 % OPHTHALMIC SOLUTION</t>
        </is>
      </c>
      <c r="E36" s="6" t="inlineStr">
        <is>
          <t>2.5</t>
        </is>
      </c>
      <c r="F36" s="7" t="n">
        <v>7.5</v>
      </c>
      <c r="G36" s="7" t="n">
        <v>3</v>
      </c>
      <c r="H36" s="7" t="n">
        <v>48</v>
      </c>
      <c r="I36" s="7" t="n">
        <v>45</v>
      </c>
      <c r="J36" s="8" t="n">
        <v>18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08484081028</t>
        </is>
      </c>
      <c r="D37" s="5" t="inlineStr">
        <is>
          <t>LANCETS PRODIGY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47781022901</t>
        </is>
      </c>
      <c r="D38" s="5" t="inlineStr">
        <is>
          <t>OXYCODONE-ACETAMINOPHEN 7.5-325 MG ORAL TABLET</t>
        </is>
      </c>
      <c r="E38" s="6" t="inlineStr">
        <is>
          <t>100.0</t>
        </is>
      </c>
      <c r="F38" s="7" t="n">
        <v>90</v>
      </c>
      <c r="G38" s="7" t="n">
        <v>0.9</v>
      </c>
      <c r="H38" s="7" t="n">
        <v>0</v>
      </c>
      <c r="I38" s="7" t="n">
        <v>-0.9</v>
      </c>
      <c r="J38" s="8" t="n">
        <v>17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69367039505</t>
        </is>
      </c>
      <c r="D39" s="5" t="inlineStr">
        <is>
          <t>IBUPROFEN 600 MG TABLET</t>
        </is>
      </c>
      <c r="E39" s="6" t="inlineStr">
        <is>
          <t>500.0</t>
        </is>
      </c>
      <c r="F39" s="7" t="n">
        <v>180</v>
      </c>
      <c r="G39" s="7" t="n">
        <v>0.36</v>
      </c>
      <c r="H39" s="7" t="n">
        <v>2</v>
      </c>
      <c r="I39" s="7" t="n">
        <v>1.64</v>
      </c>
      <c r="J39" s="8" t="n">
        <v>16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64980051501</t>
        </is>
      </c>
      <c r="D40" s="5" t="inlineStr">
        <is>
          <t>OFLOXACIN 0.3 % OPHTHALMIC SOLUTION</t>
        </is>
      </c>
      <c r="E40" s="6" t="inlineStr">
        <is>
          <t>10.0</t>
        </is>
      </c>
      <c r="F40" s="7" t="n">
        <v>10</v>
      </c>
      <c r="G40" s="7" t="n">
        <v>1</v>
      </c>
      <c r="H40" s="7" t="n">
        <v>0</v>
      </c>
      <c r="I40" s="7" t="n">
        <v>-1</v>
      </c>
      <c r="J40" s="8" t="n">
        <v>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65862002306</t>
        </is>
      </c>
      <c r="D41" s="5" t="inlineStr">
        <is>
          <t>MIRTAZAPINE 45 MG TABLET DISINTEGRATING</t>
        </is>
      </c>
      <c r="E41" s="6" t="inlineStr">
        <is>
          <t>30.0</t>
        </is>
      </c>
      <c r="F41" s="7" t="n">
        <v>30</v>
      </c>
      <c r="G41" s="7" t="n">
        <v>1</v>
      </c>
      <c r="H41" s="7" t="n">
        <v>0</v>
      </c>
      <c r="I41" s="7" t="n">
        <v>-1</v>
      </c>
      <c r="J41" s="8" t="n">
        <v>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43598012105</t>
        </is>
      </c>
      <c r="D42" s="5" t="inlineStr">
        <is>
          <t>CLOPIDOGREL BISULFATE 75 MG ORAL TABLET</t>
        </is>
      </c>
      <c r="E42" s="6" t="inlineStr">
        <is>
          <t>500.0</t>
        </is>
      </c>
      <c r="F42" s="7" t="n">
        <v>180</v>
      </c>
      <c r="G42" s="7" t="n">
        <v>0.36</v>
      </c>
      <c r="H42" s="7" t="n">
        <v>4</v>
      </c>
      <c r="I42" s="7" t="n">
        <v>3.64</v>
      </c>
      <c r="J42" s="8" t="n">
        <v>15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61314012610</t>
        </is>
      </c>
      <c r="D43" s="5" t="inlineStr">
        <is>
          <t>KETOROLAC TROMETHAMINE 0.5 % OPHTHALMIC SOLUTION</t>
        </is>
      </c>
      <c r="E43" s="6" t="inlineStr">
        <is>
          <t>10.0</t>
        </is>
      </c>
      <c r="F43" s="7" t="n">
        <v>10</v>
      </c>
      <c r="G43" s="7" t="n">
        <v>1</v>
      </c>
      <c r="H43" s="7" t="n">
        <v>5</v>
      </c>
      <c r="I43" s="7" t="n">
        <v>4</v>
      </c>
      <c r="J43" s="8" t="n">
        <v>15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16729000617</t>
        </is>
      </c>
      <c r="D44" s="5" t="inlineStr">
        <is>
          <t>SIMVASTATIN 40MG TABLET</t>
        </is>
      </c>
      <c r="E44" s="6" t="inlineStr">
        <is>
          <t>1000.0</t>
        </is>
      </c>
      <c r="F44" s="7" t="n">
        <v>180</v>
      </c>
      <c r="G44" s="7" t="n">
        <v>0.18</v>
      </c>
      <c r="H44" s="7" t="n">
        <v>0</v>
      </c>
      <c r="I44" s="7" t="n">
        <v>-0.18</v>
      </c>
      <c r="J44" s="8" t="n">
        <v>14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00172409680</t>
        </is>
      </c>
      <c r="D45" s="5" t="inlineStr">
        <is>
          <t xml:space="preserve">BACLOFEN 10MG TAB </t>
        </is>
      </c>
      <c r="E45" s="6" t="inlineStr">
        <is>
          <t>1000.0</t>
        </is>
      </c>
      <c r="F45" s="7" t="n">
        <v>150</v>
      </c>
      <c r="G45" s="7" t="n">
        <v>0.15</v>
      </c>
      <c r="H45" s="7" t="n">
        <v>1</v>
      </c>
      <c r="I45" s="7" t="n">
        <v>0.85</v>
      </c>
      <c r="J45" s="8" t="n">
        <v>13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67877022305</t>
        </is>
      </c>
      <c r="D46" s="5" t="inlineStr">
        <is>
          <t>GABAPENTIN 300 MG CAPSULE</t>
        </is>
      </c>
      <c r="E46" s="6" t="inlineStr">
        <is>
          <t>500.0</t>
        </is>
      </c>
      <c r="F46" s="7" t="n">
        <v>270</v>
      </c>
      <c r="G46" s="7" t="n">
        <v>0.54</v>
      </c>
      <c r="H46" s="7" t="n">
        <v>0</v>
      </c>
      <c r="I46" s="7" t="n">
        <v>-0.54</v>
      </c>
      <c r="J46" s="8" t="n">
        <v>13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91237000116</t>
        </is>
      </c>
      <c r="D47" s="5" t="inlineStr">
        <is>
          <t>LANCETS EASY COMFORT</t>
        </is>
      </c>
      <c r="E47" s="6" t="inlineStr">
        <is>
          <t>100.0</t>
        </is>
      </c>
      <c r="F47" s="7" t="n">
        <v>100</v>
      </c>
      <c r="G47" s="7" t="n">
        <v>1</v>
      </c>
      <c r="H47" s="7" t="n">
        <v>0</v>
      </c>
      <c r="I47" s="7" t="n">
        <v>-1</v>
      </c>
      <c r="J47" s="8" t="n">
        <v>13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68462039710</t>
        </is>
      </c>
      <c r="D48" s="5" t="inlineStr">
        <is>
          <t>OMEPRAZOLE 40MG CAPSULE DR</t>
        </is>
      </c>
      <c r="E48" s="6" t="inlineStr">
        <is>
          <t>1000.0</t>
        </is>
      </c>
      <c r="F48" s="7" t="n">
        <v>240</v>
      </c>
      <c r="G48" s="7" t="n">
        <v>0.24</v>
      </c>
      <c r="H48" s="7" t="n">
        <v>0</v>
      </c>
      <c r="I48" s="7" t="n">
        <v>-0.24</v>
      </c>
      <c r="J48" s="8" t="n">
        <v>12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45802065087</t>
        </is>
      </c>
      <c r="D49" s="5" t="inlineStr">
        <is>
          <t xml:space="preserve">LORATADINE 10MG TAB </t>
        </is>
      </c>
      <c r="E49" s="6" t="inlineStr">
        <is>
          <t>300.0</t>
        </is>
      </c>
      <c r="F49" s="7" t="n">
        <v>120</v>
      </c>
      <c r="G49" s="7" t="n">
        <v>0.4</v>
      </c>
      <c r="H49" s="7" t="n">
        <v>0</v>
      </c>
      <c r="I49" s="7" t="n">
        <v>-0.4</v>
      </c>
      <c r="J49" s="8" t="n">
        <v>12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24208048610</t>
        </is>
      </c>
      <c r="D50" s="5" t="inlineStr">
        <is>
          <t xml:space="preserve">DORZOLAMID-TIMOLO 22.3-6.8MG/ML (EYE) </t>
        </is>
      </c>
      <c r="E50" s="6" t="inlineStr">
        <is>
          <t>10.0</t>
        </is>
      </c>
      <c r="F50" s="7" t="n">
        <v>10</v>
      </c>
      <c r="G50" s="7" t="n">
        <v>1</v>
      </c>
      <c r="H50" s="7" t="n">
        <v>11</v>
      </c>
      <c r="I50" s="7" t="n">
        <v>10</v>
      </c>
      <c r="J50" s="8" t="n">
        <v>11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70010078205</t>
        </is>
      </c>
      <c r="D51" s="5" t="inlineStr">
        <is>
          <t>METOPROLOL SUCCINATE ER 100MG TABLET</t>
        </is>
      </c>
      <c r="E51" s="6" t="inlineStr">
        <is>
          <t>500.0</t>
        </is>
      </c>
      <c r="F51" s="7" t="n">
        <v>90</v>
      </c>
      <c r="G51" s="7" t="n">
        <v>0.18</v>
      </c>
      <c r="H51" s="7" t="n">
        <v>2</v>
      </c>
      <c r="I51" s="7" t="n">
        <v>1.82</v>
      </c>
      <c r="J51" s="8" t="n">
        <v>11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50742026103</t>
        </is>
      </c>
      <c r="D52" s="5" t="inlineStr">
        <is>
          <t>NIFEDIPINE 60MG TABLET ER</t>
        </is>
      </c>
      <c r="E52" s="6" t="inlineStr">
        <is>
          <t>300.0</t>
        </is>
      </c>
      <c r="F52" s="7" t="n">
        <v>60</v>
      </c>
      <c r="G52" s="7" t="n">
        <v>0.2</v>
      </c>
      <c r="H52" s="7" t="n">
        <v>2</v>
      </c>
      <c r="I52" s="7" t="n">
        <v>1.8</v>
      </c>
      <c r="J52" s="8" t="n">
        <v>11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70010078005</t>
        </is>
      </c>
      <c r="D53" s="5" t="inlineStr">
        <is>
          <t>METOPROLOL SUCCINATE ER 25MG TABLET</t>
        </is>
      </c>
      <c r="E53" s="6" t="inlineStr">
        <is>
          <t>500.0</t>
        </is>
      </c>
      <c r="F53" s="7" t="n">
        <v>180</v>
      </c>
      <c r="G53" s="7" t="n">
        <v>0.36</v>
      </c>
      <c r="H53" s="7" t="n">
        <v>2</v>
      </c>
      <c r="I53" s="7" t="n">
        <v>1.64</v>
      </c>
      <c r="J53" s="8" t="n">
        <v>11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90</v>
      </c>
      <c r="G54" s="7" t="n">
        <v>0.18</v>
      </c>
      <c r="H54" s="7" t="n">
        <v>0</v>
      </c>
      <c r="I54" s="7" t="n">
        <v>-0.18</v>
      </c>
      <c r="J54" s="8" t="n">
        <v>9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68462026310</t>
        </is>
      </c>
      <c r="D55" s="5" t="inlineStr">
        <is>
          <t>ROSUVASTATIN 20MG TABLET</t>
        </is>
      </c>
      <c r="E55" s="6" t="inlineStr">
        <is>
          <t>1000.0</t>
        </is>
      </c>
      <c r="F55" s="7" t="n">
        <v>90</v>
      </c>
      <c r="G55" s="7" t="n">
        <v>0.09</v>
      </c>
      <c r="H55" s="7" t="n">
        <v>0</v>
      </c>
      <c r="I55" s="7" t="n">
        <v>-0.09</v>
      </c>
      <c r="J55" s="8" t="n">
        <v>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69097012715</t>
        </is>
      </c>
      <c r="D56" s="5" t="inlineStr">
        <is>
          <t xml:space="preserve">AMLODIPINE 5MG TABLET </t>
        </is>
      </c>
      <c r="E56" s="6" t="inlineStr">
        <is>
          <t>1000.0</t>
        </is>
      </c>
      <c r="F56" s="7" t="n">
        <v>270</v>
      </c>
      <c r="G56" s="7" t="n">
        <v>0.27</v>
      </c>
      <c r="H56" s="7" t="n">
        <v>5</v>
      </c>
      <c r="I56" s="7" t="n">
        <v>4.73</v>
      </c>
      <c r="J56" s="8" t="n">
        <v>8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60505014101</t>
        </is>
      </c>
      <c r="D57" s="5" t="inlineStr">
        <is>
          <t xml:space="preserve">GLIPIZIDE 5MG TAB </t>
        </is>
      </c>
      <c r="E57" s="6" t="inlineStr">
        <is>
          <t>1000.0</t>
        </is>
      </c>
      <c r="F57" s="7" t="n">
        <v>180</v>
      </c>
      <c r="G57" s="7" t="n">
        <v>0.18</v>
      </c>
      <c r="H57" s="7" t="n">
        <v>0</v>
      </c>
      <c r="I57" s="7" t="n">
        <v>-0.18</v>
      </c>
      <c r="J57" s="8" t="n">
        <v>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00781285931</t>
        </is>
      </c>
      <c r="D58" s="5" t="inlineStr">
        <is>
          <t>OMEPRAZOLE 10MG CAPSULE DR</t>
        </is>
      </c>
      <c r="E58" s="6" t="inlineStr">
        <is>
          <t>30.0</t>
        </is>
      </c>
      <c r="F58" s="7" t="n">
        <v>30</v>
      </c>
      <c r="G58" s="7" t="n">
        <v>1</v>
      </c>
      <c r="H58" s="7" t="n">
        <v>0</v>
      </c>
      <c r="I58" s="7" t="n">
        <v>-1</v>
      </c>
      <c r="J58" s="8" t="n">
        <v>7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64380015902</t>
        </is>
      </c>
      <c r="D59" s="5" t="inlineStr">
        <is>
          <t>MEGESTROL ACETATE 40 MG ORAL TABLET</t>
        </is>
      </c>
      <c r="E59" s="6" t="inlineStr">
        <is>
          <t>250.0</t>
        </is>
      </c>
      <c r="F59" s="7" t="n">
        <v>30</v>
      </c>
      <c r="G59" s="7" t="n">
        <v>0.12</v>
      </c>
      <c r="H59" s="7" t="n">
        <v>0</v>
      </c>
      <c r="I59" s="7" t="n">
        <v>-0.12</v>
      </c>
      <c r="J59" s="8" t="n">
        <v>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70069008101</t>
        </is>
      </c>
      <c r="D60" s="5" t="inlineStr">
        <is>
          <t>MOXIFLOXACIN HCL 0.5 % OPHTHALMIC SOLUTION</t>
        </is>
      </c>
      <c r="E60" s="6" t="inlineStr">
        <is>
          <t>3.0</t>
        </is>
      </c>
      <c r="F60" s="7" t="n">
        <v>3</v>
      </c>
      <c r="G60" s="7" t="n">
        <v>1</v>
      </c>
      <c r="H60" s="7" t="n">
        <v>0</v>
      </c>
      <c r="I60" s="7" t="n">
        <v>-1</v>
      </c>
      <c r="J60" s="8" t="n">
        <v>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00185067401</t>
        </is>
      </c>
      <c r="D61" s="5" t="inlineStr">
        <is>
          <t>HYDROXYZINE PAMOATE 25 MG ORAL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2</v>
      </c>
      <c r="I61" s="7" t="n">
        <v>1.4</v>
      </c>
      <c r="J61" s="8" t="n">
        <v>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68180045901</t>
        </is>
      </c>
      <c r="D62" s="5" t="inlineStr">
        <is>
          <t>AMLODIPINE-BENAZEPRIL 5-20MG CAPSULE</t>
        </is>
      </c>
      <c r="E62" s="6" t="inlineStr">
        <is>
          <t>100.0</t>
        </is>
      </c>
      <c r="F62" s="7" t="n">
        <v>30</v>
      </c>
      <c r="G62" s="7" t="n">
        <v>0.3</v>
      </c>
      <c r="H62" s="7" t="n">
        <v>0</v>
      </c>
      <c r="I62" s="7" t="n">
        <v>-0.3</v>
      </c>
      <c r="J62" s="8" t="n">
        <v>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90</v>
      </c>
      <c r="G63" s="7" t="n">
        <v>0.09</v>
      </c>
      <c r="H63" s="7" t="n">
        <v>2</v>
      </c>
      <c r="I63" s="7" t="n">
        <v>1.91</v>
      </c>
      <c r="J63" s="8" t="n">
        <v>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70377000613</t>
        </is>
      </c>
      <c r="D64" s="5" t="inlineStr">
        <is>
          <t>ROSUVASTATIN 5MG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0</v>
      </c>
      <c r="I64" s="7" t="n">
        <v>-0.18</v>
      </c>
      <c r="J64" s="8" t="n">
        <v>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47781026305</t>
        </is>
      </c>
      <c r="D65" s="5" t="inlineStr">
        <is>
          <t>OXYCODONE HCL 5 MG TABLET</t>
        </is>
      </c>
      <c r="E65" s="6" t="inlineStr">
        <is>
          <t>500.0</t>
        </is>
      </c>
      <c r="F65" s="7" t="n">
        <v>40</v>
      </c>
      <c r="G65" s="7" t="n">
        <v>0.08</v>
      </c>
      <c r="H65" s="7" t="n">
        <v>0</v>
      </c>
      <c r="I65" s="7" t="n">
        <v>-0.08</v>
      </c>
      <c r="J65" s="8" t="n">
        <v>5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68180098003</t>
        </is>
      </c>
      <c r="D66" s="5" t="inlineStr">
        <is>
          <t>LISINOPRIL 10MG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5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68180098103</t>
        </is>
      </c>
      <c r="D67" s="5" t="inlineStr">
        <is>
          <t>LISINOPRIL 20MG TABLET</t>
        </is>
      </c>
      <c r="E67" s="6" t="inlineStr">
        <is>
          <t>1000.0</t>
        </is>
      </c>
      <c r="F67" s="7" t="n">
        <v>90</v>
      </c>
      <c r="G67" s="7" t="n">
        <v>0.09</v>
      </c>
      <c r="H67" s="7" t="n">
        <v>0</v>
      </c>
      <c r="I67" s="7" t="n">
        <v>-0.09</v>
      </c>
      <c r="J67" s="8" t="n">
        <v>5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70377007713</t>
        </is>
      </c>
      <c r="D68" s="5" t="inlineStr">
        <is>
          <t>ATORVASTATIN 10MG TABLET</t>
        </is>
      </c>
      <c r="E68" s="6" t="inlineStr">
        <is>
          <t>1000.0</t>
        </is>
      </c>
      <c r="F68" s="7" t="n">
        <v>90</v>
      </c>
      <c r="G68" s="7" t="n">
        <v>0.09</v>
      </c>
      <c r="H68" s="7" t="n">
        <v>2</v>
      </c>
      <c r="I68" s="7" t="n">
        <v>1.91</v>
      </c>
      <c r="J68" s="8" t="n">
        <v>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65862016999</t>
        </is>
      </c>
      <c r="D69" s="5" t="inlineStr">
        <is>
          <t>ATENOLOL 50MG TABLET</t>
        </is>
      </c>
      <c r="E69" s="6" t="inlineStr">
        <is>
          <t>1000.0</t>
        </is>
      </c>
      <c r="F69" s="7" t="n">
        <v>90</v>
      </c>
      <c r="G69" s="7" t="n">
        <v>0.09</v>
      </c>
      <c r="H69" s="7" t="n">
        <v>0</v>
      </c>
      <c r="I69" s="7" t="n">
        <v>-0.09</v>
      </c>
      <c r="J69" s="8" t="n">
        <v>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67877025010</t>
        </is>
      </c>
      <c r="D70" s="5" t="inlineStr">
        <is>
          <t>QUETIAPINE FUMARATE 100 MG ORAL TABLET</t>
        </is>
      </c>
      <c r="E70" s="6" t="inlineStr">
        <is>
          <t>1000.0</t>
        </is>
      </c>
      <c r="F70" s="7" t="n">
        <v>30</v>
      </c>
      <c r="G70" s="7" t="n">
        <v>0.03</v>
      </c>
      <c r="H70" s="7" t="n">
        <v>0</v>
      </c>
      <c r="I70" s="7" t="n">
        <v>-0.03</v>
      </c>
      <c r="J70" s="8" t="n">
        <v>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68180031902</t>
        </is>
      </c>
      <c r="D71" s="5" t="inlineStr">
        <is>
          <t>BUPROPION HCL ER (XL) 150MG</t>
        </is>
      </c>
      <c r="E71" s="6" t="inlineStr">
        <is>
          <t>500.0</t>
        </is>
      </c>
      <c r="F71" s="7" t="n">
        <v>30</v>
      </c>
      <c r="G71" s="7" t="n">
        <v>0.06</v>
      </c>
      <c r="H71" s="7" t="n">
        <v>0</v>
      </c>
      <c r="I71" s="7" t="n">
        <v>-0.06</v>
      </c>
      <c r="J71" s="8" t="n">
        <v>4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67877022210</t>
        </is>
      </c>
      <c r="D72" s="5" t="inlineStr">
        <is>
          <t>GABAPENTIN 100MG CAPSULE</t>
        </is>
      </c>
      <c r="E72" s="6" t="inlineStr">
        <is>
          <t>1000.0</t>
        </is>
      </c>
      <c r="F72" s="7" t="n">
        <v>90</v>
      </c>
      <c r="G72" s="7" t="n">
        <v>0.09</v>
      </c>
      <c r="H72" s="7" t="n">
        <v>2</v>
      </c>
      <c r="I72" s="7" t="n">
        <v>1.91</v>
      </c>
      <c r="J72" s="8" t="n">
        <v>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70010006410</t>
        </is>
      </c>
      <c r="D73" s="5" t="inlineStr">
        <is>
          <t>METFORMIN 850 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65862020299</t>
        </is>
      </c>
      <c r="D74" s="5" t="inlineStr">
        <is>
          <t>LOSARTAN 50MG TABLET</t>
        </is>
      </c>
      <c r="E74" s="6" t="inlineStr">
        <is>
          <t>1000.0</t>
        </is>
      </c>
      <c r="F74" s="7" t="n">
        <v>60</v>
      </c>
      <c r="G74" s="7" t="n">
        <v>0.06</v>
      </c>
      <c r="H74" s="7" t="n">
        <v>0</v>
      </c>
      <c r="I74" s="7" t="n">
        <v>-0.06</v>
      </c>
      <c r="J74" s="8" t="n">
        <v>4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59746012110</t>
        </is>
      </c>
      <c r="D75" s="5" t="inlineStr">
        <is>
          <t>MECLIZINE HCL 25MG TABLET</t>
        </is>
      </c>
      <c r="E75" s="6" t="inlineStr">
        <is>
          <t>1000.0</t>
        </is>
      </c>
      <c r="F75" s="7" t="n">
        <v>30</v>
      </c>
      <c r="G75" s="7" t="n">
        <v>0.03</v>
      </c>
      <c r="H75" s="7" t="n">
        <v>0</v>
      </c>
      <c r="I75" s="7" t="n">
        <v>-0.03</v>
      </c>
      <c r="J75" s="8" t="n">
        <v>4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13668000805</t>
        </is>
      </c>
      <c r="D76" s="5" t="inlineStr">
        <is>
          <t xml:space="preserve">ZOLPIDEM TARTRATE 10MG TAB </t>
        </is>
      </c>
      <c r="E76" s="6" t="inlineStr">
        <is>
          <t>500.0</t>
        </is>
      </c>
      <c r="F76" s="7" t="n">
        <v>30</v>
      </c>
      <c r="G76" s="7" t="n">
        <v>0.06</v>
      </c>
      <c r="H76" s="7" t="n">
        <v>1</v>
      </c>
      <c r="I76" s="7" t="n">
        <v>0.9399999999999999</v>
      </c>
      <c r="J76" s="8" t="n">
        <v>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00093321201</t>
        </is>
      </c>
      <c r="D77" s="5" t="inlineStr">
        <is>
          <t>CLONAZEPAM 1MG TABLET</t>
        </is>
      </c>
      <c r="E77" s="6" t="inlineStr">
        <is>
          <t>100.0</t>
        </is>
      </c>
      <c r="F77" s="7" t="n">
        <v>30</v>
      </c>
      <c r="G77" s="7" t="n">
        <v>0.3</v>
      </c>
      <c r="H77" s="7" t="n">
        <v>2</v>
      </c>
      <c r="I77" s="7" t="n">
        <v>1.7</v>
      </c>
      <c r="J77" s="8" t="n">
        <v>3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69097012815</t>
        </is>
      </c>
      <c r="D78" s="5" t="inlineStr">
        <is>
          <t>AMLODIPINE 10MG TABLET</t>
        </is>
      </c>
      <c r="E78" s="6" t="inlineStr">
        <is>
          <t>1000.0</t>
        </is>
      </c>
      <c r="F78" s="7" t="n">
        <v>120</v>
      </c>
      <c r="G78" s="7" t="n">
        <v>0.12</v>
      </c>
      <c r="H78" s="7" t="n">
        <v>5</v>
      </c>
      <c r="I78" s="7" t="n">
        <v>4.88</v>
      </c>
      <c r="J78" s="8" t="n">
        <v>3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69315011610</t>
        </is>
      </c>
      <c r="D79" s="5" t="inlineStr">
        <is>
          <t xml:space="preserve">FUROSEMIDE 20MG TAB </t>
        </is>
      </c>
      <c r="E79" s="6" t="inlineStr">
        <is>
          <t>1000.0</t>
        </is>
      </c>
      <c r="F79" s="7" t="n">
        <v>60</v>
      </c>
      <c r="G79" s="7" t="n">
        <v>0.06</v>
      </c>
      <c r="H79" s="7" t="n">
        <v>0</v>
      </c>
      <c r="I79" s="7" t="n">
        <v>-0.06</v>
      </c>
      <c r="J79" s="8" t="n">
        <v>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50111056003</t>
        </is>
      </c>
      <c r="D80" s="5" t="inlineStr">
        <is>
          <t>TRAZODONE 50MG TABLET</t>
        </is>
      </c>
      <c r="E80" s="6" t="inlineStr">
        <is>
          <t>1000.0</t>
        </is>
      </c>
      <c r="F80" s="7" t="n">
        <v>30</v>
      </c>
      <c r="G80" s="7" t="n">
        <v>0.03</v>
      </c>
      <c r="H80" s="7" t="n">
        <v>1</v>
      </c>
      <c r="I80" s="7" t="n">
        <v>0.97</v>
      </c>
      <c r="J80" s="8" t="n">
        <v>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57664050318</t>
        </is>
      </c>
      <c r="D81" s="5" t="inlineStr">
        <is>
          <t>TIZANIDINE 4MG TABLET</t>
        </is>
      </c>
      <c r="E81" s="6" t="inlineStr">
        <is>
          <t>1000.0</t>
        </is>
      </c>
      <c r="F81" s="7" t="n">
        <v>30</v>
      </c>
      <c r="G81" s="7" t="n">
        <v>0.03</v>
      </c>
      <c r="H81" s="7" t="n">
        <v>0</v>
      </c>
      <c r="I81" s="7" t="n">
        <v>-0.03</v>
      </c>
      <c r="J81" s="8" t="n">
        <v>3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67877024210</t>
        </is>
      </c>
      <c r="D82" s="5" t="inlineStr">
        <is>
          <t>QUETIAPINE FUMARATE 25 MG ORAL TABLET</t>
        </is>
      </c>
      <c r="E82" s="6" t="inlineStr">
        <is>
          <t>1000.0</t>
        </is>
      </c>
      <c r="F82" s="7" t="n">
        <v>30</v>
      </c>
      <c r="G82" s="7" t="n">
        <v>0.03</v>
      </c>
      <c r="H82" s="7" t="n">
        <v>0</v>
      </c>
      <c r="I82" s="7" t="n">
        <v>-0.03</v>
      </c>
      <c r="J82" s="8" t="n">
        <v>3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68382066010</t>
        </is>
      </c>
      <c r="D83" s="5" t="inlineStr">
        <is>
          <t>SPIRONOLACTONE 25MG TABLET</t>
        </is>
      </c>
      <c r="E83" s="6" t="inlineStr">
        <is>
          <t>1000.0</t>
        </is>
      </c>
      <c r="F83" s="7" t="n">
        <v>30</v>
      </c>
      <c r="G83" s="7" t="n">
        <v>0.03</v>
      </c>
      <c r="H83" s="7" t="n">
        <v>0</v>
      </c>
      <c r="I83" s="7" t="n">
        <v>-0.03</v>
      </c>
      <c r="J83" s="8" t="n">
        <v>3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52817080030</t>
        </is>
      </c>
      <c r="D84" s="5" t="inlineStr">
        <is>
          <t xml:space="preserve">CLOTRIMAZOLE 1 % SOLUTION 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65862056099</t>
        </is>
      </c>
      <c r="D85" s="5" t="inlineStr">
        <is>
          <t xml:space="preserve">PANTOPRAZOLE 40MG TAB </t>
        </is>
      </c>
      <c r="E85" s="6" t="inlineStr">
        <is>
          <t>1000.0</t>
        </is>
      </c>
      <c r="F85" s="7" t="n">
        <v>30</v>
      </c>
      <c r="G85" s="7" t="n">
        <v>0.03</v>
      </c>
      <c r="H85" s="7" t="n">
        <v>0</v>
      </c>
      <c r="I85" s="7" t="n">
        <v>-0.03</v>
      </c>
      <c r="J85" s="8" t="n">
        <v>2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65862059805</t>
        </is>
      </c>
      <c r="D86" s="5" t="inlineStr">
        <is>
          <t>TAMSULOSIN 0.4MG CAPSULE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5</v>
      </c>
      <c r="I86" s="7" t="n">
        <v>4.94</v>
      </c>
      <c r="J86" s="8" t="n">
        <v>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69097015912</t>
        </is>
      </c>
      <c r="D87" s="5" t="inlineStr">
        <is>
          <t xml:space="preserve">MELOXICAM 15MG TAB </t>
        </is>
      </c>
      <c r="E87" s="6" t="inlineStr">
        <is>
          <t>500.0</t>
        </is>
      </c>
      <c r="F87" s="7" t="n">
        <v>30</v>
      </c>
      <c r="G87" s="7" t="n">
        <v>0.06</v>
      </c>
      <c r="H87" s="7" t="n">
        <v>0</v>
      </c>
      <c r="I87" s="7" t="n">
        <v>-0.06</v>
      </c>
      <c r="J87" s="8" t="n">
        <v>1</v>
      </c>
      <c r="K87" s="9">
        <f>IFERROR(IF((ROUND((J87/G87)*I87,1))&lt;0,(ROUND((J87/G87)*I87,1)),0),0)</f>
        <v/>
      </c>
    </row>
    <row r="88">
      <c r="E88" s="10" t="inlineStr">
        <is>
          <t>TOTAL</t>
        </is>
      </c>
      <c r="F88" s="11">
        <f>SUM(F4:F87)</f>
        <v/>
      </c>
      <c r="G88" s="11">
        <f>SUM(G4:G87)</f>
        <v/>
      </c>
      <c r="H88" s="11">
        <f>SUM(H4:H87)</f>
        <v/>
      </c>
      <c r="I88" s="11">
        <f>SUM(I4:I87)</f>
        <v/>
      </c>
      <c r="J88" s="12">
        <f>SUM(J4:J87)</f>
        <v/>
      </c>
      <c r="K88" s="13">
        <f>SUM(K4:K87)</f>
        <v/>
      </c>
    </row>
    <row r="89">
      <c r="J89" s="14" t="inlineStr">
        <is>
          <t>Audited Drugs Count</t>
        </is>
      </c>
      <c r="K89" s="15">
        <f>COUNTIF(K4:K87,"&lt;0")</f>
        <v/>
      </c>
    </row>
    <row r="90">
      <c r="J90" s="14" t="inlineStr">
        <is>
          <t>Total Audit Exposure</t>
        </is>
      </c>
      <c r="K90" s="16">
        <f>SUMIF(K4:K87,"&lt;0",K4:K87)</f>
        <v/>
      </c>
    </row>
  </sheetData>
  <autoFilter ref="A3:K87"/>
  <mergeCells count="2">
    <mergeCell ref="A2:K2"/>
    <mergeCell ref="A1:K1"/>
  </mergeCells>
  <conditionalFormatting sqref="E4:K87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NAVITUS</t>
        </is>
      </c>
    </row>
    <row r="2" ht="24" customHeight="1">
      <c r="A2" s="2" t="inlineStr">
        <is>
          <t>Overall NAVITUS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NAVITUS</t>
        </is>
      </c>
      <c r="G3" s="3" t="inlineStr">
        <is>
          <t>Packages Billed to NAVITUS</t>
        </is>
      </c>
      <c r="H3" s="3" t="inlineStr">
        <is>
          <t>Total Qty Purchased</t>
        </is>
      </c>
      <c r="I3" s="3" t="inlineStr">
        <is>
          <t>Qty Difference for NAVITUS</t>
        </is>
      </c>
      <c r="J3" s="3" t="inlineStr">
        <is>
          <t>Actual $ Paid by NAVITUS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NAVITUS</t>
        </is>
      </c>
      <c r="C4" s="5" t="inlineStr">
        <is>
          <t>70377007813</t>
        </is>
      </c>
      <c r="D4" s="5" t="inlineStr">
        <is>
          <t>ATORVASTATIN 20MG TABLET</t>
        </is>
      </c>
      <c r="E4" s="6" t="inlineStr">
        <is>
          <t>1000.0</t>
        </is>
      </c>
      <c r="F4" s="7" t="n">
        <v>30</v>
      </c>
      <c r="G4" s="7" t="n">
        <v>0.03</v>
      </c>
      <c r="H4" s="7" t="n">
        <v>4</v>
      </c>
      <c r="I4" s="7" t="n">
        <v>3.97</v>
      </c>
      <c r="J4" s="8" t="n">
        <v>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48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27</v>
      </c>
      <c r="G4" s="7" t="n">
        <v>9</v>
      </c>
      <c r="H4" s="7" t="n">
        <v>30</v>
      </c>
      <c r="I4" s="7" t="n">
        <v>21</v>
      </c>
      <c r="J4" s="8" t="n">
        <v>9034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16</v>
      </c>
      <c r="I5" s="7" t="n">
        <v>7</v>
      </c>
      <c r="J5" s="8" t="n">
        <v>5623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50419054001</t>
        </is>
      </c>
      <c r="D6" s="5" t="inlineStr">
        <is>
          <t>KERENDIA 10 MG TABLET</t>
        </is>
      </c>
      <c r="E6" s="6" t="inlineStr">
        <is>
          <t>30.0</t>
        </is>
      </c>
      <c r="F6" s="7" t="n">
        <v>180</v>
      </c>
      <c r="G6" s="7" t="n">
        <v>6</v>
      </c>
      <c r="H6" s="7" t="n">
        <v>0</v>
      </c>
      <c r="I6" s="7" t="n">
        <v>-6</v>
      </c>
      <c r="J6" s="8" t="n">
        <v>4138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12</v>
      </c>
      <c r="G7" s="7" t="n">
        <v>4</v>
      </c>
      <c r="H7" s="7" t="n">
        <v>34</v>
      </c>
      <c r="I7" s="7" t="n">
        <v>30</v>
      </c>
      <c r="J7" s="8" t="n">
        <v>4004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73154005060</t>
        </is>
      </c>
      <c r="D8" s="5" t="inlineStr">
        <is>
          <t>IBSRELA 50 MG ORAL TABLET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0</v>
      </c>
      <c r="I8" s="7" t="n">
        <v>-2</v>
      </c>
      <c r="J8" s="8" t="n">
        <v>3931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00002143380</t>
        </is>
      </c>
      <c r="D9" s="5" t="inlineStr">
        <is>
          <t>TRULICITY 0.75MG/0.5ML INJECTION</t>
        </is>
      </c>
      <c r="E9" s="6" t="inlineStr">
        <is>
          <t>2.0</t>
        </is>
      </c>
      <c r="F9" s="7" t="n">
        <v>8</v>
      </c>
      <c r="G9" s="7" t="n">
        <v>4</v>
      </c>
      <c r="H9" s="7" t="n">
        <v>0</v>
      </c>
      <c r="I9" s="7" t="n">
        <v>-4</v>
      </c>
      <c r="J9" s="8" t="n">
        <v>3922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00002143480</t>
        </is>
      </c>
      <c r="D10" s="5" t="inlineStr">
        <is>
          <t>TRULICITY 1.5MG/0.5ML INJECTION</t>
        </is>
      </c>
      <c r="E10" s="6" t="inlineStr">
        <is>
          <t>2.0</t>
        </is>
      </c>
      <c r="F10" s="7" t="n">
        <v>8</v>
      </c>
      <c r="G10" s="7" t="n">
        <v>4</v>
      </c>
      <c r="H10" s="7" t="n">
        <v>4</v>
      </c>
      <c r="I10" s="7" t="n">
        <v>0</v>
      </c>
      <c r="J10" s="8" t="n">
        <v>3920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72252051005</t>
        </is>
      </c>
      <c r="D11" s="5" t="inlineStr">
        <is>
          <t>VALTOCO 10 MG DOSE 10 MG/0.1ML NASAL LIQUID</t>
        </is>
      </c>
      <c r="E11" s="6" t="inlineStr">
        <is>
          <t>5.0</t>
        </is>
      </c>
      <c r="F11" s="7" t="n">
        <v>10</v>
      </c>
      <c r="G11" s="7" t="n">
        <v>2</v>
      </c>
      <c r="H11" s="7" t="n">
        <v>2</v>
      </c>
      <c r="I11" s="7" t="n">
        <v>0</v>
      </c>
      <c r="J11" s="8" t="n">
        <v>3670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30</v>
      </c>
      <c r="G12" s="7" t="n">
        <v>1</v>
      </c>
      <c r="H12" s="7" t="n">
        <v>2</v>
      </c>
      <c r="I12" s="7" t="n">
        <v>1</v>
      </c>
      <c r="J12" s="8" t="n">
        <v>3669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300</v>
      </c>
      <c r="G13" s="7" t="n">
        <v>5</v>
      </c>
      <c r="H13" s="7" t="n">
        <v>0</v>
      </c>
      <c r="I13" s="7" t="n">
        <v>-5</v>
      </c>
      <c r="J13" s="8" t="n">
        <v>3581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00002149580</t>
        </is>
      </c>
      <c r="D14" s="5" t="inlineStr">
        <is>
          <t>MOUNJARO 5 MG/0.5ML PEN-INJECTOR</t>
        </is>
      </c>
      <c r="E14" s="6" t="inlineStr">
        <is>
          <t>2.0</t>
        </is>
      </c>
      <c r="F14" s="7" t="n">
        <v>6</v>
      </c>
      <c r="G14" s="7" t="n">
        <v>3</v>
      </c>
      <c r="H14" s="7" t="n">
        <v>9</v>
      </c>
      <c r="I14" s="7" t="n">
        <v>6</v>
      </c>
      <c r="J14" s="8" t="n">
        <v>3263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12</v>
      </c>
      <c r="G15" s="7" t="n">
        <v>4</v>
      </c>
      <c r="H15" s="7" t="n">
        <v>24</v>
      </c>
      <c r="I15" s="7" t="n">
        <v>20</v>
      </c>
      <c r="J15" s="8" t="n">
        <v>3206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61874011530</t>
        </is>
      </c>
      <c r="D16" s="5" t="inlineStr">
        <is>
          <t>VRAYLAR 1.5MG CAPSULE</t>
        </is>
      </c>
      <c r="E16" s="6" t="inlineStr">
        <is>
          <t>30.0</t>
        </is>
      </c>
      <c r="F16" s="7" t="n">
        <v>60</v>
      </c>
      <c r="G16" s="7" t="n">
        <v>2</v>
      </c>
      <c r="H16" s="7" t="n">
        <v>3</v>
      </c>
      <c r="I16" s="7" t="n">
        <v>1</v>
      </c>
      <c r="J16" s="8" t="n">
        <v>3078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270</v>
      </c>
      <c r="G17" s="7" t="n">
        <v>9</v>
      </c>
      <c r="H17" s="7" t="n">
        <v>36</v>
      </c>
      <c r="I17" s="7" t="n">
        <v>27</v>
      </c>
      <c r="J17" s="8" t="n">
        <v>3052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00169477212</t>
        </is>
      </c>
      <c r="D18" s="5" t="inlineStr">
        <is>
          <t>OZEMPIC (2 MG/DOSE) 8 MG/3ML PEN-INJECTOR</t>
        </is>
      </c>
      <c r="E18" s="6" t="inlineStr">
        <is>
          <t>3.0</t>
        </is>
      </c>
      <c r="F18" s="7" t="n">
        <v>9</v>
      </c>
      <c r="G18" s="7" t="n">
        <v>3</v>
      </c>
      <c r="H18" s="7" t="n">
        <v>7</v>
      </c>
      <c r="I18" s="7" t="n">
        <v>4</v>
      </c>
      <c r="J18" s="8" t="n">
        <v>3018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00597015230</t>
        </is>
      </c>
      <c r="D19" s="5" t="inlineStr">
        <is>
          <t xml:space="preserve">JARDIANCE 10MG TAB </t>
        </is>
      </c>
      <c r="E19" s="6" t="inlineStr">
        <is>
          <t>30.0</t>
        </is>
      </c>
      <c r="F19" s="7" t="n">
        <v>240</v>
      </c>
      <c r="G19" s="7" t="n">
        <v>8</v>
      </c>
      <c r="H19" s="7" t="n">
        <v>38</v>
      </c>
      <c r="I19" s="7" t="n">
        <v>30</v>
      </c>
      <c r="J19" s="8" t="n">
        <v>2727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50242014301</t>
        </is>
      </c>
      <c r="D20" s="5" t="inlineStr">
        <is>
          <t>ACTEMRA ACTPEN 162 MG/0.9ML SUBCUTANEOUS SOLUTION AUTO-INJECTOR</t>
        </is>
      </c>
      <c r="E20" s="6" t="inlineStr">
        <is>
          <t>0.9</t>
        </is>
      </c>
      <c r="F20" s="7" t="n">
        <v>1.8</v>
      </c>
      <c r="G20" s="7" t="n">
        <v>2</v>
      </c>
      <c r="H20" s="7" t="n">
        <v>0</v>
      </c>
      <c r="I20" s="7" t="n">
        <v>-2</v>
      </c>
      <c r="J20" s="8" t="n">
        <v>2312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00002146080</t>
        </is>
      </c>
      <c r="D21" s="5" t="inlineStr">
        <is>
          <t>MOUNJARO 12.5 MG/0.5ML PEN-INJECTOR</t>
        </is>
      </c>
      <c r="E21" s="6" t="inlineStr">
        <is>
          <t>2.0</t>
        </is>
      </c>
      <c r="F21" s="7" t="n">
        <v>4</v>
      </c>
      <c r="G21" s="7" t="n">
        <v>2</v>
      </c>
      <c r="H21" s="7" t="n">
        <v>6</v>
      </c>
      <c r="I21" s="7" t="n">
        <v>4</v>
      </c>
      <c r="J21" s="8" t="n">
        <v>2175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00186037020</t>
        </is>
      </c>
      <c r="D22" s="5" t="inlineStr">
        <is>
          <t>SYMBICORT 160-4.5MCG/ACT AEROSOL</t>
        </is>
      </c>
      <c r="E22" s="6" t="inlineStr">
        <is>
          <t>10.2</t>
        </is>
      </c>
      <c r="F22" s="7" t="n">
        <v>91.8</v>
      </c>
      <c r="G22" s="7" t="n">
        <v>9</v>
      </c>
      <c r="H22" s="7" t="n">
        <v>0</v>
      </c>
      <c r="I22" s="7" t="n">
        <v>-9</v>
      </c>
      <c r="J22" s="8" t="n">
        <v>2091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210</v>
      </c>
      <c r="G23" s="7" t="n">
        <v>7</v>
      </c>
      <c r="H23" s="7" t="n">
        <v>14</v>
      </c>
      <c r="I23" s="7" t="n">
        <v>7</v>
      </c>
      <c r="J23" s="8" t="n">
        <v>1923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00006027731</t>
        </is>
      </c>
      <c r="D24" s="5" t="inlineStr">
        <is>
          <t>JANUVIA 100MG TAB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25</v>
      </c>
      <c r="I24" s="7" t="n">
        <v>19</v>
      </c>
      <c r="J24" s="8" t="n">
        <v>1920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61874013030</t>
        </is>
      </c>
      <c r="D25" s="5" t="inlineStr">
        <is>
          <t>VRAYLAR 3MG CAPSULE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0</v>
      </c>
      <c r="I25" s="7" t="n">
        <v>-1</v>
      </c>
      <c r="J25" s="8" t="n">
        <v>1539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59148003713</t>
        </is>
      </c>
      <c r="D26" s="5" t="inlineStr">
        <is>
          <t>REXULTI 1MG TABLET</t>
        </is>
      </c>
      <c r="E26" s="6" t="inlineStr">
        <is>
          <t>30.0</t>
        </is>
      </c>
      <c r="F26" s="7" t="n">
        <v>30</v>
      </c>
      <c r="G26" s="7" t="n">
        <v>1</v>
      </c>
      <c r="H26" s="7" t="n">
        <v>0</v>
      </c>
      <c r="I26" s="7" t="n">
        <v>-1</v>
      </c>
      <c r="J26" s="8" t="n">
        <v>1499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4</v>
      </c>
      <c r="I27" s="7" t="n">
        <v>0</v>
      </c>
      <c r="J27" s="8" t="n">
        <v>1470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00310461612</t>
        </is>
      </c>
      <c r="D28" s="5" t="inlineStr">
        <is>
          <t>BREZTRI AEROSPHERE 160-9-4.8 MCG/ACT INHALATION AEROSOL</t>
        </is>
      </c>
      <c r="E28" s="6" t="inlineStr">
        <is>
          <t>10.7</t>
        </is>
      </c>
      <c r="F28" s="7" t="n">
        <v>21.4</v>
      </c>
      <c r="G28" s="7" t="n">
        <v>2</v>
      </c>
      <c r="H28" s="7" t="n">
        <v>5</v>
      </c>
      <c r="I28" s="7" t="n">
        <v>3</v>
      </c>
      <c r="J28" s="8" t="n">
        <v>1331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00169452514</t>
        </is>
      </c>
      <c r="D29" s="5" t="inlineStr">
        <is>
          <t>WEGOVY 0.25 MG/0.5ML AUTO-INJECTOR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1</v>
      </c>
      <c r="I29" s="7" t="n">
        <v>0</v>
      </c>
      <c r="J29" s="8" t="n">
        <v>1317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72426081803</t>
        </is>
      </c>
      <c r="D30" s="5" t="inlineStr">
        <is>
          <t>NEXLIZET 180-10MG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1253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00193731150</t>
        </is>
      </c>
      <c r="D31" s="5" t="inlineStr">
        <is>
          <t>CONTOUR NEXT TEST  STRIPS</t>
        </is>
      </c>
      <c r="E31" s="6" t="inlineStr">
        <is>
          <t>50.0</t>
        </is>
      </c>
      <c r="F31" s="7" t="n">
        <v>1100</v>
      </c>
      <c r="G31" s="7" t="n">
        <v>22</v>
      </c>
      <c r="H31" s="7" t="n">
        <v>0</v>
      </c>
      <c r="I31" s="7" t="n">
        <v>-22</v>
      </c>
      <c r="J31" s="8" t="n">
        <v>1209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00536120207</t>
        </is>
      </c>
      <c r="D32" s="5" t="inlineStr">
        <is>
          <t>LIDOCAINE PAIN RELIEF 4 % EXTERNAL PATCH</t>
        </is>
      </c>
      <c r="E32" s="6" t="inlineStr">
        <is>
          <t>30.0</t>
        </is>
      </c>
      <c r="F32" s="7" t="n">
        <v>1140</v>
      </c>
      <c r="G32" s="7" t="n">
        <v>38</v>
      </c>
      <c r="H32" s="7" t="n">
        <v>42</v>
      </c>
      <c r="I32" s="7" t="n">
        <v>4</v>
      </c>
      <c r="J32" s="8" t="n">
        <v>1176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08627007701</t>
        </is>
      </c>
      <c r="D33" s="5" t="inlineStr">
        <is>
          <t>DEXCOM G7 SENSOR</t>
        </is>
      </c>
      <c r="E33" s="6" t="inlineStr">
        <is>
          <t>1.0</t>
        </is>
      </c>
      <c r="F33" s="7" t="n">
        <v>9</v>
      </c>
      <c r="G33" s="7" t="n">
        <v>9</v>
      </c>
      <c r="H33" s="7" t="n">
        <v>10</v>
      </c>
      <c r="I33" s="7" t="n">
        <v>1</v>
      </c>
      <c r="J33" s="8" t="n">
        <v>1164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00115169449</t>
        </is>
      </c>
      <c r="D34" s="5" t="inlineStr">
        <is>
          <t>EPINEPHRINE 0.3MG/0.3ML INJECTION 2ML</t>
        </is>
      </c>
      <c r="E34" s="6" t="inlineStr">
        <is>
          <t>2.0</t>
        </is>
      </c>
      <c r="F34" s="7" t="n">
        <v>10</v>
      </c>
      <c r="G34" s="7" t="n">
        <v>5</v>
      </c>
      <c r="H34" s="7" t="n">
        <v>3</v>
      </c>
      <c r="I34" s="7" t="n">
        <v>-2</v>
      </c>
      <c r="J34" s="8" t="n">
        <v>1154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00002145780</t>
        </is>
      </c>
      <c r="D35" s="5" t="inlineStr">
        <is>
          <t>MOUNJARO 15 MG/0.5ML PEN-INJECTOR</t>
        </is>
      </c>
      <c r="E35" s="6" t="inlineStr">
        <is>
          <t>2.0</t>
        </is>
      </c>
      <c r="F35" s="7" t="n">
        <v>2</v>
      </c>
      <c r="G35" s="7" t="n">
        <v>1</v>
      </c>
      <c r="H35" s="7" t="n">
        <v>4</v>
      </c>
      <c r="I35" s="7" t="n">
        <v>3</v>
      </c>
      <c r="J35" s="8" t="n">
        <v>1087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00002148480</t>
        </is>
      </c>
      <c r="D36" s="5" t="inlineStr">
        <is>
          <t>MOUNJARO 7.5 MG/0.5ML PEN-INJECTOR</t>
        </is>
      </c>
      <c r="E36" s="6" t="inlineStr">
        <is>
          <t>2.0</t>
        </is>
      </c>
      <c r="F36" s="7" t="n">
        <v>2</v>
      </c>
      <c r="G36" s="7" t="n">
        <v>1</v>
      </c>
      <c r="H36" s="7" t="n">
        <v>11</v>
      </c>
      <c r="I36" s="7" t="n">
        <v>10</v>
      </c>
      <c r="J36" s="8" t="n">
        <v>1085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00023324015</t>
        </is>
      </c>
      <c r="D37" s="5" t="inlineStr">
        <is>
          <t>REFRESH OPTIVE 0.5-0.9% SOLUTION</t>
        </is>
      </c>
      <c r="E37" s="6" t="inlineStr">
        <is>
          <t>15.0</t>
        </is>
      </c>
      <c r="F37" s="7" t="n">
        <v>900</v>
      </c>
      <c r="G37" s="7" t="n">
        <v>60</v>
      </c>
      <c r="H37" s="7" t="n">
        <v>3</v>
      </c>
      <c r="I37" s="7" t="n">
        <v>-57</v>
      </c>
      <c r="J37" s="8" t="n">
        <v>1057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00597029074</t>
        </is>
      </c>
      <c r="D38" s="5" t="inlineStr">
        <is>
          <t>SYNJARDY 5-1000MG TABLET XR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3</v>
      </c>
      <c r="I38" s="7" t="n">
        <v>0</v>
      </c>
      <c r="J38" s="8" t="n">
        <v>1020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00169430730</t>
        </is>
      </c>
      <c r="D39" s="5" t="inlineStr">
        <is>
          <t>RYBELSUS 7MG TABLET</t>
        </is>
      </c>
      <c r="E39" s="6" t="inlineStr">
        <is>
          <t>30.0</t>
        </is>
      </c>
      <c r="F39" s="7" t="n">
        <v>30</v>
      </c>
      <c r="G39" s="7" t="n">
        <v>1</v>
      </c>
      <c r="H39" s="7" t="n">
        <v>4</v>
      </c>
      <c r="I39" s="7" t="n">
        <v>3</v>
      </c>
      <c r="J39" s="8" t="n">
        <v>1002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00006057561</t>
        </is>
      </c>
      <c r="D40" s="5" t="inlineStr">
        <is>
          <t>JANUMET 50-500 MG ORAL TABLET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6</v>
      </c>
      <c r="I40" s="7" t="n">
        <v>3</v>
      </c>
      <c r="J40" s="8" t="n">
        <v>961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00006011231</t>
        </is>
      </c>
      <c r="D41" s="5" t="inlineStr">
        <is>
          <t>JANUVIA 50MG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15</v>
      </c>
      <c r="I41" s="7" t="n">
        <v>12</v>
      </c>
      <c r="J41" s="8" t="n">
        <v>959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43598097710</t>
        </is>
      </c>
      <c r="D42" s="5" t="inlineStr">
        <is>
          <t>DICLOFENAC SODIUM 1 % EXT GEL **NYM</t>
        </is>
      </c>
      <c r="E42" s="6" t="inlineStr">
        <is>
          <t>100.0</t>
        </is>
      </c>
      <c r="F42" s="7" t="n">
        <v>8100</v>
      </c>
      <c r="G42" s="7" t="n">
        <v>81</v>
      </c>
      <c r="H42" s="7" t="n">
        <v>48</v>
      </c>
      <c r="I42" s="7" t="n">
        <v>-33</v>
      </c>
      <c r="J42" s="8" t="n">
        <v>836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00186037220</t>
        </is>
      </c>
      <c r="D43" s="5" t="inlineStr">
        <is>
          <t>SYMBICORT 80-4.5MCG/ACT AEROSOL</t>
        </is>
      </c>
      <c r="E43" s="6" t="inlineStr">
        <is>
          <t>10.2</t>
        </is>
      </c>
      <c r="F43" s="7" t="n">
        <v>40.8</v>
      </c>
      <c r="G43" s="7" t="n">
        <v>4</v>
      </c>
      <c r="H43" s="7" t="n">
        <v>0</v>
      </c>
      <c r="I43" s="7" t="n">
        <v>-4</v>
      </c>
      <c r="J43" s="8" t="n">
        <v>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68180096301</t>
        </is>
      </c>
      <c r="D44" s="5" t="inlineStr">
        <is>
          <t>ALBUTEROL SULFATE HFA 108 (90 BASE)MCG/ACT AEROSOL</t>
        </is>
      </c>
      <c r="E44" s="6" t="inlineStr">
        <is>
          <t>8.5</t>
        </is>
      </c>
      <c r="F44" s="7" t="n">
        <v>365.5</v>
      </c>
      <c r="G44" s="7" t="n">
        <v>43</v>
      </c>
      <c r="H44" s="7" t="n">
        <v>36</v>
      </c>
      <c r="I44" s="7" t="n">
        <v>-7</v>
      </c>
      <c r="J44" s="8" t="n">
        <v>789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55724021121</t>
        </is>
      </c>
      <c r="D45" s="5" t="inlineStr">
        <is>
          <t>EUCRISA 2% OINTMENT</t>
        </is>
      </c>
      <c r="E45" s="6" t="inlineStr">
        <is>
          <t>60.0</t>
        </is>
      </c>
      <c r="F45" s="7" t="n">
        <v>60</v>
      </c>
      <c r="G45" s="7" t="n">
        <v>1</v>
      </c>
      <c r="H45" s="7" t="n">
        <v>0</v>
      </c>
      <c r="I45" s="7" t="n">
        <v>-1</v>
      </c>
      <c r="J45" s="8" t="n">
        <v>769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66993007996</t>
        </is>
      </c>
      <c r="D46" s="5" t="inlineStr">
        <is>
          <t>FLUTICASONE PROPIONATE HFA 110 MCG/ACT INHAEROSOL</t>
        </is>
      </c>
      <c r="E46" s="6" t="inlineStr">
        <is>
          <t>12.0</t>
        </is>
      </c>
      <c r="F46" s="7" t="n">
        <v>48</v>
      </c>
      <c r="G46" s="7" t="n">
        <v>4</v>
      </c>
      <c r="H46" s="7" t="n">
        <v>2</v>
      </c>
      <c r="I46" s="7" t="n">
        <v>-2</v>
      </c>
      <c r="J46" s="8" t="n">
        <v>753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00536105227</t>
        </is>
      </c>
      <c r="D47" s="5" t="inlineStr">
        <is>
          <t>POLYETHYLENE GLYCOL 3350 17GM/SCOOP POWDER</t>
        </is>
      </c>
      <c r="E47" s="6" t="inlineStr">
        <is>
          <t>510.0</t>
        </is>
      </c>
      <c r="F47" s="7" t="n">
        <v>19380</v>
      </c>
      <c r="G47" s="7" t="n">
        <v>38</v>
      </c>
      <c r="H47" s="7" t="n">
        <v>24</v>
      </c>
      <c r="I47" s="7" t="n">
        <v>-14</v>
      </c>
      <c r="J47" s="8" t="n">
        <v>732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60</v>
      </c>
      <c r="G48" s="7" t="n">
        <v>1</v>
      </c>
      <c r="H48" s="7" t="n">
        <v>3</v>
      </c>
      <c r="I48" s="7" t="n">
        <v>2</v>
      </c>
      <c r="J48" s="8" t="n">
        <v>680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52427063230</t>
        </is>
      </c>
      <c r="D49" s="5" t="inlineStr">
        <is>
          <t>VENLAFAXINE BESYLATE ER 112.5 MG TABLET</t>
        </is>
      </c>
      <c r="E49" s="6" t="inlineStr">
        <is>
          <t>30.0</t>
        </is>
      </c>
      <c r="F49" s="7" t="n">
        <v>90</v>
      </c>
      <c r="G49" s="7" t="n">
        <v>3</v>
      </c>
      <c r="H49" s="7" t="n">
        <v>3</v>
      </c>
      <c r="I49" s="7" t="n">
        <v>0</v>
      </c>
      <c r="J49" s="8" t="n">
        <v>593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00169633910</t>
        </is>
      </c>
      <c r="D50" s="5" t="inlineStr">
        <is>
          <t>NOVOLOG FLEXPEN 100UNIT/ML INJECTION</t>
        </is>
      </c>
      <c r="E50" s="6" t="inlineStr">
        <is>
          <t>15.0</t>
        </is>
      </c>
      <c r="F50" s="7" t="n">
        <v>63</v>
      </c>
      <c r="G50" s="7" t="n">
        <v>4.2</v>
      </c>
      <c r="H50" s="7" t="n">
        <v>6</v>
      </c>
      <c r="I50" s="7" t="n">
        <v>1.8</v>
      </c>
      <c r="J50" s="8" t="n">
        <v>583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00430042014</t>
        </is>
      </c>
      <c r="D51" s="5" t="inlineStr">
        <is>
          <t>LO LOESTRIN FE 1 MG-10 MCG / 10 MCG ORAL TABLET</t>
        </is>
      </c>
      <c r="E51" s="6" t="inlineStr">
        <is>
          <t>140.0</t>
        </is>
      </c>
      <c r="F51" s="7" t="n">
        <v>84</v>
      </c>
      <c r="G51" s="7" t="n">
        <v>0.6</v>
      </c>
      <c r="H51" s="7" t="n">
        <v>0</v>
      </c>
      <c r="I51" s="7" t="n">
        <v>-0.6</v>
      </c>
      <c r="J51" s="8" t="n">
        <v>579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59148000713</t>
        </is>
      </c>
      <c r="D52" s="5" t="inlineStr">
        <is>
          <t>ABILIFY 5MG TABLET</t>
        </is>
      </c>
      <c r="E52" s="6" t="inlineStr">
        <is>
          <t>30.0</t>
        </is>
      </c>
      <c r="F52" s="7" t="n">
        <v>30</v>
      </c>
      <c r="G52" s="7" t="n">
        <v>1</v>
      </c>
      <c r="H52" s="7" t="n">
        <v>1</v>
      </c>
      <c r="I52" s="7" t="n">
        <v>0</v>
      </c>
      <c r="J52" s="8" t="n">
        <v>571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00597010061</t>
        </is>
      </c>
      <c r="D53" s="5" t="inlineStr">
        <is>
          <t>SPIRIVA RESPIMAT 2.5MCG/ACT AEROSOL</t>
        </is>
      </c>
      <c r="E53" s="6" t="inlineStr">
        <is>
          <t>4.0</t>
        </is>
      </c>
      <c r="F53" s="7" t="n">
        <v>4</v>
      </c>
      <c r="G53" s="7" t="n">
        <v>1</v>
      </c>
      <c r="H53" s="7" t="n">
        <v>0</v>
      </c>
      <c r="I53" s="7" t="n">
        <v>-1</v>
      </c>
      <c r="J53" s="8" t="n">
        <v>514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00597030045</t>
        </is>
      </c>
      <c r="D54" s="5" t="inlineStr">
        <is>
          <t>SYNJARDY XR 12.5-1000 MG TABLET ER</t>
        </is>
      </c>
      <c r="E54" s="6" t="inlineStr">
        <is>
          <t>60.0</t>
        </is>
      </c>
      <c r="F54" s="7" t="n">
        <v>90</v>
      </c>
      <c r="G54" s="7" t="n">
        <v>1.5</v>
      </c>
      <c r="H54" s="7" t="n">
        <v>0</v>
      </c>
      <c r="I54" s="7" t="n">
        <v>-1.5</v>
      </c>
      <c r="J54" s="8" t="n">
        <v>513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00310908012</t>
        </is>
      </c>
      <c r="D55" s="5" t="inlineStr">
        <is>
          <t>AIRSUPRA 90-80 MCG/ACT INHALATION AEROSOL</t>
        </is>
      </c>
      <c r="E55" s="6" t="inlineStr">
        <is>
          <t>10.7</t>
        </is>
      </c>
      <c r="F55" s="7" t="n">
        <v>10.7</v>
      </c>
      <c r="G55" s="7" t="n">
        <v>1</v>
      </c>
      <c r="H55" s="7" t="n">
        <v>3</v>
      </c>
      <c r="I55" s="7" t="n">
        <v>2</v>
      </c>
      <c r="J55" s="8" t="n">
        <v>494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60505082901</t>
        </is>
      </c>
      <c r="D56" s="5" t="inlineStr">
        <is>
          <t>FLUTICASONE 50MCG (NASAL) SUSPENSION</t>
        </is>
      </c>
      <c r="E56" s="6" t="inlineStr">
        <is>
          <t>16.0</t>
        </is>
      </c>
      <c r="F56" s="7" t="n">
        <v>448</v>
      </c>
      <c r="G56" s="7" t="n">
        <v>28</v>
      </c>
      <c r="H56" s="7" t="n">
        <v>42</v>
      </c>
      <c r="I56" s="7" t="n">
        <v>14</v>
      </c>
      <c r="J56" s="8" t="n">
        <v>467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00074732713</t>
        </is>
      </c>
      <c r="D57" s="5" t="inlineStr">
        <is>
          <t>DEPAKOTE 500MG TABLET DELAYED RELEASE</t>
        </is>
      </c>
      <c r="E57" s="6" t="inlineStr">
        <is>
          <t>100.0</t>
        </is>
      </c>
      <c r="F57" s="7" t="n">
        <v>60</v>
      </c>
      <c r="G57" s="7" t="n">
        <v>0.6</v>
      </c>
      <c r="H57" s="7" t="n">
        <v>1</v>
      </c>
      <c r="I57" s="7" t="n">
        <v>0.4</v>
      </c>
      <c r="J57" s="8" t="n">
        <v>458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00173071720</t>
        </is>
      </c>
      <c r="D58" s="5" t="inlineStr">
        <is>
          <t>ADVAIR HFA 230-21 MCG/ACT INHALATION AEROSOL</t>
        </is>
      </c>
      <c r="E58" s="6" t="inlineStr">
        <is>
          <t>12.0</t>
        </is>
      </c>
      <c r="F58" s="7" t="n">
        <v>12</v>
      </c>
      <c r="G58" s="7" t="n">
        <v>1</v>
      </c>
      <c r="H58" s="7" t="n">
        <v>0</v>
      </c>
      <c r="I58" s="7" t="n">
        <v>-1</v>
      </c>
      <c r="J58" s="8" t="n">
        <v>431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65162035803</t>
        </is>
      </c>
      <c r="D59" s="5" t="inlineStr">
        <is>
          <t>ZAFEMY 150-35 MCG/24HR TRANSDERMAL PATCH WEEKLY</t>
        </is>
      </c>
      <c r="E59" s="6" t="inlineStr">
        <is>
          <t>3.0</t>
        </is>
      </c>
      <c r="F59" s="7" t="n">
        <v>12</v>
      </c>
      <c r="G59" s="7" t="n">
        <v>4</v>
      </c>
      <c r="H59" s="7" t="n">
        <v>3</v>
      </c>
      <c r="I59" s="7" t="n">
        <v>-1</v>
      </c>
      <c r="J59" s="8" t="n">
        <v>401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64764080530</t>
        </is>
      </c>
      <c r="D60" s="5" t="inlineStr">
        <is>
          <t>ROZEREM 8MG TABLET</t>
        </is>
      </c>
      <c r="E60" s="6" t="inlineStr">
        <is>
          <t>30.0</t>
        </is>
      </c>
      <c r="F60" s="7" t="n">
        <v>30</v>
      </c>
      <c r="G60" s="7" t="n">
        <v>1</v>
      </c>
      <c r="H60" s="7" t="n">
        <v>1</v>
      </c>
      <c r="I60" s="7" t="n">
        <v>0</v>
      </c>
      <c r="J60" s="8" t="n">
        <v>383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00904675180</t>
        </is>
      </c>
      <c r="D61" s="5" t="inlineStr">
        <is>
          <t>ASPIRIN 81MG TABLET DR</t>
        </is>
      </c>
      <c r="E61" s="6" t="inlineStr">
        <is>
          <t>1000.0</t>
        </is>
      </c>
      <c r="F61" s="7" t="n">
        <v>2730</v>
      </c>
      <c r="G61" s="7" t="n">
        <v>2.73</v>
      </c>
      <c r="H61" s="7" t="n">
        <v>3</v>
      </c>
      <c r="I61" s="7" t="n">
        <v>0.27</v>
      </c>
      <c r="J61" s="8" t="n">
        <v>376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00006537303</t>
        </is>
      </c>
      <c r="D62" s="5" t="inlineStr">
        <is>
          <t>SEGLUROMET 2.5-1000MG TABLET</t>
        </is>
      </c>
      <c r="E62" s="6" t="inlineStr">
        <is>
          <t>60.0</t>
        </is>
      </c>
      <c r="F62" s="7" t="n">
        <v>60</v>
      </c>
      <c r="G62" s="7" t="n">
        <v>1</v>
      </c>
      <c r="H62" s="7" t="n">
        <v>0</v>
      </c>
      <c r="I62" s="7" t="n">
        <v>-1</v>
      </c>
      <c r="J62" s="8" t="n">
        <v>353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00597017560</t>
        </is>
      </c>
      <c r="D63" s="5" t="inlineStr">
        <is>
          <t>SYNJARDY 5-1000 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2</v>
      </c>
      <c r="I63" s="7" t="n">
        <v>1</v>
      </c>
      <c r="J63" s="8" t="n">
        <v>346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00003089421</t>
        </is>
      </c>
      <c r="D64" s="5" t="inlineStr">
        <is>
          <t xml:space="preserve">ELIQUIS 5MG TAB 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21</v>
      </c>
      <c r="I64" s="7" t="n">
        <v>20</v>
      </c>
      <c r="J64" s="8" t="n">
        <v>342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6</v>
      </c>
      <c r="I65" s="7" t="n">
        <v>2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204</v>
      </c>
      <c r="G66" s="7" t="n">
        <v>2.04</v>
      </c>
      <c r="H66" s="7" t="n">
        <v>4</v>
      </c>
      <c r="I66" s="7" t="n">
        <v>1.96</v>
      </c>
      <c r="J66" s="8" t="n">
        <v>302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42</v>
      </c>
      <c r="G67" s="7" t="n">
        <v>2.8</v>
      </c>
      <c r="H67" s="7" t="n">
        <v>27</v>
      </c>
      <c r="I67" s="7" t="n">
        <v>24.2</v>
      </c>
      <c r="J67" s="8" t="n">
        <v>300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08627007801</t>
        </is>
      </c>
      <c r="D68" s="5" t="inlineStr">
        <is>
          <t>DEXCOM G7 RECEIVER DEVICE</t>
        </is>
      </c>
      <c r="E68" s="6" t="inlineStr">
        <is>
          <t>1.0</t>
        </is>
      </c>
      <c r="F68" s="7" t="n">
        <v>1</v>
      </c>
      <c r="G68" s="7" t="n">
        <v>1</v>
      </c>
      <c r="H68" s="7" t="n">
        <v>1</v>
      </c>
      <c r="I68" s="7" t="n">
        <v>0</v>
      </c>
      <c r="J68" s="8" t="n">
        <v>299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00456120330</t>
        </is>
      </c>
      <c r="D69" s="5" t="inlineStr">
        <is>
          <t>LINZESS 72 MCG ORAL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3</v>
      </c>
      <c r="I69" s="7" t="n">
        <v>2</v>
      </c>
      <c r="J69" s="8" t="n">
        <v>281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00023031204</t>
        </is>
      </c>
      <c r="D70" s="5" t="inlineStr">
        <is>
          <t>REFRESH LACRI-LUBE  OINTMENT</t>
        </is>
      </c>
      <c r="E70" s="6" t="inlineStr">
        <is>
          <t>3.5</t>
        </is>
      </c>
      <c r="F70" s="7" t="n">
        <v>70</v>
      </c>
      <c r="G70" s="7" t="n">
        <v>20</v>
      </c>
      <c r="H70" s="7" t="n">
        <v>10</v>
      </c>
      <c r="I70" s="7" t="n">
        <v>-10</v>
      </c>
      <c r="J70" s="8" t="n">
        <v>275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00002771559</t>
        </is>
      </c>
      <c r="D71" s="5" t="inlineStr">
        <is>
          <t>BASAGLAR KWIKPEN 100UNIT/ML INJECTION</t>
        </is>
      </c>
      <c r="E71" s="6" t="inlineStr">
        <is>
          <t>15.0</t>
        </is>
      </c>
      <c r="F71" s="7" t="n">
        <v>12</v>
      </c>
      <c r="G71" s="7" t="n">
        <v>0.8</v>
      </c>
      <c r="H71" s="7" t="n">
        <v>10</v>
      </c>
      <c r="I71" s="7" t="n">
        <v>9.199999999999999</v>
      </c>
      <c r="J71" s="8" t="n">
        <v>272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00093598527</t>
        </is>
      </c>
      <c r="D72" s="5" t="inlineStr">
        <is>
          <t>EPINEPHRINE (JR) 0.15MG/0.3ML</t>
        </is>
      </c>
      <c r="E72" s="6" t="inlineStr">
        <is>
          <t>2.0</t>
        </is>
      </c>
      <c r="F72" s="7" t="n">
        <v>2</v>
      </c>
      <c r="G72" s="7" t="n">
        <v>1</v>
      </c>
      <c r="H72" s="7" t="n">
        <v>2</v>
      </c>
      <c r="I72" s="7" t="n">
        <v>1</v>
      </c>
      <c r="J72" s="8" t="n">
        <v>271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00904728080</t>
        </is>
      </c>
      <c r="D73" s="5" t="inlineStr">
        <is>
          <t>DOCUSATE SODIUM 100MG CAPSULE ****NYM</t>
        </is>
      </c>
      <c r="E73" s="6" t="inlineStr">
        <is>
          <t>1000.0</t>
        </is>
      </c>
      <c r="F73" s="7" t="n">
        <v>1689</v>
      </c>
      <c r="G73" s="7" t="n">
        <v>1.689</v>
      </c>
      <c r="H73" s="7" t="n">
        <v>1</v>
      </c>
      <c r="I73" s="7" t="n">
        <v>-0.6890000000000001</v>
      </c>
      <c r="J73" s="8" t="n">
        <v>254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91237000178</t>
        </is>
      </c>
      <c r="D74" s="5" t="inlineStr">
        <is>
          <t>BLOOD PRESSURE MACHINE ***  *TALKING SENSE</t>
        </is>
      </c>
      <c r="E74" s="6" t="inlineStr">
        <is>
          <t>1.0</t>
        </is>
      </c>
      <c r="F74" s="7" t="n">
        <v>5</v>
      </c>
      <c r="G74" s="7" t="n">
        <v>5</v>
      </c>
      <c r="H74" s="7" t="n">
        <v>0</v>
      </c>
      <c r="I74" s="7" t="n">
        <v>-5</v>
      </c>
      <c r="J74" s="8" t="n">
        <v>252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51672140709</t>
        </is>
      </c>
      <c r="D75" s="5" t="inlineStr">
        <is>
          <t>TRETINOIN 0.025 % EXTERNAL CREAM</t>
        </is>
      </c>
      <c r="E75" s="6" t="inlineStr">
        <is>
          <t>45.0</t>
        </is>
      </c>
      <c r="F75" s="7" t="n">
        <v>225</v>
      </c>
      <c r="G75" s="7" t="n">
        <v>5</v>
      </c>
      <c r="H75" s="7" t="n">
        <v>0</v>
      </c>
      <c r="I75" s="7" t="n">
        <v>-5</v>
      </c>
      <c r="J75" s="8" t="n">
        <v>240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00002822259</t>
        </is>
      </c>
      <c r="D76" s="5" t="inlineStr">
        <is>
          <t>INSULIN LISPRO 100 UNIT/ML SQ SOLUTION</t>
        </is>
      </c>
      <c r="E76" s="6" t="inlineStr">
        <is>
          <t>15.0</t>
        </is>
      </c>
      <c r="F76" s="7" t="n">
        <v>21</v>
      </c>
      <c r="G76" s="7" t="n">
        <v>1.4</v>
      </c>
      <c r="H76" s="7" t="n">
        <v>0</v>
      </c>
      <c r="I76" s="7" t="n">
        <v>-1.4</v>
      </c>
      <c r="J76" s="8" t="n">
        <v>235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59310030240</t>
        </is>
      </c>
      <c r="D77" s="5" t="inlineStr">
        <is>
          <t>QVAR REDIHALER 40MCG/ACT AEROSOL</t>
        </is>
      </c>
      <c r="E77" s="6" t="inlineStr">
        <is>
          <t>10.6</t>
        </is>
      </c>
      <c r="F77" s="7" t="n">
        <v>10.6</v>
      </c>
      <c r="G77" s="7" t="n">
        <v>1</v>
      </c>
      <c r="H77" s="7" t="n">
        <v>0</v>
      </c>
      <c r="I77" s="7" t="n">
        <v>-1</v>
      </c>
      <c r="J77" s="8" t="n">
        <v>228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00002773701</t>
        </is>
      </c>
      <c r="D78" s="5" t="inlineStr">
        <is>
          <t>INSULIN LISPRO 100 UNIT/ML INJECTION SOLUTION</t>
        </is>
      </c>
      <c r="E78" s="6" t="inlineStr">
        <is>
          <t>10.0</t>
        </is>
      </c>
      <c r="F78" s="7" t="n">
        <v>90</v>
      </c>
      <c r="G78" s="7" t="n">
        <v>9</v>
      </c>
      <c r="H78" s="7" t="n">
        <v>9</v>
      </c>
      <c r="I78" s="7" t="n">
        <v>0</v>
      </c>
      <c r="J78" s="8" t="n">
        <v>227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31722062921</t>
        </is>
      </c>
      <c r="D79" s="5" t="inlineStr">
        <is>
          <t>ATOVAQUONE 750 MG/5ML ORAL SUSPENSION</t>
        </is>
      </c>
      <c r="E79" s="6" t="inlineStr">
        <is>
          <t>210.0</t>
        </is>
      </c>
      <c r="F79" s="7" t="n">
        <v>300</v>
      </c>
      <c r="G79" s="7" t="n">
        <v>1.428571428571429</v>
      </c>
      <c r="H79" s="7" t="n">
        <v>1</v>
      </c>
      <c r="I79" s="7" t="n">
        <v>-0.4285714285714286</v>
      </c>
      <c r="J79" s="8" t="n">
        <v>226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45802065087</t>
        </is>
      </c>
      <c r="D80" s="5" t="inlineStr">
        <is>
          <t xml:space="preserve">LORATADINE 10MG TAB </t>
        </is>
      </c>
      <c r="E80" s="6" t="inlineStr">
        <is>
          <t>300.0</t>
        </is>
      </c>
      <c r="F80" s="7" t="n">
        <v>980</v>
      </c>
      <c r="G80" s="7" t="n">
        <v>3.266666666666667</v>
      </c>
      <c r="H80" s="7" t="n">
        <v>0</v>
      </c>
      <c r="I80" s="7" t="n">
        <v>-3.266666666666667</v>
      </c>
      <c r="J80" s="8" t="n">
        <v>217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00173088810</t>
        </is>
      </c>
      <c r="D81" s="5" t="inlineStr">
        <is>
          <t>ARNUITY ELLIPTA 50 MCG/ACT INHAEROSOL</t>
        </is>
      </c>
      <c r="E81" s="6" t="inlineStr">
        <is>
          <t>30.0</t>
        </is>
      </c>
      <c r="F81" s="7" t="n">
        <v>30</v>
      </c>
      <c r="G81" s="7" t="n">
        <v>1</v>
      </c>
      <c r="H81" s="7" t="n">
        <v>0</v>
      </c>
      <c r="I81" s="7" t="n">
        <v>-1</v>
      </c>
      <c r="J81" s="8" t="n">
        <v>210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16571040250</t>
        </is>
      </c>
      <c r="D82" s="5" t="inlineStr">
        <is>
          <t xml:space="preserve">CETIRIZINE 10MG TAB </t>
        </is>
      </c>
      <c r="E82" s="6" t="inlineStr">
        <is>
          <t>500.0</t>
        </is>
      </c>
      <c r="F82" s="7" t="n">
        <v>1050</v>
      </c>
      <c r="G82" s="7" t="n">
        <v>2.1</v>
      </c>
      <c r="H82" s="7" t="n">
        <v>0</v>
      </c>
      <c r="I82" s="7" t="n">
        <v>-2.1</v>
      </c>
      <c r="J82" s="8" t="n">
        <v>205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00904731427</t>
        </is>
      </c>
      <c r="D83" s="5" t="inlineStr">
        <is>
          <t>ACETAMINOPHEN ER 650MG TABLET ER</t>
        </is>
      </c>
      <c r="E83" s="6" t="inlineStr">
        <is>
          <t>400.0</t>
        </is>
      </c>
      <c r="F83" s="7" t="n">
        <v>1310</v>
      </c>
      <c r="G83" s="7" t="n">
        <v>3.275</v>
      </c>
      <c r="H83" s="7" t="n">
        <v>4</v>
      </c>
      <c r="I83" s="7" t="n">
        <v>0.7250000000000001</v>
      </c>
      <c r="J83" s="8" t="n">
        <v>192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68462071171</t>
        </is>
      </c>
      <c r="D84" s="5" t="inlineStr">
        <is>
          <t>ESTRADIOL 10 MCG VAGINAL TABLET</t>
        </is>
      </c>
      <c r="E84" s="6" t="inlineStr">
        <is>
          <t>8.0</t>
        </is>
      </c>
      <c r="F84" s="7" t="n">
        <v>24</v>
      </c>
      <c r="G84" s="7" t="n">
        <v>3</v>
      </c>
      <c r="H84" s="7" t="n">
        <v>0</v>
      </c>
      <c r="I84" s="7" t="n">
        <v>-3</v>
      </c>
      <c r="J84" s="8" t="n">
        <v>176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59651043908</t>
        </is>
      </c>
      <c r="D85" s="5" t="inlineStr">
        <is>
          <t>ESTRADIOL 10 MCG VAGINAL TABLET</t>
        </is>
      </c>
      <c r="E85" s="6" t="inlineStr">
        <is>
          <t>8.0</t>
        </is>
      </c>
      <c r="F85" s="7" t="n">
        <v>24</v>
      </c>
      <c r="G85" s="7" t="n">
        <v>3</v>
      </c>
      <c r="H85" s="7" t="n">
        <v>3</v>
      </c>
      <c r="I85" s="7" t="n">
        <v>0</v>
      </c>
      <c r="J85" s="8" t="n">
        <v>176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60505403301</t>
        </is>
      </c>
      <c r="D86" s="5" t="inlineStr">
        <is>
          <t>ICOSAPENT ETHYL 1GM CAPSULE</t>
        </is>
      </c>
      <c r="E86" s="6" t="inlineStr">
        <is>
          <t>120.0</t>
        </is>
      </c>
      <c r="F86" s="7" t="n">
        <v>360</v>
      </c>
      <c r="G86" s="7" t="n">
        <v>3</v>
      </c>
      <c r="H86" s="7" t="n">
        <v>0</v>
      </c>
      <c r="I86" s="7" t="n">
        <v>-3</v>
      </c>
      <c r="J86" s="8" t="n">
        <v>175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72205028018</t>
        </is>
      </c>
      <c r="D87" s="5" t="inlineStr">
        <is>
          <t>SACUBITRIL-VALSARTAN 24-26 MG ORAL TABLET</t>
        </is>
      </c>
      <c r="E87" s="6" t="inlineStr">
        <is>
          <t>180.0</t>
        </is>
      </c>
      <c r="F87" s="7" t="n">
        <v>240</v>
      </c>
      <c r="G87" s="7" t="n">
        <v>1.333333333333333</v>
      </c>
      <c r="H87" s="7" t="n">
        <v>9</v>
      </c>
      <c r="I87" s="7" t="n">
        <v>7.666666666666667</v>
      </c>
      <c r="J87" s="8" t="n">
        <v>171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00065043133</t>
        </is>
      </c>
      <c r="D88" s="5" t="inlineStr">
        <is>
          <t>SYSTANE PRESERVATIVE FREE 0.4-0.3 % OPHTHALMIC SOLUTION</t>
        </is>
      </c>
      <c r="E88" s="6" t="inlineStr">
        <is>
          <t>30.0</t>
        </is>
      </c>
      <c r="F88" s="7" t="n">
        <v>390</v>
      </c>
      <c r="G88" s="7" t="n">
        <v>13</v>
      </c>
      <c r="H88" s="7" t="n">
        <v>3</v>
      </c>
      <c r="I88" s="7" t="n">
        <v>-10</v>
      </c>
      <c r="J88" s="8" t="n">
        <v>165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57599084400</t>
        </is>
      </c>
      <c r="D89" s="5" t="inlineStr">
        <is>
          <t>FREESTYLE LIBRE 3 PLUS SENSOR</t>
        </is>
      </c>
      <c r="E89" s="6" t="inlineStr">
        <is>
          <t>1.0</t>
        </is>
      </c>
      <c r="F89" s="7" t="n">
        <v>2</v>
      </c>
      <c r="G89" s="7" t="n">
        <v>2</v>
      </c>
      <c r="H89" s="7" t="n">
        <v>0</v>
      </c>
      <c r="I89" s="7" t="n">
        <v>-2</v>
      </c>
      <c r="J89" s="8" t="n">
        <v>164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54092017312</t>
        </is>
      </c>
      <c r="D90" s="5" t="inlineStr">
        <is>
          <t>CARBATROL 300MG EXT-RELEASE CAPSULE</t>
        </is>
      </c>
      <c r="E90" s="6" t="inlineStr">
        <is>
          <t>120.0</t>
        </is>
      </c>
      <c r="F90" s="7" t="n">
        <v>90</v>
      </c>
      <c r="G90" s="7" t="n">
        <v>0.75</v>
      </c>
      <c r="H90" s="7" t="n">
        <v>1</v>
      </c>
      <c r="I90" s="7" t="n">
        <v>0.25</v>
      </c>
      <c r="J90" s="8" t="n">
        <v>163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59762033302</t>
        </is>
      </c>
      <c r="D91" s="5" t="inlineStr">
        <is>
          <t>LATANOPROST 0.005 % OPHTHALMIC SOLUTION</t>
        </is>
      </c>
      <c r="E91" s="6" t="inlineStr">
        <is>
          <t>2.5</t>
        </is>
      </c>
      <c r="F91" s="7" t="n">
        <v>37.5</v>
      </c>
      <c r="G91" s="7" t="n">
        <v>15</v>
      </c>
      <c r="H91" s="7" t="n">
        <v>48</v>
      </c>
      <c r="I91" s="7" t="n">
        <v>33</v>
      </c>
      <c r="J91" s="8" t="n">
        <v>163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00904672040</t>
        </is>
      </c>
      <c r="D92" s="5" t="inlineStr">
        <is>
          <t>ACETAMINOPHEN EXTRA STRENGTH 500MG TABLET **** NYM</t>
        </is>
      </c>
      <c r="E92" s="6" t="inlineStr">
        <is>
          <t>500.0</t>
        </is>
      </c>
      <c r="F92" s="7" t="n">
        <v>1797</v>
      </c>
      <c r="G92" s="7" t="n">
        <v>3.594</v>
      </c>
      <c r="H92" s="7" t="n">
        <v>1</v>
      </c>
      <c r="I92" s="7" t="n">
        <v>-2.594</v>
      </c>
      <c r="J92" s="8" t="n">
        <v>160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00074455290</t>
        </is>
      </c>
      <c r="D93" s="5" t="inlineStr">
        <is>
          <t>SYNTHROID 50MCG TABLET</t>
        </is>
      </c>
      <c r="E93" s="6" t="inlineStr">
        <is>
          <t>90.0</t>
        </is>
      </c>
      <c r="F93" s="7" t="n">
        <v>90</v>
      </c>
      <c r="G93" s="7" t="n">
        <v>1</v>
      </c>
      <c r="H93" s="7" t="n">
        <v>1</v>
      </c>
      <c r="I93" s="7" t="n">
        <v>0</v>
      </c>
      <c r="J93" s="8" t="n">
        <v>160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00904672080</t>
        </is>
      </c>
      <c r="D94" s="5" t="inlineStr">
        <is>
          <t>ACETAMINOPHEN 500MG TABLET NYM</t>
        </is>
      </c>
      <c r="E94" s="6" t="inlineStr">
        <is>
          <t>1000.0</t>
        </is>
      </c>
      <c r="F94" s="7" t="n">
        <v>1541</v>
      </c>
      <c r="G94" s="7" t="n">
        <v>1.541</v>
      </c>
      <c r="H94" s="7" t="n">
        <v>0</v>
      </c>
      <c r="I94" s="7" t="n">
        <v>-1.541</v>
      </c>
      <c r="J94" s="8" t="n">
        <v>158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82260029905</t>
        </is>
      </c>
      <c r="D95" s="5" t="inlineStr">
        <is>
          <t>LOTEPREDNOL ETABONATE 0.5 % OPHTHALMIC SUSPENSION</t>
        </is>
      </c>
      <c r="E95" s="6" t="inlineStr">
        <is>
          <t>5.0</t>
        </is>
      </c>
      <c r="F95" s="7" t="n">
        <v>10</v>
      </c>
      <c r="G95" s="7" t="n">
        <v>2</v>
      </c>
      <c r="H95" s="7" t="n">
        <v>0</v>
      </c>
      <c r="I95" s="7" t="n">
        <v>-2</v>
      </c>
      <c r="J95" s="8" t="n">
        <v>151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73070020315</t>
        </is>
      </c>
      <c r="D96" s="5" t="inlineStr">
        <is>
          <t>INSULIN PROT &amp; ASP FLEXPEN (70-30) 100 UNIT/ML</t>
        </is>
      </c>
      <c r="E96" s="6" t="inlineStr">
        <is>
          <t>15.0</t>
        </is>
      </c>
      <c r="F96" s="7" t="n">
        <v>15</v>
      </c>
      <c r="G96" s="7" t="n">
        <v>1</v>
      </c>
      <c r="H96" s="7" t="n">
        <v>0</v>
      </c>
      <c r="I96" s="7" t="n">
        <v>-1</v>
      </c>
      <c r="J96" s="8" t="n">
        <v>150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69315012710</t>
        </is>
      </c>
      <c r="D97" s="5" t="inlineStr">
        <is>
          <t xml:space="preserve">FOLIC ACID 1MG TABLET </t>
        </is>
      </c>
      <c r="E97" s="6" t="inlineStr">
        <is>
          <t>1000.0</t>
        </is>
      </c>
      <c r="F97" s="7" t="n">
        <v>840</v>
      </c>
      <c r="G97" s="7" t="n">
        <v>0.84</v>
      </c>
      <c r="H97" s="7" t="n">
        <v>1</v>
      </c>
      <c r="I97" s="7" t="n">
        <v>0.16</v>
      </c>
      <c r="J97" s="8" t="n">
        <v>148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70000052201</t>
        </is>
      </c>
      <c r="D98" s="5" t="inlineStr">
        <is>
          <t>EYE ITCH RELIEF 0.025 % OPHTHALMIC SOLUTION</t>
        </is>
      </c>
      <c r="E98" s="6" t="inlineStr">
        <is>
          <t>5.0</t>
        </is>
      </c>
      <c r="F98" s="7" t="n">
        <v>30</v>
      </c>
      <c r="G98" s="7" t="n">
        <v>6</v>
      </c>
      <c r="H98" s="7" t="n">
        <v>12</v>
      </c>
      <c r="I98" s="7" t="n">
        <v>6</v>
      </c>
      <c r="J98" s="8" t="n">
        <v>147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70377007913</t>
        </is>
      </c>
      <c r="D99" s="5" t="inlineStr">
        <is>
          <t>ATORVASTATIN 40MG TABLET</t>
        </is>
      </c>
      <c r="E99" s="6" t="inlineStr">
        <is>
          <t>1000.0</t>
        </is>
      </c>
      <c r="F99" s="7" t="n">
        <v>810</v>
      </c>
      <c r="G99" s="7" t="n">
        <v>0.8100000000000001</v>
      </c>
      <c r="H99" s="7" t="n">
        <v>2</v>
      </c>
      <c r="I99" s="7" t="n">
        <v>1.19</v>
      </c>
      <c r="J99" s="8" t="n">
        <v>144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66993007896</t>
        </is>
      </c>
      <c r="D100" s="5" t="inlineStr">
        <is>
          <t>FLUTICASONE PROPIONATE HFA 44 MCG/ACT INH AEROSOL</t>
        </is>
      </c>
      <c r="E100" s="6" t="inlineStr">
        <is>
          <t>10.6</t>
        </is>
      </c>
      <c r="F100" s="7" t="n">
        <v>10.6</v>
      </c>
      <c r="G100" s="7" t="n">
        <v>1</v>
      </c>
      <c r="H100" s="7" t="n">
        <v>0</v>
      </c>
      <c r="I100" s="7" t="n">
        <v>-1</v>
      </c>
      <c r="J100" s="8" t="n">
        <v>143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00904725280</t>
        </is>
      </c>
      <c r="D101" s="5" t="inlineStr">
        <is>
          <t>SENNA 8.6 MG TABLET *NYM</t>
        </is>
      </c>
      <c r="E101" s="6" t="inlineStr">
        <is>
          <t>1000.0</t>
        </is>
      </c>
      <c r="F101" s="7" t="n">
        <v>630</v>
      </c>
      <c r="G101" s="7" t="n">
        <v>0.63</v>
      </c>
      <c r="H101" s="7" t="n">
        <v>4</v>
      </c>
      <c r="I101" s="7" t="n">
        <v>3.37</v>
      </c>
      <c r="J101" s="8" t="n">
        <v>132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43598064418</t>
        </is>
      </c>
      <c r="D102" s="5" t="inlineStr">
        <is>
          <t>SACUBITRIL-VALSARTAN 49-51 MG ORAL TABLET</t>
        </is>
      </c>
      <c r="E102" s="6" t="inlineStr">
        <is>
          <t>180.0</t>
        </is>
      </c>
      <c r="F102" s="7" t="n">
        <v>180</v>
      </c>
      <c r="G102" s="7" t="n">
        <v>1</v>
      </c>
      <c r="H102" s="7" t="n">
        <v>0</v>
      </c>
      <c r="I102" s="7" t="n">
        <v>-1</v>
      </c>
      <c r="J102" s="8" t="n">
        <v>129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47781023005</t>
        </is>
      </c>
      <c r="D103" s="5" t="inlineStr">
        <is>
          <t>OXYCODONE-APAP 10-325MG TABLET</t>
        </is>
      </c>
      <c r="E103" s="6" t="inlineStr">
        <is>
          <t>500.0</t>
        </is>
      </c>
      <c r="F103" s="7" t="n">
        <v>510</v>
      </c>
      <c r="G103" s="7" t="n">
        <v>1.02</v>
      </c>
      <c r="H103" s="7" t="n">
        <v>4</v>
      </c>
      <c r="I103" s="7" t="n">
        <v>2.98</v>
      </c>
      <c r="J103" s="8" t="n">
        <v>122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00904701420</t>
        </is>
      </c>
      <c r="D104" s="5" t="inlineStr">
        <is>
          <t>ACETAMINOPHEN CHILDRENS 160 MG/5ML ORAL SOLUTION</t>
        </is>
      </c>
      <c r="E104" s="6" t="inlineStr">
        <is>
          <t>118.0</t>
        </is>
      </c>
      <c r="F104" s="7" t="n">
        <v>2006</v>
      </c>
      <c r="G104" s="7" t="n">
        <v>17</v>
      </c>
      <c r="H104" s="7" t="n">
        <v>0</v>
      </c>
      <c r="I104" s="7" t="n">
        <v>-17</v>
      </c>
      <c r="J104" s="8" t="n">
        <v>122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00074740113</t>
        </is>
      </c>
      <c r="D105" s="5" t="inlineStr">
        <is>
          <t>DEPAKOTE ER 250 MG TABLET</t>
        </is>
      </c>
      <c r="E105" s="6" t="inlineStr">
        <is>
          <t>100.0</t>
        </is>
      </c>
      <c r="F105" s="7" t="n">
        <v>30</v>
      </c>
      <c r="G105" s="7" t="n">
        <v>0.3</v>
      </c>
      <c r="H105" s="7" t="n">
        <v>0</v>
      </c>
      <c r="I105" s="7" t="n">
        <v>-0.3</v>
      </c>
      <c r="J105" s="8" t="n">
        <v>121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59651003212</t>
        </is>
      </c>
      <c r="D106" s="5" t="inlineStr">
        <is>
          <t>IBUPROFEN 100 MG/5ML SUSPENSION</t>
        </is>
      </c>
      <c r="E106" s="6" t="inlineStr">
        <is>
          <t>120.0</t>
        </is>
      </c>
      <c r="F106" s="7" t="n">
        <v>1440</v>
      </c>
      <c r="G106" s="7" t="n">
        <v>12</v>
      </c>
      <c r="H106" s="7" t="n">
        <v>0</v>
      </c>
      <c r="I106" s="7" t="n">
        <v>-12</v>
      </c>
      <c r="J106" s="8" t="n">
        <v>116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00023079815</t>
        </is>
      </c>
      <c r="D107" s="5" t="inlineStr">
        <is>
          <t>REFRESH TEARS 0.5 % OPHTHALMIC SOLUTION</t>
        </is>
      </c>
      <c r="E107" s="6" t="inlineStr">
        <is>
          <t>15.0</t>
        </is>
      </c>
      <c r="F107" s="7" t="n">
        <v>120</v>
      </c>
      <c r="G107" s="7" t="n">
        <v>8</v>
      </c>
      <c r="H107" s="7" t="n">
        <v>1</v>
      </c>
      <c r="I107" s="7" t="n">
        <v>-7</v>
      </c>
      <c r="J107" s="8" t="n">
        <v>115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68462039710</t>
        </is>
      </c>
      <c r="D108" s="5" t="inlineStr">
        <is>
          <t>OMEPRAZOLE 40MG CAPSULE DR</t>
        </is>
      </c>
      <c r="E108" s="6" t="inlineStr">
        <is>
          <t>1000.0</t>
        </is>
      </c>
      <c r="F108" s="7" t="n">
        <v>386</v>
      </c>
      <c r="G108" s="7" t="n">
        <v>0.386</v>
      </c>
      <c r="H108" s="7" t="n">
        <v>0</v>
      </c>
      <c r="I108" s="7" t="n">
        <v>-0.386</v>
      </c>
      <c r="J108" s="8" t="n">
        <v>111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70010006599</t>
        </is>
      </c>
      <c r="D109" s="5" t="inlineStr">
        <is>
          <t>METFORMIN 1000MG TABLET</t>
        </is>
      </c>
      <c r="E109" s="6" t="inlineStr">
        <is>
          <t>1000.0</t>
        </is>
      </c>
      <c r="F109" s="7" t="n">
        <v>990</v>
      </c>
      <c r="G109" s="7" t="n">
        <v>0.99</v>
      </c>
      <c r="H109" s="7" t="n">
        <v>4</v>
      </c>
      <c r="I109" s="7" t="n">
        <v>3.01</v>
      </c>
      <c r="J109" s="8" t="n">
        <v>109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76204020030</t>
        </is>
      </c>
      <c r="D110" s="5" t="inlineStr">
        <is>
          <t>ALBUTEROL SULFATE (2.5 MG/3ML) 0.083% INHALATION NEBULIZATION SOLUTION</t>
        </is>
      </c>
      <c r="E110" s="6" t="inlineStr">
        <is>
          <t>90.0</t>
        </is>
      </c>
      <c r="F110" s="7" t="n">
        <v>900</v>
      </c>
      <c r="G110" s="7" t="n">
        <v>10</v>
      </c>
      <c r="H110" s="7" t="n">
        <v>0</v>
      </c>
      <c r="I110" s="7" t="n">
        <v>-10</v>
      </c>
      <c r="J110" s="8" t="n">
        <v>103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47781023001</t>
        </is>
      </c>
      <c r="D111" s="5" t="inlineStr">
        <is>
          <t>OXYCODONE-ACETAMINOPHEN 10-325MG TABLET</t>
        </is>
      </c>
      <c r="E111" s="6" t="inlineStr">
        <is>
          <t>100.0</t>
        </is>
      </c>
      <c r="F111" s="7" t="n">
        <v>420</v>
      </c>
      <c r="G111" s="7" t="n">
        <v>4.2</v>
      </c>
      <c r="H111" s="7" t="n">
        <v>14</v>
      </c>
      <c r="I111" s="7" t="n">
        <v>9.800000000000001</v>
      </c>
      <c r="J111" s="8" t="n">
        <v>101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70954066210</t>
        </is>
      </c>
      <c r="D112" s="5" t="inlineStr">
        <is>
          <t>KETOCONAZOLE 2 % EXTERNAL SHAMPOO</t>
        </is>
      </c>
      <c r="E112" s="6" t="inlineStr">
        <is>
          <t>120.0</t>
        </is>
      </c>
      <c r="F112" s="7" t="n">
        <v>600</v>
      </c>
      <c r="G112" s="7" t="n">
        <v>5</v>
      </c>
      <c r="H112" s="7" t="n">
        <v>17</v>
      </c>
      <c r="I112" s="7" t="n">
        <v>12</v>
      </c>
      <c r="J112" s="8" t="n">
        <v>99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08470104201</t>
        </is>
      </c>
      <c r="D113" s="5" t="inlineStr">
        <is>
          <t>LANCET UNISTIK 3 COMFORT (NYM)</t>
        </is>
      </c>
      <c r="E113" s="6" t="inlineStr">
        <is>
          <t>100.0</t>
        </is>
      </c>
      <c r="F113" s="7" t="n">
        <v>1700</v>
      </c>
      <c r="G113" s="7" t="n">
        <v>17</v>
      </c>
      <c r="H113" s="7" t="n">
        <v>0</v>
      </c>
      <c r="I113" s="7" t="n">
        <v>-17</v>
      </c>
      <c r="J113" s="8" t="n">
        <v>92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56151211401</t>
        </is>
      </c>
      <c r="D114" s="5" t="inlineStr">
        <is>
          <t>PEN NEEDLES 32G X 4 MM</t>
        </is>
      </c>
      <c r="E114" s="6" t="inlineStr">
        <is>
          <t>100.0</t>
        </is>
      </c>
      <c r="F114" s="7" t="n">
        <v>300</v>
      </c>
      <c r="G114" s="7" t="n">
        <v>3</v>
      </c>
      <c r="H114" s="7" t="n">
        <v>0</v>
      </c>
      <c r="I114" s="7" t="n">
        <v>-3</v>
      </c>
      <c r="J114" s="8" t="n">
        <v>92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4428</v>
      </c>
      <c r="G115" s="7" t="n">
        <v>12</v>
      </c>
      <c r="H115" s="7" t="n">
        <v>0</v>
      </c>
      <c r="I115" s="7" t="n">
        <v>-12</v>
      </c>
      <c r="J115" s="8" t="n">
        <v>91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00536132710</t>
        </is>
      </c>
      <c r="D116" s="5" t="inlineStr">
        <is>
          <t>ACETAMINOPHEN 325MG TABLET</t>
        </is>
      </c>
      <c r="E116" s="6" t="inlineStr">
        <is>
          <t>1000.0</t>
        </is>
      </c>
      <c r="F116" s="7" t="n">
        <v>570</v>
      </c>
      <c r="G116" s="7" t="n">
        <v>0.57</v>
      </c>
      <c r="H116" s="7" t="n">
        <v>0</v>
      </c>
      <c r="I116" s="7" t="n">
        <v>-0.57</v>
      </c>
      <c r="J116" s="8" t="n">
        <v>89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00023050601</t>
        </is>
      </c>
      <c r="D117" s="5" t="inlineStr">
        <is>
          <t>REFRESH 1.4-0.6 % OPHTHALMIC SOLUTION</t>
        </is>
      </c>
      <c r="E117" s="6" t="inlineStr">
        <is>
          <t>30.0</t>
        </is>
      </c>
      <c r="F117" s="7" t="n">
        <v>150</v>
      </c>
      <c r="G117" s="7" t="n">
        <v>5</v>
      </c>
      <c r="H117" s="7" t="n">
        <v>0</v>
      </c>
      <c r="I117" s="7" t="n">
        <v>-5</v>
      </c>
      <c r="J117" s="8" t="n">
        <v>87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70377007813</t>
        </is>
      </c>
      <c r="D118" s="5" t="inlineStr">
        <is>
          <t>ATORVASTATIN 20MG TABLET</t>
        </is>
      </c>
      <c r="E118" s="6" t="inlineStr">
        <is>
          <t>1000.0</t>
        </is>
      </c>
      <c r="F118" s="7" t="n">
        <v>570</v>
      </c>
      <c r="G118" s="7" t="n">
        <v>0.57</v>
      </c>
      <c r="H118" s="7" t="n">
        <v>4</v>
      </c>
      <c r="I118" s="7" t="n">
        <v>3.43</v>
      </c>
      <c r="J118" s="8" t="n">
        <v>85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69367039505</t>
        </is>
      </c>
      <c r="D119" s="5" t="inlineStr">
        <is>
          <t>IBUPROFEN 600 MG TABLET</t>
        </is>
      </c>
      <c r="E119" s="6" t="inlineStr">
        <is>
          <t>500.0</t>
        </is>
      </c>
      <c r="F119" s="7" t="n">
        <v>300</v>
      </c>
      <c r="G119" s="7" t="n">
        <v>0.6</v>
      </c>
      <c r="H119" s="7" t="n">
        <v>2</v>
      </c>
      <c r="I119" s="7" t="n">
        <v>1.4</v>
      </c>
      <c r="J119" s="8" t="n">
        <v>82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67877022305</t>
        </is>
      </c>
      <c r="D120" s="5" t="inlineStr">
        <is>
          <t>GABAPENTIN 300 MG CAPSULE</t>
        </is>
      </c>
      <c r="E120" s="6" t="inlineStr">
        <is>
          <t>500.0</t>
        </is>
      </c>
      <c r="F120" s="7" t="n">
        <v>570</v>
      </c>
      <c r="G120" s="7" t="n">
        <v>1.14</v>
      </c>
      <c r="H120" s="7" t="n">
        <v>0</v>
      </c>
      <c r="I120" s="7" t="n">
        <v>-1.14</v>
      </c>
      <c r="J120" s="8" t="n">
        <v>80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42806071405</t>
        </is>
      </c>
      <c r="D121" s="5" t="inlineStr">
        <is>
          <t>BENZONATATE 100MG CAPSULE NYM</t>
        </is>
      </c>
      <c r="E121" s="6" t="inlineStr">
        <is>
          <t>500.0</t>
        </is>
      </c>
      <c r="F121" s="7" t="n">
        <v>262</v>
      </c>
      <c r="G121" s="7" t="n">
        <v>0.524</v>
      </c>
      <c r="H121" s="7" t="n">
        <v>0</v>
      </c>
      <c r="I121" s="7" t="n">
        <v>-0.524</v>
      </c>
      <c r="J121" s="8" t="n">
        <v>79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70512052005</t>
        </is>
      </c>
      <c r="D122" s="5" t="inlineStr">
        <is>
          <t>OLOPATADINE HCL 0.1 % OPHTHALMIC SOLUTION</t>
        </is>
      </c>
      <c r="E122" s="6" t="inlineStr">
        <is>
          <t>5.0</t>
        </is>
      </c>
      <c r="F122" s="7" t="n">
        <v>25</v>
      </c>
      <c r="G122" s="7" t="n">
        <v>5</v>
      </c>
      <c r="H122" s="7" t="n">
        <v>0</v>
      </c>
      <c r="I122" s="7" t="n">
        <v>-5</v>
      </c>
      <c r="J122" s="8" t="n">
        <v>76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51672210208</t>
        </is>
      </c>
      <c r="D123" s="5" t="inlineStr">
        <is>
          <t>CETIRIZINE HCL 5MG/5ML SOLUTION</t>
        </is>
      </c>
      <c r="E123" s="6" t="inlineStr">
        <is>
          <t>120.0</t>
        </is>
      </c>
      <c r="F123" s="7" t="n">
        <v>1200</v>
      </c>
      <c r="G123" s="7" t="n">
        <v>10</v>
      </c>
      <c r="H123" s="7" t="n">
        <v>0</v>
      </c>
      <c r="I123" s="7" t="n">
        <v>-10</v>
      </c>
      <c r="J123" s="8" t="n">
        <v>76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00168025846</t>
        </is>
      </c>
      <c r="D124" s="5" t="inlineStr">
        <is>
          <t>CLOTRIMAZOLE-BETAMETHASONE 1-0.05 % EXTERNAL CREAM</t>
        </is>
      </c>
      <c r="E124" s="6" t="inlineStr">
        <is>
          <t>45.0</t>
        </is>
      </c>
      <c r="F124" s="7" t="n">
        <v>180</v>
      </c>
      <c r="G124" s="7" t="n">
        <v>4</v>
      </c>
      <c r="H124" s="7" t="n">
        <v>6</v>
      </c>
      <c r="I124" s="7" t="n">
        <v>2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67877049160</t>
        </is>
      </c>
      <c r="D125" s="5" t="inlineStr">
        <is>
          <t>TICAGRELOR 90 MG ORAL TABLET</t>
        </is>
      </c>
      <c r="E125" s="6" t="inlineStr">
        <is>
          <t>60.0</t>
        </is>
      </c>
      <c r="F125" s="7" t="n">
        <v>180</v>
      </c>
      <c r="G125" s="7" t="n">
        <v>3</v>
      </c>
      <c r="H125" s="7" t="n">
        <v>4</v>
      </c>
      <c r="I125" s="7" t="n">
        <v>1</v>
      </c>
      <c r="J125" s="8" t="n">
        <v>73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43547028211</t>
        </is>
      </c>
      <c r="D127" s="5" t="inlineStr">
        <is>
          <t>ESCITALOPRAM 20MG TABLET</t>
        </is>
      </c>
      <c r="E127" s="6" t="inlineStr">
        <is>
          <t>1000.0</t>
        </is>
      </c>
      <c r="F127" s="7" t="n">
        <v>165</v>
      </c>
      <c r="G127" s="7" t="n">
        <v>0.165</v>
      </c>
      <c r="H127" s="7" t="n">
        <v>0</v>
      </c>
      <c r="I127" s="7" t="n">
        <v>-0.165</v>
      </c>
      <c r="J127" s="8" t="n">
        <v>71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67877031905</t>
        </is>
      </c>
      <c r="D128" s="5" t="inlineStr">
        <is>
          <t>IBUPROFEN 400MG TABLET</t>
        </is>
      </c>
      <c r="E128" s="6" t="inlineStr">
        <is>
          <t>500.0</t>
        </is>
      </c>
      <c r="F128" s="7" t="n">
        <v>250</v>
      </c>
      <c r="G128" s="7" t="n">
        <v>0.5</v>
      </c>
      <c r="H128" s="7" t="n">
        <v>0</v>
      </c>
      <c r="I128" s="7" t="n">
        <v>-0.5</v>
      </c>
      <c r="J128" s="8" t="n">
        <v>70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51672130406</t>
        </is>
      </c>
      <c r="D129" s="5" t="inlineStr">
        <is>
          <t>TERCONAZOLE 0.4% CREAM</t>
        </is>
      </c>
      <c r="E129" s="6" t="inlineStr">
        <is>
          <t>45.0</t>
        </is>
      </c>
      <c r="F129" s="7" t="n">
        <v>90</v>
      </c>
      <c r="G129" s="7" t="n">
        <v>2</v>
      </c>
      <c r="H129" s="7" t="n">
        <v>4</v>
      </c>
      <c r="I129" s="7" t="n">
        <v>2</v>
      </c>
      <c r="J129" s="8" t="n">
        <v>70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00536130723</t>
        </is>
      </c>
      <c r="D130" s="5" t="inlineStr">
        <is>
          <t>OLOPATADINE HCL 0.2 % OPHTHALMIC SOLUTION</t>
        </is>
      </c>
      <c r="E130" s="6" t="inlineStr">
        <is>
          <t>2.5</t>
        </is>
      </c>
      <c r="F130" s="7" t="n">
        <v>10</v>
      </c>
      <c r="G130" s="7" t="n">
        <v>4</v>
      </c>
      <c r="H130" s="7" t="n">
        <v>0</v>
      </c>
      <c r="I130" s="7" t="n">
        <v>-4</v>
      </c>
      <c r="J130" s="8" t="n">
        <v>69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68180028101</t>
        </is>
      </c>
      <c r="D131" s="5" t="inlineStr">
        <is>
          <t>ETHAMBUTOL HCL 400MG TABLET</t>
        </is>
      </c>
      <c r="E131" s="6" t="inlineStr">
        <is>
          <t>100.0</t>
        </is>
      </c>
      <c r="F131" s="7" t="n">
        <v>162</v>
      </c>
      <c r="G131" s="7" t="n">
        <v>1.62</v>
      </c>
      <c r="H131" s="7" t="n">
        <v>2</v>
      </c>
      <c r="I131" s="7" t="n">
        <v>0.3799999999999999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00536129710</t>
        </is>
      </c>
      <c r="D132" s="5" t="inlineStr">
        <is>
          <t>MECLIZINE 12.5MG TABLET</t>
        </is>
      </c>
      <c r="E132" s="6" t="inlineStr">
        <is>
          <t>1000.0</t>
        </is>
      </c>
      <c r="F132" s="7" t="n">
        <v>320</v>
      </c>
      <c r="G132" s="7" t="n">
        <v>0.32</v>
      </c>
      <c r="H132" s="7" t="n">
        <v>0</v>
      </c>
      <c r="I132" s="7" t="n">
        <v>-0.32</v>
      </c>
      <c r="J132" s="8" t="n">
        <v>67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00173068220</t>
        </is>
      </c>
      <c r="D133" s="5" t="inlineStr">
        <is>
          <t xml:space="preserve">VENTOLIN HFA 108 (90 BASE) </t>
        </is>
      </c>
      <c r="E133" s="6" t="inlineStr">
        <is>
          <t>18.0</t>
        </is>
      </c>
      <c r="F133" s="7" t="n">
        <v>18</v>
      </c>
      <c r="G133" s="7" t="n">
        <v>1</v>
      </c>
      <c r="H133" s="7" t="n">
        <v>0</v>
      </c>
      <c r="I133" s="7" t="n">
        <v>-1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83257001532</t>
        </is>
      </c>
      <c r="D135" s="5" t="inlineStr">
        <is>
          <t>INSULIN GLARGINE 100 UNIT/ML YFGN</t>
        </is>
      </c>
      <c r="E135" s="6" t="inlineStr">
        <is>
          <t>15.0</t>
        </is>
      </c>
      <c r="F135" s="7" t="n">
        <v>15</v>
      </c>
      <c r="G135" s="7" t="n">
        <v>1</v>
      </c>
      <c r="H135" s="7" t="n">
        <v>3</v>
      </c>
      <c r="I135" s="7" t="n">
        <v>2</v>
      </c>
      <c r="J135" s="8" t="n">
        <v>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00904676720</t>
        </is>
      </c>
      <c r="D136" s="5" t="inlineStr">
        <is>
          <t>LORATADINE CHILDRENS 5 MG/5ML ORAL SOLUTION</t>
        </is>
      </c>
      <c r="E136" s="6" t="inlineStr">
        <is>
          <t>120.0</t>
        </is>
      </c>
      <c r="F136" s="7" t="n">
        <v>840</v>
      </c>
      <c r="G136" s="7" t="n">
        <v>7</v>
      </c>
      <c r="H136" s="7" t="n">
        <v>0</v>
      </c>
      <c r="I136" s="7" t="n">
        <v>-7</v>
      </c>
      <c r="J136" s="8" t="n">
        <v>64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69097012715</t>
        </is>
      </c>
      <c r="D137" s="5" t="inlineStr">
        <is>
          <t xml:space="preserve">AMLODIPINE 5MG TABLET </t>
        </is>
      </c>
      <c r="E137" s="6" t="inlineStr">
        <is>
          <t>1000.0</t>
        </is>
      </c>
      <c r="F137" s="7" t="n">
        <v>480</v>
      </c>
      <c r="G137" s="7" t="n">
        <v>0.48</v>
      </c>
      <c r="H137" s="7" t="n">
        <v>5</v>
      </c>
      <c r="I137" s="7" t="n">
        <v>4.52</v>
      </c>
      <c r="J137" s="8" t="n">
        <v>63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70377000913</t>
        </is>
      </c>
      <c r="D138" s="5" t="inlineStr">
        <is>
          <t>ROSUVASTATIN 40MG TABLET</t>
        </is>
      </c>
      <c r="E138" s="6" t="inlineStr">
        <is>
          <t>500.0</t>
        </is>
      </c>
      <c r="F138" s="7" t="n">
        <v>360</v>
      </c>
      <c r="G138" s="7" t="n">
        <v>0.72</v>
      </c>
      <c r="H138" s="7" t="n">
        <v>0</v>
      </c>
      <c r="I138" s="7" t="n">
        <v>-0.72</v>
      </c>
      <c r="J138" s="8" t="n">
        <v>62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65162003416</t>
        </is>
      </c>
      <c r="D139" s="5" t="inlineStr">
        <is>
          <t>OMEGA-3-ACID ETHYL ESTERS 1 GM ORAL CAPSULE</t>
        </is>
      </c>
      <c r="E139" s="6" t="inlineStr">
        <is>
          <t>120.0</t>
        </is>
      </c>
      <c r="F139" s="7" t="n">
        <v>360</v>
      </c>
      <c r="G139" s="7" t="n">
        <v>3</v>
      </c>
      <c r="H139" s="7" t="n">
        <v>0</v>
      </c>
      <c r="I139" s="7" t="n">
        <v>-3</v>
      </c>
      <c r="J139" s="8" t="n">
        <v>62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00904676520</t>
        </is>
      </c>
      <c r="D140" s="5" t="inlineStr">
        <is>
          <t>CETIRIZINE 5 MG/5ML SOLUTION</t>
        </is>
      </c>
      <c r="E140" s="6" t="inlineStr">
        <is>
          <t>118.0</t>
        </is>
      </c>
      <c r="F140" s="7" t="n">
        <v>944</v>
      </c>
      <c r="G140" s="7" t="n">
        <v>8</v>
      </c>
      <c r="H140" s="7" t="n">
        <v>0</v>
      </c>
      <c r="I140" s="7" t="n">
        <v>-8</v>
      </c>
      <c r="J140" s="8" t="n">
        <v>61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51672131201</t>
        </is>
      </c>
      <c r="D141" s="5" t="inlineStr">
        <is>
          <t>MUPIROCIN 2 % EXTERNAL OINTMENT</t>
        </is>
      </c>
      <c r="E141" s="6" t="inlineStr">
        <is>
          <t>15.0</t>
        </is>
      </c>
      <c r="F141" s="7" t="n">
        <v>120</v>
      </c>
      <c r="G141" s="7" t="n">
        <v>8</v>
      </c>
      <c r="H141" s="7" t="n">
        <v>14</v>
      </c>
      <c r="I141" s="7" t="n">
        <v>6</v>
      </c>
      <c r="J141" s="8" t="n">
        <v>60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67877072592</t>
        </is>
      </c>
      <c r="D142" s="5" t="inlineStr">
        <is>
          <t>NA SULFATE-K SULFATE-MG SULF 17.5-3.13-1.6 GM/177ML ORAL SOLUTION</t>
        </is>
      </c>
      <c r="E142" s="6" t="inlineStr">
        <is>
          <t>354.0</t>
        </is>
      </c>
      <c r="F142" s="7" t="n">
        <v>354</v>
      </c>
      <c r="G142" s="7" t="n">
        <v>1</v>
      </c>
      <c r="H142" s="7" t="n">
        <v>2</v>
      </c>
      <c r="I142" s="7" t="n">
        <v>1</v>
      </c>
      <c r="J142" s="8" t="n">
        <v>58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13668013610</t>
        </is>
      </c>
      <c r="D143" s="5" t="inlineStr">
        <is>
          <t>ESCITALOPRAM 10MG TABLET</t>
        </is>
      </c>
      <c r="E143" s="6" t="inlineStr">
        <is>
          <t>1000.0</t>
        </is>
      </c>
      <c r="F143" s="7" t="n">
        <v>225</v>
      </c>
      <c r="G143" s="7" t="n">
        <v>0.225</v>
      </c>
      <c r="H143" s="7" t="n">
        <v>0</v>
      </c>
      <c r="I143" s="7" t="n">
        <v>-0.225</v>
      </c>
      <c r="J143" s="8" t="n">
        <v>58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50742050510</t>
        </is>
      </c>
      <c r="D144" s="5" t="inlineStr">
        <is>
          <t>SCOPOLAMINE 1 MG/3DAYS TRANSDERMAL PATCH 72 HOUR</t>
        </is>
      </c>
      <c r="E144" s="6" t="inlineStr">
        <is>
          <t>10.0</t>
        </is>
      </c>
      <c r="F144" s="7" t="n">
        <v>10</v>
      </c>
      <c r="G144" s="7" t="n">
        <v>1</v>
      </c>
      <c r="H144" s="7" t="n">
        <v>0</v>
      </c>
      <c r="I144" s="7" t="n">
        <v>-1</v>
      </c>
      <c r="J144" s="8" t="n">
        <v>57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65862056099</t>
        </is>
      </c>
      <c r="D145" s="5" t="inlineStr">
        <is>
          <t xml:space="preserve">PANTOPRAZOLE 40MG TAB </t>
        </is>
      </c>
      <c r="E145" s="6" t="inlineStr">
        <is>
          <t>1000.0</t>
        </is>
      </c>
      <c r="F145" s="7" t="n">
        <v>210</v>
      </c>
      <c r="G145" s="7" t="n">
        <v>0.21</v>
      </c>
      <c r="H145" s="7" t="n">
        <v>0</v>
      </c>
      <c r="I145" s="7" t="n">
        <v>-0.21</v>
      </c>
      <c r="J145" s="8" t="n">
        <v>57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69097012815</t>
        </is>
      </c>
      <c r="D146" s="5" t="inlineStr">
        <is>
          <t>AMLODIPINE 10MG TABLET</t>
        </is>
      </c>
      <c r="E146" s="6" t="inlineStr">
        <is>
          <t>1000.0</t>
        </is>
      </c>
      <c r="F146" s="7" t="n">
        <v>390</v>
      </c>
      <c r="G146" s="7" t="n">
        <v>0.39</v>
      </c>
      <c r="H146" s="7" t="n">
        <v>5</v>
      </c>
      <c r="I146" s="7" t="n">
        <v>4.61</v>
      </c>
      <c r="J146" s="8" t="n">
        <v>57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70000009801</t>
        </is>
      </c>
      <c r="D147" s="5" t="inlineStr">
        <is>
          <t>LIDOCAINE 4 % CREAM</t>
        </is>
      </c>
      <c r="E147" s="6" t="inlineStr">
        <is>
          <t>76.5</t>
        </is>
      </c>
      <c r="F147" s="7" t="n">
        <v>306</v>
      </c>
      <c r="G147" s="7" t="n">
        <v>4</v>
      </c>
      <c r="H147" s="7" t="n">
        <v>6</v>
      </c>
      <c r="I147" s="7" t="n">
        <v>2</v>
      </c>
      <c r="J147" s="8" t="n">
        <v>57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65862001105</t>
        </is>
      </c>
      <c r="D148" s="5" t="inlineStr">
        <is>
          <t>SERTRALINE 25MG TABLET</t>
        </is>
      </c>
      <c r="E148" s="6" t="inlineStr">
        <is>
          <t>500.0</t>
        </is>
      </c>
      <c r="F148" s="7" t="n">
        <v>150</v>
      </c>
      <c r="G148" s="7" t="n">
        <v>0.3</v>
      </c>
      <c r="H148" s="7" t="n">
        <v>2</v>
      </c>
      <c r="I148" s="7" t="n">
        <v>1.7</v>
      </c>
      <c r="J148" s="8" t="n">
        <v>56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59651030501</t>
        </is>
      </c>
      <c r="D149" s="5" t="inlineStr">
        <is>
          <t>CHLORZOXAZONE 375 MG ORAL TABLET</t>
        </is>
      </c>
      <c r="E149" s="6" t="inlineStr">
        <is>
          <t>100.0</t>
        </is>
      </c>
      <c r="F149" s="7" t="n">
        <v>90</v>
      </c>
      <c r="G149" s="7" t="n">
        <v>0.9</v>
      </c>
      <c r="H149" s="7" t="n">
        <v>0</v>
      </c>
      <c r="I149" s="7" t="n">
        <v>-0.9</v>
      </c>
      <c r="J149" s="8" t="n">
        <v>56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69315031228</t>
        </is>
      </c>
      <c r="D150" s="5" t="inlineStr">
        <is>
          <t>PROCTO-MED HC 2.5 % EXTERNAL CREAM</t>
        </is>
      </c>
      <c r="E150" s="6" t="inlineStr">
        <is>
          <t>28.0</t>
        </is>
      </c>
      <c r="F150" s="7" t="n">
        <v>140</v>
      </c>
      <c r="G150" s="7" t="n">
        <v>5</v>
      </c>
      <c r="H150" s="7" t="n">
        <v>3</v>
      </c>
      <c r="I150" s="7" t="n">
        <v>-2</v>
      </c>
      <c r="J150" s="8" t="n">
        <v>56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00536132701</t>
        </is>
      </c>
      <c r="D151" s="5" t="inlineStr">
        <is>
          <t>ACETAMINOPHEN 325 MG TABLET * TYLENOL REGULAR</t>
        </is>
      </c>
      <c r="E151" s="6" t="inlineStr">
        <is>
          <t>100.0</t>
        </is>
      </c>
      <c r="F151" s="7" t="n">
        <v>280</v>
      </c>
      <c r="G151" s="7" t="n">
        <v>2.8</v>
      </c>
      <c r="H151" s="7" t="n">
        <v>0</v>
      </c>
      <c r="I151" s="7" t="n">
        <v>-2.8</v>
      </c>
      <c r="J151" s="8" t="n">
        <v>55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64980027801</t>
        </is>
      </c>
      <c r="D152" s="5" t="inlineStr">
        <is>
          <t>LITHIUM CARBONATE ER 45 MG TABLET</t>
        </is>
      </c>
      <c r="E152" s="6" t="inlineStr">
        <is>
          <t>100.0</t>
        </is>
      </c>
      <c r="F152" s="7" t="n">
        <v>180</v>
      </c>
      <c r="G152" s="7" t="n">
        <v>1.8</v>
      </c>
      <c r="H152" s="7" t="n">
        <v>2</v>
      </c>
      <c r="I152" s="7" t="n">
        <v>0.2</v>
      </c>
      <c r="J152" s="8" t="n">
        <v>55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31722000530</t>
        </is>
      </c>
      <c r="D153" s="5" t="inlineStr">
        <is>
          <t>MESALAMINE 1000 MG RECTAL SUPPOSITORY</t>
        </is>
      </c>
      <c r="E153" s="6" t="inlineStr">
        <is>
          <t>30.0</t>
        </is>
      </c>
      <c r="F153" s="7" t="n">
        <v>30</v>
      </c>
      <c r="G153" s="7" t="n">
        <v>1</v>
      </c>
      <c r="H153" s="7" t="n">
        <v>2</v>
      </c>
      <c r="I153" s="7" t="n">
        <v>1</v>
      </c>
      <c r="J153" s="8" t="n">
        <v>54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61314063710</t>
        </is>
      </c>
      <c r="D154" s="5" t="inlineStr">
        <is>
          <t>PREDNISOLONE ACETATE 1% SUSPENSION</t>
        </is>
      </c>
      <c r="E154" s="6" t="inlineStr">
        <is>
          <t>10.0</t>
        </is>
      </c>
      <c r="F154" s="7" t="n">
        <v>10</v>
      </c>
      <c r="G154" s="7" t="n">
        <v>1</v>
      </c>
      <c r="H154" s="7" t="n">
        <v>0</v>
      </c>
      <c r="I154" s="7" t="n">
        <v>-1</v>
      </c>
      <c r="J154" s="8" t="n">
        <v>53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00087040203</t>
        </is>
      </c>
      <c r="D155" s="5" t="inlineStr">
        <is>
          <t>POLY-VI-SOL ORAL SOLUTION</t>
        </is>
      </c>
      <c r="E155" s="6" t="inlineStr">
        <is>
          <t>50.0</t>
        </is>
      </c>
      <c r="F155" s="7" t="n">
        <v>150</v>
      </c>
      <c r="G155" s="7" t="n">
        <v>3</v>
      </c>
      <c r="H155" s="7" t="n">
        <v>0</v>
      </c>
      <c r="I155" s="7" t="n">
        <v>-3</v>
      </c>
      <c r="J155" s="8" t="n">
        <v>53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53746054501</t>
        </is>
      </c>
      <c r="D156" s="5" t="inlineStr">
        <is>
          <t>PRIMIDONE 250 MG ORAL TABLET</t>
        </is>
      </c>
      <c r="E156" s="6" t="inlineStr">
        <is>
          <t>100.0</t>
        </is>
      </c>
      <c r="F156" s="7" t="n">
        <v>180</v>
      </c>
      <c r="G156" s="7" t="n">
        <v>1.8</v>
      </c>
      <c r="H156" s="7" t="n">
        <v>3</v>
      </c>
      <c r="I156" s="7" t="n">
        <v>1.2</v>
      </c>
      <c r="J156" s="8" t="n">
        <v>52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51672131200</t>
        </is>
      </c>
      <c r="D157" s="5" t="inlineStr">
        <is>
          <t>MUPIROCIN 2% OINTMENT</t>
        </is>
      </c>
      <c r="E157" s="6" t="inlineStr">
        <is>
          <t>22.0</t>
        </is>
      </c>
      <c r="F157" s="7" t="n">
        <v>88</v>
      </c>
      <c r="G157" s="7" t="n">
        <v>4</v>
      </c>
      <c r="H157" s="7" t="n">
        <v>12</v>
      </c>
      <c r="I157" s="7" t="n">
        <v>8</v>
      </c>
      <c r="J157" s="8" t="n">
        <v>52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00781286810</t>
        </is>
      </c>
      <c r="D158" s="5" t="inlineStr">
        <is>
          <t>OMEPRAZOLE 20MG CAPSULE DR</t>
        </is>
      </c>
      <c r="E158" s="6" t="inlineStr">
        <is>
          <t>1000.0</t>
        </is>
      </c>
      <c r="F158" s="7" t="n">
        <v>150</v>
      </c>
      <c r="G158" s="7" t="n">
        <v>0.15</v>
      </c>
      <c r="H158" s="7" t="n">
        <v>0</v>
      </c>
      <c r="I158" s="7" t="n">
        <v>-0.15</v>
      </c>
      <c r="J158" s="8" t="n">
        <v>52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70752013812</t>
        </is>
      </c>
      <c r="D159" s="5" t="inlineStr">
        <is>
          <t>PROMETHAZINE HCL 6.25 MG/5ML ORAL SOLUTION</t>
        </is>
      </c>
      <c r="E159" s="6" t="inlineStr">
        <is>
          <t>473.0</t>
        </is>
      </c>
      <c r="F159" s="7" t="n">
        <v>753</v>
      </c>
      <c r="G159" s="7" t="n">
        <v>1.591966173361522</v>
      </c>
      <c r="H159" s="7" t="n">
        <v>0</v>
      </c>
      <c r="I159" s="7" t="n">
        <v>-1.591966173361522</v>
      </c>
      <c r="J159" s="8" t="n">
        <v>51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45802027603</t>
        </is>
      </c>
      <c r="D160" s="5" t="inlineStr">
        <is>
          <t>HYDROCORTISONE 1 % OINTMENT</t>
        </is>
      </c>
      <c r="E160" s="6" t="inlineStr">
        <is>
          <t>28.0</t>
        </is>
      </c>
      <c r="F160" s="7" t="n">
        <v>168</v>
      </c>
      <c r="G160" s="7" t="n">
        <v>6</v>
      </c>
      <c r="H160" s="7" t="n">
        <v>12</v>
      </c>
      <c r="I160" s="7" t="n">
        <v>6</v>
      </c>
      <c r="J160" s="8" t="n">
        <v>51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42806071501</t>
        </is>
      </c>
      <c r="D161" s="5" t="inlineStr">
        <is>
          <t>BENZONATATE 200MG CAPSULE</t>
        </is>
      </c>
      <c r="E161" s="6" t="inlineStr">
        <is>
          <t>100.0</t>
        </is>
      </c>
      <c r="F161" s="7" t="n">
        <v>101</v>
      </c>
      <c r="G161" s="7" t="n">
        <v>1.01</v>
      </c>
      <c r="H161" s="7" t="n">
        <v>0</v>
      </c>
      <c r="I161" s="7" t="n">
        <v>-1.01</v>
      </c>
      <c r="J161" s="8" t="n">
        <v>50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00168014630</t>
        </is>
      </c>
      <c r="D162" s="5" t="inlineStr">
        <is>
          <t>HYDROCORTISONE 2.5% OINTMENT</t>
        </is>
      </c>
      <c r="E162" s="6" t="inlineStr">
        <is>
          <t>28.35</t>
        </is>
      </c>
      <c r="F162" s="7" t="n">
        <v>113.4</v>
      </c>
      <c r="G162" s="7" t="n">
        <v>4</v>
      </c>
      <c r="H162" s="7" t="n">
        <v>0</v>
      </c>
      <c r="I162" s="7" t="n">
        <v>-4</v>
      </c>
      <c r="J162" s="8" t="n">
        <v>49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13107003105</t>
        </is>
      </c>
      <c r="D163" s="5" t="inlineStr">
        <is>
          <t>MIRTAZAPINE 15MG TABLET</t>
        </is>
      </c>
      <c r="E163" s="6" t="inlineStr">
        <is>
          <t>500.0</t>
        </is>
      </c>
      <c r="F163" s="7" t="n">
        <v>120</v>
      </c>
      <c r="G163" s="7" t="n">
        <v>0.24</v>
      </c>
      <c r="H163" s="7" t="n">
        <v>1</v>
      </c>
      <c r="I163" s="7" t="n">
        <v>0.76</v>
      </c>
      <c r="J163" s="8" t="n">
        <v>49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55111025660</t>
        </is>
      </c>
      <c r="D164" s="5" t="inlineStr">
        <is>
          <t xml:space="preserve">ZIPRASIDONE 20MG CAP </t>
        </is>
      </c>
      <c r="E164" s="6" t="inlineStr">
        <is>
          <t>60.0</t>
        </is>
      </c>
      <c r="F164" s="7" t="n">
        <v>90</v>
      </c>
      <c r="G164" s="7" t="n">
        <v>1.5</v>
      </c>
      <c r="H164" s="7" t="n">
        <v>1</v>
      </c>
      <c r="I164" s="7" t="n">
        <v>-0.5</v>
      </c>
      <c r="J164" s="8" t="n">
        <v>49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00378172193</t>
        </is>
      </c>
      <c r="D165" s="5" t="inlineStr">
        <is>
          <t>AMLODIPINE-VALSARTAN 5-160 MG TABLET</t>
        </is>
      </c>
      <c r="E165" s="6" t="inlineStr">
        <is>
          <t>30.0</t>
        </is>
      </c>
      <c r="F165" s="7" t="n">
        <v>90</v>
      </c>
      <c r="G165" s="7" t="n">
        <v>3</v>
      </c>
      <c r="H165" s="7" t="n">
        <v>0</v>
      </c>
      <c r="I165" s="7" t="n">
        <v>-3</v>
      </c>
      <c r="J165" s="8" t="n">
        <v>49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240</v>
      </c>
      <c r="G166" s="7" t="n">
        <v>0.24</v>
      </c>
      <c r="H166" s="7" t="n">
        <v>2</v>
      </c>
      <c r="I166" s="7" t="n">
        <v>1.76</v>
      </c>
      <c r="J166" s="8" t="n">
        <v>49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68180096903</t>
        </is>
      </c>
      <c r="D167" s="5" t="inlineStr">
        <is>
          <t>LEVOTHYROXINE 100MCG TABLET</t>
        </is>
      </c>
      <c r="E167" s="6" t="inlineStr">
        <is>
          <t>1000.0</t>
        </is>
      </c>
      <c r="F167" s="7" t="n">
        <v>180</v>
      </c>
      <c r="G167" s="7" t="n">
        <v>0.18</v>
      </c>
      <c r="H167" s="7" t="n">
        <v>0</v>
      </c>
      <c r="I167" s="7" t="n">
        <v>-0.18</v>
      </c>
      <c r="J167" s="8" t="n">
        <v>49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00536105224</t>
        </is>
      </c>
      <c r="D168" s="5" t="inlineStr">
        <is>
          <t>PEG 3350 17 GM/SCOOP ORAL POWDER</t>
        </is>
      </c>
      <c r="E168" s="6" t="inlineStr">
        <is>
          <t>238.0</t>
        </is>
      </c>
      <c r="F168" s="7" t="n">
        <v>952</v>
      </c>
      <c r="G168" s="7" t="n">
        <v>4</v>
      </c>
      <c r="H168" s="7" t="n">
        <v>0</v>
      </c>
      <c r="I168" s="7" t="n">
        <v>-4</v>
      </c>
      <c r="J168" s="8" t="n">
        <v>48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00536142704</t>
        </is>
      </c>
      <c r="D169" s="5" t="inlineStr">
        <is>
          <t>DOCOSANOL 10 % EXTERNAL CREAM</t>
        </is>
      </c>
      <c r="E169" s="6" t="inlineStr">
        <is>
          <t>2.0</t>
        </is>
      </c>
      <c r="F169" s="7" t="n">
        <v>4</v>
      </c>
      <c r="G169" s="7" t="n">
        <v>2</v>
      </c>
      <c r="H169" s="7" t="n">
        <v>3</v>
      </c>
      <c r="I169" s="7" t="n">
        <v>1</v>
      </c>
      <c r="J169" s="8" t="n">
        <v>47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69097085907</t>
        </is>
      </c>
      <c r="D170" s="5" t="inlineStr">
        <is>
          <t>TERBINAFINE 250MG TABLET</t>
        </is>
      </c>
      <c r="E170" s="6" t="inlineStr">
        <is>
          <t>100.0</t>
        </is>
      </c>
      <c r="F170" s="7" t="n">
        <v>120</v>
      </c>
      <c r="G170" s="7" t="n">
        <v>1.2</v>
      </c>
      <c r="H170" s="7" t="n">
        <v>1</v>
      </c>
      <c r="I170" s="7" t="n">
        <v>-0.2</v>
      </c>
      <c r="J170" s="8" t="n">
        <v>47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08373982600</t>
        </is>
      </c>
      <c r="D171" s="5" t="inlineStr">
        <is>
          <t>OPTICHAMBER DIAMOND-MD MASK</t>
        </is>
      </c>
      <c r="E171" s="6" t="inlineStr">
        <is>
          <t>1.0</t>
        </is>
      </c>
      <c r="F171" s="7" t="n">
        <v>2</v>
      </c>
      <c r="G171" s="7" t="n">
        <v>2</v>
      </c>
      <c r="H171" s="7" t="n">
        <v>2</v>
      </c>
      <c r="I171" s="7" t="n">
        <v>0</v>
      </c>
      <c r="J171" s="8" t="n">
        <v>46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23155076701</t>
        </is>
      </c>
      <c r="D172" s="5" t="inlineStr">
        <is>
          <t>TETRACYCLINE HCL 500 MG ORAL CAPSULE</t>
        </is>
      </c>
      <c r="E172" s="6" t="inlineStr">
        <is>
          <t>100.0</t>
        </is>
      </c>
      <c r="F172" s="7" t="n">
        <v>56</v>
      </c>
      <c r="G172" s="7" t="n">
        <v>0.5600000000000001</v>
      </c>
      <c r="H172" s="7" t="n">
        <v>0</v>
      </c>
      <c r="I172" s="7" t="n">
        <v>-0.5600000000000001</v>
      </c>
      <c r="J172" s="8" t="n">
        <v>46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65862059805</t>
        </is>
      </c>
      <c r="D173" s="5" t="inlineStr">
        <is>
          <t>TAMSULOSIN 0.4MG CAPSULE</t>
        </is>
      </c>
      <c r="E173" s="6" t="inlineStr">
        <is>
          <t>500.0</t>
        </is>
      </c>
      <c r="F173" s="7" t="n">
        <v>240</v>
      </c>
      <c r="G173" s="7" t="n">
        <v>0.48</v>
      </c>
      <c r="H173" s="7" t="n">
        <v>5</v>
      </c>
      <c r="I173" s="7" t="n">
        <v>4.52</v>
      </c>
      <c r="J173" s="8" t="n">
        <v>46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68462015713</t>
        </is>
      </c>
      <c r="D174" s="5" t="inlineStr">
        <is>
          <t xml:space="preserve">ONDANSETRON ODT  4MG TAB </t>
        </is>
      </c>
      <c r="E174" s="6" t="inlineStr">
        <is>
          <t>30.0</t>
        </is>
      </c>
      <c r="F174" s="7" t="n">
        <v>31</v>
      </c>
      <c r="G174" s="7" t="n">
        <v>1.033333333333333</v>
      </c>
      <c r="H174" s="7" t="n">
        <v>0</v>
      </c>
      <c r="I174" s="7" t="n">
        <v>-1.033333333333333</v>
      </c>
      <c r="J174" s="8" t="n">
        <v>45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00143980305</t>
        </is>
      </c>
      <c r="D175" s="5" t="inlineStr">
        <is>
          <t>DOXYCYCLINE HYCLATE 100MG CAPSULE</t>
        </is>
      </c>
      <c r="E175" s="6" t="inlineStr">
        <is>
          <t>500.0</t>
        </is>
      </c>
      <c r="F175" s="7" t="n">
        <v>164</v>
      </c>
      <c r="G175" s="7" t="n">
        <v>0.328</v>
      </c>
      <c r="H175" s="7" t="n">
        <v>0</v>
      </c>
      <c r="I175" s="7" t="n">
        <v>-0.328</v>
      </c>
      <c r="J175" s="8" t="n">
        <v>45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67877049005</t>
        </is>
      </c>
      <c r="D176" s="5" t="inlineStr">
        <is>
          <t>EZETIMIBE 10MG TABLET</t>
        </is>
      </c>
      <c r="E176" s="6" t="inlineStr">
        <is>
          <t>500.0</t>
        </is>
      </c>
      <c r="F176" s="7" t="n">
        <v>270</v>
      </c>
      <c r="G176" s="7" t="n">
        <v>0.54</v>
      </c>
      <c r="H176" s="7" t="n">
        <v>0</v>
      </c>
      <c r="I176" s="7" t="n">
        <v>-0.54</v>
      </c>
      <c r="J176" s="8" t="n">
        <v>44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67877084210</t>
        </is>
      </c>
      <c r="D177" s="5" t="inlineStr">
        <is>
          <t>FAMOTIDINE 20MG TABLET</t>
        </is>
      </c>
      <c r="E177" s="6" t="inlineStr">
        <is>
          <t>1000.0</t>
        </is>
      </c>
      <c r="F177" s="7" t="n">
        <v>358</v>
      </c>
      <c r="G177" s="7" t="n">
        <v>0.358</v>
      </c>
      <c r="H177" s="7" t="n">
        <v>2</v>
      </c>
      <c r="I177" s="7" t="n">
        <v>1.642</v>
      </c>
      <c r="J177" s="8" t="n">
        <v>44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00378632277</t>
        </is>
      </c>
      <c r="D178" s="5" t="inlineStr">
        <is>
          <t>VALSARTAN-HCTZ 160-12.5MG TABLET</t>
        </is>
      </c>
      <c r="E178" s="6" t="inlineStr">
        <is>
          <t>90.0</t>
        </is>
      </c>
      <c r="F178" s="7" t="n">
        <v>180</v>
      </c>
      <c r="G178" s="7" t="n">
        <v>2</v>
      </c>
      <c r="H178" s="7" t="n">
        <v>3</v>
      </c>
      <c r="I178" s="7" t="n">
        <v>1</v>
      </c>
      <c r="J178" s="8" t="n">
        <v>43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70377007713</t>
        </is>
      </c>
      <c r="D179" s="5" t="inlineStr">
        <is>
          <t>ATORVASTATIN 10MG TABLET</t>
        </is>
      </c>
      <c r="E179" s="6" t="inlineStr">
        <is>
          <t>1000.0</t>
        </is>
      </c>
      <c r="F179" s="7" t="n">
        <v>180</v>
      </c>
      <c r="G179" s="7" t="n">
        <v>0.18</v>
      </c>
      <c r="H179" s="7" t="n">
        <v>2</v>
      </c>
      <c r="I179" s="7" t="n">
        <v>1.82</v>
      </c>
      <c r="J179" s="8" t="n">
        <v>43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62332017460</t>
        </is>
      </c>
      <c r="D180" s="5" t="inlineStr">
        <is>
          <t>LACOSAMIDE 200 MG ORAL TABLET</t>
        </is>
      </c>
      <c r="E180" s="6" t="inlineStr">
        <is>
          <t>60.0</t>
        </is>
      </c>
      <c r="F180" s="7" t="n">
        <v>120</v>
      </c>
      <c r="G180" s="7" t="n">
        <v>2</v>
      </c>
      <c r="H180" s="7" t="n">
        <v>0</v>
      </c>
      <c r="I180" s="7" t="n">
        <v>-2</v>
      </c>
      <c r="J180" s="8" t="n">
        <v>42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00555902658</t>
        </is>
      </c>
      <c r="D181" s="5" t="inlineStr">
        <is>
          <t>JUNEL FE 1/20 1-20MG TABLET</t>
        </is>
      </c>
      <c r="E181" s="6" t="inlineStr">
        <is>
          <t>28.0</t>
        </is>
      </c>
      <c r="F181" s="7" t="n">
        <v>168</v>
      </c>
      <c r="G181" s="7" t="n">
        <v>6</v>
      </c>
      <c r="H181" s="7" t="n">
        <v>1</v>
      </c>
      <c r="I181" s="7" t="n">
        <v>-5</v>
      </c>
      <c r="J181" s="8" t="n">
        <v>42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61442010201</t>
        </is>
      </c>
      <c r="D182" s="5" t="inlineStr">
        <is>
          <t xml:space="preserve">DICLOFENAC SOD 50MG TAB DR </t>
        </is>
      </c>
      <c r="E182" s="6" t="inlineStr">
        <is>
          <t>100.0</t>
        </is>
      </c>
      <c r="F182" s="7" t="n">
        <v>180</v>
      </c>
      <c r="G182" s="7" t="n">
        <v>1.8</v>
      </c>
      <c r="H182" s="7" t="n">
        <v>0</v>
      </c>
      <c r="I182" s="7" t="n">
        <v>-1.8</v>
      </c>
      <c r="J182" s="8" t="n">
        <v>42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57664051083</t>
        </is>
      </c>
      <c r="D183" s="5" t="inlineStr">
        <is>
          <t>MIRTAZAPINE 7.5MG TABLET</t>
        </is>
      </c>
      <c r="E183" s="6" t="inlineStr">
        <is>
          <t>30.0</t>
        </is>
      </c>
      <c r="F183" s="7" t="n">
        <v>90</v>
      </c>
      <c r="G183" s="7" t="n">
        <v>3</v>
      </c>
      <c r="H183" s="7" t="n">
        <v>0</v>
      </c>
      <c r="I183" s="7" t="n">
        <v>-3</v>
      </c>
      <c r="J183" s="8" t="n">
        <v>42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59746012110</t>
        </is>
      </c>
      <c r="D184" s="5" t="inlineStr">
        <is>
          <t>MECLIZINE HCL 25MG TABLET</t>
        </is>
      </c>
      <c r="E184" s="6" t="inlineStr">
        <is>
          <t>1000.0</t>
        </is>
      </c>
      <c r="F184" s="7" t="n">
        <v>150</v>
      </c>
      <c r="G184" s="7" t="n">
        <v>0.15</v>
      </c>
      <c r="H184" s="7" t="n">
        <v>0</v>
      </c>
      <c r="I184" s="7" t="n">
        <v>-0.15</v>
      </c>
      <c r="J184" s="8" t="n">
        <v>42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50742026003</t>
        </is>
      </c>
      <c r="D185" s="5" t="inlineStr">
        <is>
          <t>NIFEDIPINE 30MG TABLET ER</t>
        </is>
      </c>
      <c r="E185" s="6" t="inlineStr">
        <is>
          <t>300.0</t>
        </is>
      </c>
      <c r="F185" s="7" t="n">
        <v>180</v>
      </c>
      <c r="G185" s="7" t="n">
        <v>0.6</v>
      </c>
      <c r="H185" s="7" t="n">
        <v>2</v>
      </c>
      <c r="I185" s="7" t="n">
        <v>1.4</v>
      </c>
      <c r="J185" s="8" t="n">
        <v>42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00245010811</t>
        </is>
      </c>
      <c r="D186" s="5" t="inlineStr">
        <is>
          <t>FERROUS SULFATE 325MG TABLET (NYM)</t>
        </is>
      </c>
      <c r="E186" s="6" t="inlineStr">
        <is>
          <t>100.0</t>
        </is>
      </c>
      <c r="F186" s="7" t="n">
        <v>1251</v>
      </c>
      <c r="G186" s="7" t="n">
        <v>12.51</v>
      </c>
      <c r="H186" s="7" t="n">
        <v>0</v>
      </c>
      <c r="I186" s="7" t="n">
        <v>-12.51</v>
      </c>
      <c r="J186" s="8" t="n">
        <v>41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45802057884</t>
        </is>
      </c>
      <c r="D187" s="5" t="inlineStr">
        <is>
          <t>NALOXONE HCL 4 MG/0.1ML NASAL LIQUID</t>
        </is>
      </c>
      <c r="E187" s="6" t="inlineStr">
        <is>
          <t>2.0</t>
        </is>
      </c>
      <c r="F187" s="7" t="n">
        <v>2</v>
      </c>
      <c r="G187" s="7" t="n">
        <v>1</v>
      </c>
      <c r="H187" s="7" t="n">
        <v>6</v>
      </c>
      <c r="I187" s="7" t="n">
        <v>5</v>
      </c>
      <c r="J187" s="8" t="n">
        <v>41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75907002448</t>
        </is>
      </c>
      <c r="D188" s="5" t="inlineStr">
        <is>
          <t>CLONIDINE 0.2 MG/24HR TRANSDERMAL PATCH WEEKLY</t>
        </is>
      </c>
      <c r="E188" s="6" t="inlineStr">
        <is>
          <t>4.0</t>
        </is>
      </c>
      <c r="F188" s="7" t="n">
        <v>4</v>
      </c>
      <c r="G188" s="7" t="n">
        <v>1</v>
      </c>
      <c r="H188" s="7" t="n">
        <v>0</v>
      </c>
      <c r="I188" s="7" t="n">
        <v>-1</v>
      </c>
      <c r="J188" s="8" t="n">
        <v>41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00536131698</t>
        </is>
      </c>
      <c r="D189" s="5" t="inlineStr">
        <is>
          <t>ZINC OXIDE 20 % EXTERNAL OINTMENT</t>
        </is>
      </c>
      <c r="E189" s="6" t="inlineStr">
        <is>
          <t>454.0</t>
        </is>
      </c>
      <c r="F189" s="7" t="n">
        <v>1362</v>
      </c>
      <c r="G189" s="7" t="n">
        <v>3</v>
      </c>
      <c r="H189" s="7" t="n">
        <v>0</v>
      </c>
      <c r="I189" s="7" t="n">
        <v>-3</v>
      </c>
      <c r="J189" s="8" t="n">
        <v>41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62332018203</t>
        </is>
      </c>
      <c r="D190" s="5" t="inlineStr">
        <is>
          <t>ZOLMITRIPTAN 5 MG ORAL TABLET DISINTEGRATING</t>
        </is>
      </c>
      <c r="E190" s="6" t="inlineStr">
        <is>
          <t>3.0</t>
        </is>
      </c>
      <c r="F190" s="7" t="n">
        <v>9</v>
      </c>
      <c r="G190" s="7" t="n">
        <v>3</v>
      </c>
      <c r="H190" s="7" t="n">
        <v>0</v>
      </c>
      <c r="I190" s="7" t="n">
        <v>-3</v>
      </c>
      <c r="J190" s="8" t="n">
        <v>40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80681013900</t>
        </is>
      </c>
      <c r="D191" s="5" t="inlineStr">
        <is>
          <t xml:space="preserve">CALCIUM-VIT D 600-400MG TAB </t>
        </is>
      </c>
      <c r="E191" s="6" t="inlineStr">
        <is>
          <t>150.0</t>
        </is>
      </c>
      <c r="F191" s="7" t="n">
        <v>1560</v>
      </c>
      <c r="G191" s="7" t="n">
        <v>10.4</v>
      </c>
      <c r="H191" s="7" t="n">
        <v>0</v>
      </c>
      <c r="I191" s="7" t="n">
        <v>-10.4</v>
      </c>
      <c r="J191" s="8" t="n">
        <v>40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76204030003</t>
        </is>
      </c>
      <c r="D192" s="5" t="inlineStr">
        <is>
          <t>SODIUM CHLORIDE 0.9 % INHALATION NEBULIZATION SOLUTION</t>
        </is>
      </c>
      <c r="E192" s="6" t="inlineStr">
        <is>
          <t>300.0</t>
        </is>
      </c>
      <c r="F192" s="7" t="n">
        <v>600</v>
      </c>
      <c r="G192" s="7" t="n">
        <v>2</v>
      </c>
      <c r="H192" s="7" t="n">
        <v>0</v>
      </c>
      <c r="I192" s="7" t="n">
        <v>-2</v>
      </c>
      <c r="J192" s="8" t="n">
        <v>40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69367036005</t>
        </is>
      </c>
      <c r="D193" s="5" t="inlineStr">
        <is>
          <t>ROSUVASTATIN 10 MG ORAL TABLET</t>
        </is>
      </c>
      <c r="E193" s="6" t="inlineStr">
        <is>
          <t>500.0</t>
        </is>
      </c>
      <c r="F193" s="7" t="n">
        <v>270</v>
      </c>
      <c r="G193" s="7" t="n">
        <v>0.54</v>
      </c>
      <c r="H193" s="7" t="n">
        <v>0</v>
      </c>
      <c r="I193" s="7" t="n">
        <v>-0.54</v>
      </c>
      <c r="J193" s="8" t="n">
        <v>40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00093171301</t>
        </is>
      </c>
      <c r="D194" s="5" t="inlineStr">
        <is>
          <t>WARFARIN SODIUM 2 MG TABLET</t>
        </is>
      </c>
      <c r="E194" s="6" t="inlineStr">
        <is>
          <t>100.0</t>
        </is>
      </c>
      <c r="F194" s="7" t="n">
        <v>105</v>
      </c>
      <c r="G194" s="7" t="n">
        <v>1.05</v>
      </c>
      <c r="H194" s="7" t="n">
        <v>0</v>
      </c>
      <c r="I194" s="7" t="n">
        <v>-1.05</v>
      </c>
      <c r="J194" s="8" t="n">
        <v>39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24208048610</t>
        </is>
      </c>
      <c r="D195" s="5" t="inlineStr">
        <is>
          <t xml:space="preserve">DORZOLAMID-TIMOLO 22.3-6.8MG/ML (EYE) </t>
        </is>
      </c>
      <c r="E195" s="6" t="inlineStr">
        <is>
          <t>10.0</t>
        </is>
      </c>
      <c r="F195" s="7" t="n">
        <v>20</v>
      </c>
      <c r="G195" s="7" t="n">
        <v>2</v>
      </c>
      <c r="H195" s="7" t="n">
        <v>11</v>
      </c>
      <c r="I195" s="7" t="n">
        <v>9</v>
      </c>
      <c r="J195" s="8" t="n">
        <v>39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00168041630</t>
        </is>
      </c>
      <c r="D196" s="5" t="inlineStr">
        <is>
          <t>TACROLIMUS 0.1 % OINTMENT</t>
        </is>
      </c>
      <c r="E196" s="6" t="inlineStr">
        <is>
          <t>30.0</t>
        </is>
      </c>
      <c r="F196" s="7" t="n">
        <v>30</v>
      </c>
      <c r="G196" s="7" t="n">
        <v>1</v>
      </c>
      <c r="H196" s="7" t="n">
        <v>1</v>
      </c>
      <c r="I196" s="7" t="n">
        <v>0</v>
      </c>
      <c r="J196" s="8" t="n">
        <v>39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00116400516</t>
        </is>
      </c>
      <c r="D197" s="5" t="inlineStr">
        <is>
          <t>LACTULOSE 10 GM/15ML ORAL SOLUTION</t>
        </is>
      </c>
      <c r="E197" s="6" t="inlineStr">
        <is>
          <t>473.0</t>
        </is>
      </c>
      <c r="F197" s="7" t="n">
        <v>946</v>
      </c>
      <c r="G197" s="7" t="n">
        <v>2</v>
      </c>
      <c r="H197" s="7" t="n">
        <v>2</v>
      </c>
      <c r="I197" s="7" t="n">
        <v>0</v>
      </c>
      <c r="J197" s="8" t="n">
        <v>38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57237003105</t>
        </is>
      </c>
      <c r="D198" s="5" t="inlineStr">
        <is>
          <t>AMOXICILLIN 500 MG CAPSULE</t>
        </is>
      </c>
      <c r="E198" s="6" t="inlineStr">
        <is>
          <t>500.0</t>
        </is>
      </c>
      <c r="F198" s="7" t="n">
        <v>92</v>
      </c>
      <c r="G198" s="7" t="n">
        <v>0.184</v>
      </c>
      <c r="H198" s="7" t="n">
        <v>1</v>
      </c>
      <c r="I198" s="7" t="n">
        <v>0.8160000000000001</v>
      </c>
      <c r="J198" s="8" t="n">
        <v>38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42192071506</t>
        </is>
      </c>
      <c r="D199" s="5" t="inlineStr">
        <is>
          <t>CICLOPIROX 8 % EXTERNAL SOLUTION</t>
        </is>
      </c>
      <c r="E199" s="6" t="inlineStr">
        <is>
          <t>6.6</t>
        </is>
      </c>
      <c r="F199" s="7" t="n">
        <v>13.2</v>
      </c>
      <c r="G199" s="7" t="n">
        <v>2</v>
      </c>
      <c r="H199" s="7" t="n">
        <v>0</v>
      </c>
      <c r="I199" s="7" t="n">
        <v>-2</v>
      </c>
      <c r="J199" s="8" t="n">
        <v>37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68180029503</t>
        </is>
      </c>
      <c r="D200" s="5" t="inlineStr">
        <is>
          <t>DULOXETINE 30MG  CAPSULE DR</t>
        </is>
      </c>
      <c r="E200" s="6" t="inlineStr">
        <is>
          <t>1000.0</t>
        </is>
      </c>
      <c r="F200" s="7" t="n">
        <v>90</v>
      </c>
      <c r="G200" s="7" t="n">
        <v>0.09</v>
      </c>
      <c r="H200" s="7" t="n">
        <v>0</v>
      </c>
      <c r="I200" s="7" t="n">
        <v>-0.09</v>
      </c>
      <c r="J200" s="8" t="n">
        <v>37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00093172101</t>
        </is>
      </c>
      <c r="D201" s="5" t="inlineStr">
        <is>
          <t xml:space="preserve">WARFARIN SODIUM 5MG TAB </t>
        </is>
      </c>
      <c r="E201" s="6" t="inlineStr">
        <is>
          <t>100.0</t>
        </is>
      </c>
      <c r="F201" s="7" t="n">
        <v>90</v>
      </c>
      <c r="G201" s="7" t="n">
        <v>0.9</v>
      </c>
      <c r="H201" s="7" t="n">
        <v>0</v>
      </c>
      <c r="I201" s="7" t="n">
        <v>-0.9</v>
      </c>
      <c r="J201" s="8" t="n">
        <v>37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00406117001</t>
        </is>
      </c>
      <c r="D202" s="5" t="inlineStr">
        <is>
          <t>NALTREXONE 50MG TABLET</t>
        </is>
      </c>
      <c r="E202" s="6" t="inlineStr">
        <is>
          <t>100.0</t>
        </is>
      </c>
      <c r="F202" s="7" t="n">
        <v>30</v>
      </c>
      <c r="G202" s="7" t="n">
        <v>0.3</v>
      </c>
      <c r="H202" s="7" t="n">
        <v>0</v>
      </c>
      <c r="I202" s="7" t="n">
        <v>-0.3</v>
      </c>
      <c r="J202" s="8" t="n">
        <v>37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69097007212</t>
        </is>
      </c>
      <c r="D203" s="5" t="inlineStr">
        <is>
          <t>BUPROPION HCL ER (XL) 300MG TABLET</t>
        </is>
      </c>
      <c r="E203" s="6" t="inlineStr">
        <is>
          <t>500.0</t>
        </is>
      </c>
      <c r="F203" s="7" t="n">
        <v>90</v>
      </c>
      <c r="G203" s="7" t="n">
        <v>0.18</v>
      </c>
      <c r="H203" s="7" t="n">
        <v>0</v>
      </c>
      <c r="I203" s="7" t="n">
        <v>-0.18</v>
      </c>
      <c r="J203" s="8" t="n">
        <v>37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61314014315</t>
        </is>
      </c>
      <c r="D204" s="5" t="inlineStr">
        <is>
          <t>BRIMONIDINE TARTRATE 0.2 % OPHTHALMIC SOLUTION</t>
        </is>
      </c>
      <c r="E204" s="6" t="inlineStr">
        <is>
          <t>15.0</t>
        </is>
      </c>
      <c r="F204" s="7" t="n">
        <v>30</v>
      </c>
      <c r="G204" s="7" t="n">
        <v>2</v>
      </c>
      <c r="H204" s="7" t="n">
        <v>3</v>
      </c>
      <c r="I204" s="7" t="n">
        <v>1</v>
      </c>
      <c r="J204" s="8" t="n">
        <v>37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00536104710</t>
        </is>
      </c>
      <c r="D205" s="5" t="inlineStr">
        <is>
          <t>SODIUM BICARBONATE 650MG TABLET</t>
        </is>
      </c>
      <c r="E205" s="6" t="inlineStr">
        <is>
          <t>1000.0</t>
        </is>
      </c>
      <c r="F205" s="7" t="n">
        <v>510</v>
      </c>
      <c r="G205" s="7" t="n">
        <v>0.51</v>
      </c>
      <c r="H205" s="7" t="n">
        <v>0</v>
      </c>
      <c r="I205" s="7" t="n">
        <v>-0.51</v>
      </c>
      <c r="J205" s="8" t="n">
        <v>37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70000054901</t>
        </is>
      </c>
      <c r="D206" s="5" t="inlineStr">
        <is>
          <t>CAPSAICIN PAIN RELIEF 0.1 % EXTERNAL CREAM</t>
        </is>
      </c>
      <c r="E206" s="6" t="inlineStr">
        <is>
          <t>42.5</t>
        </is>
      </c>
      <c r="F206" s="7" t="n">
        <v>85</v>
      </c>
      <c r="G206" s="7" t="n">
        <v>2</v>
      </c>
      <c r="H206" s="7" t="n">
        <v>2</v>
      </c>
      <c r="I206" s="7" t="n">
        <v>0</v>
      </c>
      <c r="J206" s="8" t="n">
        <v>36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23155050110</t>
        </is>
      </c>
      <c r="D207" s="5" t="inlineStr">
        <is>
          <t>HYDROXYZINE HCL 25MG TABLET</t>
        </is>
      </c>
      <c r="E207" s="6" t="inlineStr">
        <is>
          <t>1000.0</t>
        </is>
      </c>
      <c r="F207" s="7" t="n">
        <v>180</v>
      </c>
      <c r="G207" s="7" t="n">
        <v>0.18</v>
      </c>
      <c r="H207" s="7" t="n">
        <v>0</v>
      </c>
      <c r="I207" s="7" t="n">
        <v>-0.18</v>
      </c>
      <c r="J207" s="8" t="n">
        <v>36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67877032105</t>
        </is>
      </c>
      <c r="D208" s="5" t="inlineStr">
        <is>
          <t xml:space="preserve">IBUPROFEN 800MG TAB </t>
        </is>
      </c>
      <c r="E208" s="6" t="inlineStr">
        <is>
          <t>500.0</t>
        </is>
      </c>
      <c r="F208" s="7" t="n">
        <v>105</v>
      </c>
      <c r="G208" s="7" t="n">
        <v>0.21</v>
      </c>
      <c r="H208" s="7" t="n">
        <v>0</v>
      </c>
      <c r="I208" s="7" t="n">
        <v>-0.21</v>
      </c>
      <c r="J208" s="8" t="n">
        <v>36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50111056003</t>
        </is>
      </c>
      <c r="D209" s="5" t="inlineStr">
        <is>
          <t>TRAZODONE 50MG TABLET</t>
        </is>
      </c>
      <c r="E209" s="6" t="inlineStr">
        <is>
          <t>1000.0</t>
        </is>
      </c>
      <c r="F209" s="7" t="n">
        <v>210</v>
      </c>
      <c r="G209" s="7" t="n">
        <v>0.21</v>
      </c>
      <c r="H209" s="7" t="n">
        <v>1</v>
      </c>
      <c r="I209" s="7" t="n">
        <v>0.79</v>
      </c>
      <c r="J209" s="8" t="n">
        <v>35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69315011610</t>
        </is>
      </c>
      <c r="D210" s="5" t="inlineStr">
        <is>
          <t xml:space="preserve">FUROSEMIDE 20MG TAB </t>
        </is>
      </c>
      <c r="E210" s="6" t="inlineStr">
        <is>
          <t>1000.0</t>
        </is>
      </c>
      <c r="F210" s="7" t="n">
        <v>150</v>
      </c>
      <c r="G210" s="7" t="n">
        <v>0.15</v>
      </c>
      <c r="H210" s="7" t="n">
        <v>0</v>
      </c>
      <c r="I210" s="7" t="n">
        <v>-0.15</v>
      </c>
      <c r="J210" s="8" t="n">
        <v>35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67877025001</t>
        </is>
      </c>
      <c r="D211" s="5" t="inlineStr">
        <is>
          <t>QUETIAPINE FUMARATE 100MG TABLET</t>
        </is>
      </c>
      <c r="E211" s="6" t="inlineStr">
        <is>
          <t>100.0</t>
        </is>
      </c>
      <c r="F211" s="7" t="n">
        <v>105</v>
      </c>
      <c r="G211" s="7" t="n">
        <v>1.05</v>
      </c>
      <c r="H211" s="7" t="n">
        <v>0</v>
      </c>
      <c r="I211" s="7" t="n">
        <v>-1.05</v>
      </c>
      <c r="J211" s="8" t="n">
        <v>35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68180065907</t>
        </is>
      </c>
      <c r="D212" s="5" t="inlineStr">
        <is>
          <t>RIFAMPIN 300MG CAPSULE</t>
        </is>
      </c>
      <c r="E212" s="6" t="inlineStr">
        <is>
          <t>60.0</t>
        </is>
      </c>
      <c r="F212" s="7" t="n">
        <v>36</v>
      </c>
      <c r="G212" s="7" t="n">
        <v>0.6</v>
      </c>
      <c r="H212" s="7" t="n">
        <v>1</v>
      </c>
      <c r="I212" s="7" t="n">
        <v>0.4</v>
      </c>
      <c r="J212" s="8" t="n">
        <v>35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42571031501</t>
        </is>
      </c>
      <c r="D213" s="5" t="inlineStr">
        <is>
          <t>CLOBAZAM 10MG TABLET</t>
        </is>
      </c>
      <c r="E213" s="6" t="inlineStr">
        <is>
          <t>100.0</t>
        </is>
      </c>
      <c r="F213" s="7" t="n">
        <v>90</v>
      </c>
      <c r="G213" s="7" t="n">
        <v>0.9</v>
      </c>
      <c r="H213" s="7" t="n">
        <v>0</v>
      </c>
      <c r="I213" s="7" t="n">
        <v>-0.9</v>
      </c>
      <c r="J213" s="8" t="n">
        <v>35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00536430608</t>
        </is>
      </c>
      <c r="D214" s="5" t="inlineStr">
        <is>
          <t>FIBER-LAX 625MG TABLET</t>
        </is>
      </c>
      <c r="E214" s="6" t="inlineStr">
        <is>
          <t>60.0</t>
        </is>
      </c>
      <c r="F214" s="7" t="n">
        <v>180</v>
      </c>
      <c r="G214" s="7" t="n">
        <v>3</v>
      </c>
      <c r="H214" s="7" t="n">
        <v>0</v>
      </c>
      <c r="I214" s="7" t="n">
        <v>-3</v>
      </c>
      <c r="J214" s="8" t="n">
        <v>35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49483060450</t>
        </is>
      </c>
      <c r="D215" s="5" t="inlineStr">
        <is>
          <t>IBUPROFEN 800MG TABLET</t>
        </is>
      </c>
      <c r="E215" s="6" t="inlineStr">
        <is>
          <t>500.0</t>
        </is>
      </c>
      <c r="F215" s="7" t="n">
        <v>300</v>
      </c>
      <c r="G215" s="7" t="n">
        <v>0.6</v>
      </c>
      <c r="H215" s="7" t="n">
        <v>0</v>
      </c>
      <c r="I215" s="7" t="n">
        <v>-0.6</v>
      </c>
      <c r="J215" s="8" t="n">
        <v>35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70010014901</t>
        </is>
      </c>
      <c r="D216" s="5" t="inlineStr">
        <is>
          <t>BUTALBITAL-APAP-CAFFEINE 50-325-40 MG ORAL TABLET</t>
        </is>
      </c>
      <c r="E216" s="6" t="inlineStr">
        <is>
          <t>100.0</t>
        </is>
      </c>
      <c r="F216" s="7" t="n">
        <v>180</v>
      </c>
      <c r="G216" s="7" t="n">
        <v>1.8</v>
      </c>
      <c r="H216" s="7" t="n">
        <v>0</v>
      </c>
      <c r="I216" s="7" t="n">
        <v>-1.8</v>
      </c>
      <c r="J216" s="8" t="n">
        <v>34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68180098103</t>
        </is>
      </c>
      <c r="D217" s="5" t="inlineStr">
        <is>
          <t>LISINOPRIL 20MG TABLET</t>
        </is>
      </c>
      <c r="E217" s="6" t="inlineStr">
        <is>
          <t>1000.0</t>
        </is>
      </c>
      <c r="F217" s="7" t="n">
        <v>150</v>
      </c>
      <c r="G217" s="7" t="n">
        <v>0.15</v>
      </c>
      <c r="H217" s="7" t="n">
        <v>0</v>
      </c>
      <c r="I217" s="7" t="n">
        <v>-0.15</v>
      </c>
      <c r="J217" s="8" t="n">
        <v>34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57237000511</t>
        </is>
      </c>
      <c r="D218" s="5" t="inlineStr">
        <is>
          <t xml:space="preserve">FLUCONAZOLE 150MG TAB </t>
        </is>
      </c>
      <c r="E218" s="6" t="inlineStr">
        <is>
          <t>12.0</t>
        </is>
      </c>
      <c r="F218" s="7" t="n">
        <v>7</v>
      </c>
      <c r="G218" s="7" t="n">
        <v>0.5833333333333334</v>
      </c>
      <c r="H218" s="7" t="n">
        <v>2</v>
      </c>
      <c r="I218" s="7" t="n">
        <v>1.416666666666667</v>
      </c>
      <c r="J218" s="8" t="n">
        <v>34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67877041401</t>
        </is>
      </c>
      <c r="D219" s="5" t="inlineStr">
        <is>
          <t>METFORMIN HCL ER 750 MG TABLET</t>
        </is>
      </c>
      <c r="E219" s="6" t="inlineStr">
        <is>
          <t>100.0</t>
        </is>
      </c>
      <c r="F219" s="7" t="n">
        <v>270</v>
      </c>
      <c r="G219" s="7" t="n">
        <v>2.7</v>
      </c>
      <c r="H219" s="7" t="n">
        <v>7</v>
      </c>
      <c r="I219" s="7" t="n">
        <v>4.3</v>
      </c>
      <c r="J219" s="8" t="n">
        <v>33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72888001400</t>
        </is>
      </c>
      <c r="D220" s="5" t="inlineStr">
        <is>
          <t>CYCLOBENZAPRINE 10MG TABLET</t>
        </is>
      </c>
      <c r="E220" s="6" t="inlineStr">
        <is>
          <t>1000.0</t>
        </is>
      </c>
      <c r="F220" s="7" t="n">
        <v>150</v>
      </c>
      <c r="G220" s="7" t="n">
        <v>0.15</v>
      </c>
      <c r="H220" s="7" t="n">
        <v>2</v>
      </c>
      <c r="I220" s="7" t="n">
        <v>1.85</v>
      </c>
      <c r="J220" s="8" t="n">
        <v>33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59630075050</t>
        </is>
      </c>
      <c r="D221" s="5" t="inlineStr">
        <is>
          <t>METHYLIN 5 MG/5ML ORAL SOLUTION</t>
        </is>
      </c>
      <c r="E221" s="6" t="inlineStr">
        <is>
          <t>500.0</t>
        </is>
      </c>
      <c r="F221" s="7" t="n">
        <v>300</v>
      </c>
      <c r="G221" s="7" t="n">
        <v>0.6</v>
      </c>
      <c r="H221" s="7" t="n">
        <v>0</v>
      </c>
      <c r="I221" s="7" t="n">
        <v>-0.6</v>
      </c>
      <c r="J221" s="8" t="n">
        <v>33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00168041730</t>
        </is>
      </c>
      <c r="D222" s="5" t="inlineStr">
        <is>
          <t>TACROLIMUS 0.03 % EXTERNAL OINTMENT</t>
        </is>
      </c>
      <c r="E222" s="6" t="inlineStr">
        <is>
          <t>30.0</t>
        </is>
      </c>
      <c r="F222" s="7" t="n">
        <v>30</v>
      </c>
      <c r="G222" s="7" t="n">
        <v>1</v>
      </c>
      <c r="H222" s="7" t="n">
        <v>2</v>
      </c>
      <c r="I222" s="7" t="n">
        <v>1</v>
      </c>
      <c r="J222" s="8" t="n">
        <v>32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00904723780</t>
        </is>
      </c>
      <c r="D223" s="5" t="inlineStr">
        <is>
          <t>BANOPHEN 25MG CAPSULE</t>
        </is>
      </c>
      <c r="E223" s="6" t="inlineStr">
        <is>
          <t>1000.0</t>
        </is>
      </c>
      <c r="F223" s="7" t="n">
        <v>80</v>
      </c>
      <c r="G223" s="7" t="n">
        <v>0.08</v>
      </c>
      <c r="H223" s="7" t="n">
        <v>0</v>
      </c>
      <c r="I223" s="7" t="n">
        <v>-0.08</v>
      </c>
      <c r="J223" s="8" t="n">
        <v>32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00832125030</t>
        </is>
      </c>
      <c r="D224" s="5" t="inlineStr">
        <is>
          <t>RAMELTEON 8MG TABLET</t>
        </is>
      </c>
      <c r="E224" s="6" t="inlineStr">
        <is>
          <t>30.0</t>
        </is>
      </c>
      <c r="F224" s="7" t="n">
        <v>30</v>
      </c>
      <c r="G224" s="7" t="n">
        <v>1</v>
      </c>
      <c r="H224" s="7" t="n">
        <v>3</v>
      </c>
      <c r="I224" s="7" t="n">
        <v>2</v>
      </c>
      <c r="J224" s="8" t="n">
        <v>32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61314063705</t>
        </is>
      </c>
      <c r="D225" s="5" t="inlineStr">
        <is>
          <t>PREDNISOLONE ACETATE 1% SUSPENSION</t>
        </is>
      </c>
      <c r="E225" s="6" t="inlineStr">
        <is>
          <t>5.0</t>
        </is>
      </c>
      <c r="F225" s="7" t="n">
        <v>5</v>
      </c>
      <c r="G225" s="7" t="n">
        <v>1</v>
      </c>
      <c r="H225" s="7" t="n">
        <v>0</v>
      </c>
      <c r="I225" s="7" t="n">
        <v>-1</v>
      </c>
      <c r="J225" s="8" t="n">
        <v>32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75907002348</t>
        </is>
      </c>
      <c r="D226" s="5" t="inlineStr">
        <is>
          <t>CLONIDINE 0.1 MG/24HR TRANSDERMAL PATCH WEEKLY</t>
        </is>
      </c>
      <c r="E226" s="6" t="inlineStr">
        <is>
          <t>4.0</t>
        </is>
      </c>
      <c r="F226" s="7" t="n">
        <v>4</v>
      </c>
      <c r="G226" s="7" t="n">
        <v>1</v>
      </c>
      <c r="H226" s="7" t="n">
        <v>0</v>
      </c>
      <c r="I226" s="7" t="n">
        <v>-1</v>
      </c>
      <c r="J226" s="8" t="n">
        <v>32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68180029603</t>
        </is>
      </c>
      <c r="D227" s="5" t="inlineStr">
        <is>
          <t>DULOXETINE 60MG CAPSULE DR</t>
        </is>
      </c>
      <c r="E227" s="6" t="inlineStr">
        <is>
          <t>1000.0</t>
        </is>
      </c>
      <c r="F227" s="7" t="n">
        <v>150</v>
      </c>
      <c r="G227" s="7" t="n">
        <v>0.15</v>
      </c>
      <c r="H227" s="7" t="n">
        <v>0</v>
      </c>
      <c r="I227" s="7" t="n">
        <v>-0.15</v>
      </c>
      <c r="J227" s="8" t="n">
        <v>32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67877015905</t>
        </is>
      </c>
      <c r="D228" s="5" t="inlineStr">
        <is>
          <t xml:space="preserve">METFORMIN ER 500MG TABLET </t>
        </is>
      </c>
      <c r="E228" s="6" t="inlineStr">
        <is>
          <t>500.0</t>
        </is>
      </c>
      <c r="F228" s="7" t="n">
        <v>150</v>
      </c>
      <c r="G228" s="7" t="n">
        <v>0.3</v>
      </c>
      <c r="H228" s="7" t="n">
        <v>3</v>
      </c>
      <c r="I228" s="7" t="n">
        <v>2.7</v>
      </c>
      <c r="J228" s="8" t="n">
        <v>32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00603020922</t>
        </is>
      </c>
      <c r="D229" s="5" t="inlineStr">
        <is>
          <t>MAGNESIUM OXIDE 400MG TABLET</t>
        </is>
      </c>
      <c r="E229" s="6" t="inlineStr">
        <is>
          <t>120.0</t>
        </is>
      </c>
      <c r="F229" s="7" t="n">
        <v>120</v>
      </c>
      <c r="G229" s="7" t="n">
        <v>1</v>
      </c>
      <c r="H229" s="7" t="n">
        <v>0</v>
      </c>
      <c r="I229" s="7" t="n">
        <v>-1</v>
      </c>
      <c r="J229" s="8" t="n">
        <v>32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51672127502</t>
        </is>
      </c>
      <c r="D230" s="5" t="inlineStr">
        <is>
          <t>CLOTRIMAZOLE 1 % EXTERNAL CREAM</t>
        </is>
      </c>
      <c r="E230" s="6" t="inlineStr">
        <is>
          <t>30.0</t>
        </is>
      </c>
      <c r="F230" s="7" t="n">
        <v>90</v>
      </c>
      <c r="G230" s="7" t="n">
        <v>3</v>
      </c>
      <c r="H230" s="7" t="n">
        <v>0</v>
      </c>
      <c r="I230" s="7" t="n">
        <v>-3</v>
      </c>
      <c r="J230" s="8" t="n">
        <v>31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70377008013</t>
        </is>
      </c>
      <c r="D231" s="5" t="inlineStr">
        <is>
          <t>ATORVASTATIN 80MG  TABLET</t>
        </is>
      </c>
      <c r="E231" s="6" t="inlineStr">
        <is>
          <t>1000.0</t>
        </is>
      </c>
      <c r="F231" s="7" t="n">
        <v>180</v>
      </c>
      <c r="G231" s="7" t="n">
        <v>0.18</v>
      </c>
      <c r="H231" s="7" t="n">
        <v>2</v>
      </c>
      <c r="I231" s="7" t="n">
        <v>1.82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60258016001</t>
        </is>
      </c>
      <c r="D232" s="5" t="inlineStr">
        <is>
          <t>RENA-VITE  TABLET</t>
        </is>
      </c>
      <c r="E232" s="6" t="inlineStr">
        <is>
          <t>100.0</t>
        </is>
      </c>
      <c r="F232" s="7" t="n">
        <v>990</v>
      </c>
      <c r="G232" s="7" t="n">
        <v>9.9</v>
      </c>
      <c r="H232" s="7" t="n">
        <v>5</v>
      </c>
      <c r="I232" s="7" t="n">
        <v>-4.9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00093416173</t>
        </is>
      </c>
      <c r="D233" s="5" t="inlineStr">
        <is>
          <t>AMOXICILLIN 400MG/5ML FOR SUSPENSION</t>
        </is>
      </c>
      <c r="E233" s="6" t="inlineStr">
        <is>
          <t>100.0</t>
        </is>
      </c>
      <c r="F233" s="7" t="n">
        <v>300</v>
      </c>
      <c r="G233" s="7" t="n">
        <v>3</v>
      </c>
      <c r="H233" s="7" t="n">
        <v>0</v>
      </c>
      <c r="I233" s="7" t="n">
        <v>-3</v>
      </c>
      <c r="J233" s="8" t="n">
        <v>30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70010078205</t>
        </is>
      </c>
      <c r="D234" s="5" t="inlineStr">
        <is>
          <t>METOPROLOL SUCCINATE ER 100MG TABLET</t>
        </is>
      </c>
      <c r="E234" s="6" t="inlineStr">
        <is>
          <t>500.0</t>
        </is>
      </c>
      <c r="F234" s="7" t="n">
        <v>120</v>
      </c>
      <c r="G234" s="7" t="n">
        <v>0.24</v>
      </c>
      <c r="H234" s="7" t="n">
        <v>2</v>
      </c>
      <c r="I234" s="7" t="n">
        <v>1.76</v>
      </c>
      <c r="J234" s="8" t="n">
        <v>30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59651030901</t>
        </is>
      </c>
      <c r="D235" s="5" t="inlineStr">
        <is>
          <t>FLUOXETINE HCL 20MG TABLET</t>
        </is>
      </c>
      <c r="E235" s="6" t="inlineStr">
        <is>
          <t>100.0</t>
        </is>
      </c>
      <c r="F235" s="7" t="n">
        <v>90</v>
      </c>
      <c r="G235" s="7" t="n">
        <v>0.9</v>
      </c>
      <c r="H235" s="7" t="n">
        <v>1</v>
      </c>
      <c r="I235" s="7" t="n">
        <v>0.09999999999999998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00832532510</t>
        </is>
      </c>
      <c r="D236" s="5" t="inlineStr">
        <is>
          <t>POTASSIUM ER 20MEQ TABLET</t>
        </is>
      </c>
      <c r="E236" s="6" t="inlineStr">
        <is>
          <t>1000.0</t>
        </is>
      </c>
      <c r="F236" s="7" t="n">
        <v>60</v>
      </c>
      <c r="G236" s="7" t="n">
        <v>0.06</v>
      </c>
      <c r="H236" s="7" t="n">
        <v>0</v>
      </c>
      <c r="I236" s="7" t="n">
        <v>-0.06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45802040049</t>
        </is>
      </c>
      <c r="D237" s="5" t="inlineStr">
        <is>
          <t>CICLOPIROX 0.77 % EXTERNAL SUSPENSION</t>
        </is>
      </c>
      <c r="E237" s="6" t="inlineStr">
        <is>
          <t>30.0</t>
        </is>
      </c>
      <c r="F237" s="7" t="n">
        <v>30</v>
      </c>
      <c r="G237" s="7" t="n">
        <v>1</v>
      </c>
      <c r="H237" s="7" t="n">
        <v>0</v>
      </c>
      <c r="I237" s="7" t="n">
        <v>-1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31722053960</t>
        </is>
      </c>
      <c r="D238" s="5" t="inlineStr">
        <is>
          <t xml:space="preserve">LEVETIRACETAM 1000MG TAB </t>
        </is>
      </c>
      <c r="E238" s="6" t="inlineStr">
        <is>
          <t>60.0</t>
        </is>
      </c>
      <c r="F238" s="7" t="n">
        <v>120</v>
      </c>
      <c r="G238" s="7" t="n">
        <v>2</v>
      </c>
      <c r="H238" s="7" t="n">
        <v>0</v>
      </c>
      <c r="I238" s="7" t="n">
        <v>-2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69238207807</t>
        </is>
      </c>
      <c r="D239" s="5" t="inlineStr">
        <is>
          <t>PROPRANOLOL HCL 20 MG ORAL TABLET</t>
        </is>
      </c>
      <c r="E239" s="6" t="inlineStr">
        <is>
          <t>1000.0</t>
        </is>
      </c>
      <c r="F239" s="7" t="n">
        <v>150</v>
      </c>
      <c r="G239" s="7" t="n">
        <v>0.15</v>
      </c>
      <c r="H239" s="7" t="n">
        <v>0</v>
      </c>
      <c r="I239" s="7" t="n">
        <v>-0.15</v>
      </c>
      <c r="J239" s="8" t="n">
        <v>29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00378632477</t>
        </is>
      </c>
      <c r="D240" s="5" t="inlineStr">
        <is>
          <t>VALSARTAN-HCTZ 320-12.5MG TABLET</t>
        </is>
      </c>
      <c r="E240" s="6" t="inlineStr">
        <is>
          <t>90.0</t>
        </is>
      </c>
      <c r="F240" s="7" t="n">
        <v>90</v>
      </c>
      <c r="G240" s="7" t="n">
        <v>1</v>
      </c>
      <c r="H240" s="7" t="n">
        <v>0</v>
      </c>
      <c r="I240" s="7" t="n">
        <v>-1</v>
      </c>
      <c r="J240" s="8" t="n">
        <v>29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43598012105</t>
        </is>
      </c>
      <c r="D241" s="5" t="inlineStr">
        <is>
          <t>CLOPIDOGREL BISULFATE 75 MG ORAL TABLET</t>
        </is>
      </c>
      <c r="E241" s="6" t="inlineStr">
        <is>
          <t>500.0</t>
        </is>
      </c>
      <c r="F241" s="7" t="n">
        <v>180</v>
      </c>
      <c r="G241" s="7" t="n">
        <v>0.36</v>
      </c>
      <c r="H241" s="7" t="n">
        <v>4</v>
      </c>
      <c r="I241" s="7" t="n">
        <v>3.64</v>
      </c>
      <c r="J241" s="8" t="n">
        <v>29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00536125494</t>
        </is>
      </c>
      <c r="D242" s="5" t="inlineStr">
        <is>
          <t>SODIUM CHLORIDE (HYPERTONIC) 5 % OPHTHALMIC SOLUTION</t>
        </is>
      </c>
      <c r="E242" s="6" t="inlineStr">
        <is>
          <t>15.0</t>
        </is>
      </c>
      <c r="F242" s="7" t="n">
        <v>30</v>
      </c>
      <c r="G242" s="7" t="n">
        <v>2</v>
      </c>
      <c r="H242" s="7" t="n">
        <v>0</v>
      </c>
      <c r="I242" s="7" t="n">
        <v>-2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45802021696</t>
        </is>
      </c>
      <c r="D243" s="5" t="inlineStr">
        <is>
          <t>BENZOYL PEROXIDE 5 % EXTERNAL GEL</t>
        </is>
      </c>
      <c r="E243" s="6" t="inlineStr">
        <is>
          <t>60.0</t>
        </is>
      </c>
      <c r="F243" s="7" t="n">
        <v>120</v>
      </c>
      <c r="G243" s="7" t="n">
        <v>2</v>
      </c>
      <c r="H243" s="7" t="n">
        <v>0</v>
      </c>
      <c r="I243" s="7" t="n">
        <v>-2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31722053201</t>
        </is>
      </c>
      <c r="D244" s="5" t="inlineStr">
        <is>
          <t>TORSEMIDE 100MG TABLET</t>
        </is>
      </c>
      <c r="E244" s="6" t="inlineStr">
        <is>
          <t>100.0</t>
        </is>
      </c>
      <c r="F244" s="7" t="n">
        <v>90</v>
      </c>
      <c r="G244" s="7" t="n">
        <v>0.9</v>
      </c>
      <c r="H244" s="7" t="n">
        <v>0</v>
      </c>
      <c r="I244" s="7" t="n">
        <v>-0.9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65862017501</t>
        </is>
      </c>
      <c r="D245" s="5" t="inlineStr">
        <is>
          <t>PENICILLIN V POTASSIUM 250MG TABLET</t>
        </is>
      </c>
      <c r="E245" s="6" t="inlineStr">
        <is>
          <t>100.0</t>
        </is>
      </c>
      <c r="F245" s="7" t="n">
        <v>120</v>
      </c>
      <c r="G245" s="7" t="n">
        <v>1.2</v>
      </c>
      <c r="H245" s="7" t="n">
        <v>0</v>
      </c>
      <c r="I245" s="7" t="n">
        <v>-1.2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69097082112</t>
        </is>
      </c>
      <c r="D246" s="5" t="inlineStr">
        <is>
          <t xml:space="preserve">GEMFIBROZIL 600MG TAB </t>
        </is>
      </c>
      <c r="E246" s="6" t="inlineStr">
        <is>
          <t>500.0</t>
        </is>
      </c>
      <c r="F246" s="7" t="n">
        <v>180</v>
      </c>
      <c r="G246" s="7" t="n">
        <v>0.36</v>
      </c>
      <c r="H246" s="7" t="n">
        <v>0</v>
      </c>
      <c r="I246" s="7" t="n">
        <v>-0.36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68180067801</t>
        </is>
      </c>
      <c r="D247" s="5" t="inlineStr">
        <is>
          <t>OSELTAMIVIR PHOSPHATE 6 MG/ML ORAL SUSPENSION RECONSTITUTED</t>
        </is>
      </c>
      <c r="E247" s="6" t="inlineStr">
        <is>
          <t>60.0</t>
        </is>
      </c>
      <c r="F247" s="7" t="n">
        <v>120</v>
      </c>
      <c r="G247" s="7" t="n">
        <v>2</v>
      </c>
      <c r="H247" s="7" t="n">
        <v>0</v>
      </c>
      <c r="I247" s="7" t="n">
        <v>-2</v>
      </c>
      <c r="J247" s="8" t="n">
        <v>28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69097042112</t>
        </is>
      </c>
      <c r="D248" s="5" t="inlineStr">
        <is>
          <t>CELECOXIB 200 MG ORAL CAPSULE</t>
        </is>
      </c>
      <c r="E248" s="6" t="inlineStr">
        <is>
          <t>500.0</t>
        </is>
      </c>
      <c r="F248" s="7" t="n">
        <v>90</v>
      </c>
      <c r="G248" s="7" t="n">
        <v>0.18</v>
      </c>
      <c r="H248" s="7" t="n">
        <v>0</v>
      </c>
      <c r="I248" s="7" t="n">
        <v>-0.18</v>
      </c>
      <c r="J248" s="8" t="n">
        <v>28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45802000910</t>
        </is>
      </c>
      <c r="D249" s="5" t="inlineStr">
        <is>
          <t>FLUOCINOLONE ACETONIDE 0.01 % OTIC OIL</t>
        </is>
      </c>
      <c r="E249" s="6" t="inlineStr">
        <is>
          <t>20.0</t>
        </is>
      </c>
      <c r="F249" s="7" t="n">
        <v>20</v>
      </c>
      <c r="G249" s="7" t="n">
        <v>1</v>
      </c>
      <c r="H249" s="7" t="n">
        <v>0</v>
      </c>
      <c r="I249" s="7" t="n">
        <v>-1</v>
      </c>
      <c r="J249" s="8" t="n">
        <v>28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70954020210</t>
        </is>
      </c>
      <c r="D250" s="5" t="inlineStr">
        <is>
          <t xml:space="preserve">DIGOXIN 250MCG TABLET </t>
        </is>
      </c>
      <c r="E250" s="6" t="inlineStr">
        <is>
          <t>100.0</t>
        </is>
      </c>
      <c r="F250" s="7" t="n">
        <v>60</v>
      </c>
      <c r="G250" s="7" t="n">
        <v>0.6</v>
      </c>
      <c r="H250" s="7" t="n">
        <v>0</v>
      </c>
      <c r="I250" s="7" t="n">
        <v>-0.6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23155070510</t>
        </is>
      </c>
      <c r="D251" s="5" t="inlineStr">
        <is>
          <t>ENALAPRIL 5MG TABLET</t>
        </is>
      </c>
      <c r="E251" s="6" t="inlineStr">
        <is>
          <t>1000.0</t>
        </is>
      </c>
      <c r="F251" s="7" t="n">
        <v>120</v>
      </c>
      <c r="G251" s="7" t="n">
        <v>0.12</v>
      </c>
      <c r="H251" s="7" t="n">
        <v>0</v>
      </c>
      <c r="I251" s="7" t="n">
        <v>-0.12</v>
      </c>
      <c r="J251" s="8" t="n">
        <v>27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00023455430</t>
        </is>
      </c>
      <c r="D252" s="5" t="inlineStr">
        <is>
          <t>REFRESH CELLUVISC 1 % OPHTHALMIC GEL</t>
        </is>
      </c>
      <c r="E252" s="6" t="inlineStr">
        <is>
          <t>30.0</t>
        </is>
      </c>
      <c r="F252" s="7" t="n">
        <v>60</v>
      </c>
      <c r="G252" s="7" t="n">
        <v>2</v>
      </c>
      <c r="H252" s="7" t="n">
        <v>0</v>
      </c>
      <c r="I252" s="7" t="n">
        <v>-2</v>
      </c>
      <c r="J252" s="8" t="n">
        <v>27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68180031902</t>
        </is>
      </c>
      <c r="D253" s="5" t="inlineStr">
        <is>
          <t>BUPROPION HCL ER (XL) 150MG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27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00168001516</t>
        </is>
      </c>
      <c r="D254" s="5" t="inlineStr">
        <is>
          <t>HYDROCORTISONE 1 % EXTERNAL CREAM</t>
        </is>
      </c>
      <c r="E254" s="6" t="inlineStr">
        <is>
          <t>453.6</t>
        </is>
      </c>
      <c r="F254" s="7" t="n">
        <v>453.6</v>
      </c>
      <c r="G254" s="7" t="n">
        <v>1</v>
      </c>
      <c r="H254" s="7" t="n">
        <v>1</v>
      </c>
      <c r="I254" s="7" t="n">
        <v>0</v>
      </c>
      <c r="J254" s="8" t="n">
        <v>27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00116200116</t>
        </is>
      </c>
      <c r="D255" s="5" t="inlineStr">
        <is>
          <t xml:space="preserve">CHLORHEXIDINE 0.12% SOLUTION </t>
        </is>
      </c>
      <c r="E255" s="6" t="inlineStr">
        <is>
          <t>473.0</t>
        </is>
      </c>
      <c r="F255" s="7" t="n">
        <v>946</v>
      </c>
      <c r="G255" s="7" t="n">
        <v>2</v>
      </c>
      <c r="H255" s="7" t="n">
        <v>9</v>
      </c>
      <c r="I255" s="7" t="n">
        <v>7</v>
      </c>
      <c r="J255" s="8" t="n">
        <v>27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00536126659</t>
        </is>
      </c>
      <c r="D256" s="5" t="inlineStr">
        <is>
          <t>SENNA 8.8 MG/5ML ORAL LIQUID</t>
        </is>
      </c>
      <c r="E256" s="6" t="inlineStr">
        <is>
          <t>237.0</t>
        </is>
      </c>
      <c r="F256" s="7" t="n">
        <v>175</v>
      </c>
      <c r="G256" s="7" t="n">
        <v>0.7383966244725738</v>
      </c>
      <c r="H256" s="7" t="n">
        <v>0</v>
      </c>
      <c r="I256" s="7" t="n">
        <v>-0.7383966244725738</v>
      </c>
      <c r="J256" s="8" t="n">
        <v>27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51672140700</t>
        </is>
      </c>
      <c r="D257" s="5" t="inlineStr">
        <is>
          <t>TRETINOIN 0.025 % EXTERNAL CREAM</t>
        </is>
      </c>
      <c r="E257" s="6" t="inlineStr">
        <is>
          <t>20.0</t>
        </is>
      </c>
      <c r="F257" s="7" t="n">
        <v>20</v>
      </c>
      <c r="G257" s="7" t="n">
        <v>1</v>
      </c>
      <c r="H257" s="7" t="n">
        <v>0</v>
      </c>
      <c r="I257" s="7" t="n">
        <v>-1</v>
      </c>
      <c r="J257" s="8" t="n">
        <v>27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13668033301</t>
        </is>
      </c>
      <c r="D258" s="5" t="inlineStr">
        <is>
          <t>TRAZODONE 300MG TABLET</t>
        </is>
      </c>
      <c r="E258" s="6" t="inlineStr">
        <is>
          <t>100.0</t>
        </is>
      </c>
      <c r="F258" s="7" t="n">
        <v>30</v>
      </c>
      <c r="G258" s="7" t="n">
        <v>0.3</v>
      </c>
      <c r="H258" s="7" t="n">
        <v>0</v>
      </c>
      <c r="I258" s="7" t="n">
        <v>-0.3</v>
      </c>
      <c r="J258" s="8" t="n">
        <v>27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69238207701</t>
        </is>
      </c>
      <c r="D259" s="5" t="inlineStr">
        <is>
          <t xml:space="preserve">PROPRANOLOL 10MG TABLET </t>
        </is>
      </c>
      <c r="E259" s="6" t="inlineStr">
        <is>
          <t>100.0</t>
        </is>
      </c>
      <c r="F259" s="7" t="n">
        <v>120</v>
      </c>
      <c r="G259" s="7" t="n">
        <v>1.2</v>
      </c>
      <c r="H259" s="7" t="n">
        <v>4</v>
      </c>
      <c r="I259" s="7" t="n">
        <v>2.8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00527411637</t>
        </is>
      </c>
      <c r="D260" s="5" t="inlineStr">
        <is>
          <t>PROPRANOLOL 60MG CAPSULE ER</t>
        </is>
      </c>
      <c r="E260" s="6" t="inlineStr">
        <is>
          <t>100.0</t>
        </is>
      </c>
      <c r="F260" s="7" t="n">
        <v>90</v>
      </c>
      <c r="G260" s="7" t="n">
        <v>0.9</v>
      </c>
      <c r="H260" s="7" t="n">
        <v>0</v>
      </c>
      <c r="I260" s="7" t="n">
        <v>-0.9</v>
      </c>
      <c r="J260" s="8" t="n">
        <v>26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00168008031</t>
        </is>
      </c>
      <c r="D261" s="5" t="inlineStr">
        <is>
          <t>HYDROCORTISONE 2.5% CREAM</t>
        </is>
      </c>
      <c r="E261" s="6" t="inlineStr">
        <is>
          <t>30.0</t>
        </is>
      </c>
      <c r="F261" s="7" t="n">
        <v>60</v>
      </c>
      <c r="G261" s="7" t="n">
        <v>2</v>
      </c>
      <c r="H261" s="7" t="n">
        <v>10</v>
      </c>
      <c r="I261" s="7" t="n">
        <v>8</v>
      </c>
      <c r="J261" s="8" t="n">
        <v>26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47781026305</t>
        </is>
      </c>
      <c r="D262" s="5" t="inlineStr">
        <is>
          <t>OXYCODONE HCL 5 MG TABLET</t>
        </is>
      </c>
      <c r="E262" s="6" t="inlineStr">
        <is>
          <t>500.0</t>
        </is>
      </c>
      <c r="F262" s="7" t="n">
        <v>70</v>
      </c>
      <c r="G262" s="7" t="n">
        <v>0.14</v>
      </c>
      <c r="H262" s="7" t="n">
        <v>0</v>
      </c>
      <c r="I262" s="7" t="n">
        <v>-0.14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57237004230</t>
        </is>
      </c>
      <c r="D263" s="5" t="inlineStr">
        <is>
          <t>VALACYCLOVIR 500MG TABLET</t>
        </is>
      </c>
      <c r="E263" s="6" t="inlineStr">
        <is>
          <t>30.0</t>
        </is>
      </c>
      <c r="F263" s="7" t="n">
        <v>25</v>
      </c>
      <c r="G263" s="7" t="n">
        <v>0.8333333333333334</v>
      </c>
      <c r="H263" s="7" t="n">
        <v>0</v>
      </c>
      <c r="I263" s="7" t="n">
        <v>-0.8333333333333334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00536478701</t>
        </is>
      </c>
      <c r="D264" s="5" t="inlineStr">
        <is>
          <t>VITAMIN B COMPLEX  CAPSULE * NYM</t>
        </is>
      </c>
      <c r="E264" s="6" t="inlineStr">
        <is>
          <t>100.0</t>
        </is>
      </c>
      <c r="F264" s="7" t="n">
        <v>360</v>
      </c>
      <c r="G264" s="7" t="n">
        <v>3.6</v>
      </c>
      <c r="H264" s="7" t="n">
        <v>0</v>
      </c>
      <c r="I264" s="7" t="n">
        <v>-3.6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00168000215</t>
        </is>
      </c>
      <c r="D265" s="5" t="inlineStr">
        <is>
          <t>TRIAMCINOLONE ACETONIDE 0.5 % CREAM</t>
        </is>
      </c>
      <c r="E265" s="6" t="inlineStr">
        <is>
          <t>15.0</t>
        </is>
      </c>
      <c r="F265" s="7" t="n">
        <v>30</v>
      </c>
      <c r="G265" s="7" t="n">
        <v>2</v>
      </c>
      <c r="H265" s="7" t="n">
        <v>0</v>
      </c>
      <c r="I265" s="7" t="n">
        <v>-2</v>
      </c>
      <c r="J265" s="8" t="n">
        <v>26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70010006310</t>
        </is>
      </c>
      <c r="D266" s="5" t="inlineStr">
        <is>
          <t>METFORMIN HCL 500 MG TABLET</t>
        </is>
      </c>
      <c r="E266" s="6" t="inlineStr">
        <is>
          <t>1000.0</t>
        </is>
      </c>
      <c r="F266" s="7" t="n">
        <v>360</v>
      </c>
      <c r="G266" s="7" t="n">
        <v>0.36</v>
      </c>
      <c r="H266" s="7" t="n">
        <v>4</v>
      </c>
      <c r="I266" s="7" t="n">
        <v>3.64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69097085705</t>
        </is>
      </c>
      <c r="D267" s="5" t="inlineStr">
        <is>
          <t xml:space="preserve">FOSINOPRIL 20MG TAB </t>
        </is>
      </c>
      <c r="E267" s="6" t="inlineStr">
        <is>
          <t>90.0</t>
        </is>
      </c>
      <c r="F267" s="7" t="n">
        <v>90</v>
      </c>
      <c r="G267" s="7" t="n">
        <v>1</v>
      </c>
      <c r="H267" s="7" t="n">
        <v>4</v>
      </c>
      <c r="I267" s="7" t="n">
        <v>3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65862020399</t>
        </is>
      </c>
      <c r="D268" s="5" t="inlineStr">
        <is>
          <t>LOSARTAN 100MG TABLET</t>
        </is>
      </c>
      <c r="E268" s="6" t="inlineStr">
        <is>
          <t>1000.0</t>
        </is>
      </c>
      <c r="F268" s="7" t="n">
        <v>120</v>
      </c>
      <c r="G268" s="7" t="n">
        <v>0.12</v>
      </c>
      <c r="H268" s="7" t="n">
        <v>0</v>
      </c>
      <c r="I268" s="7" t="n">
        <v>-0.12</v>
      </c>
      <c r="J268" s="8" t="n">
        <v>25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65862052205</t>
        </is>
      </c>
      <c r="D269" s="5" t="inlineStr">
        <is>
          <t>NAPROXEN 500MG TABLET</t>
        </is>
      </c>
      <c r="E269" s="6" t="inlineStr">
        <is>
          <t>500.0</t>
        </is>
      </c>
      <c r="F269" s="7" t="n">
        <v>84</v>
      </c>
      <c r="G269" s="7" t="n">
        <v>0.168</v>
      </c>
      <c r="H269" s="7" t="n">
        <v>0</v>
      </c>
      <c r="I269" s="7" t="n">
        <v>-0.168</v>
      </c>
      <c r="J269" s="8" t="n">
        <v>25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59651072405</t>
        </is>
      </c>
      <c r="D270" s="5" t="inlineStr">
        <is>
          <t>CLONAZEPAM 2MG TABLET</t>
        </is>
      </c>
      <c r="E270" s="6" t="inlineStr">
        <is>
          <t>500.0</t>
        </is>
      </c>
      <c r="F270" s="7" t="n">
        <v>140</v>
      </c>
      <c r="G270" s="7" t="n">
        <v>0.28</v>
      </c>
      <c r="H270" s="7" t="n">
        <v>0</v>
      </c>
      <c r="I270" s="7" t="n">
        <v>-0.28</v>
      </c>
      <c r="J270" s="8" t="n">
        <v>25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65862052305</t>
        </is>
      </c>
      <c r="D271" s="5" t="inlineStr">
        <is>
          <t>GABAPENTIN 600MG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1</v>
      </c>
      <c r="I271" s="7" t="n">
        <v>0.8200000000000001</v>
      </c>
      <c r="J271" s="8" t="n">
        <v>25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68180097903</t>
        </is>
      </c>
      <c r="D272" s="5" t="inlineStr">
        <is>
          <t>LISINOPRIL 40MG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25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00168009930</t>
        </is>
      </c>
      <c r="D273" s="5" t="inlineStr">
        <is>
          <t>KETOCONAZOLE 2 % EXTERNAL CREAM</t>
        </is>
      </c>
      <c r="E273" s="6" t="inlineStr">
        <is>
          <t>30.0</t>
        </is>
      </c>
      <c r="F273" s="7" t="n">
        <v>60</v>
      </c>
      <c r="G273" s="7" t="n">
        <v>2</v>
      </c>
      <c r="H273" s="7" t="n">
        <v>0</v>
      </c>
      <c r="I273" s="7" t="n">
        <v>-2</v>
      </c>
      <c r="J273" s="8" t="n">
        <v>25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50228014610</t>
        </is>
      </c>
      <c r="D274" s="5" t="inlineStr">
        <is>
          <t>HYDROCHLOROTHIAZIDE 12.5MG CAPSULE</t>
        </is>
      </c>
      <c r="E274" s="6" t="inlineStr">
        <is>
          <t>1000.0</t>
        </is>
      </c>
      <c r="F274" s="7" t="n">
        <v>180</v>
      </c>
      <c r="G274" s="7" t="n">
        <v>0.18</v>
      </c>
      <c r="H274" s="7" t="n">
        <v>0</v>
      </c>
      <c r="I274" s="7" t="n">
        <v>-0.18</v>
      </c>
      <c r="J274" s="8" t="n">
        <v>24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00121088508</t>
        </is>
      </c>
      <c r="D275" s="5" t="inlineStr">
        <is>
          <t>PREDNISOLONE 15 MG/5ML ORAL SOLUTION</t>
        </is>
      </c>
      <c r="E275" s="6" t="inlineStr">
        <is>
          <t>240.0</t>
        </is>
      </c>
      <c r="F275" s="7" t="n">
        <v>50</v>
      </c>
      <c r="G275" s="7" t="n">
        <v>0.2083333333333333</v>
      </c>
      <c r="H275" s="7" t="n">
        <v>0</v>
      </c>
      <c r="I275" s="7" t="n">
        <v>-0.2083333333333333</v>
      </c>
      <c r="J275" s="8" t="n">
        <v>24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00143992801</t>
        </is>
      </c>
      <c r="D276" s="5" t="inlineStr">
        <is>
          <t>CIPROFLOXACIN 500MG TABLET</t>
        </is>
      </c>
      <c r="E276" s="6" t="inlineStr">
        <is>
          <t>100.0</t>
        </is>
      </c>
      <c r="F276" s="7" t="n">
        <v>28</v>
      </c>
      <c r="G276" s="7" t="n">
        <v>0.28</v>
      </c>
      <c r="H276" s="7" t="n">
        <v>0</v>
      </c>
      <c r="I276" s="7" t="n">
        <v>-0.28</v>
      </c>
      <c r="J276" s="8" t="n">
        <v>24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69315030660</t>
        </is>
      </c>
      <c r="D277" s="5" t="inlineStr">
        <is>
          <t>NYSTATIN 100000 UNIT/GM EXTERNAL POWDER</t>
        </is>
      </c>
      <c r="E277" s="6" t="inlineStr">
        <is>
          <t>60.0</t>
        </is>
      </c>
      <c r="F277" s="7" t="n">
        <v>60</v>
      </c>
      <c r="G277" s="7" t="n">
        <v>1</v>
      </c>
      <c r="H277" s="7" t="n">
        <v>0</v>
      </c>
      <c r="I277" s="7" t="n">
        <v>-1</v>
      </c>
      <c r="J277" s="8" t="n">
        <v>24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00832046530</t>
        </is>
      </c>
      <c r="D278" s="5" t="inlineStr">
        <is>
          <t>NYSTATIN 100000UNIT/GM POWDER</t>
        </is>
      </c>
      <c r="E278" s="6" t="inlineStr">
        <is>
          <t>30.0</t>
        </is>
      </c>
      <c r="F278" s="7" t="n">
        <v>60</v>
      </c>
      <c r="G278" s="7" t="n">
        <v>2</v>
      </c>
      <c r="H278" s="7" t="n">
        <v>0</v>
      </c>
      <c r="I278" s="7" t="n">
        <v>-2</v>
      </c>
      <c r="J278" s="8" t="n">
        <v>24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00378705752</t>
        </is>
      </c>
      <c r="D279" s="5" t="inlineStr">
        <is>
          <t>ALBUTEROL SULFATE 0.63 MG/3ML INHALATION NEBULIZATION SOLUTION</t>
        </is>
      </c>
      <c r="E279" s="6" t="inlineStr">
        <is>
          <t>75.0</t>
        </is>
      </c>
      <c r="F279" s="7" t="n">
        <v>75</v>
      </c>
      <c r="G279" s="7" t="n">
        <v>1</v>
      </c>
      <c r="H279" s="7" t="n">
        <v>0</v>
      </c>
      <c r="I279" s="7" t="n">
        <v>-1</v>
      </c>
      <c r="J279" s="8" t="n">
        <v>24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00378050501</t>
        </is>
      </c>
      <c r="D280" s="5" t="inlineStr">
        <is>
          <t>BISOPROLOL-HCTZ 10-6.25MG TABLET</t>
        </is>
      </c>
      <c r="E280" s="6" t="inlineStr">
        <is>
          <t>100.0</t>
        </is>
      </c>
      <c r="F280" s="7" t="n">
        <v>90</v>
      </c>
      <c r="G280" s="7" t="n">
        <v>0.9</v>
      </c>
      <c r="H280" s="7" t="n">
        <v>1</v>
      </c>
      <c r="I280" s="7" t="n">
        <v>0.09999999999999998</v>
      </c>
      <c r="J280" s="8" t="n">
        <v>24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50111056103</t>
        </is>
      </c>
      <c r="D281" s="5" t="inlineStr">
        <is>
          <t>TRAZODONE 100MG TABLET</t>
        </is>
      </c>
      <c r="E281" s="6" t="inlineStr">
        <is>
          <t>1000.0</t>
        </is>
      </c>
      <c r="F281" s="7" t="n">
        <v>90</v>
      </c>
      <c r="G281" s="7" t="n">
        <v>0.09</v>
      </c>
      <c r="H281" s="7" t="n">
        <v>0</v>
      </c>
      <c r="I281" s="7" t="n">
        <v>-0.09</v>
      </c>
      <c r="J281" s="8" t="n">
        <v>24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55111058601</t>
        </is>
      </c>
      <c r="D282" s="5" t="inlineStr">
        <is>
          <t>AMLODIPINE BENAZEPRIL 10-40MG CAPSULE</t>
        </is>
      </c>
      <c r="E282" s="6" t="inlineStr">
        <is>
          <t>100.0</t>
        </is>
      </c>
      <c r="F282" s="7" t="n">
        <v>90</v>
      </c>
      <c r="G282" s="7" t="n">
        <v>0.9</v>
      </c>
      <c r="H282" s="7" t="n">
        <v>2</v>
      </c>
      <c r="I282" s="7" t="n">
        <v>1.1</v>
      </c>
      <c r="J282" s="8" t="n">
        <v>24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68382013905</t>
        </is>
      </c>
      <c r="D283" s="5" t="inlineStr">
        <is>
          <t xml:space="preserve">TOPIRAMATE 50MG TAB </t>
        </is>
      </c>
      <c r="E283" s="6" t="inlineStr">
        <is>
          <t>500.0</t>
        </is>
      </c>
      <c r="F283" s="7" t="n">
        <v>90</v>
      </c>
      <c r="G283" s="7" t="n">
        <v>0.18</v>
      </c>
      <c r="H283" s="7" t="n">
        <v>1</v>
      </c>
      <c r="I283" s="7" t="n">
        <v>0.8200000000000001</v>
      </c>
      <c r="J283" s="8" t="n">
        <v>24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70377005612</t>
        </is>
      </c>
      <c r="D284" s="5" t="inlineStr">
        <is>
          <t>ESOMEPRAZOLE 40MG CAPSULE DR</t>
        </is>
      </c>
      <c r="E284" s="6" t="inlineStr">
        <is>
          <t>90.0</t>
        </is>
      </c>
      <c r="F284" s="7" t="n">
        <v>90</v>
      </c>
      <c r="G284" s="7" t="n">
        <v>1</v>
      </c>
      <c r="H284" s="7" t="n">
        <v>1</v>
      </c>
      <c r="I284" s="7" t="n">
        <v>0</v>
      </c>
      <c r="J284" s="8" t="n">
        <v>23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69367020201</t>
        </is>
      </c>
      <c r="D285" s="5" t="inlineStr">
        <is>
          <t>LIDOCAINE HCL 3 % EXTERNAL CREAM</t>
        </is>
      </c>
      <c r="E285" s="6" t="inlineStr">
        <is>
          <t>28.35</t>
        </is>
      </c>
      <c r="F285" s="7" t="n">
        <v>28.35</v>
      </c>
      <c r="G285" s="7" t="n">
        <v>1</v>
      </c>
      <c r="H285" s="7" t="n">
        <v>0</v>
      </c>
      <c r="I285" s="7" t="n">
        <v>-1</v>
      </c>
      <c r="J285" s="8" t="n">
        <v>23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70756005212</t>
        </is>
      </c>
      <c r="D286" s="5" t="inlineStr">
        <is>
          <t>FAMOTIDINE 40MG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2</v>
      </c>
      <c r="I286" s="7" t="n">
        <v>1.94</v>
      </c>
      <c r="J286" s="8" t="n">
        <v>23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57664068788</t>
        </is>
      </c>
      <c r="D287" s="5" t="inlineStr">
        <is>
          <t>AMITRIPTYLINE 10 MG TABLET</t>
        </is>
      </c>
      <c r="E287" s="6" t="inlineStr">
        <is>
          <t>100.0</t>
        </is>
      </c>
      <c r="F287" s="7" t="n">
        <v>90</v>
      </c>
      <c r="G287" s="7" t="n">
        <v>0.9</v>
      </c>
      <c r="H287" s="7" t="n">
        <v>0</v>
      </c>
      <c r="I287" s="7" t="n">
        <v>-0.9</v>
      </c>
      <c r="J287" s="8" t="n">
        <v>23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13668000805</t>
        </is>
      </c>
      <c r="D288" s="5" t="inlineStr">
        <is>
          <t xml:space="preserve">ZOLPIDEM TARTRATE 10MG TAB </t>
        </is>
      </c>
      <c r="E288" s="6" t="inlineStr">
        <is>
          <t>500.0</t>
        </is>
      </c>
      <c r="F288" s="7" t="n">
        <v>60</v>
      </c>
      <c r="G288" s="7" t="n">
        <v>0.12</v>
      </c>
      <c r="H288" s="7" t="n">
        <v>1</v>
      </c>
      <c r="I288" s="7" t="n">
        <v>0.88</v>
      </c>
      <c r="J288" s="8" t="n">
        <v>23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00228212910</t>
        </is>
      </c>
      <c r="D289" s="5" t="inlineStr">
        <is>
          <t xml:space="preserve">CLONIDINE 0.3MG TAB </t>
        </is>
      </c>
      <c r="E289" s="6" t="inlineStr">
        <is>
          <t>100.0</t>
        </is>
      </c>
      <c r="F289" s="7" t="n">
        <v>60</v>
      </c>
      <c r="G289" s="7" t="n">
        <v>0.6</v>
      </c>
      <c r="H289" s="7" t="n">
        <v>0</v>
      </c>
      <c r="I289" s="7" t="n">
        <v>-0.6</v>
      </c>
      <c r="J289" s="8" t="n">
        <v>23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64380078306</t>
        </is>
      </c>
      <c r="D290" s="5" t="inlineStr">
        <is>
          <t>PREDNISONE 5MG TABLET</t>
        </is>
      </c>
      <c r="E290" s="6" t="inlineStr">
        <is>
          <t>100.0</t>
        </is>
      </c>
      <c r="F290" s="7" t="n">
        <v>60</v>
      </c>
      <c r="G290" s="7" t="n">
        <v>0.6</v>
      </c>
      <c r="H290" s="7" t="n">
        <v>0</v>
      </c>
      <c r="I290" s="7" t="n">
        <v>-0.6</v>
      </c>
      <c r="J290" s="8" t="n">
        <v>23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68382013805</t>
        </is>
      </c>
      <c r="D291" s="5" t="inlineStr">
        <is>
          <t>TOPIRAMATE 25MG TABLET</t>
        </is>
      </c>
      <c r="E291" s="6" t="inlineStr">
        <is>
          <t>500.0</t>
        </is>
      </c>
      <c r="F291" s="7" t="n">
        <v>90</v>
      </c>
      <c r="G291" s="7" t="n">
        <v>0.18</v>
      </c>
      <c r="H291" s="7" t="n">
        <v>0</v>
      </c>
      <c r="I291" s="7" t="n">
        <v>-0.18</v>
      </c>
      <c r="J291" s="8" t="n">
        <v>23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67877022405</t>
        </is>
      </c>
      <c r="D292" s="5" t="inlineStr">
        <is>
          <t xml:space="preserve">GABAPENTIN 400MG CAP </t>
        </is>
      </c>
      <c r="E292" s="6" t="inlineStr">
        <is>
          <t>500.0</t>
        </is>
      </c>
      <c r="F292" s="7" t="n">
        <v>150</v>
      </c>
      <c r="G292" s="7" t="n">
        <v>0.3</v>
      </c>
      <c r="H292" s="7" t="n">
        <v>0</v>
      </c>
      <c r="I292" s="7" t="n">
        <v>-0.3</v>
      </c>
      <c r="J292" s="8" t="n">
        <v>23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59651026905</t>
        </is>
      </c>
      <c r="D293" s="5" t="inlineStr">
        <is>
          <t>GLIPIZIDE 5MG TABLET ER</t>
        </is>
      </c>
      <c r="E293" s="6" t="inlineStr">
        <is>
          <t>500.0</t>
        </is>
      </c>
      <c r="F293" s="7" t="n">
        <v>180</v>
      </c>
      <c r="G293" s="7" t="n">
        <v>0.36</v>
      </c>
      <c r="H293" s="7" t="n">
        <v>0</v>
      </c>
      <c r="I293" s="7" t="n">
        <v>-0.36</v>
      </c>
      <c r="J293" s="8" t="n">
        <v>23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00536100715</t>
        </is>
      </c>
      <c r="D294" s="5" t="inlineStr">
        <is>
          <t>CALCIUM CARBONATE 500MG TABLET CHEWABLE</t>
        </is>
      </c>
      <c r="E294" s="6" t="inlineStr">
        <is>
          <t>150.0</t>
        </is>
      </c>
      <c r="F294" s="7" t="n">
        <v>210</v>
      </c>
      <c r="G294" s="7" t="n">
        <v>1.4</v>
      </c>
      <c r="H294" s="7" t="n">
        <v>0</v>
      </c>
      <c r="I294" s="7" t="n">
        <v>-1.4</v>
      </c>
      <c r="J294" s="8" t="n">
        <v>23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50742026103</t>
        </is>
      </c>
      <c r="D295" s="5" t="inlineStr">
        <is>
          <t>NIFEDIPINE 60MG TABLET ER</t>
        </is>
      </c>
      <c r="E295" s="6" t="inlineStr">
        <is>
          <t>300.0</t>
        </is>
      </c>
      <c r="F295" s="7" t="n">
        <v>90</v>
      </c>
      <c r="G295" s="7" t="n">
        <v>0.3</v>
      </c>
      <c r="H295" s="7" t="n">
        <v>2</v>
      </c>
      <c r="I295" s="7" t="n">
        <v>1.7</v>
      </c>
      <c r="J295" s="8" t="n">
        <v>23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45802020126</t>
        </is>
      </c>
      <c r="D296" s="5" t="inlineStr">
        <is>
          <t>ACETAMINOPHEN CHILDRENS 160 MG/5ML ORAL SUSPENSION</t>
        </is>
      </c>
      <c r="E296" s="6" t="inlineStr">
        <is>
          <t>118.0</t>
        </is>
      </c>
      <c r="F296" s="7" t="n">
        <v>236</v>
      </c>
      <c r="G296" s="7" t="n">
        <v>2</v>
      </c>
      <c r="H296" s="7" t="n">
        <v>12</v>
      </c>
      <c r="I296" s="7" t="n">
        <v>10</v>
      </c>
      <c r="J296" s="8" t="n">
        <v>23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68382066010</t>
        </is>
      </c>
      <c r="D297" s="5" t="inlineStr">
        <is>
          <t>SPIRONOLACTONE 25MG TABLET</t>
        </is>
      </c>
      <c r="E297" s="6" t="inlineStr">
        <is>
          <t>1000.0</t>
        </is>
      </c>
      <c r="F297" s="7" t="n">
        <v>60</v>
      </c>
      <c r="G297" s="7" t="n">
        <v>0.06</v>
      </c>
      <c r="H297" s="7" t="n">
        <v>0</v>
      </c>
      <c r="I297" s="7" t="n">
        <v>-0.06</v>
      </c>
      <c r="J297" s="8" t="n">
        <v>23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67877043003</t>
        </is>
      </c>
      <c r="D298" s="5" t="inlineStr">
        <is>
          <t>ARIPIPRAZOLE 2MG TABLET</t>
        </is>
      </c>
      <c r="E298" s="6" t="inlineStr">
        <is>
          <t>30.0</t>
        </is>
      </c>
      <c r="F298" s="7" t="n">
        <v>60</v>
      </c>
      <c r="G298" s="7" t="n">
        <v>2</v>
      </c>
      <c r="H298" s="7" t="n">
        <v>5</v>
      </c>
      <c r="I298" s="7" t="n">
        <v>3</v>
      </c>
      <c r="J298" s="8" t="n">
        <v>23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33342005044</t>
        </is>
      </c>
      <c r="D299" s="5" t="inlineStr">
        <is>
          <t>LOSARTAN-HCTZ 50-12.5 MG TABLET</t>
        </is>
      </c>
      <c r="E299" s="6" t="inlineStr">
        <is>
          <t>1000.0</t>
        </is>
      </c>
      <c r="F299" s="7" t="n">
        <v>60</v>
      </c>
      <c r="G299" s="7" t="n">
        <v>0.06</v>
      </c>
      <c r="H299" s="7" t="n">
        <v>0</v>
      </c>
      <c r="I299" s="7" t="n">
        <v>-0.06</v>
      </c>
      <c r="J299" s="8" t="n">
        <v>23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64980032430</t>
        </is>
      </c>
      <c r="D300" s="5" t="inlineStr">
        <is>
          <t>PROCTOZONE-HC 2.5% CREAM</t>
        </is>
      </c>
      <c r="E300" s="6" t="inlineStr">
        <is>
          <t>30.0</t>
        </is>
      </c>
      <c r="F300" s="7" t="n">
        <v>60</v>
      </c>
      <c r="G300" s="7" t="n">
        <v>2</v>
      </c>
      <c r="H300" s="7" t="n">
        <v>0</v>
      </c>
      <c r="I300" s="7" t="n">
        <v>-2</v>
      </c>
      <c r="J300" s="8" t="n">
        <v>22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68382011214</t>
        </is>
      </c>
      <c r="D301" s="5" t="inlineStr">
        <is>
          <t>RISPERIDONE 0.25MG TABLET</t>
        </is>
      </c>
      <c r="E301" s="6" t="inlineStr">
        <is>
          <t>60.0</t>
        </is>
      </c>
      <c r="F301" s="7" t="n">
        <v>60</v>
      </c>
      <c r="G301" s="7" t="n">
        <v>1</v>
      </c>
      <c r="H301" s="7" t="n">
        <v>1</v>
      </c>
      <c r="I301" s="7" t="n">
        <v>0</v>
      </c>
      <c r="J301" s="8" t="n">
        <v>22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23155050005</t>
        </is>
      </c>
      <c r="D302" s="5" t="inlineStr">
        <is>
          <t xml:space="preserve">HYDROXYZINE HCL 10MG TAB </t>
        </is>
      </c>
      <c r="E302" s="6" t="inlineStr">
        <is>
          <t>500.0</t>
        </is>
      </c>
      <c r="F302" s="7" t="n">
        <v>60</v>
      </c>
      <c r="G302" s="7" t="n">
        <v>0.12</v>
      </c>
      <c r="H302" s="7" t="n">
        <v>0</v>
      </c>
      <c r="I302" s="7" t="n">
        <v>-0.12</v>
      </c>
      <c r="J302" s="8" t="n">
        <v>22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00054253125</t>
        </is>
      </c>
      <c r="D303" s="5" t="inlineStr">
        <is>
          <t>LITHIUM CARBONATE 600MG CAPSULE</t>
        </is>
      </c>
      <c r="E303" s="6" t="inlineStr">
        <is>
          <t>100.0</t>
        </is>
      </c>
      <c r="F303" s="7" t="n">
        <v>60</v>
      </c>
      <c r="G303" s="7" t="n">
        <v>0.6</v>
      </c>
      <c r="H303" s="7" t="n">
        <v>0</v>
      </c>
      <c r="I303" s="7" t="n">
        <v>-0.6</v>
      </c>
      <c r="J303" s="8" t="n">
        <v>22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51672127304</t>
        </is>
      </c>
      <c r="D304" s="5" t="inlineStr">
        <is>
          <t>FLUOCINONIDE 0.05% EXTERNAL SOLUTION</t>
        </is>
      </c>
      <c r="E304" s="6" t="inlineStr">
        <is>
          <t>60.0</t>
        </is>
      </c>
      <c r="F304" s="7" t="n">
        <v>60</v>
      </c>
      <c r="G304" s="7" t="n">
        <v>1</v>
      </c>
      <c r="H304" s="7" t="n">
        <v>3</v>
      </c>
      <c r="I304" s="7" t="n">
        <v>2</v>
      </c>
      <c r="J304" s="8" t="n">
        <v>22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00904673080</t>
        </is>
      </c>
      <c r="D305" s="5" t="inlineStr">
        <is>
          <t>ACETAMINOPHEN EXTRA STRENGTH 500 MG ORAL TABLET</t>
        </is>
      </c>
      <c r="E305" s="6" t="inlineStr">
        <is>
          <t>1000.0</t>
        </is>
      </c>
      <c r="F305" s="7" t="n">
        <v>120</v>
      </c>
      <c r="G305" s="7" t="n">
        <v>0.12</v>
      </c>
      <c r="H305" s="7" t="n">
        <v>3</v>
      </c>
      <c r="I305" s="7" t="n">
        <v>2.88</v>
      </c>
      <c r="J305" s="8" t="n">
        <v>22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68180098003</t>
        </is>
      </c>
      <c r="D306" s="5" t="inlineStr">
        <is>
          <t>LISINOPRIL 10MG TABLET</t>
        </is>
      </c>
      <c r="E306" s="6" t="inlineStr">
        <is>
          <t>1000.0</t>
        </is>
      </c>
      <c r="F306" s="7" t="n">
        <v>180</v>
      </c>
      <c r="G306" s="7" t="n">
        <v>0.18</v>
      </c>
      <c r="H306" s="7" t="n">
        <v>0</v>
      </c>
      <c r="I306" s="7" t="n">
        <v>-0.18</v>
      </c>
      <c r="J306" s="8" t="n">
        <v>22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59651072299</t>
        </is>
      </c>
      <c r="D307" s="5" t="inlineStr">
        <is>
          <t>CLONAZEPAM 0.5MG TABLET</t>
        </is>
      </c>
      <c r="E307" s="6" t="inlineStr">
        <is>
          <t>1000.0</t>
        </is>
      </c>
      <c r="F307" s="7" t="n">
        <v>90</v>
      </c>
      <c r="G307" s="7" t="n">
        <v>0.09</v>
      </c>
      <c r="H307" s="7" t="n">
        <v>1</v>
      </c>
      <c r="I307" s="7" t="n">
        <v>0.91</v>
      </c>
      <c r="J307" s="8" t="n">
        <v>22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52817018010</t>
        </is>
      </c>
      <c r="D308" s="5" t="inlineStr">
        <is>
          <t xml:space="preserve">CLONIDINE 0.1MG TAB </t>
        </is>
      </c>
      <c r="E308" s="6" t="inlineStr">
        <is>
          <t>100.0</t>
        </is>
      </c>
      <c r="F308" s="7" t="n">
        <v>75</v>
      </c>
      <c r="G308" s="7" t="n">
        <v>0.75</v>
      </c>
      <c r="H308" s="7" t="n">
        <v>0</v>
      </c>
      <c r="I308" s="7" t="n">
        <v>-0.75</v>
      </c>
      <c r="J308" s="8" t="n">
        <v>22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00713063437</t>
        </is>
      </c>
      <c r="D309" s="5" t="inlineStr">
        <is>
          <t>MOMETASONE FUROATE 0.1 % EXTERNAL CREAM</t>
        </is>
      </c>
      <c r="E309" s="6" t="inlineStr">
        <is>
          <t>45.0</t>
        </is>
      </c>
      <c r="F309" s="7" t="n">
        <v>45</v>
      </c>
      <c r="G309" s="7" t="n">
        <v>1</v>
      </c>
      <c r="H309" s="7" t="n">
        <v>5</v>
      </c>
      <c r="I309" s="7" t="n">
        <v>4</v>
      </c>
      <c r="J309" s="8" t="n">
        <v>22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68180086111</t>
        </is>
      </c>
      <c r="D310" s="5" t="inlineStr">
        <is>
          <t>AZITHROMYCIN 250 MG TABLET</t>
        </is>
      </c>
      <c r="E310" s="6" t="inlineStr">
        <is>
          <t>6.0</t>
        </is>
      </c>
      <c r="F310" s="7" t="n">
        <v>12</v>
      </c>
      <c r="G310" s="7" t="n">
        <v>2</v>
      </c>
      <c r="H310" s="7" t="n">
        <v>0</v>
      </c>
      <c r="I310" s="7" t="n">
        <v>-2</v>
      </c>
      <c r="J310" s="8" t="n">
        <v>22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71930005012</t>
        </is>
      </c>
      <c r="D311" s="5" t="inlineStr">
        <is>
          <t>POTASSIUM CITRATE 15MEQ TABLET EXTENDED RELEASE</t>
        </is>
      </c>
      <c r="E311" s="6" t="inlineStr">
        <is>
          <t>100.0</t>
        </is>
      </c>
      <c r="F311" s="7" t="n">
        <v>60</v>
      </c>
      <c r="G311" s="7" t="n">
        <v>0.6</v>
      </c>
      <c r="H311" s="7" t="n">
        <v>0</v>
      </c>
      <c r="I311" s="7" t="n">
        <v>-0.6</v>
      </c>
      <c r="J311" s="8" t="n">
        <v>22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31722053812</t>
        </is>
      </c>
      <c r="D312" s="5" t="inlineStr">
        <is>
          <t>LEVETIRACETAM 750MG TABLET</t>
        </is>
      </c>
      <c r="E312" s="6" t="inlineStr">
        <is>
          <t>120.0</t>
        </is>
      </c>
      <c r="F312" s="7" t="n">
        <v>120</v>
      </c>
      <c r="G312" s="7" t="n">
        <v>1</v>
      </c>
      <c r="H312" s="7" t="n">
        <v>0</v>
      </c>
      <c r="I312" s="7" t="n">
        <v>-1</v>
      </c>
      <c r="J312" s="8" t="n">
        <v>22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00904404073</t>
        </is>
      </c>
      <c r="D313" s="5" t="inlineStr">
        <is>
          <t>ASPIRIN 81 MG ORAL TABLET CHEWABLE</t>
        </is>
      </c>
      <c r="E313" s="6" t="inlineStr">
        <is>
          <t>36.0</t>
        </is>
      </c>
      <c r="F313" s="7" t="n">
        <v>120</v>
      </c>
      <c r="G313" s="7" t="n">
        <v>3.333333333333333</v>
      </c>
      <c r="H313" s="7" t="n">
        <v>0</v>
      </c>
      <c r="I313" s="7" t="n">
        <v>-3.333333333333333</v>
      </c>
      <c r="J313" s="8" t="n">
        <v>22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68382011414</t>
        </is>
      </c>
      <c r="D314" s="5" t="inlineStr">
        <is>
          <t>RISPERIDONE 1MG TABLET</t>
        </is>
      </c>
      <c r="E314" s="6" t="inlineStr">
        <is>
          <t>60.0</t>
        </is>
      </c>
      <c r="F314" s="7" t="n">
        <v>58</v>
      </c>
      <c r="G314" s="7" t="n">
        <v>0.9666666666666667</v>
      </c>
      <c r="H314" s="7" t="n">
        <v>0</v>
      </c>
      <c r="I314" s="7" t="n">
        <v>-0.9666666666666667</v>
      </c>
      <c r="J314" s="8" t="n">
        <v>22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65862001205</t>
        </is>
      </c>
      <c r="D315" s="5" t="inlineStr">
        <is>
          <t>SERTRALINE 50MG TABLET</t>
        </is>
      </c>
      <c r="E315" s="6" t="inlineStr">
        <is>
          <t>500.0</t>
        </is>
      </c>
      <c r="F315" s="7" t="n">
        <v>60</v>
      </c>
      <c r="G315" s="7" t="n">
        <v>0.12</v>
      </c>
      <c r="H315" s="7" t="n">
        <v>0</v>
      </c>
      <c r="I315" s="7" t="n">
        <v>-0.12</v>
      </c>
      <c r="J315" s="8" t="n">
        <v>22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57664050289</t>
        </is>
      </c>
      <c r="D316" s="5" t="inlineStr">
        <is>
          <t>TIZANIDINE 2MG TABLET</t>
        </is>
      </c>
      <c r="E316" s="6" t="inlineStr">
        <is>
          <t>150.0</t>
        </is>
      </c>
      <c r="F316" s="7" t="n">
        <v>60</v>
      </c>
      <c r="G316" s="7" t="n">
        <v>0.4</v>
      </c>
      <c r="H316" s="7" t="n">
        <v>0</v>
      </c>
      <c r="I316" s="7" t="n">
        <v>-0.4</v>
      </c>
      <c r="J316" s="8" t="n">
        <v>22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70700011385</t>
        </is>
      </c>
      <c r="D317" s="5" t="inlineStr">
        <is>
          <t>ISIBLOOM 0.15-30 MG-MCG ORAL TABLET</t>
        </is>
      </c>
      <c r="E317" s="6" t="inlineStr">
        <is>
          <t>84.0</t>
        </is>
      </c>
      <c r="F317" s="7" t="n">
        <v>84</v>
      </c>
      <c r="G317" s="7" t="n">
        <v>1</v>
      </c>
      <c r="H317" s="7" t="n">
        <v>1</v>
      </c>
      <c r="I317" s="7" t="n">
        <v>0</v>
      </c>
      <c r="J317" s="8" t="n">
        <v>21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00904555159</t>
        </is>
      </c>
      <c r="D318" s="5" t="inlineStr">
        <is>
          <t>BANOPHEN 25 MG TABLET</t>
        </is>
      </c>
      <c r="E318" s="6" t="inlineStr">
        <is>
          <t>100.0</t>
        </is>
      </c>
      <c r="F318" s="7" t="n">
        <v>44</v>
      </c>
      <c r="G318" s="7" t="n">
        <v>0.44</v>
      </c>
      <c r="H318" s="7" t="n">
        <v>0</v>
      </c>
      <c r="I318" s="7" t="n">
        <v>-0.44</v>
      </c>
      <c r="J318" s="8" t="n">
        <v>21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45802011942</t>
        </is>
      </c>
      <c r="D319" s="5" t="inlineStr">
        <is>
          <t>MOMETASONE FUROATE 0.1 % EXTERNAL OINTMENT</t>
        </is>
      </c>
      <c r="E319" s="6" t="inlineStr">
        <is>
          <t>45.0</t>
        </is>
      </c>
      <c r="F319" s="7" t="n">
        <v>45</v>
      </c>
      <c r="G319" s="7" t="n">
        <v>1</v>
      </c>
      <c r="H319" s="7" t="n">
        <v>0</v>
      </c>
      <c r="I319" s="7" t="n">
        <v>-1</v>
      </c>
      <c r="J319" s="8" t="n">
        <v>21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00536302923</t>
        </is>
      </c>
      <c r="D320" s="5" t="inlineStr">
        <is>
          <t>NICOTINE POLACRILEX 2MG GUM</t>
        </is>
      </c>
      <c r="E320" s="6" t="inlineStr">
        <is>
          <t>110.0</t>
        </is>
      </c>
      <c r="F320" s="7" t="n">
        <v>110</v>
      </c>
      <c r="G320" s="7" t="n">
        <v>1</v>
      </c>
      <c r="H320" s="7" t="n">
        <v>0</v>
      </c>
      <c r="I320" s="7" t="n">
        <v>-1</v>
      </c>
      <c r="J320" s="8" t="n">
        <v>21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68462043890</t>
        </is>
      </c>
      <c r="D321" s="5" t="inlineStr">
        <is>
          <t>OLMESARTAN 40MG TABLET</t>
        </is>
      </c>
      <c r="E321" s="6" t="inlineStr">
        <is>
          <t>90.0</t>
        </is>
      </c>
      <c r="F321" s="7" t="n">
        <v>90</v>
      </c>
      <c r="G321" s="7" t="n">
        <v>1</v>
      </c>
      <c r="H321" s="7" t="n">
        <v>0</v>
      </c>
      <c r="I321" s="7" t="n">
        <v>-1</v>
      </c>
      <c r="J321" s="8" t="n">
        <v>21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00536125240</t>
        </is>
      </c>
      <c r="D322" s="5" t="inlineStr">
        <is>
          <t>EYE ITCH RELIEF 0.035 % OPHTHALMIC SOLUTION</t>
        </is>
      </c>
      <c r="E322" s="6" t="inlineStr">
        <is>
          <t>5.0</t>
        </is>
      </c>
      <c r="F322" s="7" t="n">
        <v>5</v>
      </c>
      <c r="G322" s="7" t="n">
        <v>1</v>
      </c>
      <c r="H322" s="7" t="n">
        <v>0</v>
      </c>
      <c r="I322" s="7" t="n">
        <v>-1</v>
      </c>
      <c r="J322" s="8" t="n">
        <v>21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62332017260</t>
        </is>
      </c>
      <c r="D323" s="5" t="inlineStr">
        <is>
          <t>LACOSAMIDE 100MG TABLET</t>
        </is>
      </c>
      <c r="E323" s="6" t="inlineStr">
        <is>
          <t>60.0</t>
        </is>
      </c>
      <c r="F323" s="7" t="n">
        <v>60</v>
      </c>
      <c r="G323" s="7" t="n">
        <v>1</v>
      </c>
      <c r="H323" s="7" t="n">
        <v>2</v>
      </c>
      <c r="I323" s="7" t="n">
        <v>1</v>
      </c>
      <c r="J323" s="8" t="n">
        <v>21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70700012085</t>
        </is>
      </c>
      <c r="D324" s="5" t="inlineStr">
        <is>
          <t>TRI-LO-ESTARYLLA 0.18/0.215/0.25 MG-25 MCG ORAL TABLET</t>
        </is>
      </c>
      <c r="E324" s="6" t="inlineStr">
        <is>
          <t>84.0</t>
        </is>
      </c>
      <c r="F324" s="7" t="n">
        <v>84</v>
      </c>
      <c r="G324" s="7" t="n">
        <v>1</v>
      </c>
      <c r="H324" s="7" t="n">
        <v>0</v>
      </c>
      <c r="I324" s="7" t="n">
        <v>-1</v>
      </c>
      <c r="J324" s="8" t="n">
        <v>20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00168009960</t>
        </is>
      </c>
      <c r="D325" s="5" t="inlineStr">
        <is>
          <t>KETOCONAZOLE 2% CREAM</t>
        </is>
      </c>
      <c r="E325" s="6" t="inlineStr">
        <is>
          <t>60.0</t>
        </is>
      </c>
      <c r="F325" s="7" t="n">
        <v>60</v>
      </c>
      <c r="G325" s="7" t="n">
        <v>1</v>
      </c>
      <c r="H325" s="7" t="n">
        <v>6</v>
      </c>
      <c r="I325" s="7" t="n">
        <v>5</v>
      </c>
      <c r="J325" s="8" t="n">
        <v>20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00023040370</t>
        </is>
      </c>
      <c r="D326" s="5" t="inlineStr">
        <is>
          <t>REFRESH PLUS 0.5 % OPHTHALMIC SOLUTION</t>
        </is>
      </c>
      <c r="E326" s="6" t="inlineStr">
        <is>
          <t>70.0</t>
        </is>
      </c>
      <c r="F326" s="7" t="n">
        <v>70</v>
      </c>
      <c r="G326" s="7" t="n">
        <v>1</v>
      </c>
      <c r="H326" s="7" t="n">
        <v>0</v>
      </c>
      <c r="I326" s="7" t="n">
        <v>-1</v>
      </c>
      <c r="J326" s="8" t="n">
        <v>20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10006070022</t>
        </is>
      </c>
      <c r="D327" s="5" t="inlineStr">
        <is>
          <t>VITAMIN B-12 1000MCG TABLET</t>
        </is>
      </c>
      <c r="E327" s="6" t="inlineStr">
        <is>
          <t>130.0</t>
        </is>
      </c>
      <c r="F327" s="7" t="n">
        <v>810</v>
      </c>
      <c r="G327" s="7" t="n">
        <v>6.230769230769231</v>
      </c>
      <c r="H327" s="7" t="n">
        <v>5</v>
      </c>
      <c r="I327" s="7" t="n">
        <v>-1.230769230769231</v>
      </c>
      <c r="J327" s="8" t="n">
        <v>20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51672208002</t>
        </is>
      </c>
      <c r="D328" s="5" t="inlineStr">
        <is>
          <t>TERBINAFINE HCL 1% CREAM</t>
        </is>
      </c>
      <c r="E328" s="6" t="inlineStr">
        <is>
          <t>30.0</t>
        </is>
      </c>
      <c r="F328" s="7" t="n">
        <v>30</v>
      </c>
      <c r="G328" s="7" t="n">
        <v>1</v>
      </c>
      <c r="H328" s="7" t="n">
        <v>0</v>
      </c>
      <c r="I328" s="7" t="n">
        <v>-1</v>
      </c>
      <c r="J328" s="8" t="n">
        <v>19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68462040601</t>
        </is>
      </c>
      <c r="D329" s="5" t="inlineStr">
        <is>
          <t xml:space="preserve">INDOMETHACIN 25MG CAP </t>
        </is>
      </c>
      <c r="E329" s="6" t="inlineStr">
        <is>
          <t>100.0</t>
        </is>
      </c>
      <c r="F329" s="7" t="n">
        <v>90</v>
      </c>
      <c r="G329" s="7" t="n">
        <v>0.9</v>
      </c>
      <c r="H329" s="7" t="n">
        <v>1</v>
      </c>
      <c r="I329" s="7" t="n">
        <v>0.09999999999999998</v>
      </c>
      <c r="J329" s="8" t="n">
        <v>19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65162067684</t>
        </is>
      </c>
      <c r="D330" s="5" t="inlineStr">
        <is>
          <t>AZELASTINE HCL 137 MCG/SPRAY NASAL SOLUTION</t>
        </is>
      </c>
      <c r="E330" s="6" t="inlineStr">
        <is>
          <t>30.0</t>
        </is>
      </c>
      <c r="F330" s="7" t="n">
        <v>30</v>
      </c>
      <c r="G330" s="7" t="n">
        <v>1</v>
      </c>
      <c r="H330" s="7" t="n">
        <v>0</v>
      </c>
      <c r="I330" s="7" t="n">
        <v>-1</v>
      </c>
      <c r="J330" s="8" t="n">
        <v>19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24208038555</t>
        </is>
      </c>
      <c r="D331" s="5" t="inlineStr">
        <is>
          <t>MURO 128 5% OINTMENT</t>
        </is>
      </c>
      <c r="E331" s="6" t="inlineStr">
        <is>
          <t>3.5</t>
        </is>
      </c>
      <c r="F331" s="7" t="n">
        <v>3.5</v>
      </c>
      <c r="G331" s="7" t="n">
        <v>1</v>
      </c>
      <c r="H331" s="7" t="n">
        <v>0</v>
      </c>
      <c r="I331" s="7" t="n">
        <v>-1</v>
      </c>
      <c r="J331" s="8" t="n">
        <v>19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00121076616</t>
        </is>
      </c>
      <c r="D332" s="5" t="inlineStr">
        <is>
          <t>CALCIUM CARBONATE ANTACID 1250 MG/5ML ORAL SUSPENSION</t>
        </is>
      </c>
      <c r="E332" s="6" t="inlineStr">
        <is>
          <t>473.0</t>
        </is>
      </c>
      <c r="F332" s="7" t="n">
        <v>473</v>
      </c>
      <c r="G332" s="7" t="n">
        <v>1</v>
      </c>
      <c r="H332" s="7" t="n">
        <v>1</v>
      </c>
      <c r="I332" s="7" t="n">
        <v>0</v>
      </c>
      <c r="J332" s="8" t="n">
        <v>19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69315030810</t>
        </is>
      </c>
      <c r="D333" s="5" t="inlineStr">
        <is>
          <t>CIPROFLOXACIN HCL 0.3 % OPHTHALMIC SOLUTION</t>
        </is>
      </c>
      <c r="E333" s="6" t="inlineStr">
        <is>
          <t>10.0</t>
        </is>
      </c>
      <c r="F333" s="7" t="n">
        <v>10</v>
      </c>
      <c r="G333" s="7" t="n">
        <v>1</v>
      </c>
      <c r="H333" s="7" t="n">
        <v>5</v>
      </c>
      <c r="I333" s="7" t="n">
        <v>4</v>
      </c>
      <c r="J333" s="8" t="n">
        <v>19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00065806401</t>
        </is>
      </c>
      <c r="D334" s="5" t="inlineStr">
        <is>
          <t>GENTEAL SEVERE 0.3 % OPHTHALMIC GEL</t>
        </is>
      </c>
      <c r="E334" s="6" t="inlineStr">
        <is>
          <t>10.0</t>
        </is>
      </c>
      <c r="F334" s="7" t="n">
        <v>10</v>
      </c>
      <c r="G334" s="7" t="n">
        <v>1</v>
      </c>
      <c r="H334" s="7" t="n">
        <v>0</v>
      </c>
      <c r="I334" s="7" t="n">
        <v>-1</v>
      </c>
      <c r="J334" s="8" t="n">
        <v>19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00555904958</t>
        </is>
      </c>
      <c r="D335" s="5" t="inlineStr">
        <is>
          <t>CRYSELLE-28 0.3-0.03MG TABLET</t>
        </is>
      </c>
      <c r="E335" s="6" t="inlineStr">
        <is>
          <t>28.0</t>
        </is>
      </c>
      <c r="F335" s="7" t="n">
        <v>28</v>
      </c>
      <c r="G335" s="7" t="n">
        <v>1</v>
      </c>
      <c r="H335" s="7" t="n">
        <v>0</v>
      </c>
      <c r="I335" s="7" t="n">
        <v>-1</v>
      </c>
      <c r="J335" s="8" t="n">
        <v>19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62332025230</t>
        </is>
      </c>
      <c r="D336" s="5" t="inlineStr">
        <is>
          <t>AZITHROMYCIN 500 MG ORAL TABLET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1</v>
      </c>
      <c r="I336" s="7" t="n">
        <v>0</v>
      </c>
      <c r="J336" s="8" t="n">
        <v>18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42571013725</t>
        </is>
      </c>
      <c r="D337" s="5" t="inlineStr">
        <is>
          <t>KETOROLAC 0.5 % OPHTHALMIC SOLUTION</t>
        </is>
      </c>
      <c r="E337" s="6" t="inlineStr">
        <is>
          <t>5.0</t>
        </is>
      </c>
      <c r="F337" s="7" t="n">
        <v>5</v>
      </c>
      <c r="G337" s="7" t="n">
        <v>1</v>
      </c>
      <c r="H337" s="7" t="n">
        <v>5</v>
      </c>
      <c r="I337" s="7" t="n">
        <v>4</v>
      </c>
      <c r="J337" s="8" t="n">
        <v>18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65862022960</t>
        </is>
      </c>
      <c r="D338" s="5" t="inlineStr">
        <is>
          <t>LAMOTRIGINE 150MG  TABLET</t>
        </is>
      </c>
      <c r="E338" s="6" t="inlineStr">
        <is>
          <t>60.0</t>
        </is>
      </c>
      <c r="F338" s="7" t="n">
        <v>120</v>
      </c>
      <c r="G338" s="7" t="n">
        <v>2</v>
      </c>
      <c r="H338" s="7" t="n">
        <v>0</v>
      </c>
      <c r="I338" s="7" t="n">
        <v>-2</v>
      </c>
      <c r="J338" s="8" t="n">
        <v>18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65862052405</t>
        </is>
      </c>
      <c r="D339" s="5" t="inlineStr">
        <is>
          <t>GABAPENTIN 800 MG TABLET</t>
        </is>
      </c>
      <c r="E339" s="6" t="inlineStr">
        <is>
          <t>500.0</t>
        </is>
      </c>
      <c r="F339" s="7" t="n">
        <v>120</v>
      </c>
      <c r="G339" s="7" t="n">
        <v>0.24</v>
      </c>
      <c r="H339" s="7" t="n">
        <v>0</v>
      </c>
      <c r="I339" s="7" t="n">
        <v>-0.24</v>
      </c>
      <c r="J339" s="8" t="n">
        <v>18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65862058305</t>
        </is>
      </c>
      <c r="D340" s="5" t="inlineStr">
        <is>
          <t>AMLODIPINE-BENAZEPRIL 5-10MG CAPSULE</t>
        </is>
      </c>
      <c r="E340" s="6" t="inlineStr">
        <is>
          <t>500.0</t>
        </is>
      </c>
      <c r="F340" s="7" t="n">
        <v>90</v>
      </c>
      <c r="G340" s="7" t="n">
        <v>0.18</v>
      </c>
      <c r="H340" s="7" t="n">
        <v>0</v>
      </c>
      <c r="I340" s="7" t="n">
        <v>-0.18</v>
      </c>
      <c r="J340" s="8" t="n">
        <v>18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21922003601</t>
        </is>
      </c>
      <c r="D341" s="5" t="inlineStr">
        <is>
          <t>CLINDAMYCIN PHOSPHATE 1 % EXTERNAL LOTION</t>
        </is>
      </c>
      <c r="E341" s="6" t="inlineStr">
        <is>
          <t>60.0</t>
        </is>
      </c>
      <c r="F341" s="7" t="n">
        <v>60</v>
      </c>
      <c r="G341" s="7" t="n">
        <v>1</v>
      </c>
      <c r="H341" s="7" t="n">
        <v>3</v>
      </c>
      <c r="I341" s="7" t="n">
        <v>2</v>
      </c>
      <c r="J341" s="8" t="n">
        <v>18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51672407008</t>
        </is>
      </c>
      <c r="D342" s="5" t="inlineStr">
        <is>
          <t>CETIRIZINE HCL 1 MG/ML ORAL SOLUTION</t>
        </is>
      </c>
      <c r="E342" s="6" t="inlineStr">
        <is>
          <t>120.0</t>
        </is>
      </c>
      <c r="F342" s="7" t="n">
        <v>360</v>
      </c>
      <c r="G342" s="7" t="n">
        <v>3</v>
      </c>
      <c r="H342" s="7" t="n">
        <v>0</v>
      </c>
      <c r="I342" s="7" t="n">
        <v>-3</v>
      </c>
      <c r="J342" s="8" t="n">
        <v>18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70000036601</t>
        </is>
      </c>
      <c r="D343" s="5" t="inlineStr">
        <is>
          <t>LIDOCAINE PAIN RELIEF 4% PATCH</t>
        </is>
      </c>
      <c r="E343" s="6" t="inlineStr">
        <is>
          <t>5.0</t>
        </is>
      </c>
      <c r="F343" s="7" t="n">
        <v>10</v>
      </c>
      <c r="G343" s="7" t="n">
        <v>2</v>
      </c>
      <c r="H343" s="7" t="n">
        <v>10</v>
      </c>
      <c r="I343" s="7" t="n">
        <v>8</v>
      </c>
      <c r="J343" s="8" t="n">
        <v>18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71921016201</t>
        </is>
      </c>
      <c r="D344" s="5" t="inlineStr">
        <is>
          <t>DOXEPIN 10MG CAPSULE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17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51672125903</t>
        </is>
      </c>
      <c r="D345" s="5" t="inlineStr">
        <is>
          <t>CLOBETASOL PROPIONATE 0.05% OINTMENT</t>
        </is>
      </c>
      <c r="E345" s="6" t="inlineStr">
        <is>
          <t>60.0</t>
        </is>
      </c>
      <c r="F345" s="7" t="n">
        <v>60</v>
      </c>
      <c r="G345" s="7" t="n">
        <v>1</v>
      </c>
      <c r="H345" s="7" t="n">
        <v>0</v>
      </c>
      <c r="I345" s="7" t="n">
        <v>-1</v>
      </c>
      <c r="J345" s="8" t="n">
        <v>17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33342040550</t>
        </is>
      </c>
      <c r="D346" s="5" t="inlineStr">
        <is>
          <t>LIDOCAINE 5 % EXTERNAL OINTMENT</t>
        </is>
      </c>
      <c r="E346" s="6" t="inlineStr">
        <is>
          <t>50.0</t>
        </is>
      </c>
      <c r="F346" s="7" t="n">
        <v>50</v>
      </c>
      <c r="G346" s="7" t="n">
        <v>1</v>
      </c>
      <c r="H346" s="7" t="n">
        <v>0</v>
      </c>
      <c r="I346" s="7" t="n">
        <v>-1</v>
      </c>
      <c r="J346" s="8" t="n">
        <v>17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72888006605</t>
        </is>
      </c>
      <c r="D347" s="5" t="inlineStr">
        <is>
          <t>BUSPIRONE HCL 30 MG ORAL TABLET</t>
        </is>
      </c>
      <c r="E347" s="6" t="inlineStr">
        <is>
          <t>500.0</t>
        </is>
      </c>
      <c r="F347" s="7" t="n">
        <v>60</v>
      </c>
      <c r="G347" s="7" t="n">
        <v>0.12</v>
      </c>
      <c r="H347" s="7" t="n">
        <v>0</v>
      </c>
      <c r="I347" s="7" t="n">
        <v>-0.12</v>
      </c>
      <c r="J347" s="8" t="n">
        <v>17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00168025815</t>
        </is>
      </c>
      <c r="D348" s="5" t="inlineStr">
        <is>
          <t>CLOTRIMAZOLE-BETAMETHASONE 1-0.05 % EXTERNAL CREAM</t>
        </is>
      </c>
      <c r="E348" s="6" t="inlineStr">
        <is>
          <t>15.0</t>
        </is>
      </c>
      <c r="F348" s="7" t="n">
        <v>30</v>
      </c>
      <c r="G348" s="7" t="n">
        <v>2</v>
      </c>
      <c r="H348" s="7" t="n">
        <v>0</v>
      </c>
      <c r="I348" s="7" t="n">
        <v>-2</v>
      </c>
      <c r="J348" s="8" t="n">
        <v>17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31722077705</t>
        </is>
      </c>
      <c r="D349" s="5" t="inlineStr">
        <is>
          <t>ACYCLOVIR 400 MG TABLET</t>
        </is>
      </c>
      <c r="E349" s="6" t="inlineStr">
        <is>
          <t>500.0</t>
        </is>
      </c>
      <c r="F349" s="7" t="n">
        <v>60</v>
      </c>
      <c r="G349" s="7" t="n">
        <v>0.12</v>
      </c>
      <c r="H349" s="7" t="n">
        <v>0</v>
      </c>
      <c r="I349" s="7" t="n">
        <v>-0.12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00093736810</t>
        </is>
      </c>
      <c r="D350" s="5" t="inlineStr">
        <is>
          <t>LOSARTAN HCTZ 100-25MG TABLET</t>
        </is>
      </c>
      <c r="E350" s="6" t="inlineStr">
        <is>
          <t>1000.0</t>
        </is>
      </c>
      <c r="F350" s="7" t="n">
        <v>90</v>
      </c>
      <c r="G350" s="7" t="n">
        <v>0.09</v>
      </c>
      <c r="H350" s="7" t="n">
        <v>0</v>
      </c>
      <c r="I350" s="7" t="n">
        <v>-0.09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65862014736</t>
        </is>
      </c>
      <c r="D351" s="5" t="inlineStr">
        <is>
          <t xml:space="preserve">SUMATRIPTAN SUCCINATE 50MG TAB </t>
        </is>
      </c>
      <c r="E351" s="6" t="inlineStr">
        <is>
          <t>9.0</t>
        </is>
      </c>
      <c r="F351" s="7" t="n">
        <v>18</v>
      </c>
      <c r="G351" s="7" t="n">
        <v>2</v>
      </c>
      <c r="H351" s="7" t="n">
        <v>0</v>
      </c>
      <c r="I351" s="7" t="n">
        <v>-2</v>
      </c>
      <c r="J351" s="8" t="n">
        <v>16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50111045002</t>
        </is>
      </c>
      <c r="D352" s="5" t="inlineStr">
        <is>
          <t>TRAZODONE 150MG TABLET</t>
        </is>
      </c>
      <c r="E352" s="6" t="inlineStr">
        <is>
          <t>500.0</t>
        </is>
      </c>
      <c r="F352" s="7" t="n">
        <v>90</v>
      </c>
      <c r="G352" s="7" t="n">
        <v>0.18</v>
      </c>
      <c r="H352" s="7" t="n">
        <v>0</v>
      </c>
      <c r="I352" s="7" t="n">
        <v>-0.18</v>
      </c>
      <c r="J352" s="8" t="n">
        <v>16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64980059248</t>
        </is>
      </c>
      <c r="D353" s="5" t="inlineStr">
        <is>
          <t>LACTULOSE ENCEPHALOPATHY 10 GM/15ML ORAL SOLUTION</t>
        </is>
      </c>
      <c r="E353" s="6" t="inlineStr">
        <is>
          <t>473.0</t>
        </is>
      </c>
      <c r="F353" s="7" t="n">
        <v>473</v>
      </c>
      <c r="G353" s="7" t="n">
        <v>1</v>
      </c>
      <c r="H353" s="7" t="n">
        <v>0</v>
      </c>
      <c r="I353" s="7" t="n">
        <v>-1</v>
      </c>
      <c r="J353" s="8" t="n">
        <v>16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69097017353</t>
        </is>
      </c>
      <c r="D354" s="5" t="inlineStr">
        <is>
          <t>IPRATROPIUM-ALBUTEROL 0.5-2.5 (3)MG/3ML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16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60505057804</t>
        </is>
      </c>
      <c r="D355" s="5" t="inlineStr">
        <is>
          <t>AZELASTINE 0.05% OPHTHALMIC SOLUTION</t>
        </is>
      </c>
      <c r="E355" s="6" t="inlineStr">
        <is>
          <t>6.0</t>
        </is>
      </c>
      <c r="F355" s="7" t="n">
        <v>6</v>
      </c>
      <c r="G355" s="7" t="n">
        <v>1</v>
      </c>
      <c r="H355" s="7" t="n">
        <v>0</v>
      </c>
      <c r="I355" s="7" t="n">
        <v>-1</v>
      </c>
      <c r="J355" s="8" t="n">
        <v>16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61314014310</t>
        </is>
      </c>
      <c r="D356" s="5" t="inlineStr">
        <is>
          <t>BRIMONIDINE TARTRATE 0.2% SOLUTION</t>
        </is>
      </c>
      <c r="E356" s="6" t="inlineStr">
        <is>
          <t>10.0</t>
        </is>
      </c>
      <c r="F356" s="7" t="n">
        <v>10</v>
      </c>
      <c r="G356" s="7" t="n">
        <v>1</v>
      </c>
      <c r="H356" s="7" t="n">
        <v>3</v>
      </c>
      <c r="I356" s="7" t="n">
        <v>2</v>
      </c>
      <c r="J356" s="8" t="n">
        <v>16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42806001101</t>
        </is>
      </c>
      <c r="D357" s="5" t="inlineStr">
        <is>
          <t>SULINDAC 200 MG ORAL TABLET</t>
        </is>
      </c>
      <c r="E357" s="6" t="inlineStr">
        <is>
          <t>100.0</t>
        </is>
      </c>
      <c r="F357" s="7" t="n">
        <v>28</v>
      </c>
      <c r="G357" s="7" t="n">
        <v>0.28</v>
      </c>
      <c r="H357" s="7" t="n">
        <v>0</v>
      </c>
      <c r="I357" s="7" t="n">
        <v>-0.28</v>
      </c>
      <c r="J357" s="8" t="n">
        <v>16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68180097003</t>
        </is>
      </c>
      <c r="D358" s="5" t="inlineStr">
        <is>
          <t>LEVOTHYROXINE 112MCG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16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60505015801</t>
        </is>
      </c>
      <c r="D359" s="5" t="inlineStr">
        <is>
          <t>BUPROPION HCL 75MG TABLET</t>
        </is>
      </c>
      <c r="E359" s="6" t="inlineStr">
        <is>
          <t>100.0</t>
        </is>
      </c>
      <c r="F359" s="7" t="n">
        <v>60</v>
      </c>
      <c r="G359" s="7" t="n">
        <v>0.6</v>
      </c>
      <c r="H359" s="7" t="n">
        <v>0</v>
      </c>
      <c r="I359" s="7" t="n">
        <v>-0.6</v>
      </c>
      <c r="J359" s="8" t="n">
        <v>16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00185012801</t>
        </is>
      </c>
      <c r="D360" s="5" t="inlineStr">
        <is>
          <t>BUMETANIDE 0.5 MG ORAL TABLET</t>
        </is>
      </c>
      <c r="E360" s="6" t="inlineStr">
        <is>
          <t>100.0</t>
        </is>
      </c>
      <c r="F360" s="7" t="n">
        <v>45</v>
      </c>
      <c r="G360" s="7" t="n">
        <v>0.45</v>
      </c>
      <c r="H360" s="7" t="n">
        <v>0</v>
      </c>
      <c r="I360" s="7" t="n">
        <v>-0.45</v>
      </c>
      <c r="J360" s="8" t="n">
        <v>16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69238112309</t>
        </is>
      </c>
      <c r="D361" s="5" t="inlineStr">
        <is>
          <t>NADOLOL 20MG TABLET</t>
        </is>
      </c>
      <c r="E361" s="6" t="inlineStr">
        <is>
          <t>90.0</t>
        </is>
      </c>
      <c r="F361" s="7" t="n">
        <v>30</v>
      </c>
      <c r="G361" s="7" t="n">
        <v>0.3333333333333333</v>
      </c>
      <c r="H361" s="7" t="n">
        <v>0</v>
      </c>
      <c r="I361" s="7" t="n">
        <v>-0.3333333333333333</v>
      </c>
      <c r="J361" s="8" t="n">
        <v>16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16729009016</t>
        </is>
      </c>
      <c r="D362" s="5" t="inlineStr">
        <is>
          <t xml:space="preserve">FINASTERIDE 5MG TAB </t>
        </is>
      </c>
      <c r="E362" s="6" t="inlineStr">
        <is>
          <t>500.0</t>
        </is>
      </c>
      <c r="F362" s="7" t="n">
        <v>90</v>
      </c>
      <c r="G362" s="7" t="n">
        <v>0.18</v>
      </c>
      <c r="H362" s="7" t="n">
        <v>0</v>
      </c>
      <c r="I362" s="7" t="n">
        <v>-0.18</v>
      </c>
      <c r="J362" s="8" t="n">
        <v>16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47781026405</t>
        </is>
      </c>
      <c r="D363" s="5" t="inlineStr">
        <is>
          <t xml:space="preserve">OXYCODONE 15 MG TABLET </t>
        </is>
      </c>
      <c r="E363" s="6" t="inlineStr">
        <is>
          <t>500.0</t>
        </is>
      </c>
      <c r="F363" s="7" t="n">
        <v>90</v>
      </c>
      <c r="G363" s="7" t="n">
        <v>0.18</v>
      </c>
      <c r="H363" s="7" t="n">
        <v>2</v>
      </c>
      <c r="I363" s="7" t="n">
        <v>1.82</v>
      </c>
      <c r="J363" s="8" t="n">
        <v>16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70377006611</t>
        </is>
      </c>
      <c r="D364" s="5" t="inlineStr">
        <is>
          <t>PRAZOSIN HCL 1 MG ORAL CAPSULE</t>
        </is>
      </c>
      <c r="E364" s="6" t="inlineStr">
        <is>
          <t>100.0</t>
        </is>
      </c>
      <c r="F364" s="7" t="n">
        <v>90</v>
      </c>
      <c r="G364" s="7" t="n">
        <v>0.9</v>
      </c>
      <c r="H364" s="7" t="n">
        <v>0</v>
      </c>
      <c r="I364" s="7" t="n">
        <v>-0.9</v>
      </c>
      <c r="J364" s="8" t="n">
        <v>15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67877021905</t>
        </is>
      </c>
      <c r="D365" s="5" t="inlineStr">
        <is>
          <t xml:space="preserve">CEPHALEXIN 500MG CAPSULE </t>
        </is>
      </c>
      <c r="E365" s="6" t="inlineStr">
        <is>
          <t>500.0</t>
        </is>
      </c>
      <c r="F365" s="7" t="n">
        <v>40</v>
      </c>
      <c r="G365" s="7" t="n">
        <v>0.08</v>
      </c>
      <c r="H365" s="7" t="n">
        <v>0</v>
      </c>
      <c r="I365" s="7" t="n">
        <v>-0.08</v>
      </c>
      <c r="J365" s="8" t="n">
        <v>15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45802006336</t>
        </is>
      </c>
      <c r="D366" s="5" t="inlineStr">
        <is>
          <t xml:space="preserve">TRIAMCINOLONE ACETONIDE 0.025 % EXTERNAL CREAM </t>
        </is>
      </c>
      <c r="E366" s="6" t="inlineStr">
        <is>
          <t>80.0</t>
        </is>
      </c>
      <c r="F366" s="7" t="n">
        <v>80</v>
      </c>
      <c r="G366" s="7" t="n">
        <v>1</v>
      </c>
      <c r="H366" s="7" t="n">
        <v>6</v>
      </c>
      <c r="I366" s="7" t="n">
        <v>5</v>
      </c>
      <c r="J366" s="8" t="n">
        <v>15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31722055190</t>
        </is>
      </c>
      <c r="D367" s="5" t="inlineStr">
        <is>
          <t>LEVOCETIRIZINE 5MG TABLET</t>
        </is>
      </c>
      <c r="E367" s="6" t="inlineStr">
        <is>
          <t>90.0</t>
        </is>
      </c>
      <c r="F367" s="7" t="n">
        <v>90</v>
      </c>
      <c r="G367" s="7" t="n">
        <v>1</v>
      </c>
      <c r="H367" s="7" t="n">
        <v>5</v>
      </c>
      <c r="I367" s="7" t="n">
        <v>4</v>
      </c>
      <c r="J367" s="8" t="n">
        <v>15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23155050210</t>
        </is>
      </c>
      <c r="D368" s="5" t="inlineStr">
        <is>
          <t>HYDROXYZINE HCL 50MG TABLET</t>
        </is>
      </c>
      <c r="E368" s="6" t="inlineStr">
        <is>
          <t>1000.0</t>
        </is>
      </c>
      <c r="F368" s="7" t="n">
        <v>90</v>
      </c>
      <c r="G368" s="7" t="n">
        <v>0.09</v>
      </c>
      <c r="H368" s="7" t="n">
        <v>0</v>
      </c>
      <c r="I368" s="7" t="n">
        <v>-0.09</v>
      </c>
      <c r="J368" s="8" t="n">
        <v>15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24979053301</t>
        </is>
      </c>
      <c r="D369" s="5" t="inlineStr">
        <is>
          <t xml:space="preserve">GUANFACINE ER 1MG TAB </t>
        </is>
      </c>
      <c r="E369" s="6" t="inlineStr">
        <is>
          <t>100.0</t>
        </is>
      </c>
      <c r="F369" s="7" t="n">
        <v>30</v>
      </c>
      <c r="G369" s="7" t="n">
        <v>0.3</v>
      </c>
      <c r="H369" s="7" t="n">
        <v>0</v>
      </c>
      <c r="I369" s="7" t="n">
        <v>-0.3</v>
      </c>
      <c r="J369" s="8" t="n">
        <v>15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00193755301</t>
        </is>
      </c>
      <c r="D370" s="5" t="inlineStr">
        <is>
          <t>CONTOUR NEXT EZ W/DEVICE KIT</t>
        </is>
      </c>
      <c r="E370" s="6" t="inlineStr">
        <is>
          <t>1.0</t>
        </is>
      </c>
      <c r="F370" s="7" t="n">
        <v>1</v>
      </c>
      <c r="G370" s="7" t="n">
        <v>1</v>
      </c>
      <c r="H370" s="7" t="n">
        <v>8</v>
      </c>
      <c r="I370" s="7" t="n">
        <v>7</v>
      </c>
      <c r="J370" s="8" t="n">
        <v>15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68180061307</t>
        </is>
      </c>
      <c r="D371" s="5" t="inlineStr">
        <is>
          <t>QUETIAPINE 150MG TABLET ER</t>
        </is>
      </c>
      <c r="E371" s="6" t="inlineStr">
        <is>
          <t>60.0</t>
        </is>
      </c>
      <c r="F371" s="7" t="n">
        <v>28</v>
      </c>
      <c r="G371" s="7" t="n">
        <v>0.4666666666666667</v>
      </c>
      <c r="H371" s="7" t="n">
        <v>0</v>
      </c>
      <c r="I371" s="7" t="n">
        <v>-0.4666666666666667</v>
      </c>
      <c r="J371" s="8" t="n">
        <v>15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69230020201</t>
        </is>
      </c>
      <c r="D372" s="5" t="inlineStr">
        <is>
          <t xml:space="preserve">FEXOFENADINE (CAMBER) 180MG TAB 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15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33342033380</t>
        </is>
      </c>
      <c r="D373" s="5" t="inlineStr">
        <is>
          <t>TRIAMCINOLONE ACETONIDE 0.1 % EXTERNAL OINTMENT</t>
        </is>
      </c>
      <c r="E373" s="6" t="inlineStr">
        <is>
          <t>80.0</t>
        </is>
      </c>
      <c r="F373" s="7" t="n">
        <v>80</v>
      </c>
      <c r="G373" s="7" t="n">
        <v>1</v>
      </c>
      <c r="H373" s="7" t="n">
        <v>0</v>
      </c>
      <c r="I373" s="7" t="n">
        <v>-1</v>
      </c>
      <c r="J373" s="8" t="n">
        <v>15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69452031132</t>
        </is>
      </c>
      <c r="D374" s="5" t="inlineStr">
        <is>
          <t>DICYCLOMINE HCL 20 MG ORAL TABLET</t>
        </is>
      </c>
      <c r="E374" s="6" t="inlineStr">
        <is>
          <t>1000.0</t>
        </is>
      </c>
      <c r="F374" s="7" t="n">
        <v>90</v>
      </c>
      <c r="G374" s="7" t="n">
        <v>0.09</v>
      </c>
      <c r="H374" s="7" t="n">
        <v>0</v>
      </c>
      <c r="I374" s="7" t="n">
        <v>-0.09</v>
      </c>
      <c r="J374" s="8" t="n">
        <v>15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47335070352</t>
        </is>
      </c>
      <c r="D375" s="5" t="inlineStr">
        <is>
          <t>ALBUTEROL SULFATE (2.5 MG/3ML) 0.083% INHALATION NEBULIZATION SOLUTION</t>
        </is>
      </c>
      <c r="E375" s="6" t="inlineStr">
        <is>
          <t>90.0</t>
        </is>
      </c>
      <c r="F375" s="7" t="n">
        <v>90</v>
      </c>
      <c r="G375" s="7" t="n">
        <v>1</v>
      </c>
      <c r="H375" s="7" t="n">
        <v>0</v>
      </c>
      <c r="I375" s="7" t="n">
        <v>-1</v>
      </c>
      <c r="J375" s="8" t="n">
        <v>15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72888000901</t>
        </is>
      </c>
      <c r="D376" s="5" t="inlineStr">
        <is>
          <t>BACLOFEN 5 MG ORAL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2</v>
      </c>
      <c r="I376" s="7" t="n">
        <v>1.4</v>
      </c>
      <c r="J376" s="8" t="n">
        <v>15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16729000617</t>
        </is>
      </c>
      <c r="D377" s="5" t="inlineStr">
        <is>
          <t>SIMVASTATIN 40MG TABLET</t>
        </is>
      </c>
      <c r="E377" s="6" t="inlineStr">
        <is>
          <t>1000.0</t>
        </is>
      </c>
      <c r="F377" s="7" t="n">
        <v>90</v>
      </c>
      <c r="G377" s="7" t="n">
        <v>0.09</v>
      </c>
      <c r="H377" s="7" t="n">
        <v>0</v>
      </c>
      <c r="I377" s="7" t="n">
        <v>-0.09</v>
      </c>
      <c r="J377" s="8" t="n">
        <v>15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70700016406</t>
        </is>
      </c>
      <c r="D378" s="5" t="inlineStr">
        <is>
          <t>LEVONORGESTREL 1.5 MG ORAL TABLET</t>
        </is>
      </c>
      <c r="E378" s="6" t="inlineStr">
        <is>
          <t>1.0</t>
        </is>
      </c>
      <c r="F378" s="7" t="n">
        <v>1</v>
      </c>
      <c r="G378" s="7" t="n">
        <v>1</v>
      </c>
      <c r="H378" s="7" t="n">
        <v>0</v>
      </c>
      <c r="I378" s="7" t="n">
        <v>-1</v>
      </c>
      <c r="J378" s="8" t="n">
        <v>15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00904546080</t>
        </is>
      </c>
      <c r="D379" s="5" t="inlineStr">
        <is>
          <t>OYSTER SHELL CALCIUM/D TABLET</t>
        </is>
      </c>
      <c r="E379" s="6" t="inlineStr">
        <is>
          <t>1000.0</t>
        </is>
      </c>
      <c r="F379" s="7" t="n">
        <v>570</v>
      </c>
      <c r="G379" s="7" t="n">
        <v>0.57</v>
      </c>
      <c r="H379" s="7" t="n">
        <v>0</v>
      </c>
      <c r="I379" s="7" t="n">
        <v>-0.57</v>
      </c>
      <c r="J379" s="8" t="n">
        <v>14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70000041502</t>
        </is>
      </c>
      <c r="D380" s="5" t="inlineStr">
        <is>
          <t>CLEARLAX 17 GM/SCOOP ORAL POWDER</t>
        </is>
      </c>
      <c r="E380" s="6" t="inlineStr">
        <is>
          <t>238.0</t>
        </is>
      </c>
      <c r="F380" s="7" t="n">
        <v>238</v>
      </c>
      <c r="G380" s="7" t="n">
        <v>1</v>
      </c>
      <c r="H380" s="7" t="n">
        <v>0</v>
      </c>
      <c r="I380" s="7" t="n">
        <v>-1</v>
      </c>
      <c r="J380" s="8" t="n">
        <v>14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00904505359</t>
        </is>
      </c>
      <c r="D381" s="5" t="inlineStr">
        <is>
          <t>PSEUDOEPHEDRINE(SUDOGEST) 30MG TABLET</t>
        </is>
      </c>
      <c r="E381" s="6" t="inlineStr">
        <is>
          <t>100.0</t>
        </is>
      </c>
      <c r="F381" s="7" t="n">
        <v>50</v>
      </c>
      <c r="G381" s="7" t="n">
        <v>0.5</v>
      </c>
      <c r="H381" s="7" t="n">
        <v>0</v>
      </c>
      <c r="I381" s="7" t="n">
        <v>-0.5</v>
      </c>
      <c r="J381" s="8" t="n">
        <v>14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72888003600</t>
        </is>
      </c>
      <c r="D382" s="5" t="inlineStr">
        <is>
          <t>CARVEDILOL 12.5MG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14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68180086106</t>
        </is>
      </c>
      <c r="D383" s="5" t="inlineStr">
        <is>
          <t>AZITHROMYCIN 250 MG ORAL TABLET</t>
        </is>
      </c>
      <c r="E383" s="6" t="inlineStr">
        <is>
          <t>30.0</t>
        </is>
      </c>
      <c r="F383" s="7" t="n">
        <v>20</v>
      </c>
      <c r="G383" s="7" t="n">
        <v>0.6666666666666666</v>
      </c>
      <c r="H383" s="7" t="n">
        <v>0</v>
      </c>
      <c r="I383" s="7" t="n">
        <v>-0.6666666666666666</v>
      </c>
      <c r="J383" s="8" t="n">
        <v>14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42571016201</t>
        </is>
      </c>
      <c r="D384" s="5" t="inlineStr">
        <is>
          <t>AMOXICILLIN-CLAVULANATE 875-125MG TABLET</t>
        </is>
      </c>
      <c r="E384" s="6" t="inlineStr">
        <is>
          <t>100.0</t>
        </is>
      </c>
      <c r="F384" s="7" t="n">
        <v>14</v>
      </c>
      <c r="G384" s="7" t="n">
        <v>0.14</v>
      </c>
      <c r="H384" s="7" t="n">
        <v>2</v>
      </c>
      <c r="I384" s="7" t="n">
        <v>1.86</v>
      </c>
      <c r="J384" s="8" t="n">
        <v>14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45963067696</t>
        </is>
      </c>
      <c r="D385" s="5" t="inlineStr">
        <is>
          <t>METOPROLOL SUCCINATE 50MG TABLET ER</t>
        </is>
      </c>
      <c r="E385" s="6" t="inlineStr">
        <is>
          <t>1000.0</t>
        </is>
      </c>
      <c r="F385" s="7" t="n">
        <v>90</v>
      </c>
      <c r="G385" s="7" t="n">
        <v>0.09</v>
      </c>
      <c r="H385" s="7" t="n">
        <v>0</v>
      </c>
      <c r="I385" s="7" t="n">
        <v>-0.09</v>
      </c>
      <c r="J385" s="8" t="n">
        <v>14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00093171201</t>
        </is>
      </c>
      <c r="D386" s="5" t="inlineStr">
        <is>
          <t xml:space="preserve">WARFARIN SODIUM 1MG TAB </t>
        </is>
      </c>
      <c r="E386" s="6" t="inlineStr">
        <is>
          <t>100.0</t>
        </is>
      </c>
      <c r="F386" s="7" t="n">
        <v>60</v>
      </c>
      <c r="G386" s="7" t="n">
        <v>0.6</v>
      </c>
      <c r="H386" s="7" t="n">
        <v>0</v>
      </c>
      <c r="I386" s="7" t="n">
        <v>-0.6</v>
      </c>
      <c r="J386" s="8" t="n">
        <v>14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45802005911</t>
        </is>
      </c>
      <c r="D387" s="5" t="inlineStr">
        <is>
          <t>NYSTATIN 100000UNIT/GM CREAM</t>
        </is>
      </c>
      <c r="E387" s="6" t="inlineStr">
        <is>
          <t>30.0</t>
        </is>
      </c>
      <c r="F387" s="7" t="n">
        <v>30</v>
      </c>
      <c r="G387" s="7" t="n">
        <v>1</v>
      </c>
      <c r="H387" s="7" t="n">
        <v>0</v>
      </c>
      <c r="I387" s="7" t="n">
        <v>-1</v>
      </c>
      <c r="J387" s="8" t="n">
        <v>14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68382008001</t>
        </is>
      </c>
      <c r="D388" s="5" t="inlineStr">
        <is>
          <t>HALOPERIDOL 10MG TABLET</t>
        </is>
      </c>
      <c r="E388" s="6" t="inlineStr">
        <is>
          <t>100.0</t>
        </is>
      </c>
      <c r="F388" s="7" t="n">
        <v>30</v>
      </c>
      <c r="G388" s="7" t="n">
        <v>0.3</v>
      </c>
      <c r="H388" s="7" t="n">
        <v>0</v>
      </c>
      <c r="I388" s="7" t="n">
        <v>-0.3</v>
      </c>
      <c r="J388" s="8" t="n">
        <v>14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00904722320</t>
        </is>
      </c>
      <c r="D389" s="5" t="inlineStr">
        <is>
          <t>ROBAFEN DM 20-200 MG/20ML ORAL LIQUID</t>
        </is>
      </c>
      <c r="E389" s="6" t="inlineStr">
        <is>
          <t>118.0</t>
        </is>
      </c>
      <c r="F389" s="7" t="n">
        <v>354</v>
      </c>
      <c r="G389" s="7" t="n">
        <v>3</v>
      </c>
      <c r="H389" s="7" t="n">
        <v>15</v>
      </c>
      <c r="I389" s="7" t="n">
        <v>12</v>
      </c>
      <c r="J389" s="8" t="n">
        <v>14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00168009915</t>
        </is>
      </c>
      <c r="D390" s="5" t="inlineStr">
        <is>
          <t>KETOCONAZOLE 2 % EXTERNAL CREAM</t>
        </is>
      </c>
      <c r="E390" s="6" t="inlineStr">
        <is>
          <t>15.0</t>
        </is>
      </c>
      <c r="F390" s="7" t="n">
        <v>15</v>
      </c>
      <c r="G390" s="7" t="n">
        <v>1</v>
      </c>
      <c r="H390" s="7" t="n">
        <v>4</v>
      </c>
      <c r="I390" s="7" t="n">
        <v>3</v>
      </c>
      <c r="J390" s="8" t="n">
        <v>14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00904722359</t>
        </is>
      </c>
      <c r="D391" s="5" t="inlineStr">
        <is>
          <t>ROBAFEN DM 20-200 MG/20ML ORAL LIQUID</t>
        </is>
      </c>
      <c r="E391" s="6" t="inlineStr">
        <is>
          <t>237.0</t>
        </is>
      </c>
      <c r="F391" s="7" t="n">
        <v>236</v>
      </c>
      <c r="G391" s="7" t="n">
        <v>0.9957805907172996</v>
      </c>
      <c r="H391" s="7" t="n">
        <v>6</v>
      </c>
      <c r="I391" s="7" t="n">
        <v>5.0042194092827</v>
      </c>
      <c r="J391" s="8" t="n">
        <v>14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53746051501</t>
        </is>
      </c>
      <c r="D392" s="5" t="inlineStr">
        <is>
          <t>SPIRONOLACTONE 100MG TABLET</t>
        </is>
      </c>
      <c r="E392" s="6" t="inlineStr">
        <is>
          <t>100.0</t>
        </is>
      </c>
      <c r="F392" s="7" t="n">
        <v>30</v>
      </c>
      <c r="G392" s="7" t="n">
        <v>0.3</v>
      </c>
      <c r="H392" s="7" t="n">
        <v>0</v>
      </c>
      <c r="I392" s="7" t="n">
        <v>-0.3</v>
      </c>
      <c r="J392" s="8" t="n">
        <v>14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65862067901</t>
        </is>
      </c>
      <c r="D393" s="5" t="inlineStr">
        <is>
          <t>ALPRAZOLAM 2 MG ORAL TABLET</t>
        </is>
      </c>
      <c r="E393" s="6" t="inlineStr">
        <is>
          <t>100.0</t>
        </is>
      </c>
      <c r="F393" s="7" t="n">
        <v>75</v>
      </c>
      <c r="G393" s="7" t="n">
        <v>0.75</v>
      </c>
      <c r="H393" s="7" t="n">
        <v>0</v>
      </c>
      <c r="I393" s="7" t="n">
        <v>-0.75</v>
      </c>
      <c r="J393" s="8" t="n">
        <v>14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31722053705</t>
        </is>
      </c>
      <c r="D394" s="5" t="inlineStr">
        <is>
          <t xml:space="preserve">LEVETIRACETAM 500MG TAB </t>
        </is>
      </c>
      <c r="E394" s="6" t="inlineStr">
        <is>
          <t>500.0</t>
        </is>
      </c>
      <c r="F394" s="7" t="n">
        <v>60</v>
      </c>
      <c r="G394" s="7" t="n">
        <v>0.12</v>
      </c>
      <c r="H394" s="7" t="n">
        <v>0</v>
      </c>
      <c r="I394" s="7" t="n">
        <v>-0.12</v>
      </c>
      <c r="J394" s="8" t="n">
        <v>14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16729000517</t>
        </is>
      </c>
      <c r="D395" s="5" t="inlineStr">
        <is>
          <t>SIMVASTATIN 20MG TABLET</t>
        </is>
      </c>
      <c r="E395" s="6" t="inlineStr">
        <is>
          <t>1000.0</t>
        </is>
      </c>
      <c r="F395" s="7" t="n">
        <v>90</v>
      </c>
      <c r="G395" s="7" t="n">
        <v>0.09</v>
      </c>
      <c r="H395" s="7" t="n">
        <v>0</v>
      </c>
      <c r="I395" s="7" t="n">
        <v>-0.09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57237030412</t>
        </is>
      </c>
      <c r="D396" s="5" t="inlineStr">
        <is>
          <t>ACETAMINOPHEN 160 MG/5ML ORAL SOLUTION</t>
        </is>
      </c>
      <c r="E396" s="6" t="inlineStr">
        <is>
          <t>118.0</t>
        </is>
      </c>
      <c r="F396" s="7" t="n">
        <v>256</v>
      </c>
      <c r="G396" s="7" t="n">
        <v>2.169491525423729</v>
      </c>
      <c r="H396" s="7" t="n">
        <v>0</v>
      </c>
      <c r="I396" s="7" t="n">
        <v>-2.169491525423729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68180097401</t>
        </is>
      </c>
      <c r="D397" s="5" t="inlineStr">
        <is>
          <t>LEVOTHYROXINE 175MCG TABLET</t>
        </is>
      </c>
      <c r="E397" s="6" t="inlineStr">
        <is>
          <t>100.0</t>
        </is>
      </c>
      <c r="F397" s="7" t="n">
        <v>50</v>
      </c>
      <c r="G397" s="7" t="n">
        <v>0.5</v>
      </c>
      <c r="H397" s="7" t="n">
        <v>0</v>
      </c>
      <c r="I397" s="7" t="n">
        <v>-0.5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65862052890</t>
        </is>
      </c>
      <c r="D398" s="5" t="inlineStr">
        <is>
          <t>VENLAFAXINE HCL ER 75 MG CAPSULE</t>
        </is>
      </c>
      <c r="E398" s="6" t="inlineStr">
        <is>
          <t>90.0</t>
        </is>
      </c>
      <c r="F398" s="7" t="n">
        <v>30</v>
      </c>
      <c r="G398" s="7" t="n">
        <v>0.3333333333333333</v>
      </c>
      <c r="H398" s="7" t="n">
        <v>0</v>
      </c>
      <c r="I398" s="7" t="n">
        <v>-0.3333333333333333</v>
      </c>
      <c r="J398" s="8" t="n">
        <v>13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68180029407</t>
        </is>
      </c>
      <c r="D399" s="5" t="inlineStr">
        <is>
          <t>DULOXETINE 20MG CAPSULE DR</t>
        </is>
      </c>
      <c r="E399" s="6" t="inlineStr">
        <is>
          <t>60.0</t>
        </is>
      </c>
      <c r="F399" s="7" t="n">
        <v>30</v>
      </c>
      <c r="G399" s="7" t="n">
        <v>0.5</v>
      </c>
      <c r="H399" s="7" t="n">
        <v>3</v>
      </c>
      <c r="I399" s="7" t="n">
        <v>2.5</v>
      </c>
      <c r="J399" s="8" t="n">
        <v>13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67877043405</t>
        </is>
      </c>
      <c r="D400" s="5" t="inlineStr">
        <is>
          <t>ARIPIPRAZOLE 20 MG ORAL TABLET</t>
        </is>
      </c>
      <c r="E400" s="6" t="inlineStr">
        <is>
          <t>500.0</t>
        </is>
      </c>
      <c r="F400" s="7" t="n">
        <v>30</v>
      </c>
      <c r="G400" s="7" t="n">
        <v>0.06</v>
      </c>
      <c r="H400" s="7" t="n">
        <v>0</v>
      </c>
      <c r="I400" s="7" t="n">
        <v>-0.06</v>
      </c>
      <c r="J400" s="8" t="n">
        <v>13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61442010305</t>
        </is>
      </c>
      <c r="D401" s="5" t="inlineStr">
        <is>
          <t xml:space="preserve">DICLOFENAC SOD 75MG TAB DR </t>
        </is>
      </c>
      <c r="E401" s="6" t="inlineStr">
        <is>
          <t>500.0</t>
        </is>
      </c>
      <c r="F401" s="7" t="n">
        <v>60</v>
      </c>
      <c r="G401" s="7" t="n">
        <v>0.12</v>
      </c>
      <c r="H401" s="7" t="n">
        <v>0</v>
      </c>
      <c r="I401" s="7" t="n">
        <v>-0.12</v>
      </c>
      <c r="J401" s="8" t="n">
        <v>13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00536116361</t>
        </is>
      </c>
      <c r="D402" s="5" t="inlineStr">
        <is>
          <t>MUCUS RELIEF 600MG TABLET ER</t>
        </is>
      </c>
      <c r="E402" s="6" t="inlineStr">
        <is>
          <t>100.0</t>
        </is>
      </c>
      <c r="F402" s="7" t="n">
        <v>14</v>
      </c>
      <c r="G402" s="7" t="n">
        <v>0.14</v>
      </c>
      <c r="H402" s="7" t="n">
        <v>0</v>
      </c>
      <c r="I402" s="7" t="n">
        <v>-0.14</v>
      </c>
      <c r="J402" s="8" t="n">
        <v>13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00904719260</t>
        </is>
      </c>
      <c r="D403" s="5" t="inlineStr">
        <is>
          <t>FEXOFENADINE 60MG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13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00536408501</t>
        </is>
      </c>
      <c r="D404" s="5" t="inlineStr">
        <is>
          <t>PRENATAL VITAMINS 28-0.8 MG TABLET</t>
        </is>
      </c>
      <c r="E404" s="6" t="inlineStr">
        <is>
          <t>100.0</t>
        </is>
      </c>
      <c r="F404" s="7" t="n">
        <v>330</v>
      </c>
      <c r="G404" s="7" t="n">
        <v>3.3</v>
      </c>
      <c r="H404" s="7" t="n">
        <v>0</v>
      </c>
      <c r="I404" s="7" t="n">
        <v>-3.3</v>
      </c>
      <c r="J404" s="8" t="n">
        <v>13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67877024601</t>
        </is>
      </c>
      <c r="D405" s="5" t="inlineStr">
        <is>
          <t>QUETIAPINE FUMARATE 200 MG ORAL TABLET</t>
        </is>
      </c>
      <c r="E405" s="6" t="inlineStr">
        <is>
          <t>100.0</t>
        </is>
      </c>
      <c r="F405" s="7" t="n">
        <v>30</v>
      </c>
      <c r="G405" s="7" t="n">
        <v>0.3</v>
      </c>
      <c r="H405" s="7" t="n">
        <v>0</v>
      </c>
      <c r="I405" s="7" t="n">
        <v>-0.3</v>
      </c>
      <c r="J405" s="8" t="n">
        <v>13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61314014305</t>
        </is>
      </c>
      <c r="D406" s="5" t="inlineStr">
        <is>
          <t>BRIMONIDINE TARTRATE 0.2% SOLUTION</t>
        </is>
      </c>
      <c r="E406" s="6" t="inlineStr">
        <is>
          <t>5.0</t>
        </is>
      </c>
      <c r="F406" s="7" t="n">
        <v>5</v>
      </c>
      <c r="G406" s="7" t="n">
        <v>1</v>
      </c>
      <c r="H406" s="7" t="n">
        <v>5</v>
      </c>
      <c r="I406" s="7" t="n">
        <v>4</v>
      </c>
      <c r="J406" s="8" t="n">
        <v>13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69097015915</t>
        </is>
      </c>
      <c r="D407" s="5" t="inlineStr">
        <is>
          <t>MELOXICAM 15MG TABLET</t>
        </is>
      </c>
      <c r="E407" s="6" t="inlineStr">
        <is>
          <t>1000.0</t>
        </is>
      </c>
      <c r="F407" s="7" t="n">
        <v>90</v>
      </c>
      <c r="G407" s="7" t="n">
        <v>0.09</v>
      </c>
      <c r="H407" s="7" t="n">
        <v>1</v>
      </c>
      <c r="I407" s="7" t="n">
        <v>0.91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65862020299</t>
        </is>
      </c>
      <c r="D408" s="5" t="inlineStr">
        <is>
          <t>LOSARTAN 50MG TABLET</t>
        </is>
      </c>
      <c r="E408" s="6" t="inlineStr">
        <is>
          <t>1000.0</t>
        </is>
      </c>
      <c r="F408" s="7" t="n">
        <v>90</v>
      </c>
      <c r="G408" s="7" t="n">
        <v>0.09</v>
      </c>
      <c r="H408" s="7" t="n">
        <v>0</v>
      </c>
      <c r="I408" s="7" t="n">
        <v>-0.09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57237002801</t>
        </is>
      </c>
      <c r="D409" s="5" t="inlineStr">
        <is>
          <t>AMOXICILLIN 500MG TABLET</t>
        </is>
      </c>
      <c r="E409" s="6" t="inlineStr">
        <is>
          <t>100.0</t>
        </is>
      </c>
      <c r="F409" s="7" t="n">
        <v>14</v>
      </c>
      <c r="G409" s="7" t="n">
        <v>0.14</v>
      </c>
      <c r="H409" s="7" t="n">
        <v>3</v>
      </c>
      <c r="I409" s="7" t="n">
        <v>2.86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45802073230</t>
        </is>
      </c>
      <c r="D410" s="5" t="inlineStr">
        <is>
          <t>ACETAMINOPHEN 120 MG RECTAL SUPPOSITORY</t>
        </is>
      </c>
      <c r="E410" s="6" t="inlineStr">
        <is>
          <t>12.0</t>
        </is>
      </c>
      <c r="F410" s="7" t="n">
        <v>12</v>
      </c>
      <c r="G410" s="7" t="n">
        <v>1</v>
      </c>
      <c r="H410" s="7" t="n">
        <v>0</v>
      </c>
      <c r="I410" s="7" t="n">
        <v>-1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68180051303</t>
        </is>
      </c>
      <c r="D411" s="5" t="inlineStr">
        <is>
          <t>LISINOPRIL 5MG TABLET</t>
        </is>
      </c>
      <c r="E411" s="6" t="inlineStr">
        <is>
          <t>1000.0</t>
        </is>
      </c>
      <c r="F411" s="7" t="n">
        <v>180</v>
      </c>
      <c r="G411" s="7" t="n">
        <v>0.18</v>
      </c>
      <c r="H411" s="7" t="n">
        <v>0</v>
      </c>
      <c r="I411" s="7" t="n">
        <v>-0.18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43598016430</t>
        </is>
      </c>
      <c r="D412" s="5" t="inlineStr">
        <is>
          <t>OLANZAPINE 5MG TABLET</t>
        </is>
      </c>
      <c r="E412" s="6" t="inlineStr">
        <is>
          <t>30.0</t>
        </is>
      </c>
      <c r="F412" s="7" t="n">
        <v>30</v>
      </c>
      <c r="G412" s="7" t="n">
        <v>1</v>
      </c>
      <c r="H412" s="7" t="n">
        <v>0</v>
      </c>
      <c r="I412" s="7" t="n">
        <v>-1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57237004701</t>
        </is>
      </c>
      <c r="D413" s="5" t="inlineStr">
        <is>
          <t>DIVALPROEX SODIUM 250MG TABLET DR</t>
        </is>
      </c>
      <c r="E413" s="6" t="inlineStr">
        <is>
          <t>100.0</t>
        </is>
      </c>
      <c r="F413" s="7" t="n">
        <v>30</v>
      </c>
      <c r="G413" s="7" t="n">
        <v>0.3</v>
      </c>
      <c r="H413" s="7" t="n">
        <v>0</v>
      </c>
      <c r="I413" s="7" t="n">
        <v>-0.3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49483070350</t>
        </is>
      </c>
      <c r="D414" s="5" t="inlineStr">
        <is>
          <t>FLUOXETINE 40MG CAPSULE</t>
        </is>
      </c>
      <c r="E414" s="6" t="inlineStr">
        <is>
          <t>500.0</t>
        </is>
      </c>
      <c r="F414" s="7" t="n">
        <v>30</v>
      </c>
      <c r="G414" s="7" t="n">
        <v>0.06</v>
      </c>
      <c r="H414" s="7" t="n">
        <v>0</v>
      </c>
      <c r="I414" s="7" t="n">
        <v>-0.06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70000035801</t>
        </is>
      </c>
      <c r="D415" s="5" t="inlineStr">
        <is>
          <t>A&amp;D EXTERNAL OINTMENT</t>
        </is>
      </c>
      <c r="E415" s="6" t="inlineStr">
        <is>
          <t>425.0</t>
        </is>
      </c>
      <c r="F415" s="7" t="n">
        <v>425</v>
      </c>
      <c r="G415" s="7" t="n">
        <v>1</v>
      </c>
      <c r="H415" s="7" t="n">
        <v>0</v>
      </c>
      <c r="I415" s="7" t="n">
        <v>-1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33342033315</t>
        </is>
      </c>
      <c r="D416" s="5" t="inlineStr">
        <is>
          <t>TRIAMCINOLONE ACETONIDE 0.1 % EXTERNAL OINTMENT</t>
        </is>
      </c>
      <c r="E416" s="6" t="inlineStr">
        <is>
          <t>15.0</t>
        </is>
      </c>
      <c r="F416" s="7" t="n">
        <v>30</v>
      </c>
      <c r="G416" s="7" t="n">
        <v>2</v>
      </c>
      <c r="H416" s="7" t="n">
        <v>0</v>
      </c>
      <c r="I416" s="7" t="n">
        <v>-2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00065048110</t>
        </is>
      </c>
      <c r="D417" s="5" t="inlineStr">
        <is>
          <t>SYSTANE COMPLETE 0.6 % OPHTHALMIC SOLUTION</t>
        </is>
      </c>
      <c r="E417" s="6" t="inlineStr">
        <is>
          <t>10.0</t>
        </is>
      </c>
      <c r="F417" s="7" t="n">
        <v>10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68180097303</t>
        </is>
      </c>
      <c r="D418" s="5" t="inlineStr">
        <is>
          <t>LEVOTHYROXINE 150 MCG TABLET</t>
        </is>
      </c>
      <c r="E418" s="6" t="inlineStr">
        <is>
          <t>1000.0</t>
        </is>
      </c>
      <c r="F418" s="7" t="n">
        <v>40</v>
      </c>
      <c r="G418" s="7" t="n">
        <v>0.04</v>
      </c>
      <c r="H418" s="7" t="n">
        <v>0</v>
      </c>
      <c r="I418" s="7" t="n">
        <v>-0.04</v>
      </c>
      <c r="J418" s="8" t="n">
        <v>12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16571010701</t>
        </is>
      </c>
      <c r="D419" s="5" t="inlineStr">
        <is>
          <t>AMITRIPTYLINE HCL 50 MG ORAL TABLET</t>
        </is>
      </c>
      <c r="E419" s="6" t="inlineStr">
        <is>
          <t>100.0</t>
        </is>
      </c>
      <c r="F419" s="7" t="n">
        <v>30</v>
      </c>
      <c r="G419" s="7" t="n">
        <v>0.3</v>
      </c>
      <c r="H419" s="7" t="n">
        <v>0</v>
      </c>
      <c r="I419" s="7" t="n">
        <v>-0.3</v>
      </c>
      <c r="J419" s="8" t="n">
        <v>12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16729017201</t>
        </is>
      </c>
      <c r="D420" s="5" t="inlineStr">
        <is>
          <t xml:space="preserve">AMITRIPTYLINE 25MG TAB </t>
        </is>
      </c>
      <c r="E420" s="6" t="inlineStr">
        <is>
          <t>100.0</t>
        </is>
      </c>
      <c r="F420" s="7" t="n">
        <v>30</v>
      </c>
      <c r="G420" s="7" t="n">
        <v>0.3</v>
      </c>
      <c r="H420" s="7" t="n">
        <v>0</v>
      </c>
      <c r="I420" s="7" t="n">
        <v>-0.3</v>
      </c>
      <c r="J420" s="8" t="n">
        <v>12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67877043103</t>
        </is>
      </c>
      <c r="D421" s="5" t="inlineStr">
        <is>
          <t>ARIPIPRAZOLE 5MG TABLET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12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00172409680</t>
        </is>
      </c>
      <c r="D422" s="5" t="inlineStr">
        <is>
          <t xml:space="preserve">BACLOFEN 10MG TAB </t>
        </is>
      </c>
      <c r="E422" s="6" t="inlineStr">
        <is>
          <t>1000.0</t>
        </is>
      </c>
      <c r="F422" s="7" t="n">
        <v>90</v>
      </c>
      <c r="G422" s="7" t="n">
        <v>0.09</v>
      </c>
      <c r="H422" s="7" t="n">
        <v>1</v>
      </c>
      <c r="I422" s="7" t="n">
        <v>0.91</v>
      </c>
      <c r="J422" s="8" t="n">
        <v>12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72888003700</t>
        </is>
      </c>
      <c r="D423" s="5" t="inlineStr">
        <is>
          <t xml:space="preserve">CARVEDILOL 25 MG TABLET </t>
        </is>
      </c>
      <c r="E423" s="6" t="inlineStr">
        <is>
          <t>1000.0</t>
        </is>
      </c>
      <c r="F423" s="7" t="n">
        <v>60</v>
      </c>
      <c r="G423" s="7" t="n">
        <v>0.06</v>
      </c>
      <c r="H423" s="7" t="n">
        <v>2</v>
      </c>
      <c r="I423" s="7" t="n">
        <v>1.94</v>
      </c>
      <c r="J423" s="8" t="n">
        <v>12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13107015530</t>
        </is>
      </c>
      <c r="D424" s="5" t="inlineStr">
        <is>
          <t xml:space="preserve">PAROXETINE 20MG TABLET </t>
        </is>
      </c>
      <c r="E424" s="6" t="inlineStr">
        <is>
          <t>30.0</t>
        </is>
      </c>
      <c r="F424" s="7" t="n">
        <v>30</v>
      </c>
      <c r="G424" s="7" t="n">
        <v>1</v>
      </c>
      <c r="H424" s="7" t="n">
        <v>0</v>
      </c>
      <c r="I424" s="7" t="n">
        <v>-1</v>
      </c>
      <c r="J424" s="8" t="n">
        <v>12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00536126526</t>
        </is>
      </c>
      <c r="D425" s="5" t="inlineStr">
        <is>
          <t>CLOTRIMAZOLE 1 % CREAM</t>
        </is>
      </c>
      <c r="E425" s="6" t="inlineStr">
        <is>
          <t>45.0</t>
        </is>
      </c>
      <c r="F425" s="7" t="n">
        <v>45</v>
      </c>
      <c r="G425" s="7" t="n">
        <v>1</v>
      </c>
      <c r="H425" s="7" t="n">
        <v>0</v>
      </c>
      <c r="I425" s="7" t="n">
        <v>-1</v>
      </c>
      <c r="J425" s="8" t="n">
        <v>12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70010006405</t>
        </is>
      </c>
      <c r="D426" s="5" t="inlineStr">
        <is>
          <t>METFORMIN HCL 850 MG ORAL TABLET</t>
        </is>
      </c>
      <c r="E426" s="6" t="inlineStr">
        <is>
          <t>500.0</t>
        </is>
      </c>
      <c r="F426" s="7" t="n">
        <v>60</v>
      </c>
      <c r="G426" s="7" t="n">
        <v>0.12</v>
      </c>
      <c r="H426" s="7" t="n">
        <v>2</v>
      </c>
      <c r="I426" s="7" t="n">
        <v>1.88</v>
      </c>
      <c r="J426" s="8" t="n">
        <v>12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57237010099</t>
        </is>
      </c>
      <c r="D427" s="5" t="inlineStr">
        <is>
          <t>METOPROLOL TARTRATE 25MG TABLET</t>
        </is>
      </c>
      <c r="E427" s="6" t="inlineStr">
        <is>
          <t>1000.0</t>
        </is>
      </c>
      <c r="F427" s="7" t="n">
        <v>180</v>
      </c>
      <c r="G427" s="7" t="n">
        <v>0.18</v>
      </c>
      <c r="H427" s="7" t="n">
        <v>0</v>
      </c>
      <c r="I427" s="7" t="n">
        <v>-0.18</v>
      </c>
      <c r="J427" s="8" t="n">
        <v>12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70010078005</t>
        </is>
      </c>
      <c r="D428" s="5" t="inlineStr">
        <is>
          <t>METOPROLOL SUCCINATE ER 25MG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2</v>
      </c>
      <c r="I428" s="7" t="n">
        <v>1.94</v>
      </c>
      <c r="J428" s="8" t="n">
        <v>12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62756014202</t>
        </is>
      </c>
      <c r="D429" s="5" t="inlineStr">
        <is>
          <t xml:space="preserve">METFORMIN ER 500MG TAB </t>
        </is>
      </c>
      <c r="E429" s="6" t="inlineStr">
        <is>
          <t>500.0</t>
        </is>
      </c>
      <c r="F429" s="7" t="n">
        <v>60</v>
      </c>
      <c r="G429" s="7" t="n">
        <v>0.12</v>
      </c>
      <c r="H429" s="7" t="n">
        <v>0</v>
      </c>
      <c r="I429" s="7" t="n">
        <v>-0.12</v>
      </c>
      <c r="J429" s="8" t="n">
        <v>12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00093321201</t>
        </is>
      </c>
      <c r="D430" s="5" t="inlineStr">
        <is>
          <t>CLONAZEPAM 1MG TABLET</t>
        </is>
      </c>
      <c r="E430" s="6" t="inlineStr">
        <is>
          <t>100.0</t>
        </is>
      </c>
      <c r="F430" s="7" t="n">
        <v>90</v>
      </c>
      <c r="G430" s="7" t="n">
        <v>0.9</v>
      </c>
      <c r="H430" s="7" t="n">
        <v>2</v>
      </c>
      <c r="I430" s="7" t="n">
        <v>1.1</v>
      </c>
      <c r="J430" s="8" t="n">
        <v>12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30</v>
      </c>
      <c r="G431" s="7" t="n">
        <v>0.03</v>
      </c>
      <c r="H431" s="7" t="n">
        <v>0</v>
      </c>
      <c r="I431" s="7" t="n">
        <v>-0.03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57237010199</t>
        </is>
      </c>
      <c r="D432" s="5" t="inlineStr">
        <is>
          <t>METOPROLOL TARTRATE 50MG TABLET</t>
        </is>
      </c>
      <c r="E432" s="6" t="inlineStr">
        <is>
          <t>1000.0</t>
        </is>
      </c>
      <c r="F432" s="7" t="n">
        <v>30</v>
      </c>
      <c r="G432" s="7" t="n">
        <v>0.03</v>
      </c>
      <c r="H432" s="7" t="n">
        <v>0</v>
      </c>
      <c r="I432" s="7" t="n">
        <v>-0.03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72578000805</t>
        </is>
      </c>
      <c r="D433" s="5" t="inlineStr">
        <is>
          <t>METRONIDAZOLE 500MG TABLET</t>
        </is>
      </c>
      <c r="E433" s="6" t="inlineStr">
        <is>
          <t>500.0</t>
        </is>
      </c>
      <c r="F433" s="7" t="n">
        <v>14</v>
      </c>
      <c r="G433" s="7" t="n">
        <v>0.028</v>
      </c>
      <c r="H433" s="7" t="n">
        <v>0</v>
      </c>
      <c r="I433" s="7" t="n">
        <v>-0.028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70010013801</t>
        </is>
      </c>
      <c r="D434" s="5" t="inlineStr">
        <is>
          <t>NAPROXEN 375 MG TABLET</t>
        </is>
      </c>
      <c r="E434" s="6" t="inlineStr">
        <is>
          <t>100.0</t>
        </is>
      </c>
      <c r="F434" s="7" t="n">
        <v>20</v>
      </c>
      <c r="G434" s="7" t="n">
        <v>0.2</v>
      </c>
      <c r="H434" s="7" t="n">
        <v>0</v>
      </c>
      <c r="I434" s="7" t="n">
        <v>-0.2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00093172001</t>
        </is>
      </c>
      <c r="D435" s="5" t="inlineStr">
        <is>
          <t>WARFARIN SODIUM 10 MG ORAL TABLET</t>
        </is>
      </c>
      <c r="E435" s="6" t="inlineStr">
        <is>
          <t>100.0</t>
        </is>
      </c>
      <c r="F435" s="7" t="n">
        <v>10</v>
      </c>
      <c r="G435" s="7" t="n">
        <v>0.1</v>
      </c>
      <c r="H435" s="7" t="n">
        <v>0</v>
      </c>
      <c r="I435" s="7" t="n">
        <v>-0.1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69367032304</t>
        </is>
      </c>
      <c r="D436" s="5" t="inlineStr">
        <is>
          <t>ACETAMINOPHEN 160 MG/5ML LIQUID ***** NYM</t>
        </is>
      </c>
      <c r="E436" s="6" t="inlineStr">
        <is>
          <t>118.0</t>
        </is>
      </c>
      <c r="F436" s="7" t="n">
        <v>118</v>
      </c>
      <c r="G436" s="7" t="n">
        <v>1</v>
      </c>
      <c r="H436" s="7" t="n">
        <v>0</v>
      </c>
      <c r="I436" s="7" t="n">
        <v>-1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69680011225</t>
        </is>
      </c>
      <c r="D437" s="5" t="inlineStr">
        <is>
          <t>CYANOCOBALAMIN 1000 MCG/ML INJECTION SOLUTION</t>
        </is>
      </c>
      <c r="E437" s="6" t="inlineStr">
        <is>
          <t>25.0</t>
        </is>
      </c>
      <c r="F437" s="7" t="n">
        <v>3</v>
      </c>
      <c r="G437" s="7" t="n">
        <v>0.12</v>
      </c>
      <c r="H437" s="7" t="n">
        <v>0</v>
      </c>
      <c r="I437" s="7" t="n">
        <v>-0.12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00536741551</t>
        </is>
      </c>
      <c r="D438" s="5" t="inlineStr">
        <is>
          <t>ENEMA 7-19GM/118ML ENEMA</t>
        </is>
      </c>
      <c r="E438" s="6" t="inlineStr">
        <is>
          <t>133.0</t>
        </is>
      </c>
      <c r="F438" s="7" t="n">
        <v>133</v>
      </c>
      <c r="G438" s="7" t="n">
        <v>1</v>
      </c>
      <c r="H438" s="7" t="n">
        <v>0</v>
      </c>
      <c r="I438" s="7" t="n">
        <v>-1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69097015815</t>
        </is>
      </c>
      <c r="D439" s="5" t="inlineStr">
        <is>
          <t xml:space="preserve">MELOXICAM 7.5MG TAB </t>
        </is>
      </c>
      <c r="E439" s="6" t="inlineStr">
        <is>
          <t>1000.0</t>
        </is>
      </c>
      <c r="F439" s="7" t="n">
        <v>30</v>
      </c>
      <c r="G439" s="7" t="n">
        <v>0.03</v>
      </c>
      <c r="H439" s="7" t="n">
        <v>0</v>
      </c>
      <c r="I439" s="7" t="n">
        <v>-0.03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00132020140</t>
        </is>
      </c>
      <c r="D440" s="5" t="inlineStr">
        <is>
          <t>FLEET ENEMA 7-19GM/118ML ENEMA</t>
        </is>
      </c>
      <c r="E440" s="6" t="inlineStr">
        <is>
          <t>133.0</t>
        </is>
      </c>
      <c r="F440" s="7" t="n">
        <v>133</v>
      </c>
      <c r="G440" s="7" t="n">
        <v>1</v>
      </c>
      <c r="H440" s="7" t="n">
        <v>2</v>
      </c>
      <c r="I440" s="7" t="n">
        <v>1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65862019399</t>
        </is>
      </c>
      <c r="D441" s="5" t="inlineStr">
        <is>
          <t>FLUOXETINE 20MG CAPSULE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65162089603</t>
        </is>
      </c>
      <c r="D442" s="5" t="inlineStr">
        <is>
          <t xml:space="preserve">ARIPIPRAZOLE 2MG TABLET </t>
        </is>
      </c>
      <c r="E442" s="6" t="inlineStr">
        <is>
          <t>30.0</t>
        </is>
      </c>
      <c r="F442" s="7" t="n">
        <v>30</v>
      </c>
      <c r="G442" s="7" t="n">
        <v>1</v>
      </c>
      <c r="H442" s="7" t="n">
        <v>0</v>
      </c>
      <c r="I442" s="7" t="n">
        <v>-1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53746051405</t>
        </is>
      </c>
      <c r="D443" s="5" t="inlineStr">
        <is>
          <t>SPIRONOLACTONE 50MG TABLET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64380078508</t>
        </is>
      </c>
      <c r="D444" s="5" t="inlineStr">
        <is>
          <t>PREDNISONE 20MG TABLET</t>
        </is>
      </c>
      <c r="E444" s="6" t="inlineStr">
        <is>
          <t>1000.0</t>
        </is>
      </c>
      <c r="F444" s="7" t="n">
        <v>10</v>
      </c>
      <c r="G444" s="7" t="n">
        <v>0.01</v>
      </c>
      <c r="H444" s="7" t="n">
        <v>0</v>
      </c>
      <c r="I444" s="7" t="n">
        <v>-0.01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00168001531</t>
        </is>
      </c>
      <c r="D445" s="5" t="inlineStr">
        <is>
          <t>HYDROCORTISONE 1% CREAM</t>
        </is>
      </c>
      <c r="E445" s="6" t="inlineStr">
        <is>
          <t>28.35</t>
        </is>
      </c>
      <c r="F445" s="7" t="n">
        <v>28.35</v>
      </c>
      <c r="G445" s="7" t="n">
        <v>1</v>
      </c>
      <c r="H445" s="7" t="n">
        <v>6</v>
      </c>
      <c r="I445" s="7" t="n">
        <v>5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1</v>
      </c>
      <c r="I446" s="7" t="n">
        <v>0.9399999999999999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67877019710</t>
        </is>
      </c>
      <c r="D447" s="5" t="inlineStr">
        <is>
          <t>AMLODIPINE 2.5MG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1</v>
      </c>
      <c r="I447" s="7" t="n">
        <v>0.91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57664050318</t>
        </is>
      </c>
      <c r="D448" s="5" t="inlineStr">
        <is>
          <t>TIZANIDINE 4MG TABLET</t>
        </is>
      </c>
      <c r="E448" s="6" t="inlineStr">
        <is>
          <t>1000.0</t>
        </is>
      </c>
      <c r="F448" s="7" t="n">
        <v>30</v>
      </c>
      <c r="G448" s="7" t="n">
        <v>0.03</v>
      </c>
      <c r="H448" s="7" t="n">
        <v>0</v>
      </c>
      <c r="I448" s="7" t="n">
        <v>-0.03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31722053612</t>
        </is>
      </c>
      <c r="D449" s="5" t="inlineStr">
        <is>
          <t>LEVETIRACETAM 250 MG TABLET</t>
        </is>
      </c>
      <c r="E449" s="6" t="inlineStr">
        <is>
          <t>120.0</t>
        </is>
      </c>
      <c r="F449" s="7" t="n">
        <v>30</v>
      </c>
      <c r="G449" s="7" t="n">
        <v>0.25</v>
      </c>
      <c r="H449" s="7" t="n">
        <v>0</v>
      </c>
      <c r="I449" s="7" t="n">
        <v>-0.25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08222440006</t>
        </is>
      </c>
      <c r="D450" s="5" t="inlineStr">
        <is>
          <t>ALCOHOL PADS ULTICARE</t>
        </is>
      </c>
      <c r="E450" s="6" t="inlineStr">
        <is>
          <t>100.0</t>
        </is>
      </c>
      <c r="F450" s="7" t="n">
        <v>800</v>
      </c>
      <c r="G450" s="7" t="n">
        <v>8</v>
      </c>
      <c r="H450" s="7" t="n">
        <v>0</v>
      </c>
      <c r="I450" s="7" t="n">
        <v>-8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57237023301</t>
        </is>
      </c>
      <c r="D451" s="5" t="inlineStr">
        <is>
          <t>SULFAMETHOXAZOLE-TRIMETHOPRIM 800-160MG TABLET</t>
        </is>
      </c>
      <c r="E451" s="6" t="inlineStr">
        <is>
          <t>100.0</t>
        </is>
      </c>
      <c r="F451" s="7" t="n">
        <v>20</v>
      </c>
      <c r="G451" s="7" t="n">
        <v>0.2</v>
      </c>
      <c r="H451" s="7" t="n">
        <v>0</v>
      </c>
      <c r="I451" s="7" t="n">
        <v>-0.2</v>
      </c>
      <c r="J451" s="8" t="n">
        <v>11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00172409760</t>
        </is>
      </c>
      <c r="D452" s="5" t="inlineStr">
        <is>
          <t>BACLOFEN 20MG TABLET</t>
        </is>
      </c>
      <c r="E452" s="6" t="inlineStr">
        <is>
          <t>100.0</t>
        </is>
      </c>
      <c r="F452" s="7" t="n">
        <v>30</v>
      </c>
      <c r="G452" s="7" t="n">
        <v>0.3</v>
      </c>
      <c r="H452" s="7" t="n">
        <v>0</v>
      </c>
      <c r="I452" s="7" t="n">
        <v>-0.3</v>
      </c>
      <c r="J452" s="8" t="n">
        <v>11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00904679480</t>
        </is>
      </c>
      <c r="D453" s="5" t="inlineStr">
        <is>
          <t>ASPIRIN LOW DOSE 81 MG TABLET CHEWABLE</t>
        </is>
      </c>
      <c r="E453" s="6" t="inlineStr">
        <is>
          <t>1000.0</t>
        </is>
      </c>
      <c r="F453" s="7" t="n">
        <v>30</v>
      </c>
      <c r="G453" s="7" t="n">
        <v>0.03</v>
      </c>
      <c r="H453" s="7" t="n">
        <v>0</v>
      </c>
      <c r="I453" s="7" t="n">
        <v>-0.03</v>
      </c>
      <c r="J453" s="8" t="n">
        <v>11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80681013200</t>
        </is>
      </c>
      <c r="D454" s="5" t="inlineStr">
        <is>
          <t>VITAMIN D 2 000 U TABLET</t>
        </is>
      </c>
      <c r="E454" s="6" t="inlineStr">
        <is>
          <t>500.0</t>
        </is>
      </c>
      <c r="F454" s="7" t="n">
        <v>570</v>
      </c>
      <c r="G454" s="7" t="n">
        <v>1.14</v>
      </c>
      <c r="H454" s="7" t="n">
        <v>2</v>
      </c>
      <c r="I454" s="7" t="n">
        <v>0.8600000000000001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70954000530</t>
        </is>
      </c>
      <c r="D455" s="5" t="inlineStr">
        <is>
          <t>OXYBUTYNIN CHLORIDE 5MG TABLET</t>
        </is>
      </c>
      <c r="E455" s="6" t="inlineStr">
        <is>
          <t>1000.0</t>
        </is>
      </c>
      <c r="F455" s="7" t="n">
        <v>30</v>
      </c>
      <c r="G455" s="7" t="n">
        <v>0.03</v>
      </c>
      <c r="H455" s="7" t="n">
        <v>0</v>
      </c>
      <c r="I455" s="7" t="n">
        <v>-0.03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00904674860</t>
        </is>
      </c>
      <c r="D456" s="5" t="inlineStr">
        <is>
          <t>BISACODYL 5MG TABLET DR</t>
        </is>
      </c>
      <c r="E456" s="6" t="inlineStr">
        <is>
          <t>100.0</t>
        </is>
      </c>
      <c r="F456" s="7" t="n">
        <v>24</v>
      </c>
      <c r="G456" s="7" t="n">
        <v>0.24</v>
      </c>
      <c r="H456" s="7" t="n">
        <v>6</v>
      </c>
      <c r="I456" s="7" t="n">
        <v>5.76</v>
      </c>
      <c r="J456" s="8" t="n">
        <v>10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70000017505</t>
        </is>
      </c>
      <c r="D457" s="5" t="inlineStr">
        <is>
          <t>IBUPROFEN 200MG TABLET</t>
        </is>
      </c>
      <c r="E457" s="6" t="inlineStr">
        <is>
          <t>500.0</t>
        </is>
      </c>
      <c r="F457" s="7" t="n">
        <v>30</v>
      </c>
      <c r="G457" s="7" t="n">
        <v>0.06</v>
      </c>
      <c r="H457" s="7" t="n">
        <v>0</v>
      </c>
      <c r="I457" s="7" t="n">
        <v>-0.06</v>
      </c>
      <c r="J457" s="8" t="n">
        <v>10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45802035758</t>
        </is>
      </c>
      <c r="D458" s="5" t="inlineStr">
        <is>
          <t>SALINE MIST SPRAY 0.65 % NASAL SOLUTION *NYM</t>
        </is>
      </c>
      <c r="E458" s="6" t="inlineStr">
        <is>
          <t>45.0</t>
        </is>
      </c>
      <c r="F458" s="7" t="n">
        <v>270</v>
      </c>
      <c r="G458" s="7" t="n">
        <v>6</v>
      </c>
      <c r="H458" s="7" t="n">
        <v>0</v>
      </c>
      <c r="I458" s="7" t="n">
        <v>-6</v>
      </c>
      <c r="J458" s="8" t="n">
        <v>10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00904674780</t>
        </is>
      </c>
      <c r="D459" s="5" t="inlineStr">
        <is>
          <t>IBUPROFEN 200 MG TABLET</t>
        </is>
      </c>
      <c r="E459" s="6" t="inlineStr">
        <is>
          <t>1000.0</t>
        </is>
      </c>
      <c r="F459" s="7" t="n">
        <v>15</v>
      </c>
      <c r="G459" s="7" t="n">
        <v>0.015</v>
      </c>
      <c r="H459" s="7" t="n">
        <v>0</v>
      </c>
      <c r="I459" s="7" t="n">
        <v>-0.015</v>
      </c>
      <c r="J459" s="8" t="n">
        <v>10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69097015912</t>
        </is>
      </c>
      <c r="D460" s="5" t="inlineStr">
        <is>
          <t xml:space="preserve">MELOXICAM 15MG TAB </t>
        </is>
      </c>
      <c r="E460" s="6" t="inlineStr">
        <is>
          <t>500.0</t>
        </is>
      </c>
      <c r="F460" s="7" t="n">
        <v>30</v>
      </c>
      <c r="G460" s="7" t="n">
        <v>0.06</v>
      </c>
      <c r="H460" s="7" t="n">
        <v>0</v>
      </c>
      <c r="I460" s="7" t="n">
        <v>-0.06</v>
      </c>
      <c r="J460" s="8" t="n">
        <v>10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51991020311</t>
        </is>
      </c>
      <c r="D461" s="5" t="inlineStr">
        <is>
          <t xml:space="preserve">FERREX 150 COMPLEXT CAP </t>
        </is>
      </c>
      <c r="E461" s="6" t="inlineStr">
        <is>
          <t>100.0</t>
        </is>
      </c>
      <c r="F461" s="7" t="n">
        <v>90</v>
      </c>
      <c r="G461" s="7" t="n">
        <v>0.9</v>
      </c>
      <c r="H461" s="7" t="n">
        <v>0</v>
      </c>
      <c r="I461" s="7" t="n">
        <v>-0.9</v>
      </c>
      <c r="J461" s="8" t="n">
        <v>10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00904539561</t>
        </is>
      </c>
      <c r="D462" s="5" t="inlineStr">
        <is>
          <t>FERREX 150 150 MG ORAL CAPSULE</t>
        </is>
      </c>
      <c r="E462" s="6" t="inlineStr">
        <is>
          <t>100.0</t>
        </is>
      </c>
      <c r="F462" s="7" t="n">
        <v>90</v>
      </c>
      <c r="G462" s="7" t="n">
        <v>0.9</v>
      </c>
      <c r="H462" s="7" t="n">
        <v>0</v>
      </c>
      <c r="I462" s="7" t="n">
        <v>-0.9</v>
      </c>
      <c r="J462" s="8" t="n">
        <v>9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80681016800</t>
        </is>
      </c>
      <c r="D463" s="5" t="inlineStr">
        <is>
          <t>VITAMIN D3 25MCG (1000 UT) TABLET *NYM</t>
        </is>
      </c>
      <c r="E463" s="6" t="inlineStr">
        <is>
          <t>90.0</t>
        </is>
      </c>
      <c r="F463" s="7" t="n">
        <v>1020</v>
      </c>
      <c r="G463" s="7" t="n">
        <v>11.33333333333333</v>
      </c>
      <c r="H463" s="7" t="n">
        <v>0</v>
      </c>
      <c r="I463" s="7" t="n">
        <v>-11.33333333333333</v>
      </c>
      <c r="J463" s="8" t="n">
        <v>8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54838001150</t>
        </is>
      </c>
      <c r="D464" s="5" t="inlineStr">
        <is>
          <t>FERROUS SULFATE 75 (15 FE) MG/ML ORAL SOLUTION</t>
        </is>
      </c>
      <c r="E464" s="6" t="inlineStr">
        <is>
          <t>50.0</t>
        </is>
      </c>
      <c r="F464" s="7" t="n">
        <v>150</v>
      </c>
      <c r="G464" s="7" t="n">
        <v>3</v>
      </c>
      <c r="H464" s="7" t="n">
        <v>0</v>
      </c>
      <c r="I464" s="7" t="n">
        <v>-3</v>
      </c>
      <c r="J464" s="8" t="n">
        <v>8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54838000650</t>
        </is>
      </c>
      <c r="D465" s="5" t="inlineStr">
        <is>
          <t>VITAMIN D 10MCG/ML LIQUID</t>
        </is>
      </c>
      <c r="E465" s="6" t="inlineStr">
        <is>
          <t>50.0</t>
        </is>
      </c>
      <c r="F465" s="7" t="n">
        <v>150</v>
      </c>
      <c r="G465" s="7" t="n">
        <v>3</v>
      </c>
      <c r="H465" s="7" t="n">
        <v>0</v>
      </c>
      <c r="I465" s="7" t="n">
        <v>-3</v>
      </c>
      <c r="J465" s="8" t="n">
        <v>7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80681000500</t>
        </is>
      </c>
      <c r="D466" s="5" t="inlineStr">
        <is>
          <t>CALCIUM 600MG TABLET</t>
        </is>
      </c>
      <c r="E466" s="6" t="inlineStr">
        <is>
          <t>60.0</t>
        </is>
      </c>
      <c r="F466" s="7" t="n">
        <v>120</v>
      </c>
      <c r="G466" s="7" t="n">
        <v>2</v>
      </c>
      <c r="H466" s="7" t="n">
        <v>0</v>
      </c>
      <c r="I466" s="7" t="n">
        <v>-2</v>
      </c>
      <c r="J466" s="8" t="n">
        <v>7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00536137801</t>
        </is>
      </c>
      <c r="D467" s="5" t="inlineStr">
        <is>
          <t>VITAMIN B COMPLEX CAPSULE</t>
        </is>
      </c>
      <c r="E467" s="6" t="inlineStr">
        <is>
          <t>100.0</t>
        </is>
      </c>
      <c r="F467" s="7" t="n">
        <v>90</v>
      </c>
      <c r="G467" s="7" t="n">
        <v>0.9</v>
      </c>
      <c r="H467" s="7" t="n">
        <v>0</v>
      </c>
      <c r="I467" s="7" t="n">
        <v>-0.9</v>
      </c>
      <c r="J467" s="8" t="n">
        <v>6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20555000100</t>
        </is>
      </c>
      <c r="D468" s="5" t="inlineStr">
        <is>
          <t>VITAMIN C 250MG TABLET</t>
        </is>
      </c>
      <c r="E468" s="6" t="inlineStr">
        <is>
          <t>100.0</t>
        </is>
      </c>
      <c r="F468" s="7" t="n">
        <v>225</v>
      </c>
      <c r="G468" s="7" t="n">
        <v>2.25</v>
      </c>
      <c r="H468" s="7" t="n">
        <v>0</v>
      </c>
      <c r="I468" s="7" t="n">
        <v>-2.25</v>
      </c>
      <c r="J468" s="8" t="n">
        <v>6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10006073038</t>
        </is>
      </c>
      <c r="D469" s="5" t="inlineStr">
        <is>
          <t>MAGNESIUM OXIDE 400MG TABLET</t>
        </is>
      </c>
      <c r="E469" s="6" t="inlineStr">
        <is>
          <t>120.0</t>
        </is>
      </c>
      <c r="F469" s="7" t="n">
        <v>510</v>
      </c>
      <c r="G469" s="7" t="n">
        <v>4.25</v>
      </c>
      <c r="H469" s="7" t="n">
        <v>10</v>
      </c>
      <c r="I469" s="7" t="n">
        <v>5.75</v>
      </c>
      <c r="J469" s="8" t="n">
        <v>5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69367016507</t>
        </is>
      </c>
      <c r="D470" s="5" t="inlineStr">
        <is>
          <t>FERROUS GLUCONATE 324 (38 FE) MG ORAL TABLET</t>
        </is>
      </c>
      <c r="E470" s="6" t="inlineStr">
        <is>
          <t>1000.0</t>
        </is>
      </c>
      <c r="F470" s="7" t="n">
        <v>90</v>
      </c>
      <c r="G470" s="7" t="n">
        <v>0.09</v>
      </c>
      <c r="H470" s="7" t="n">
        <v>0</v>
      </c>
      <c r="I470" s="7" t="n">
        <v>-0.09</v>
      </c>
      <c r="J470" s="8" t="n">
        <v>4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80681004900</t>
        </is>
      </c>
      <c r="D471" s="5" t="inlineStr">
        <is>
          <t>MULTIVITAMIN CHILDRENS TABLET CHEWABLE</t>
        </is>
      </c>
      <c r="E471" s="6" t="inlineStr">
        <is>
          <t>100.0</t>
        </is>
      </c>
      <c r="F471" s="7" t="n">
        <v>210</v>
      </c>
      <c r="G471" s="7" t="n">
        <v>2.1</v>
      </c>
      <c r="H471" s="7" t="n">
        <v>0</v>
      </c>
      <c r="I471" s="7" t="n">
        <v>-2.1</v>
      </c>
      <c r="J471" s="8" t="n">
        <v>4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00904052360</t>
        </is>
      </c>
      <c r="D472" s="5" t="inlineStr">
        <is>
          <t>VITAMIN C 500MG TABLET</t>
        </is>
      </c>
      <c r="E472" s="6" t="inlineStr">
        <is>
          <t>100.0</t>
        </is>
      </c>
      <c r="F472" s="7" t="n">
        <v>165</v>
      </c>
      <c r="G472" s="7" t="n">
        <v>1.65</v>
      </c>
      <c r="H472" s="7" t="n">
        <v>0</v>
      </c>
      <c r="I472" s="7" t="n">
        <v>-1.65</v>
      </c>
      <c r="J472" s="8" t="n">
        <v>2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00904546052</t>
        </is>
      </c>
      <c r="D473" s="5" t="inlineStr">
        <is>
          <t>CALCIUM W/D 500-5 MG-MCG ORAL TABLET</t>
        </is>
      </c>
      <c r="E473" s="6" t="inlineStr">
        <is>
          <t>60.0</t>
        </is>
      </c>
      <c r="F473" s="7" t="n">
        <v>90</v>
      </c>
      <c r="G473" s="7" t="n">
        <v>1.5</v>
      </c>
      <c r="H473" s="7" t="n">
        <v>0</v>
      </c>
      <c r="I473" s="7" t="n">
        <v>-1.5</v>
      </c>
      <c r="J473" s="8" t="n">
        <v>2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80681009800</t>
        </is>
      </c>
      <c r="D474" s="5" t="inlineStr">
        <is>
          <t>VITAMIN B-1 100MG TABLET</t>
        </is>
      </c>
      <c r="E474" s="6" t="inlineStr">
        <is>
          <t>100.0</t>
        </is>
      </c>
      <c r="F474" s="7" t="n">
        <v>60</v>
      </c>
      <c r="G474" s="7" t="n">
        <v>0.6</v>
      </c>
      <c r="H474" s="7" t="n">
        <v>3</v>
      </c>
      <c r="I474" s="7" t="n">
        <v>2.4</v>
      </c>
      <c r="J474" s="8" t="n">
        <v>2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10006073016</t>
        </is>
      </c>
      <c r="D475" s="5" t="inlineStr">
        <is>
          <t>VITAMIN B-6 50MG TABLET</t>
        </is>
      </c>
      <c r="E475" s="6" t="inlineStr">
        <is>
          <t>1000.0</t>
        </is>
      </c>
      <c r="F475" s="7" t="n">
        <v>30</v>
      </c>
      <c r="G475" s="7" t="n">
        <v>0.03</v>
      </c>
      <c r="H475" s="7" t="n">
        <v>0</v>
      </c>
      <c r="I475" s="7" t="n">
        <v>-0.03</v>
      </c>
      <c r="J475" s="8" t="n">
        <v>1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NYM</t>
        </is>
      </c>
      <c r="C476" s="5" t="inlineStr">
        <is>
          <t>91237000128</t>
        </is>
      </c>
      <c r="D476" s="5" t="inlineStr">
        <is>
          <t xml:space="preserve">ALCOHOL PADS EASY COMFORT  ALPINE </t>
        </is>
      </c>
      <c r="E476" s="6" t="inlineStr">
        <is>
          <t>100.0</t>
        </is>
      </c>
      <c r="F476" s="7" t="n">
        <v>100</v>
      </c>
      <c r="G476" s="7" t="n">
        <v>1</v>
      </c>
      <c r="H476" s="7" t="n">
        <v>0</v>
      </c>
      <c r="I476" s="7" t="n">
        <v>-1</v>
      </c>
      <c r="J476" s="8" t="n">
        <v>1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NYM</t>
        </is>
      </c>
      <c r="C477" s="5" t="inlineStr">
        <is>
          <t>80681016600</t>
        </is>
      </c>
      <c r="D477" s="5" t="inlineStr">
        <is>
          <t>VITAMIN C 1000MG TABLET</t>
        </is>
      </c>
      <c r="E477" s="6" t="inlineStr">
        <is>
          <t>100.0</t>
        </is>
      </c>
      <c r="F477" s="7" t="n">
        <v>60</v>
      </c>
      <c r="G477" s="7" t="n">
        <v>0.6</v>
      </c>
      <c r="H477" s="7" t="n">
        <v>0</v>
      </c>
      <c r="I477" s="7" t="n">
        <v>-0.6</v>
      </c>
      <c r="J477" s="8" t="n">
        <v>1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NYM</t>
        </is>
      </c>
      <c r="C478" s="5" t="inlineStr">
        <is>
          <t>80681000400</t>
        </is>
      </c>
      <c r="D478" s="5" t="inlineStr">
        <is>
          <t>OYSTER SHELL CALCIUM 500MG TABLET</t>
        </is>
      </c>
      <c r="E478" s="6" t="inlineStr">
        <is>
          <t>250.0</t>
        </is>
      </c>
      <c r="F478" s="7" t="n">
        <v>30</v>
      </c>
      <c r="G478" s="7" t="n">
        <v>0.12</v>
      </c>
      <c r="H478" s="7" t="n">
        <v>0</v>
      </c>
      <c r="I478" s="7" t="n">
        <v>-0.12</v>
      </c>
      <c r="J478" s="8" t="n">
        <v>1</v>
      </c>
      <c r="K478" s="9">
        <f>IFERROR(IF((ROUND((J478/G478)*I478,1))&lt;0,(ROUND((J478/G478)*I478,1)),0),0)</f>
        <v/>
      </c>
    </row>
    <row r="479">
      <c r="E479" s="10" t="inlineStr">
        <is>
          <t>TOTAL</t>
        </is>
      </c>
      <c r="F479" s="11">
        <f>SUM(F4:F478)</f>
        <v/>
      </c>
      <c r="G479" s="11">
        <f>SUM(G4:G478)</f>
        <v/>
      </c>
      <c r="H479" s="11">
        <f>SUM(H4:H478)</f>
        <v/>
      </c>
      <c r="I479" s="11">
        <f>SUM(I4:I478)</f>
        <v/>
      </c>
      <c r="J479" s="12">
        <f>SUM(J4:J478)</f>
        <v/>
      </c>
      <c r="K479" s="13">
        <f>SUM(K4:K478)</f>
        <v/>
      </c>
    </row>
    <row r="480">
      <c r="J480" s="14" t="inlineStr">
        <is>
          <t>Audited Drugs Count</t>
        </is>
      </c>
      <c r="K480" s="15">
        <f>COUNTIF(K4:K478,"&lt;0")</f>
        <v/>
      </c>
    </row>
    <row r="481">
      <c r="J481" s="14" t="inlineStr">
        <is>
          <t>Total Audit Exposure</t>
        </is>
      </c>
      <c r="K481" s="16">
        <f>SUMIF(K4:K478,"&lt;0",K4:K478)</f>
        <v/>
      </c>
    </row>
  </sheetData>
  <autoFilter ref="A3:K478"/>
  <mergeCells count="2">
    <mergeCell ref="A2:K2"/>
    <mergeCell ref="A1:K1"/>
  </mergeCells>
  <conditionalFormatting sqref="E4:K478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8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65649030302</t>
        </is>
      </c>
      <c r="D4" s="5" t="inlineStr">
        <is>
          <t>XIFAXAN 550MG TABLET</t>
        </is>
      </c>
      <c r="E4" s="6" t="inlineStr">
        <is>
          <t>60.0</t>
        </is>
      </c>
      <c r="F4" s="7" t="n">
        <v>60</v>
      </c>
      <c r="G4" s="7" t="n">
        <v>1</v>
      </c>
      <c r="H4" s="7" t="n">
        <v>1</v>
      </c>
      <c r="I4" s="7" t="n">
        <v>0</v>
      </c>
      <c r="J4" s="8" t="n">
        <v>3474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00002246080</t>
        </is>
      </c>
      <c r="D5" s="5" t="inlineStr">
        <is>
          <t>ZEPBOUND 12.5 MG/0.5ML AUTO-INJECTOR</t>
        </is>
      </c>
      <c r="E5" s="6" t="inlineStr">
        <is>
          <t>2.0</t>
        </is>
      </c>
      <c r="F5" s="7" t="n">
        <v>4</v>
      </c>
      <c r="G5" s="7" t="n">
        <v>2</v>
      </c>
      <c r="H5" s="7" t="n">
        <v>2</v>
      </c>
      <c r="I5" s="7" t="n">
        <v>0</v>
      </c>
      <c r="J5" s="8" t="n">
        <v>2049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00187540008</t>
        </is>
      </c>
      <c r="D6" s="5" t="inlineStr">
        <is>
          <t>JUBLIA 10 % EXTERNAL SOLUTION</t>
        </is>
      </c>
      <c r="E6" s="6" t="inlineStr">
        <is>
          <t>8.0</t>
        </is>
      </c>
      <c r="F6" s="7" t="n">
        <v>8</v>
      </c>
      <c r="G6" s="7" t="n">
        <v>1</v>
      </c>
      <c r="H6" s="7" t="n">
        <v>0</v>
      </c>
      <c r="I6" s="7" t="n">
        <v>-1</v>
      </c>
      <c r="J6" s="8" t="n">
        <v>1639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00074709430</t>
        </is>
      </c>
      <c r="D7" s="5" t="inlineStr">
        <is>
          <t>QULIPTA 60 MG ORAL TABLET</t>
        </is>
      </c>
      <c r="E7" s="6" t="inlineStr">
        <is>
          <t>30.0</t>
        </is>
      </c>
      <c r="F7" s="7" t="n">
        <v>30</v>
      </c>
      <c r="G7" s="7" t="n">
        <v>1</v>
      </c>
      <c r="H7" s="7" t="n">
        <v>1</v>
      </c>
      <c r="I7" s="7" t="n">
        <v>0</v>
      </c>
      <c r="J7" s="8" t="n">
        <v>1124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00002150680</t>
        </is>
      </c>
      <c r="D8" s="5" t="inlineStr">
        <is>
          <t>MOUNJARO 2.5 MG/0.5ML PEN-INJECTOR</t>
        </is>
      </c>
      <c r="E8" s="6" t="inlineStr">
        <is>
          <t>2.0</t>
        </is>
      </c>
      <c r="F8" s="7" t="n">
        <v>2</v>
      </c>
      <c r="G8" s="7" t="n">
        <v>1</v>
      </c>
      <c r="H8" s="7" t="n">
        <v>1</v>
      </c>
      <c r="I8" s="7" t="n">
        <v>0</v>
      </c>
      <c r="J8" s="8" t="n">
        <v>1115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72511076002</t>
        </is>
      </c>
      <c r="D9" s="5" t="inlineStr">
        <is>
          <t>REPATHA SURECLICK 140MG/ML INJECTION</t>
        </is>
      </c>
      <c r="E9" s="6" t="inlineStr">
        <is>
          <t>2.0</t>
        </is>
      </c>
      <c r="F9" s="7" t="n">
        <v>4</v>
      </c>
      <c r="G9" s="7" t="n">
        <v>2</v>
      </c>
      <c r="H9" s="7" t="n">
        <v>0</v>
      </c>
      <c r="I9" s="7" t="n">
        <v>-2</v>
      </c>
      <c r="J9" s="8" t="n">
        <v>1056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00002148480</t>
        </is>
      </c>
      <c r="D10" s="5" t="inlineStr">
        <is>
          <t>MOUNJARO 7.5 MG/0.5ML PEN-INJECTOR</t>
        </is>
      </c>
      <c r="E10" s="6" t="inlineStr">
        <is>
          <t>2.0</t>
        </is>
      </c>
      <c r="F10" s="7" t="n">
        <v>2</v>
      </c>
      <c r="G10" s="7" t="n">
        <v>1</v>
      </c>
      <c r="H10" s="7" t="n">
        <v>11</v>
      </c>
      <c r="I10" s="7" t="n">
        <v>10</v>
      </c>
      <c r="J10" s="8" t="n">
        <v>1032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00002247180</t>
        </is>
      </c>
      <c r="D11" s="5" t="inlineStr">
        <is>
          <t>ZEPBOUND 10 MG/0.5ML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</v>
      </c>
      <c r="I11" s="7" t="n">
        <v>0</v>
      </c>
      <c r="J11" s="8" t="n">
        <v>1025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00023916360</t>
        </is>
      </c>
      <c r="D12" s="5" t="inlineStr">
        <is>
          <t xml:space="preserve">RESTASIS 0.05% EMULSION </t>
        </is>
      </c>
      <c r="E12" s="6" t="inlineStr">
        <is>
          <t>60.0</t>
        </is>
      </c>
      <c r="F12" s="7" t="n">
        <v>120</v>
      </c>
      <c r="G12" s="7" t="n">
        <v>2</v>
      </c>
      <c r="H12" s="7" t="n">
        <v>16</v>
      </c>
      <c r="I12" s="7" t="n">
        <v>14</v>
      </c>
      <c r="J12" s="8" t="n">
        <v>1018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00002250680</t>
        </is>
      </c>
      <c r="D13" s="5" t="inlineStr">
        <is>
          <t>ZEPBOUND 2.5 MG/0.5ML AUTO-INJECTOR</t>
        </is>
      </c>
      <c r="E13" s="6" t="inlineStr">
        <is>
          <t>2.0</t>
        </is>
      </c>
      <c r="F13" s="7" t="n">
        <v>2</v>
      </c>
      <c r="G13" s="7" t="n">
        <v>1</v>
      </c>
      <c r="H13" s="7" t="n">
        <v>1</v>
      </c>
      <c r="I13" s="7" t="n">
        <v>0</v>
      </c>
      <c r="J13" s="8" t="n">
        <v>1007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81968035101</t>
        </is>
      </c>
      <c r="D14" s="5" t="inlineStr">
        <is>
          <t>SUNOSI 150 MG ORAL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1</v>
      </c>
      <c r="I14" s="7" t="n">
        <v>0</v>
      </c>
      <c r="J14" s="8" t="n">
        <v>847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00574062105</t>
        </is>
      </c>
      <c r="D15" s="5" t="inlineStr">
        <is>
          <t>PODOFILOX 0.5 % EXTERNAL GEL</t>
        </is>
      </c>
      <c r="E15" s="6" t="inlineStr">
        <is>
          <t>3.5</t>
        </is>
      </c>
      <c r="F15" s="7" t="n">
        <v>3.5</v>
      </c>
      <c r="G15" s="7" t="n">
        <v>1</v>
      </c>
      <c r="H15" s="7" t="n">
        <v>0</v>
      </c>
      <c r="I15" s="7" t="n">
        <v>-1</v>
      </c>
      <c r="J15" s="8" t="n">
        <v>470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08627007701</t>
        </is>
      </c>
      <c r="D16" s="5" t="inlineStr">
        <is>
          <t>DEXCOM G7 SENSOR</t>
        </is>
      </c>
      <c r="E16" s="6" t="inlineStr">
        <is>
          <t>1.0</t>
        </is>
      </c>
      <c r="F16" s="7" t="n">
        <v>3</v>
      </c>
      <c r="G16" s="7" t="n">
        <v>3</v>
      </c>
      <c r="H16" s="7" t="n">
        <v>10</v>
      </c>
      <c r="I16" s="7" t="n">
        <v>7</v>
      </c>
      <c r="J16" s="8" t="n">
        <v>356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58160082311</t>
        </is>
      </c>
      <c r="D17" s="5" t="inlineStr">
        <is>
          <t>SHINGRIX 50 MCG/0.5ML IM SUSP RECON</t>
        </is>
      </c>
      <c r="E17" s="6" t="inlineStr">
        <is>
          <t>10.0</t>
        </is>
      </c>
      <c r="F17" s="7" t="n">
        <v>1</v>
      </c>
      <c r="G17" s="7" t="n">
        <v>0.1</v>
      </c>
      <c r="H17" s="7" t="n">
        <v>0</v>
      </c>
      <c r="I17" s="7" t="n">
        <v>-0.1</v>
      </c>
      <c r="J17" s="8" t="n">
        <v>240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200</v>
      </c>
      <c r="G18" s="7" t="n">
        <v>4</v>
      </c>
      <c r="H18" s="7" t="n">
        <v>0</v>
      </c>
      <c r="I18" s="7" t="n">
        <v>-4</v>
      </c>
      <c r="J18" s="8" t="n">
        <v>221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00065414727</t>
        </is>
      </c>
      <c r="D19" s="5" t="inlineStr">
        <is>
          <t>SIMBRINZA 1-0.2 % OPHTHALMIC SUSPENSION</t>
        </is>
      </c>
      <c r="E19" s="6" t="inlineStr">
        <is>
          <t>8.0</t>
        </is>
      </c>
      <c r="F19" s="7" t="n">
        <v>8</v>
      </c>
      <c r="G19" s="7" t="n">
        <v>1</v>
      </c>
      <c r="H19" s="7" t="n">
        <v>0</v>
      </c>
      <c r="I19" s="7" t="n">
        <v>-1</v>
      </c>
      <c r="J19" s="8" t="n">
        <v>219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49884014811</t>
        </is>
      </c>
      <c r="D20" s="5" t="inlineStr">
        <is>
          <t>DEXLANSOPRAZOLE 60 MG CAPSULE DR</t>
        </is>
      </c>
      <c r="E20" s="6" t="inlineStr">
        <is>
          <t>30.0</t>
        </is>
      </c>
      <c r="F20" s="7" t="n">
        <v>30</v>
      </c>
      <c r="G20" s="7" t="n">
        <v>1</v>
      </c>
      <c r="H20" s="7" t="n">
        <v>0</v>
      </c>
      <c r="I20" s="7" t="n">
        <v>-1</v>
      </c>
      <c r="J20" s="8" t="n">
        <v>159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00591352530</t>
        </is>
      </c>
      <c r="D21" s="5" t="inlineStr">
        <is>
          <t xml:space="preserve">LIDOCAINE 5% PATCH </t>
        </is>
      </c>
      <c r="E21" s="6" t="inlineStr">
        <is>
          <t>30.0</t>
        </is>
      </c>
      <c r="F21" s="7" t="n">
        <v>60</v>
      </c>
      <c r="G21" s="7" t="n">
        <v>2</v>
      </c>
      <c r="H21" s="7" t="n">
        <v>0</v>
      </c>
      <c r="I21" s="7" t="n">
        <v>-2</v>
      </c>
      <c r="J21" s="8" t="n">
        <v>124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60505059304</t>
        </is>
      </c>
      <c r="D22" s="5" t="inlineStr">
        <is>
          <t>TRAVOPROST  0.004% SOLUTION</t>
        </is>
      </c>
      <c r="E22" s="6" t="inlineStr">
        <is>
          <t>2.5</t>
        </is>
      </c>
      <c r="F22" s="7" t="n">
        <v>7.5</v>
      </c>
      <c r="G22" s="7" t="n">
        <v>3</v>
      </c>
      <c r="H22" s="7" t="n">
        <v>0</v>
      </c>
      <c r="I22" s="7" t="n">
        <v>-3</v>
      </c>
      <c r="J22" s="8" t="n">
        <v>108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72205028160</t>
        </is>
      </c>
      <c r="D23" s="5" t="inlineStr">
        <is>
          <t>SACUBITRIL-VALSARTAN 49-51 MG ORAL TABLET</t>
        </is>
      </c>
      <c r="E23" s="6" t="inlineStr">
        <is>
          <t>60.0</t>
        </is>
      </c>
      <c r="F23" s="7" t="n">
        <v>60</v>
      </c>
      <c r="G23" s="7" t="n">
        <v>1</v>
      </c>
      <c r="H23" s="7" t="n">
        <v>0</v>
      </c>
      <c r="I23" s="7" t="n">
        <v>-1</v>
      </c>
      <c r="J23" s="8" t="n">
        <v>106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00597015230</t>
        </is>
      </c>
      <c r="D24" s="5" t="inlineStr">
        <is>
          <t xml:space="preserve">JARDIANCE 10MG TAB 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38</v>
      </c>
      <c r="I24" s="7" t="n">
        <v>35</v>
      </c>
      <c r="J24" s="8" t="n">
        <v>77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51672138903</t>
        </is>
      </c>
      <c r="D25" s="5" t="inlineStr">
        <is>
          <t>AZELAIC ACID 15 % EXTERNAL GEL</t>
        </is>
      </c>
      <c r="E25" s="6" t="inlineStr">
        <is>
          <t>50.0</t>
        </is>
      </c>
      <c r="F25" s="7" t="n">
        <v>50</v>
      </c>
      <c r="G25" s="7" t="n">
        <v>1</v>
      </c>
      <c r="H25" s="7" t="n">
        <v>0</v>
      </c>
      <c r="I25" s="7" t="n">
        <v>-1</v>
      </c>
      <c r="J25" s="8" t="n">
        <v>46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0</v>
      </c>
      <c r="I26" s="7" t="n">
        <v>-1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70377007913</t>
        </is>
      </c>
      <c r="D27" s="5" t="inlineStr">
        <is>
          <t>ATORVASTATIN 40MG TABLET</t>
        </is>
      </c>
      <c r="E27" s="6" t="inlineStr">
        <is>
          <t>1000.0</t>
        </is>
      </c>
      <c r="F27" s="7" t="n">
        <v>210</v>
      </c>
      <c r="G27" s="7" t="n">
        <v>0.21</v>
      </c>
      <c r="H27" s="7" t="n">
        <v>2</v>
      </c>
      <c r="I27" s="7" t="n">
        <v>1.79</v>
      </c>
      <c r="J27" s="8" t="n">
        <v>38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00093736810</t>
        </is>
      </c>
      <c r="D28" s="5" t="inlineStr">
        <is>
          <t>LOSARTAN HCTZ 100-25MG TABLET</t>
        </is>
      </c>
      <c r="E28" s="6" t="inlineStr">
        <is>
          <t>1000.0</t>
        </is>
      </c>
      <c r="F28" s="7" t="n">
        <v>180</v>
      </c>
      <c r="G28" s="7" t="n">
        <v>0.18</v>
      </c>
      <c r="H28" s="7" t="n">
        <v>0</v>
      </c>
      <c r="I28" s="7" t="n">
        <v>-0.18</v>
      </c>
      <c r="J28" s="8" t="n">
        <v>35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00093221005</t>
        </is>
      </c>
      <c r="D29" s="5" t="inlineStr">
        <is>
          <t xml:space="preserve">SUCRALFATE 1GM TAB </t>
        </is>
      </c>
      <c r="E29" s="6" t="inlineStr">
        <is>
          <t>500.0</t>
        </is>
      </c>
      <c r="F29" s="7" t="n">
        <v>180</v>
      </c>
      <c r="G29" s="7" t="n">
        <v>0.36</v>
      </c>
      <c r="H29" s="7" t="n">
        <v>2</v>
      </c>
      <c r="I29" s="7" t="n">
        <v>1.64</v>
      </c>
      <c r="J29" s="8" t="n">
        <v>33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69097012715</t>
        </is>
      </c>
      <c r="D31" s="5" t="inlineStr">
        <is>
          <t xml:space="preserve">AMLODIPINE 5MG TABLET </t>
        </is>
      </c>
      <c r="E31" s="6" t="inlineStr">
        <is>
          <t>1000.0</t>
        </is>
      </c>
      <c r="F31" s="7" t="n">
        <v>390</v>
      </c>
      <c r="G31" s="7" t="n">
        <v>0.39</v>
      </c>
      <c r="H31" s="7" t="n">
        <v>5</v>
      </c>
      <c r="I31" s="7" t="n">
        <v>4.61</v>
      </c>
      <c r="J31" s="8" t="n">
        <v>24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51672130009</t>
        </is>
      </c>
      <c r="D32" s="5" t="inlineStr">
        <is>
          <t>AMMONIUM LACTATE 12 % EXTERNAL LOTION</t>
        </is>
      </c>
      <c r="E32" s="6" t="inlineStr">
        <is>
          <t>400.0</t>
        </is>
      </c>
      <c r="F32" s="7" t="n">
        <v>400</v>
      </c>
      <c r="G32" s="7" t="n">
        <v>1</v>
      </c>
      <c r="H32" s="7" t="n">
        <v>0</v>
      </c>
      <c r="I32" s="7" t="n">
        <v>-1</v>
      </c>
      <c r="J32" s="8" t="n">
        <v>23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47781023005</t>
        </is>
      </c>
      <c r="D33" s="5" t="inlineStr">
        <is>
          <t>OXYCODONE-APAP 10-325MG TABLET</t>
        </is>
      </c>
      <c r="E33" s="6" t="inlineStr">
        <is>
          <t>500.0</t>
        </is>
      </c>
      <c r="F33" s="7" t="n">
        <v>90</v>
      </c>
      <c r="G33" s="7" t="n">
        <v>0.18</v>
      </c>
      <c r="H33" s="7" t="n">
        <v>4</v>
      </c>
      <c r="I33" s="7" t="n">
        <v>3.82</v>
      </c>
      <c r="J33" s="8" t="n">
        <v>23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70010078005</t>
        </is>
      </c>
      <c r="D34" s="5" t="inlineStr">
        <is>
          <t>METOPROLOL SUCCINATE ER 25MG TABLET</t>
        </is>
      </c>
      <c r="E34" s="6" t="inlineStr">
        <is>
          <t>500.0</t>
        </is>
      </c>
      <c r="F34" s="7" t="n">
        <v>210</v>
      </c>
      <c r="G34" s="7" t="n">
        <v>0.42</v>
      </c>
      <c r="H34" s="7" t="n">
        <v>2</v>
      </c>
      <c r="I34" s="7" t="n">
        <v>1.58</v>
      </c>
      <c r="J34" s="8" t="n">
        <v>23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61442019205</t>
        </is>
      </c>
      <c r="D35" s="5" t="inlineStr">
        <is>
          <t>MEMANTINE 5MG TABLET</t>
        </is>
      </c>
      <c r="E35" s="6" t="inlineStr">
        <is>
          <t>500.0</t>
        </is>
      </c>
      <c r="F35" s="7" t="n">
        <v>90</v>
      </c>
      <c r="G35" s="7" t="n">
        <v>0.18</v>
      </c>
      <c r="H35" s="7" t="n">
        <v>0</v>
      </c>
      <c r="I35" s="7" t="n">
        <v>-0.18</v>
      </c>
      <c r="J35" s="8" t="n">
        <v>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65162003416</t>
        </is>
      </c>
      <c r="D36" s="5" t="inlineStr">
        <is>
          <t>OMEGA-3-ACID ETHYL ESTERS 1 GM ORAL CAPSULE</t>
        </is>
      </c>
      <c r="E36" s="6" t="inlineStr">
        <is>
          <t>120.0</t>
        </is>
      </c>
      <c r="F36" s="7" t="n">
        <v>120</v>
      </c>
      <c r="G36" s="7" t="n">
        <v>1</v>
      </c>
      <c r="H36" s="7" t="n">
        <v>0</v>
      </c>
      <c r="I36" s="7" t="n">
        <v>-1</v>
      </c>
      <c r="J36" s="8" t="n">
        <v>20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00121087316</t>
        </is>
      </c>
      <c r="D37" s="5" t="inlineStr">
        <is>
          <t>LACTULOSE 10 GM/15ML ORAL SOLUTION</t>
        </is>
      </c>
      <c r="E37" s="6" t="inlineStr">
        <is>
          <t>473.0</t>
        </is>
      </c>
      <c r="F37" s="7" t="n">
        <v>473</v>
      </c>
      <c r="G37" s="7" t="n">
        <v>1</v>
      </c>
      <c r="H37" s="7" t="n">
        <v>0</v>
      </c>
      <c r="I37" s="7" t="n">
        <v>-1</v>
      </c>
      <c r="J37" s="8" t="n">
        <v>19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68462039710</t>
        </is>
      </c>
      <c r="D38" s="5" t="inlineStr">
        <is>
          <t>OMEPRAZOLE 40MG CAPSULE DR</t>
        </is>
      </c>
      <c r="E38" s="6" t="inlineStr">
        <is>
          <t>1000.0</t>
        </is>
      </c>
      <c r="F38" s="7" t="n">
        <v>240</v>
      </c>
      <c r="G38" s="7" t="n">
        <v>0.24</v>
      </c>
      <c r="H38" s="7" t="n">
        <v>0</v>
      </c>
      <c r="I38" s="7" t="n">
        <v>-0.24</v>
      </c>
      <c r="J38" s="8" t="n">
        <v>15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120</v>
      </c>
      <c r="G39" s="7" t="n">
        <v>0.12</v>
      </c>
      <c r="H39" s="7" t="n">
        <v>2</v>
      </c>
      <c r="I39" s="7" t="n">
        <v>1.88</v>
      </c>
      <c r="J39" s="8" t="n">
        <v>15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59651078205</t>
        </is>
      </c>
      <c r="D40" s="5" t="inlineStr">
        <is>
          <t>GLIPIZIDE ER 10MG TABLET</t>
        </is>
      </c>
      <c r="E40" s="6" t="inlineStr">
        <is>
          <t>500.0</t>
        </is>
      </c>
      <c r="F40" s="7" t="n">
        <v>90</v>
      </c>
      <c r="G40" s="7" t="n">
        <v>0.18</v>
      </c>
      <c r="H40" s="7" t="n">
        <v>0</v>
      </c>
      <c r="I40" s="7" t="n">
        <v>-0.18</v>
      </c>
      <c r="J40" s="8" t="n">
        <v>14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53746054401</t>
        </is>
      </c>
      <c r="D41" s="5" t="inlineStr">
        <is>
          <t xml:space="preserve">PRIMIDONE 50MG TAB 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0</v>
      </c>
      <c r="I41" s="7" t="n">
        <v>-0.9</v>
      </c>
      <c r="J41" s="8" t="n">
        <v>14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65862014636</t>
        </is>
      </c>
      <c r="D42" s="5" t="inlineStr">
        <is>
          <t>SUMATRIPTAN SUCCINATE 25 MG ORAL TABLET</t>
        </is>
      </c>
      <c r="E42" s="6" t="inlineStr">
        <is>
          <t>9.0</t>
        </is>
      </c>
      <c r="F42" s="7" t="n">
        <v>12</v>
      </c>
      <c r="G42" s="7" t="n">
        <v>1.333333333333333</v>
      </c>
      <c r="H42" s="7" t="n">
        <v>0</v>
      </c>
      <c r="I42" s="7" t="n">
        <v>-1.333333333333333</v>
      </c>
      <c r="J42" s="8" t="n">
        <v>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61442010201</t>
        </is>
      </c>
      <c r="D43" s="5" t="inlineStr">
        <is>
          <t xml:space="preserve">DICLOFENAC SOD 50MG TAB DR </t>
        </is>
      </c>
      <c r="E43" s="6" t="inlineStr">
        <is>
          <t>100.0</t>
        </is>
      </c>
      <c r="F43" s="7" t="n">
        <v>60</v>
      </c>
      <c r="G43" s="7" t="n">
        <v>0.6</v>
      </c>
      <c r="H43" s="7" t="n">
        <v>0</v>
      </c>
      <c r="I43" s="7" t="n">
        <v>-0.6</v>
      </c>
      <c r="J43" s="8" t="n">
        <v>13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08222440006</t>
        </is>
      </c>
      <c r="D44" s="5" t="inlineStr">
        <is>
          <t>ALCOHOL PADS ULTICARE</t>
        </is>
      </c>
      <c r="E44" s="6" t="inlineStr">
        <is>
          <t>100.0</t>
        </is>
      </c>
      <c r="F44" s="7" t="n">
        <v>200</v>
      </c>
      <c r="G44" s="7" t="n">
        <v>2</v>
      </c>
      <c r="H44" s="7" t="n">
        <v>0</v>
      </c>
      <c r="I44" s="7" t="n">
        <v>-2</v>
      </c>
      <c r="J44" s="8" t="n">
        <v>13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69097022416</t>
        </is>
      </c>
      <c r="D45" s="5" t="inlineStr">
        <is>
          <t xml:space="preserve">ALENDRONATE 70MG TAB </t>
        </is>
      </c>
      <c r="E45" s="6" t="inlineStr">
        <is>
          <t>4.0</t>
        </is>
      </c>
      <c r="F45" s="7" t="n">
        <v>16</v>
      </c>
      <c r="G45" s="7" t="n">
        <v>4</v>
      </c>
      <c r="H45" s="7" t="n">
        <v>22</v>
      </c>
      <c r="I45" s="7" t="n">
        <v>18</v>
      </c>
      <c r="J45" s="8" t="n">
        <v>12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45802036862</t>
        </is>
      </c>
      <c r="D46" s="5" t="inlineStr">
        <is>
          <t>IMIQUIMOD 5 % EXTERNAL CREAM</t>
        </is>
      </c>
      <c r="E46" s="6" t="inlineStr">
        <is>
          <t>24.0</t>
        </is>
      </c>
      <c r="F46" s="7" t="n">
        <v>12</v>
      </c>
      <c r="G46" s="7" t="n">
        <v>0.5</v>
      </c>
      <c r="H46" s="7" t="n">
        <v>0</v>
      </c>
      <c r="I46" s="7" t="n">
        <v>-0.5</v>
      </c>
      <c r="J46" s="8" t="n">
        <v>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70954066210</t>
        </is>
      </c>
      <c r="D47" s="5" t="inlineStr">
        <is>
          <t>KETOCONAZOLE 2 % EXTERNAL SHAMPOO</t>
        </is>
      </c>
      <c r="E47" s="6" t="inlineStr">
        <is>
          <t>120.0</t>
        </is>
      </c>
      <c r="F47" s="7" t="n">
        <v>120</v>
      </c>
      <c r="G47" s="7" t="n">
        <v>1</v>
      </c>
      <c r="H47" s="7" t="n">
        <v>17</v>
      </c>
      <c r="I47" s="7" t="n">
        <v>16</v>
      </c>
      <c r="J47" s="8" t="n">
        <v>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23155060601</t>
        </is>
      </c>
      <c r="D48" s="5" t="inlineStr">
        <is>
          <t>GLYCOPYRROLATE 1MG TABLET</t>
        </is>
      </c>
      <c r="E48" s="6" t="inlineStr">
        <is>
          <t>100.0</t>
        </is>
      </c>
      <c r="F48" s="7" t="n">
        <v>60</v>
      </c>
      <c r="G48" s="7" t="n">
        <v>0.6</v>
      </c>
      <c r="H48" s="7" t="n">
        <v>0</v>
      </c>
      <c r="I48" s="7" t="n">
        <v>-0.6</v>
      </c>
      <c r="J48" s="8" t="n">
        <v>10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68180037603</t>
        </is>
      </c>
      <c r="D49" s="5" t="inlineStr">
        <is>
          <t>LOSARTAN POTASSIUM 25MG TABLET</t>
        </is>
      </c>
      <c r="E49" s="6" t="inlineStr">
        <is>
          <t>1000.0</t>
        </is>
      </c>
      <c r="F49" s="7" t="n">
        <v>90</v>
      </c>
      <c r="G49" s="7" t="n">
        <v>0.09</v>
      </c>
      <c r="H49" s="7" t="n">
        <v>0</v>
      </c>
      <c r="I49" s="7" t="n">
        <v>-0.09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42571016201</t>
        </is>
      </c>
      <c r="D50" s="5" t="inlineStr">
        <is>
          <t>AMOXICILLIN-CLAVULANATE 875-125MG TABLET</t>
        </is>
      </c>
      <c r="E50" s="6" t="inlineStr">
        <is>
          <t>100.0</t>
        </is>
      </c>
      <c r="F50" s="7" t="n">
        <v>14</v>
      </c>
      <c r="G50" s="7" t="n">
        <v>0.14</v>
      </c>
      <c r="H50" s="7" t="n">
        <v>2</v>
      </c>
      <c r="I50" s="7" t="n">
        <v>1.86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70377007813</t>
        </is>
      </c>
      <c r="D51" s="5" t="inlineStr">
        <is>
          <t>ATORVASTATIN 20MG TABLET</t>
        </is>
      </c>
      <c r="E51" s="6" t="inlineStr">
        <is>
          <t>1000.0</t>
        </is>
      </c>
      <c r="F51" s="7" t="n">
        <v>90</v>
      </c>
      <c r="G51" s="7" t="n">
        <v>0.09</v>
      </c>
      <c r="H51" s="7" t="n">
        <v>4</v>
      </c>
      <c r="I51" s="7" t="n">
        <v>3.91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68180096503</t>
        </is>
      </c>
      <c r="D52" s="5" t="inlineStr">
        <is>
          <t>LEVOTHYROXINE 25MCG TABLET</t>
        </is>
      </c>
      <c r="E52" s="6" t="inlineStr">
        <is>
          <t>1000.0</t>
        </is>
      </c>
      <c r="F52" s="7" t="n">
        <v>90</v>
      </c>
      <c r="G52" s="7" t="n">
        <v>0.09</v>
      </c>
      <c r="H52" s="7" t="n">
        <v>0</v>
      </c>
      <c r="I52" s="7" t="n">
        <v>-0.09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43547027611</t>
        </is>
      </c>
      <c r="D53" s="5" t="inlineStr">
        <is>
          <t xml:space="preserve">DONEPEZIL 10MG TAB 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65162044210</t>
        </is>
      </c>
      <c r="D54" s="5" t="inlineStr">
        <is>
          <t>MECLIZINE 25MG TABLET</t>
        </is>
      </c>
      <c r="E54" s="6" t="inlineStr">
        <is>
          <t>100.0</t>
        </is>
      </c>
      <c r="F54" s="7" t="n">
        <v>30</v>
      </c>
      <c r="G54" s="7" t="n">
        <v>0.3</v>
      </c>
      <c r="H54" s="7" t="n">
        <v>0</v>
      </c>
      <c r="I54" s="7" t="n">
        <v>-0.3</v>
      </c>
      <c r="J54" s="8" t="n">
        <v>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59746012110</t>
        </is>
      </c>
      <c r="D55" s="5" t="inlineStr">
        <is>
          <t>MECLIZINE HCL 25MG TABLET</t>
        </is>
      </c>
      <c r="E55" s="6" t="inlineStr">
        <is>
          <t>1000.0</t>
        </is>
      </c>
      <c r="F55" s="7" t="n">
        <v>30</v>
      </c>
      <c r="G55" s="7" t="n">
        <v>0.03</v>
      </c>
      <c r="H55" s="7" t="n">
        <v>0</v>
      </c>
      <c r="I55" s="7" t="n">
        <v>-0.03</v>
      </c>
      <c r="J55" s="8" t="n">
        <v>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72888001205</t>
        </is>
      </c>
      <c r="D56" s="5" t="inlineStr">
        <is>
          <t>CYCLOBENZAPRINE 5MG TABLET</t>
        </is>
      </c>
      <c r="E56" s="6" t="inlineStr">
        <is>
          <t>500.0</t>
        </is>
      </c>
      <c r="F56" s="7" t="n">
        <v>14</v>
      </c>
      <c r="G56" s="7" t="n">
        <v>0.028</v>
      </c>
      <c r="H56" s="7" t="n">
        <v>0</v>
      </c>
      <c r="I56" s="7" t="n">
        <v>-0.028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67877032105</t>
        </is>
      </c>
      <c r="D57" s="5" t="inlineStr">
        <is>
          <t xml:space="preserve">IBUPROFEN 800MG TAB </t>
        </is>
      </c>
      <c r="E57" s="6" t="inlineStr">
        <is>
          <t>500.0</t>
        </is>
      </c>
      <c r="F57" s="7" t="n">
        <v>90</v>
      </c>
      <c r="G57" s="7" t="n">
        <v>0.18</v>
      </c>
      <c r="H57" s="7" t="n">
        <v>0</v>
      </c>
      <c r="I57" s="7" t="n">
        <v>-0.18</v>
      </c>
      <c r="J57" s="8" t="n">
        <v>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2</v>
      </c>
      <c r="I58" s="7" t="n">
        <v>1.94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67877084210</t>
        </is>
      </c>
      <c r="D59" s="5" t="inlineStr">
        <is>
          <t>FAMOTIDINE 20MG TABLET</t>
        </is>
      </c>
      <c r="E59" s="6" t="inlineStr">
        <is>
          <t>1000.0</t>
        </is>
      </c>
      <c r="F59" s="7" t="n">
        <v>90</v>
      </c>
      <c r="G59" s="7" t="n">
        <v>0.09</v>
      </c>
      <c r="H59" s="7" t="n">
        <v>2</v>
      </c>
      <c r="I59" s="7" t="n">
        <v>1.91</v>
      </c>
      <c r="J59" s="8" t="n">
        <v>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00143924920</t>
        </is>
      </c>
      <c r="D60" s="5" t="inlineStr">
        <is>
          <t xml:space="preserve">AMOXICILLIN-POT CLAVULANATE 875-125 MG TABLET </t>
        </is>
      </c>
      <c r="E60" s="6" t="inlineStr">
        <is>
          <t>20.0</t>
        </is>
      </c>
      <c r="F60" s="7" t="n">
        <v>14</v>
      </c>
      <c r="G60" s="7" t="n">
        <v>0.7</v>
      </c>
      <c r="H60" s="7" t="n">
        <v>0</v>
      </c>
      <c r="I60" s="7" t="n">
        <v>-0.7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60505082901</t>
        </is>
      </c>
      <c r="D61" s="5" t="inlineStr">
        <is>
          <t>FLUTICASONE 50MCG (NASAL) SUSPENSION</t>
        </is>
      </c>
      <c r="E61" s="6" t="inlineStr">
        <is>
          <t>16.0</t>
        </is>
      </c>
      <c r="F61" s="7" t="n">
        <v>48</v>
      </c>
      <c r="G61" s="7" t="n">
        <v>3</v>
      </c>
      <c r="H61" s="7" t="n">
        <v>42</v>
      </c>
      <c r="I61" s="7" t="n">
        <v>39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57237022005</t>
        </is>
      </c>
      <c r="D62" s="5" t="inlineStr">
        <is>
          <t>PIOGLITAZONE 30MG TABLET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1</v>
      </c>
      <c r="I62" s="7" t="n">
        <v>0.9399999999999999</v>
      </c>
      <c r="J62" s="8" t="n">
        <v>4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59651002988</t>
        </is>
      </c>
      <c r="D63" s="5" t="inlineStr">
        <is>
          <t>LO-ZUMANDIMINE 3-0.02 MG ORAL TABLET</t>
        </is>
      </c>
      <c r="E63" s="6" t="inlineStr">
        <is>
          <t>84.0</t>
        </is>
      </c>
      <c r="F63" s="7" t="n">
        <v>28</v>
      </c>
      <c r="G63" s="7" t="n">
        <v>0.3333333333333333</v>
      </c>
      <c r="H63" s="7" t="n">
        <v>0</v>
      </c>
      <c r="I63" s="7" t="n">
        <v>-0.3333333333333333</v>
      </c>
      <c r="J63" s="8" t="n">
        <v>4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00555902658</t>
        </is>
      </c>
      <c r="D64" s="5" t="inlineStr">
        <is>
          <t>JUNEL FE 1/20 1-20MG TABLET</t>
        </is>
      </c>
      <c r="E64" s="6" t="inlineStr">
        <is>
          <t>28.0</t>
        </is>
      </c>
      <c r="F64" s="7" t="n">
        <v>28</v>
      </c>
      <c r="G64" s="7" t="n">
        <v>1</v>
      </c>
      <c r="H64" s="7" t="n">
        <v>1</v>
      </c>
      <c r="I64" s="7" t="n">
        <v>0</v>
      </c>
      <c r="J64" s="8" t="n">
        <v>4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57237003105</t>
        </is>
      </c>
      <c r="D65" s="5" t="inlineStr">
        <is>
          <t>AMOXICILLIN 500 MG CAPSULE</t>
        </is>
      </c>
      <c r="E65" s="6" t="inlineStr">
        <is>
          <t>500.0</t>
        </is>
      </c>
      <c r="F65" s="7" t="n">
        <v>21</v>
      </c>
      <c r="G65" s="7" t="n">
        <v>0.042</v>
      </c>
      <c r="H65" s="7" t="n">
        <v>1</v>
      </c>
      <c r="I65" s="7" t="n">
        <v>0.958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16</v>
      </c>
      <c r="G66" s="7" t="n">
        <v>0.16</v>
      </c>
      <c r="H66" s="7" t="n">
        <v>4</v>
      </c>
      <c r="I66" s="7" t="n">
        <v>3.84</v>
      </c>
      <c r="J66" s="8" t="n">
        <v>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65862018730</t>
        </is>
      </c>
      <c r="D67" s="5" t="inlineStr">
        <is>
          <t xml:space="preserve">ONDANSETRON 4MG TAB </t>
        </is>
      </c>
      <c r="E67" s="6" t="inlineStr">
        <is>
          <t>30.0</t>
        </is>
      </c>
      <c r="F67" s="7" t="n">
        <v>6</v>
      </c>
      <c r="G67" s="7" t="n">
        <v>0.2</v>
      </c>
      <c r="H67" s="7" t="n">
        <v>0</v>
      </c>
      <c r="I67" s="7" t="n">
        <v>-0.2</v>
      </c>
      <c r="J67" s="8" t="n">
        <v>3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65162067684</t>
        </is>
      </c>
      <c r="D68" s="5" t="inlineStr">
        <is>
          <t>AZELASTINE HCL 137 MCG/SPRAY NASAL SOLUTION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50228017501</t>
        </is>
      </c>
      <c r="D69" s="5" t="inlineStr">
        <is>
          <t>BUPROPION HCL ER (SR) 150 MG ORAL TABLET EXTENDED RELEASE 12 HOUR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3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OPTUM</t>
        </is>
      </c>
      <c r="C70" s="5" t="inlineStr">
        <is>
          <t>50111056003</t>
        </is>
      </c>
      <c r="D70" s="5" t="inlineStr">
        <is>
          <t>TRAZODONE 50MG TABLET</t>
        </is>
      </c>
      <c r="E70" s="6" t="inlineStr">
        <is>
          <t>1000.0</t>
        </is>
      </c>
      <c r="F70" s="7" t="n">
        <v>60</v>
      </c>
      <c r="G70" s="7" t="n">
        <v>0.06</v>
      </c>
      <c r="H70" s="7" t="n">
        <v>1</v>
      </c>
      <c r="I70" s="7" t="n">
        <v>0.9399999999999999</v>
      </c>
      <c r="J70" s="8" t="n">
        <v>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OPTUM</t>
        </is>
      </c>
      <c r="C71" s="5" t="inlineStr">
        <is>
          <t>16729000517</t>
        </is>
      </c>
      <c r="D71" s="5" t="inlineStr">
        <is>
          <t>SIMVASTATIN 20MG TABLET</t>
        </is>
      </c>
      <c r="E71" s="6" t="inlineStr">
        <is>
          <t>1000.0</t>
        </is>
      </c>
      <c r="F71" s="7" t="n">
        <v>30</v>
      </c>
      <c r="G71" s="7" t="n">
        <v>0.03</v>
      </c>
      <c r="H71" s="7" t="n">
        <v>0</v>
      </c>
      <c r="I71" s="7" t="n">
        <v>-0.03</v>
      </c>
      <c r="J71" s="8" t="n">
        <v>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OPTUM</t>
        </is>
      </c>
      <c r="C72" s="5" t="inlineStr">
        <is>
          <t>16571010610</t>
        </is>
      </c>
      <c r="D72" s="5" t="inlineStr">
        <is>
          <t>AMITRIPTYLINE 25MG TABLET</t>
        </is>
      </c>
      <c r="E72" s="6" t="inlineStr">
        <is>
          <t>1000.0</t>
        </is>
      </c>
      <c r="F72" s="7" t="n">
        <v>30</v>
      </c>
      <c r="G72" s="7" t="n">
        <v>0.03</v>
      </c>
      <c r="H72" s="7" t="n">
        <v>0</v>
      </c>
      <c r="I72" s="7" t="n">
        <v>-0.03</v>
      </c>
      <c r="J72" s="8" t="n">
        <v>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OPTUM</t>
        </is>
      </c>
      <c r="C73" s="5" t="inlineStr">
        <is>
          <t>69367039505</t>
        </is>
      </c>
      <c r="D73" s="5" t="inlineStr">
        <is>
          <t>IBUPROFEN 600 MG TABLET</t>
        </is>
      </c>
      <c r="E73" s="6" t="inlineStr">
        <is>
          <t>500.0</t>
        </is>
      </c>
      <c r="F73" s="7" t="n">
        <v>24</v>
      </c>
      <c r="G73" s="7" t="n">
        <v>0.048</v>
      </c>
      <c r="H73" s="7" t="n">
        <v>2</v>
      </c>
      <c r="I73" s="7" t="n">
        <v>1.952</v>
      </c>
      <c r="J73" s="8" t="n">
        <v>2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OPTUM</t>
        </is>
      </c>
      <c r="C74" s="5" t="inlineStr">
        <is>
          <t>70010006599</t>
        </is>
      </c>
      <c r="D74" s="5" t="inlineStr">
        <is>
          <t>METFORMIN 1000MG TABLET</t>
        </is>
      </c>
      <c r="E74" s="6" t="inlineStr">
        <is>
          <t>1000.0</t>
        </is>
      </c>
      <c r="F74" s="7" t="n">
        <v>30</v>
      </c>
      <c r="G74" s="7" t="n">
        <v>0.03</v>
      </c>
      <c r="H74" s="7" t="n">
        <v>4</v>
      </c>
      <c r="I74" s="7" t="n">
        <v>3.97</v>
      </c>
      <c r="J74" s="8" t="n">
        <v>2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OPTUM</t>
        </is>
      </c>
      <c r="C75" s="5" t="inlineStr">
        <is>
          <t>64380078508</t>
        </is>
      </c>
      <c r="D75" s="5" t="inlineStr">
        <is>
          <t>PREDNISONE 20MG TABLET</t>
        </is>
      </c>
      <c r="E75" s="6" t="inlineStr">
        <is>
          <t>1000.0</t>
        </is>
      </c>
      <c r="F75" s="7" t="n">
        <v>10</v>
      </c>
      <c r="G75" s="7" t="n">
        <v>0.01</v>
      </c>
      <c r="H75" s="7" t="n">
        <v>0</v>
      </c>
      <c r="I75" s="7" t="n">
        <v>-0.01</v>
      </c>
      <c r="J75" s="8" t="n">
        <v>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OPTUM</t>
        </is>
      </c>
      <c r="C76" s="5" t="inlineStr">
        <is>
          <t>47781026305</t>
        </is>
      </c>
      <c r="D76" s="5" t="inlineStr">
        <is>
          <t>OXYCODONE HCL 5 MG TABLET</t>
        </is>
      </c>
      <c r="E76" s="6" t="inlineStr">
        <is>
          <t>500.0</t>
        </is>
      </c>
      <c r="F76" s="7" t="n">
        <v>6</v>
      </c>
      <c r="G76" s="7" t="n">
        <v>0.012</v>
      </c>
      <c r="H76" s="7" t="n">
        <v>0</v>
      </c>
      <c r="I76" s="7" t="n">
        <v>-0.012</v>
      </c>
      <c r="J76" s="8" t="n">
        <v>1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OPTUM</t>
        </is>
      </c>
      <c r="C77" s="5" t="inlineStr">
        <is>
          <t>00093220305</t>
        </is>
      </c>
      <c r="D77" s="5" t="inlineStr">
        <is>
          <t xml:space="preserve">METOCLOPRAMIDE 10MG TAB 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1</v>
      </c>
      <c r="K77" s="9">
        <f>IFERROR(IF((ROUND((J77/G77)*I77,1))&lt;0,(ROUND((J77/G77)*I77,1)),0),0)</f>
        <v/>
      </c>
    </row>
    <row r="78">
      <c r="E78" s="10" t="inlineStr">
        <is>
          <t>TOTAL</t>
        </is>
      </c>
      <c r="F78" s="11">
        <f>SUM(F4:F77)</f>
        <v/>
      </c>
      <c r="G78" s="11">
        <f>SUM(G4:G77)</f>
        <v/>
      </c>
      <c r="H78" s="11">
        <f>SUM(H4:H77)</f>
        <v/>
      </c>
      <c r="I78" s="11">
        <f>SUM(I4:I77)</f>
        <v/>
      </c>
      <c r="J78" s="12">
        <f>SUM(J4:J77)</f>
        <v/>
      </c>
      <c r="K78" s="13">
        <f>SUM(K4:K77)</f>
        <v/>
      </c>
    </row>
    <row r="79">
      <c r="J79" s="14" t="inlineStr">
        <is>
          <t>Audited Drugs Count</t>
        </is>
      </c>
      <c r="K79" s="15">
        <f>COUNTIF(K4:K77,"&lt;0")</f>
        <v/>
      </c>
    </row>
    <row r="80">
      <c r="J80" s="14" t="inlineStr">
        <is>
          <t>Total Audit Exposure</t>
        </is>
      </c>
      <c r="K80" s="16">
        <f>SUMIF(K4:K77,"&lt;0",K4:K77)</f>
        <v/>
      </c>
    </row>
  </sheetData>
  <autoFilter ref="A3:K77"/>
  <mergeCells count="2">
    <mergeCell ref="A2:K2"/>
    <mergeCell ref="A1:K1"/>
  </mergeCells>
  <conditionalFormatting sqref="E4:K77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New Data March — Mar 2026 - Mar 2026 — PRIME THER</t>
        </is>
      </c>
    </row>
    <row r="2">
      <c r="A2" s="2" t="inlineStr">
        <is>
          <t>Overall PRIME THER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30</v>
      </c>
      <c r="I4" s="7" t="n">
        <v>29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64380019801</t>
        </is>
      </c>
      <c r="D5" s="5" t="inlineStr">
        <is>
          <t>AMLODIPINE-VALSARTAN-HCTZ 5-160-25 MG ORAL TABLET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0</v>
      </c>
      <c r="I5" s="7" t="n">
        <v>-1</v>
      </c>
      <c r="J5" s="8" t="n">
        <v>181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61314063710</t>
        </is>
      </c>
      <c r="D6" s="5" t="inlineStr">
        <is>
          <t>PREDNISOLONE ACETATE 1% SUSPENSION</t>
        </is>
      </c>
      <c r="E6" s="6" t="inlineStr">
        <is>
          <t>10.0</t>
        </is>
      </c>
      <c r="F6" s="7" t="n">
        <v>10</v>
      </c>
      <c r="G6" s="7" t="n">
        <v>1</v>
      </c>
      <c r="H6" s="7" t="n">
        <v>0</v>
      </c>
      <c r="I6" s="7" t="n">
        <v>-1</v>
      </c>
      <c r="J6" s="8" t="n">
        <v>54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62332063260</t>
        </is>
      </c>
      <c r="D7" s="5" t="inlineStr">
        <is>
          <t>DESONIDE 0.05 % EXTERNAL CREAM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0</v>
      </c>
      <c r="I7" s="7" t="n">
        <v>-1</v>
      </c>
      <c r="J7" s="8" t="n">
        <v>49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70710116801</t>
        </is>
      </c>
      <c r="D8" s="5" t="inlineStr">
        <is>
          <t>ATENOLOL-CHLORTHALIDONE 100-25 MG TABLET</t>
        </is>
      </c>
      <c r="E8" s="6" t="inlineStr">
        <is>
          <t>100.0</t>
        </is>
      </c>
      <c r="F8" s="7" t="n">
        <v>90</v>
      </c>
      <c r="G8" s="7" t="n">
        <v>0.9</v>
      </c>
      <c r="H8" s="7" t="n">
        <v>0</v>
      </c>
      <c r="I8" s="7" t="n">
        <v>-0.9</v>
      </c>
      <c r="J8" s="8" t="n">
        <v>31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42192071506</t>
        </is>
      </c>
      <c r="D9" s="5" t="inlineStr">
        <is>
          <t>CICLOPIROX 8 % EXTERNAL SOLUTION</t>
        </is>
      </c>
      <c r="E9" s="6" t="inlineStr">
        <is>
          <t>6.6</t>
        </is>
      </c>
      <c r="F9" s="7" t="n">
        <v>13.2</v>
      </c>
      <c r="G9" s="7" t="n">
        <v>2</v>
      </c>
      <c r="H9" s="7" t="n">
        <v>0</v>
      </c>
      <c r="I9" s="7" t="n">
        <v>-2</v>
      </c>
      <c r="J9" s="8" t="n">
        <v>26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16729003415</t>
        </is>
      </c>
      <c r="D10" s="5" t="inlineStr">
        <is>
          <t>LETROZOLE 2.5 MG ORAL TABLET</t>
        </is>
      </c>
      <c r="E10" s="6" t="inlineStr">
        <is>
          <t>90.0</t>
        </is>
      </c>
      <c r="F10" s="7" t="n">
        <v>90</v>
      </c>
      <c r="G10" s="7" t="n">
        <v>1</v>
      </c>
      <c r="H10" s="7" t="n">
        <v>0</v>
      </c>
      <c r="I10" s="7" t="n">
        <v>-1</v>
      </c>
      <c r="J10" s="8" t="n">
        <v>18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00168025846</t>
        </is>
      </c>
      <c r="D11" s="5" t="inlineStr">
        <is>
          <t>CLOTRIMAZOLE-BETAMETHASONE 1-0.05 % EXTERNAL CREAM</t>
        </is>
      </c>
      <c r="E11" s="6" t="inlineStr">
        <is>
          <t>45.0</t>
        </is>
      </c>
      <c r="F11" s="7" t="n">
        <v>45</v>
      </c>
      <c r="G11" s="7" t="n">
        <v>1</v>
      </c>
      <c r="H11" s="7" t="n">
        <v>6</v>
      </c>
      <c r="I11" s="7" t="n">
        <v>5</v>
      </c>
      <c r="J11" s="8" t="n">
        <v>17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70954045520</t>
        </is>
      </c>
      <c r="D12" s="5" t="inlineStr">
        <is>
          <t>BISOPROLOL FUMARATE 5 MG ORAL TABLET</t>
        </is>
      </c>
      <c r="E12" s="6" t="inlineStr">
        <is>
          <t>100.0</t>
        </is>
      </c>
      <c r="F12" s="7" t="n">
        <v>30</v>
      </c>
      <c r="G12" s="7" t="n">
        <v>0.3</v>
      </c>
      <c r="H12" s="7" t="n">
        <v>0</v>
      </c>
      <c r="I12" s="7" t="n">
        <v>-0.3</v>
      </c>
      <c r="J12" s="8" t="n">
        <v>14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00378050501</t>
        </is>
      </c>
      <c r="D13" s="5" t="inlineStr">
        <is>
          <t>BISOPROLOL-HCTZ 10-6.25MG TABLET</t>
        </is>
      </c>
      <c r="E13" s="6" t="inlineStr">
        <is>
          <t>100.0</t>
        </is>
      </c>
      <c r="F13" s="7" t="n">
        <v>90</v>
      </c>
      <c r="G13" s="7" t="n">
        <v>0.9</v>
      </c>
      <c r="H13" s="7" t="n">
        <v>1</v>
      </c>
      <c r="I13" s="7" t="n">
        <v>0.09999999999999998</v>
      </c>
      <c r="J13" s="8" t="n">
        <v>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00093720210</t>
        </is>
      </c>
      <c r="D14" s="5" t="inlineStr">
        <is>
          <t>PRAVASTATIN 40MG TABLET</t>
        </is>
      </c>
      <c r="E14" s="6" t="inlineStr">
        <is>
          <t>1000.0</t>
        </is>
      </c>
      <c r="F14" s="7" t="n">
        <v>90</v>
      </c>
      <c r="G14" s="7" t="n">
        <v>0.09</v>
      </c>
      <c r="H14" s="7" t="n">
        <v>0</v>
      </c>
      <c r="I14" s="7" t="n">
        <v>-0.09</v>
      </c>
      <c r="J14" s="8" t="n">
        <v>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68180098202</t>
        </is>
      </c>
      <c r="D15" s="5" t="inlineStr">
        <is>
          <t>LISINOPRIL 30MG TABLET</t>
        </is>
      </c>
      <c r="E15" s="6" t="inlineStr">
        <is>
          <t>500.0</t>
        </is>
      </c>
      <c r="F15" s="7" t="n">
        <v>90</v>
      </c>
      <c r="G15" s="7" t="n">
        <v>0.18</v>
      </c>
      <c r="H15" s="7" t="n">
        <v>2</v>
      </c>
      <c r="I15" s="7" t="n">
        <v>1.82</v>
      </c>
      <c r="J15" s="8" t="n">
        <v>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70954066210</t>
        </is>
      </c>
      <c r="D16" s="5" t="inlineStr">
        <is>
          <t>KETOCONAZOLE 2 % EXTERNAL SHAMPOO</t>
        </is>
      </c>
      <c r="E16" s="6" t="inlineStr">
        <is>
          <t>120.0</t>
        </is>
      </c>
      <c r="F16" s="7" t="n">
        <v>120</v>
      </c>
      <c r="G16" s="7" t="n">
        <v>1</v>
      </c>
      <c r="H16" s="7" t="n">
        <v>17</v>
      </c>
      <c r="I16" s="7" t="n">
        <v>16</v>
      </c>
      <c r="J16" s="8" t="n">
        <v>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64980051505</t>
        </is>
      </c>
      <c r="D17" s="5" t="inlineStr">
        <is>
          <t xml:space="preserve">OFLOXACIN 0.3% SOL (EYE) </t>
        </is>
      </c>
      <c r="E17" s="6" t="inlineStr">
        <is>
          <t>5.0</t>
        </is>
      </c>
      <c r="F17" s="7" t="n">
        <v>5</v>
      </c>
      <c r="G17" s="7" t="n">
        <v>1</v>
      </c>
      <c r="H17" s="7" t="n">
        <v>0</v>
      </c>
      <c r="I17" s="7" t="n">
        <v>-1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53489038601</t>
        </is>
      </c>
      <c r="D18" s="5" t="inlineStr">
        <is>
          <t>MINOXIDIL 2.5MG TABLET</t>
        </is>
      </c>
      <c r="E18" s="6" t="inlineStr">
        <is>
          <t>100.0</t>
        </is>
      </c>
      <c r="F18" s="7" t="n">
        <v>30</v>
      </c>
      <c r="G18" s="7" t="n">
        <v>0.3</v>
      </c>
      <c r="H18" s="7" t="n">
        <v>0</v>
      </c>
      <c r="I18" s="7" t="n">
        <v>-0.3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57237003105</t>
        </is>
      </c>
      <c r="D19" s="5" t="inlineStr">
        <is>
          <t>AMOXICILLIN 500 MG CAPSULE</t>
        </is>
      </c>
      <c r="E19" s="6" t="inlineStr">
        <is>
          <t>500.0</t>
        </is>
      </c>
      <c r="F19" s="7" t="n">
        <v>15</v>
      </c>
      <c r="G19" s="7" t="n">
        <v>0.03</v>
      </c>
      <c r="H19" s="7" t="n">
        <v>1</v>
      </c>
      <c r="I19" s="7" t="n">
        <v>0.97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70377000913</t>
        </is>
      </c>
      <c r="D20" s="5" t="inlineStr">
        <is>
          <t>ROSUVASTATIN 40MG TABLET</t>
        </is>
      </c>
      <c r="E20" s="6" t="inlineStr">
        <is>
          <t>500.0</t>
        </is>
      </c>
      <c r="F20" s="7" t="n">
        <v>30</v>
      </c>
      <c r="G20" s="7" t="n">
        <v>0.06</v>
      </c>
      <c r="H20" s="7" t="n">
        <v>0</v>
      </c>
      <c r="I20" s="7" t="n">
        <v>-0.06</v>
      </c>
      <c r="J20" s="8" t="n">
        <v>2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PRIMECAPRX</t>
        </is>
      </c>
      <c r="C21" s="5" t="inlineStr">
        <is>
          <t>70377007813</t>
        </is>
      </c>
      <c r="D21" s="5" t="inlineStr">
        <is>
          <t>ATORVASTATIN 20MG TABLET</t>
        </is>
      </c>
      <c r="E21" s="6" t="inlineStr">
        <is>
          <t>1000.0</t>
        </is>
      </c>
      <c r="F21" s="7" t="n">
        <v>30</v>
      </c>
      <c r="G21" s="7" t="n">
        <v>0.03</v>
      </c>
      <c r="H21" s="7" t="n">
        <v>4</v>
      </c>
      <c r="I21" s="7" t="n">
        <v>3.97</v>
      </c>
      <c r="J21" s="8" t="n">
        <v>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PRIMECAPRX</t>
        </is>
      </c>
      <c r="C22" s="5" t="inlineStr">
        <is>
          <t>65862052305</t>
        </is>
      </c>
      <c r="D22" s="5" t="inlineStr">
        <is>
          <t>GABAPENTIN 600MG TABLET</t>
        </is>
      </c>
      <c r="E22" s="6" t="inlineStr">
        <is>
          <t>500.0</t>
        </is>
      </c>
      <c r="F22" s="7" t="n">
        <v>30</v>
      </c>
      <c r="G22" s="7" t="n">
        <v>0.06</v>
      </c>
      <c r="H22" s="7" t="n">
        <v>1</v>
      </c>
      <c r="I22" s="7" t="n">
        <v>0.9399999999999999</v>
      </c>
      <c r="J22" s="8" t="n">
        <v>2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PRIMECAPRX</t>
        </is>
      </c>
      <c r="C23" s="5" t="inlineStr">
        <is>
          <t>68180051303</t>
        </is>
      </c>
      <c r="D23" s="5" t="inlineStr">
        <is>
          <t>LISINOPRIL 5MG TABLET</t>
        </is>
      </c>
      <c r="E23" s="6" t="inlineStr">
        <is>
          <t>1000.0</t>
        </is>
      </c>
      <c r="F23" s="7" t="n">
        <v>90</v>
      </c>
      <c r="G23" s="7" t="n">
        <v>0.09</v>
      </c>
      <c r="H23" s="7" t="n">
        <v>0</v>
      </c>
      <c r="I23" s="7" t="n">
        <v>-0.09</v>
      </c>
      <c r="J23" s="8" t="n">
        <v>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PRIMECAPRX</t>
        </is>
      </c>
      <c r="C24" s="5" t="inlineStr">
        <is>
          <t>00904404073</t>
        </is>
      </c>
      <c r="D24" s="5" t="inlineStr">
        <is>
          <t>ASPIRIN 81 MG ORAL TABLET CHEWABLE</t>
        </is>
      </c>
      <c r="E24" s="6" t="inlineStr">
        <is>
          <t>36.0</t>
        </is>
      </c>
      <c r="F24" s="7" t="n">
        <v>30</v>
      </c>
      <c r="G24" s="7" t="n">
        <v>0.8333333333333334</v>
      </c>
      <c r="H24" s="7" t="n">
        <v>0</v>
      </c>
      <c r="I24" s="7" t="n">
        <v>-0.8333333333333334</v>
      </c>
      <c r="J24" s="8" t="n">
        <v>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PRIMECAPRX</t>
        </is>
      </c>
      <c r="C25" s="5" t="inlineStr">
        <is>
          <t>69367039505</t>
        </is>
      </c>
      <c r="D25" s="5" t="inlineStr">
        <is>
          <t>IBUPROFEN 600 MG TABLET</t>
        </is>
      </c>
      <c r="E25" s="6" t="inlineStr">
        <is>
          <t>500.0</t>
        </is>
      </c>
      <c r="F25" s="7" t="n">
        <v>90</v>
      </c>
      <c r="G25" s="7" t="n">
        <v>0.18</v>
      </c>
      <c r="H25" s="7" t="n">
        <v>2</v>
      </c>
      <c r="I25" s="7" t="n">
        <v>1.82</v>
      </c>
      <c r="J25" s="8" t="n">
        <v>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PRIMECAPRX</t>
        </is>
      </c>
      <c r="C26" s="5" t="inlineStr">
        <is>
          <t>67877032105</t>
        </is>
      </c>
      <c r="D26" s="5" t="inlineStr">
        <is>
          <t xml:space="preserve">IBUPROFEN 800MG TAB </t>
        </is>
      </c>
      <c r="E26" s="6" t="inlineStr">
        <is>
          <t>500.0</t>
        </is>
      </c>
      <c r="F26" s="7" t="n">
        <v>20</v>
      </c>
      <c r="G26" s="7" t="n">
        <v>0.04</v>
      </c>
      <c r="H26" s="7" t="n">
        <v>0</v>
      </c>
      <c r="I26" s="7" t="n">
        <v>-0.04</v>
      </c>
      <c r="J26" s="8" t="n">
        <v>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PRIMECAPRX</t>
        </is>
      </c>
      <c r="C27" s="5" t="inlineStr">
        <is>
          <t>64380073706</t>
        </is>
      </c>
      <c r="D27" s="5" t="inlineStr">
        <is>
          <t>VITAMIN D 50 000 U CAPSULE</t>
        </is>
      </c>
      <c r="E27" s="6" t="inlineStr">
        <is>
          <t>100.0</t>
        </is>
      </c>
      <c r="F27" s="7" t="n">
        <v>13</v>
      </c>
      <c r="G27" s="7" t="n">
        <v>0.13</v>
      </c>
      <c r="H27" s="7" t="n">
        <v>4</v>
      </c>
      <c r="I27" s="7" t="n">
        <v>3.87</v>
      </c>
      <c r="J27" s="8" t="n">
        <v>1</v>
      </c>
      <c r="K27" s="9">
        <f>IFERROR(IF((ROUND((J27/G27)*I27,1))&lt;0,(ROUND((J27/G27)*I27,1)),0),0)</f>
        <v/>
      </c>
    </row>
    <row r="28">
      <c r="E28" s="10" t="inlineStr">
        <is>
          <t>TOTAL</t>
        </is>
      </c>
      <c r="F28" s="11">
        <f>SUM(F4:F27)</f>
        <v/>
      </c>
      <c r="G28" s="11">
        <f>SUM(G4:G27)</f>
        <v/>
      </c>
      <c r="H28" s="11">
        <f>SUM(H4:H27)</f>
        <v/>
      </c>
      <c r="I28" s="11">
        <f>SUM(I4:I27)</f>
        <v/>
      </c>
      <c r="J28" s="12">
        <f>SUM(J4:J27)</f>
        <v/>
      </c>
      <c r="K28" s="13">
        <f>SUM(K4:K27)</f>
        <v/>
      </c>
    </row>
    <row r="29">
      <c r="J29" s="14" t="inlineStr">
        <is>
          <t>Audited Drugs Count</t>
        </is>
      </c>
      <c r="K29" s="15">
        <f>COUNTIF(K4:K27,"&lt;0")</f>
        <v/>
      </c>
    </row>
    <row r="30">
      <c r="J30" s="14" t="inlineStr">
        <is>
          <t>Total Audit Exposure</t>
        </is>
      </c>
      <c r="K30" s="16">
        <f>SUMIF(K4:K27,"&lt;0",K4:K27)</f>
        <v/>
      </c>
    </row>
  </sheetData>
  <autoFilter ref="A3:K27"/>
  <mergeCells count="2">
    <mergeCell ref="A2:K2"/>
    <mergeCell ref="A1:K1"/>
  </mergeCells>
  <conditionalFormatting sqref="E4:K27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New Data March — Mar 2026 - Mar 2026 — TREDIUM</t>
        </is>
      </c>
    </row>
    <row r="2" ht="24" customHeight="1">
      <c r="A2" s="2" t="inlineStr">
        <is>
          <t>Overall TREDIUM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TREDIUM</t>
        </is>
      </c>
      <c r="G3" s="3" t="inlineStr">
        <is>
          <t>Packages Billed to TREDIUM</t>
        </is>
      </c>
      <c r="H3" s="3" t="inlineStr">
        <is>
          <t>Total Qty Purchased</t>
        </is>
      </c>
      <c r="I3" s="3" t="inlineStr">
        <is>
          <t>Qty Difference for TREDIUM</t>
        </is>
      </c>
      <c r="J3" s="3" t="inlineStr">
        <is>
          <t>Actual $ Paid by TREDIUM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TREDIUM</t>
        </is>
      </c>
      <c r="C4" s="5" t="inlineStr">
        <is>
          <t>67877049005</t>
        </is>
      </c>
      <c r="D4" s="5" t="inlineStr">
        <is>
          <t>EZETIMIBE 10MG TABLET</t>
        </is>
      </c>
      <c r="E4" s="6" t="inlineStr">
        <is>
          <t>500.0</t>
        </is>
      </c>
      <c r="F4" s="7" t="n">
        <v>90</v>
      </c>
      <c r="G4" s="7" t="n">
        <v>0.18</v>
      </c>
      <c r="H4" s="7" t="n">
        <v>0</v>
      </c>
      <c r="I4" s="7" t="n">
        <v>-0.18</v>
      </c>
      <c r="J4" s="8" t="n">
        <v>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TREDIUM</t>
        </is>
      </c>
      <c r="C5" s="5" t="inlineStr">
        <is>
          <t>45963067696</t>
        </is>
      </c>
      <c r="D5" s="5" t="inlineStr">
        <is>
          <t>METOPROLOL SUCCINATE 50MG TABLET ER</t>
        </is>
      </c>
      <c r="E5" s="6" t="inlineStr">
        <is>
          <t>1000.0</t>
        </is>
      </c>
      <c r="F5" s="7" t="n">
        <v>90</v>
      </c>
      <c r="G5" s="7" t="n">
        <v>0.09</v>
      </c>
      <c r="H5" s="7" t="n">
        <v>0</v>
      </c>
      <c r="I5" s="7" t="n">
        <v>-0.09</v>
      </c>
      <c r="J5" s="8" t="n">
        <v>5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2026-04-23T16:45:26Z</dcterms:created>
  <dcterms:modified xsi:type="dcterms:W3CDTF">2026-04-23T16:45:28Z</dcterms:modified>
</cp:coreProperties>
</file>