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  <sheet name="TREDIUM" sheetId="11" state="visible" r:id="rId11"/>
  </sheets>
  <definedNames>
    <definedName name="_xlnm._FilterDatabase" localSheetId="0" hidden="1">'ADAP'!$A$3:$K$5</definedName>
    <definedName name="_xlnm._FilterDatabase" localSheetId="1" hidden="1">'ALL_PBM'!$A$3:$K$800</definedName>
    <definedName name="_xlnm._FilterDatabase" localSheetId="2" hidden="1">'ARG_HUM'!$A$3:$K$14</definedName>
    <definedName name="_xlnm._FilterDatabase" localSheetId="3" hidden="1">'CVS'!$A$3:$K$544</definedName>
    <definedName name="_xlnm._FilterDatabase" localSheetId="4" hidden="1">'ESI'!$A$3:$K$193</definedName>
    <definedName name="_xlnm._FilterDatabase" localSheetId="5" hidden="1">'FDS'!$A$3:$K$4</definedName>
    <definedName name="_xlnm._FilterDatabase" localSheetId="6" hidden="1">'MEDIMP'!$A$3:$K$99</definedName>
    <definedName name="_xlnm._FilterDatabase" localSheetId="7" hidden="1">'NYM'!$A$3:$K$475</definedName>
    <definedName name="_xlnm._FilterDatabase" localSheetId="8" hidden="1">'OPTUM'!$A$3:$K$69</definedName>
    <definedName name="_xlnm._FilterDatabase" localSheetId="9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kk — Feb 2025 - Feb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kk — Feb 2025 -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00310737220</t>
        </is>
      </c>
      <c r="D73" s="5" t="inlineStr">
        <is>
          <t>BUDESONIDE-FORMOTEROL FUMARATE 80-4.5MCG/ACT AEROSOL</t>
        </is>
      </c>
      <c r="E73" s="6" t="inlineStr">
        <is>
          <t>10.2</t>
        </is>
      </c>
      <c r="F73" s="7" t="n">
        <v>112.2</v>
      </c>
      <c r="G73" s="7" t="n">
        <v>11</v>
      </c>
      <c r="H73" s="7" t="n">
        <v>6</v>
      </c>
      <c r="I73" s="7" t="n">
        <v>-5.000000000000002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00310908012</t>
        </is>
      </c>
      <c r="D74" s="5" t="inlineStr">
        <is>
          <t>AIRSUPRA 90-80 MCG/ACT INHALATION AEROSOL</t>
        </is>
      </c>
      <c r="E74" s="6" t="inlineStr">
        <is>
          <t>10.7</t>
        </is>
      </c>
      <c r="F74" s="7" t="n">
        <v>32.1</v>
      </c>
      <c r="G74" s="7" t="n">
        <v>3</v>
      </c>
      <c r="H74" s="7" t="n">
        <v>3</v>
      </c>
      <c r="I74" s="7" t="n">
        <v>-4.440892098500626e-16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70727049725</t>
        </is>
      </c>
      <c r="D91" s="5" t="inlineStr">
        <is>
          <t>RHOPRESSA 0.02 % OPHTHALMIC SOLUTION</t>
        </is>
      </c>
      <c r="E91" s="6" t="inlineStr">
        <is>
          <t>2.5</t>
        </is>
      </c>
      <c r="F91" s="7" t="n">
        <v>7.5</v>
      </c>
      <c r="G91" s="7" t="n">
        <v>3</v>
      </c>
      <c r="H91" s="7" t="n">
        <v>0</v>
      </c>
      <c r="I91" s="7" t="n">
        <v>-3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00597038068</t>
        </is>
      </c>
      <c r="D92" s="5" t="inlineStr">
        <is>
          <t>TRIJARDY XR 10-5-1000 MG ORAL TABLET EXTENDED RELEASE 24 HOUR</t>
        </is>
      </c>
      <c r="E92" s="6" t="inlineStr">
        <is>
          <t>90.0</t>
        </is>
      </c>
      <c r="F92" s="7" t="n">
        <v>90</v>
      </c>
      <c r="G92" s="7" t="n">
        <v>1</v>
      </c>
      <c r="H92" s="7" t="n">
        <v>1</v>
      </c>
      <c r="I92" s="7" t="n">
        <v>0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33342032186</t>
        </is>
      </c>
      <c r="D180" s="5" t="inlineStr">
        <is>
          <t>CLOBETASOL PROPIONATE 0.05 % SOLUTION</t>
        </is>
      </c>
      <c r="E180" s="6" t="inlineStr">
        <is>
          <t>50.0</t>
        </is>
      </c>
      <c r="F180" s="7" t="n">
        <v>300</v>
      </c>
      <c r="G180" s="7" t="n">
        <v>6</v>
      </c>
      <c r="H180" s="7" t="n">
        <v>0</v>
      </c>
      <c r="I180" s="7" t="n">
        <v>-6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2039</v>
      </c>
      <c r="G181" s="7" t="n">
        <v>2.039</v>
      </c>
      <c r="H181" s="7" t="n">
        <v>2</v>
      </c>
      <c r="I181" s="7" t="n">
        <v>-0.03900000000000015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65162003416</t>
        </is>
      </c>
      <c r="D185" s="5" t="inlineStr">
        <is>
          <t>OMEGA-3-ACID ETHYL ESTERS 1 GM ORAL CAPSULE</t>
        </is>
      </c>
      <c r="E185" s="6" t="inlineStr">
        <is>
          <t>120.0</t>
        </is>
      </c>
      <c r="F185" s="7" t="n">
        <v>1110</v>
      </c>
      <c r="G185" s="7" t="n">
        <v>9.25</v>
      </c>
      <c r="H185" s="7" t="n">
        <v>0</v>
      </c>
      <c r="I185" s="7" t="n">
        <v>-9.25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00065414727</t>
        </is>
      </c>
      <c r="D186" s="5" t="inlineStr">
        <is>
          <t>SIMBRINZA 1-0.2 % OPHTHALMIC SUSPENSION</t>
        </is>
      </c>
      <c r="E186" s="6" t="inlineStr">
        <is>
          <t>8.0</t>
        </is>
      </c>
      <c r="F186" s="7" t="n">
        <v>8</v>
      </c>
      <c r="G186" s="7" t="n">
        <v>1</v>
      </c>
      <c r="H186" s="7" t="n">
        <v>0</v>
      </c>
      <c r="I186" s="7" t="n">
        <v>-1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51672140709</t>
        </is>
      </c>
      <c r="D188" s="5" t="inlineStr">
        <is>
          <t>TRETINOIN 0.025 % EXTERNAL CREAM</t>
        </is>
      </c>
      <c r="E188" s="6" t="inlineStr">
        <is>
          <t>45.0</t>
        </is>
      </c>
      <c r="F188" s="7" t="n">
        <v>135</v>
      </c>
      <c r="G188" s="7" t="n">
        <v>3</v>
      </c>
      <c r="H188" s="7" t="n">
        <v>0</v>
      </c>
      <c r="I188" s="7" t="n">
        <v>-3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65862059805</t>
        </is>
      </c>
      <c r="D189" s="5" t="inlineStr">
        <is>
          <t>TAMSULOSIN 0.4MG CAPSULE</t>
        </is>
      </c>
      <c r="E189" s="6" t="inlineStr">
        <is>
          <t>500.0</t>
        </is>
      </c>
      <c r="F189" s="7" t="n">
        <v>2465</v>
      </c>
      <c r="G189" s="7" t="n">
        <v>4.93</v>
      </c>
      <c r="H189" s="7" t="n">
        <v>0</v>
      </c>
      <c r="I189" s="7" t="n">
        <v>-4.93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54092017312</t>
        </is>
      </c>
      <c r="D211" s="5" t="inlineStr">
        <is>
          <t>CARBATROL 300MG EXT-RELEASE CAPSULE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51672130009</t>
        </is>
      </c>
      <c r="D212" s="5" t="inlineStr">
        <is>
          <t>AMMONIUM LACTATE 12 % EXTERNAL LOTION</t>
        </is>
      </c>
      <c r="E212" s="6" t="inlineStr">
        <is>
          <t>400.0</t>
        </is>
      </c>
      <c r="F212" s="7" t="n">
        <v>3200</v>
      </c>
      <c r="G212" s="7" t="n">
        <v>8</v>
      </c>
      <c r="H212" s="7" t="n">
        <v>0</v>
      </c>
      <c r="I212" s="7" t="n">
        <v>-8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00074434190</t>
        </is>
      </c>
      <c r="D223" s="5" t="inlineStr">
        <is>
          <t>SYNTHROID 25 MCG ORAL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00074455290</t>
        </is>
      </c>
      <c r="D224" s="5" t="inlineStr">
        <is>
          <t>SYNTHROID 50MCG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43598032675</t>
        </is>
      </c>
      <c r="D231" s="5" t="inlineStr">
        <is>
          <t>CIPROFLOXACIN-DEXA 0.3-0.1% OTIC SUSP (EAR)</t>
        </is>
      </c>
      <c r="E231" s="6" t="inlineStr">
        <is>
          <t>7.5</t>
        </is>
      </c>
      <c r="F231" s="7" t="n">
        <v>15</v>
      </c>
      <c r="G231" s="7" t="n">
        <v>2</v>
      </c>
      <c r="H231" s="7" t="n">
        <v>3</v>
      </c>
      <c r="I231" s="7" t="n">
        <v>1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69097012815</t>
        </is>
      </c>
      <c r="D232" s="5" t="inlineStr">
        <is>
          <t>AMLODIPINE 10MG TABLET</t>
        </is>
      </c>
      <c r="E232" s="6" t="inlineStr">
        <is>
          <t>1000.0</t>
        </is>
      </c>
      <c r="F232" s="7" t="n">
        <v>2670</v>
      </c>
      <c r="G232" s="7" t="n">
        <v>2.67</v>
      </c>
      <c r="H232" s="7" t="n">
        <v>0</v>
      </c>
      <c r="I232" s="7" t="n">
        <v>-2.67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45802040049</t>
        </is>
      </c>
      <c r="D234" s="5" t="inlineStr">
        <is>
          <t>CICLOPIROX 0.77 % EXTERNAL SUSPENSION</t>
        </is>
      </c>
      <c r="E234" s="6" t="inlineStr">
        <is>
          <t>30.0</t>
        </is>
      </c>
      <c r="F234" s="7" t="n">
        <v>120</v>
      </c>
      <c r="G234" s="7" t="n">
        <v>4</v>
      </c>
      <c r="H234" s="7" t="n">
        <v>0</v>
      </c>
      <c r="I234" s="7" t="n">
        <v>-4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57237004390</t>
        </is>
      </c>
      <c r="D235" s="5" t="inlineStr">
        <is>
          <t>VALACYCLOVIR 1GM TABLET</t>
        </is>
      </c>
      <c r="E235" s="6" t="inlineStr">
        <is>
          <t>90.0</t>
        </is>
      </c>
      <c r="F235" s="7" t="n">
        <v>259</v>
      </c>
      <c r="G235" s="7" t="n">
        <v>2.877777777777778</v>
      </c>
      <c r="H235" s="7" t="n">
        <v>0</v>
      </c>
      <c r="I235" s="7" t="n">
        <v>-2.877777777777778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00074740113</t>
        </is>
      </c>
      <c r="D239" s="5" t="inlineStr">
        <is>
          <t>DEPAKOTE ER 250 MG TABLET</t>
        </is>
      </c>
      <c r="E239" s="6" t="inlineStr">
        <is>
          <t>100.0</t>
        </is>
      </c>
      <c r="F239" s="7" t="n">
        <v>30</v>
      </c>
      <c r="G239" s="7" t="n">
        <v>0.3</v>
      </c>
      <c r="H239" s="7" t="n">
        <v>0</v>
      </c>
      <c r="I239" s="7" t="n">
        <v>-0.3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65862020399</t>
        </is>
      </c>
      <c r="D240" s="5" t="inlineStr">
        <is>
          <t>LOSARTAN 100MG TABLET</t>
        </is>
      </c>
      <c r="E240" s="6" t="inlineStr">
        <is>
          <t>1000.0</t>
        </is>
      </c>
      <c r="F240" s="7" t="n">
        <v>1290</v>
      </c>
      <c r="G240" s="7" t="n">
        <v>1.29</v>
      </c>
      <c r="H240" s="7" t="n">
        <v>0</v>
      </c>
      <c r="I240" s="7" t="n">
        <v>-1.29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51672130104</t>
        </is>
      </c>
      <c r="D242" s="5" t="inlineStr">
        <is>
          <t>AMMONIUM LACTATE 12 % EXTERNAL CREAM</t>
        </is>
      </c>
      <c r="E242" s="6" t="inlineStr">
        <is>
          <t>280.0</t>
        </is>
      </c>
      <c r="F242" s="7" t="n">
        <v>1820</v>
      </c>
      <c r="G242" s="7" t="n">
        <v>6.5</v>
      </c>
      <c r="H242" s="7" t="n">
        <v>8</v>
      </c>
      <c r="I242" s="7" t="n">
        <v>1.5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71921019033</t>
        </is>
      </c>
      <c r="D243" s="5" t="inlineStr">
        <is>
          <t>EXEMESTANE 25MG TABLET</t>
        </is>
      </c>
      <c r="E243" s="6" t="inlineStr">
        <is>
          <t>30.0</t>
        </is>
      </c>
      <c r="F243" s="7" t="n">
        <v>150</v>
      </c>
      <c r="G243" s="7" t="n">
        <v>5</v>
      </c>
      <c r="H243" s="7" t="n">
        <v>3</v>
      </c>
      <c r="I243" s="7" t="n">
        <v>-2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98302000104</t>
        </is>
      </c>
      <c r="D249" s="5" t="inlineStr">
        <is>
          <t>LANCETS PHARMACIST CHOICE</t>
        </is>
      </c>
      <c r="E249" s="6" t="inlineStr">
        <is>
          <t>100.0</t>
        </is>
      </c>
      <c r="F249" s="7" t="n">
        <v>300</v>
      </c>
      <c r="G249" s="7" t="n">
        <v>3</v>
      </c>
      <c r="H249" s="7" t="n">
        <v>0</v>
      </c>
      <c r="I249" s="7" t="n">
        <v>-3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33342033380</t>
        </is>
      </c>
      <c r="D250" s="5" t="inlineStr">
        <is>
          <t>TRIAMCINOLONE ACETONIDE 0.1 % EXTERNAL OINTMENT</t>
        </is>
      </c>
      <c r="E250" s="6" t="inlineStr">
        <is>
          <t>80.0</t>
        </is>
      </c>
      <c r="F250" s="7" t="n">
        <v>800</v>
      </c>
      <c r="G250" s="7" t="n">
        <v>10</v>
      </c>
      <c r="H250" s="7" t="n">
        <v>8</v>
      </c>
      <c r="I250" s="7" t="n">
        <v>-2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70377007713</t>
        </is>
      </c>
      <c r="D252" s="5" t="inlineStr">
        <is>
          <t>ATORVASTATIN 10MG TABLET</t>
        </is>
      </c>
      <c r="E252" s="6" t="inlineStr">
        <is>
          <t>1000.0</t>
        </is>
      </c>
      <c r="F252" s="7" t="n">
        <v>1410</v>
      </c>
      <c r="G252" s="7" t="n">
        <v>1.41</v>
      </c>
      <c r="H252" s="7" t="n">
        <v>0</v>
      </c>
      <c r="I252" s="7" t="n">
        <v>-1.41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42192071506</t>
        </is>
      </c>
      <c r="D253" s="5" t="inlineStr">
        <is>
          <t>CICLOPIROX 8 % EXTERNAL SOLUTION</t>
        </is>
      </c>
      <c r="E253" s="6" t="inlineStr">
        <is>
          <t>6.6</t>
        </is>
      </c>
      <c r="F253" s="7" t="n">
        <v>46.2</v>
      </c>
      <c r="G253" s="7" t="n">
        <v>7.000000000000001</v>
      </c>
      <c r="H253" s="7" t="n">
        <v>8</v>
      </c>
      <c r="I253" s="7" t="n">
        <v>0.9999999999999991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65162035803</t>
        </is>
      </c>
      <c r="D255" s="5" t="inlineStr">
        <is>
          <t>ZAFEMY 150-35 MCG/24HR TRANSDERMAL PATCH WEEKLY</t>
        </is>
      </c>
      <c r="E255" s="6" t="inlineStr">
        <is>
          <t>3.0</t>
        </is>
      </c>
      <c r="F255" s="7" t="n">
        <v>3</v>
      </c>
      <c r="G255" s="7" t="n">
        <v>1</v>
      </c>
      <c r="H255" s="7" t="n">
        <v>0</v>
      </c>
      <c r="I255" s="7" t="n">
        <v>-1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00832601910</t>
        </is>
      </c>
      <c r="D256" s="5" t="inlineStr">
        <is>
          <t>CHLORPROMAZINE HCL 50 MG ORAL TABLET</t>
        </is>
      </c>
      <c r="E256" s="6" t="inlineStr">
        <is>
          <t>1000.0</t>
        </is>
      </c>
      <c r="F256" s="7" t="n">
        <v>270</v>
      </c>
      <c r="G256" s="7" t="n">
        <v>0.27</v>
      </c>
      <c r="H256" s="7" t="n">
        <v>0</v>
      </c>
      <c r="I256" s="7" t="n">
        <v>-0.27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08222440006</t>
        </is>
      </c>
      <c r="D260" s="5" t="inlineStr">
        <is>
          <t>ALCOHOL PADS ULTICARE</t>
        </is>
      </c>
      <c r="E260" s="6" t="inlineStr">
        <is>
          <t>100.0</t>
        </is>
      </c>
      <c r="F260" s="7" t="n">
        <v>2000</v>
      </c>
      <c r="G260" s="7" t="n">
        <v>20</v>
      </c>
      <c r="H260" s="7" t="n">
        <v>0</v>
      </c>
      <c r="I260" s="7" t="n">
        <v>-20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00193755301</t>
        </is>
      </c>
      <c r="D261" s="5" t="inlineStr">
        <is>
          <t>CONTOUR NEXT EZ W/DEVICE KIT</t>
        </is>
      </c>
      <c r="E261" s="6" t="inlineStr">
        <is>
          <t>1.0</t>
        </is>
      </c>
      <c r="F261" s="7" t="n">
        <v>7</v>
      </c>
      <c r="G261" s="7" t="n">
        <v>7</v>
      </c>
      <c r="H261" s="7" t="n">
        <v>12</v>
      </c>
      <c r="I261" s="7" t="n">
        <v>5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52937000340</t>
        </is>
      </c>
      <c r="D262" s="5" t="inlineStr">
        <is>
          <t>VASCEPA 0.5 GM ORAL CAPSULE</t>
        </is>
      </c>
      <c r="E262" s="6" t="inlineStr">
        <is>
          <t>240.0</t>
        </is>
      </c>
      <c r="F262" s="7" t="n">
        <v>60</v>
      </c>
      <c r="G262" s="7" t="n">
        <v>0.25</v>
      </c>
      <c r="H262" s="7" t="n">
        <v>0</v>
      </c>
      <c r="I262" s="7" t="n">
        <v>-0.25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70010078005</t>
        </is>
      </c>
      <c r="D263" s="5" t="inlineStr">
        <is>
          <t>METOPROLOL SUCCINATE ER 25MG TABLET</t>
        </is>
      </c>
      <c r="E263" s="6" t="inlineStr">
        <is>
          <t>500.0</t>
        </is>
      </c>
      <c r="F263" s="7" t="n">
        <v>1140</v>
      </c>
      <c r="G263" s="7" t="n">
        <v>2.28</v>
      </c>
      <c r="H263" s="7" t="n">
        <v>4</v>
      </c>
      <c r="I263" s="7" t="n">
        <v>1.72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69367036005</t>
        </is>
      </c>
      <c r="D267" s="5" t="inlineStr">
        <is>
          <t>ROSUVASTATIN 10 MG ORAL TABLET</t>
        </is>
      </c>
      <c r="E267" s="6" t="inlineStr">
        <is>
          <t>500.0</t>
        </is>
      </c>
      <c r="F267" s="7" t="n">
        <v>510</v>
      </c>
      <c r="G267" s="7" t="n">
        <v>1.02</v>
      </c>
      <c r="H267" s="7" t="n">
        <v>0</v>
      </c>
      <c r="I267" s="7" t="n">
        <v>-1.02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64380072507</t>
        </is>
      </c>
      <c r="D268" s="5" t="inlineStr">
        <is>
          <t>MYCOPHENOLATE MOFETIL 500MG TABLET</t>
        </is>
      </c>
      <c r="E268" s="6" t="inlineStr">
        <is>
          <t>500.0</t>
        </is>
      </c>
      <c r="F268" s="7" t="n">
        <v>180</v>
      </c>
      <c r="G268" s="7" t="n">
        <v>0.36</v>
      </c>
      <c r="H268" s="7" t="n">
        <v>0</v>
      </c>
      <c r="I268" s="7" t="n">
        <v>-0.36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00832046530</t>
        </is>
      </c>
      <c r="D269" s="5" t="inlineStr">
        <is>
          <t>NYSTATIN 100000UNIT/GM POWDER</t>
        </is>
      </c>
      <c r="E269" s="6" t="inlineStr">
        <is>
          <t>30.0</t>
        </is>
      </c>
      <c r="F269" s="7" t="n">
        <v>120</v>
      </c>
      <c r="G269" s="7" t="n">
        <v>4</v>
      </c>
      <c r="H269" s="7" t="n">
        <v>0</v>
      </c>
      <c r="I269" s="7" t="n">
        <v>-4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68382052960</t>
        </is>
      </c>
      <c r="D273" s="5" t="inlineStr">
        <is>
          <t>CHOLESTYRAMINE LIGHT 4GM PACK</t>
        </is>
      </c>
      <c r="E273" s="6" t="inlineStr">
        <is>
          <t>60.0</t>
        </is>
      </c>
      <c r="F273" s="7" t="n">
        <v>60</v>
      </c>
      <c r="G273" s="7" t="n">
        <v>1</v>
      </c>
      <c r="H273" s="7" t="n">
        <v>1</v>
      </c>
      <c r="I273" s="7" t="n">
        <v>0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68382066010</t>
        </is>
      </c>
      <c r="D274" s="5" t="inlineStr">
        <is>
          <t>SPIRONOLACTONE 25MG TABLET</t>
        </is>
      </c>
      <c r="E274" s="6" t="inlineStr">
        <is>
          <t>1000.0</t>
        </is>
      </c>
      <c r="F274" s="7" t="n">
        <v>975</v>
      </c>
      <c r="G274" s="7" t="n">
        <v>0.975</v>
      </c>
      <c r="H274" s="7" t="n">
        <v>0</v>
      </c>
      <c r="I274" s="7" t="n">
        <v>-0.975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00378907293</t>
        </is>
      </c>
      <c r="D275" s="5" t="inlineStr">
        <is>
          <t>RIVASTIGMINE 13.3 MG/24HR TRANSDERMAL PATCH 24 HOUR</t>
        </is>
      </c>
      <c r="E275" s="6" t="inlineStr">
        <is>
          <t>30.0</t>
        </is>
      </c>
      <c r="F275" s="7" t="n">
        <v>30</v>
      </c>
      <c r="G275" s="7" t="n">
        <v>1</v>
      </c>
      <c r="H275" s="7" t="n">
        <v>0</v>
      </c>
      <c r="I275" s="7" t="n">
        <v>-1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68180096703</t>
        </is>
      </c>
      <c r="D276" s="5" t="inlineStr">
        <is>
          <t>LEVOTHYROXINE 75MCG TABLET</t>
        </is>
      </c>
      <c r="E276" s="6" t="inlineStr">
        <is>
          <t>1000.0</t>
        </is>
      </c>
      <c r="F276" s="7" t="n">
        <v>420</v>
      </c>
      <c r="G276" s="7" t="n">
        <v>0.42</v>
      </c>
      <c r="H276" s="7" t="n">
        <v>0</v>
      </c>
      <c r="I276" s="7" t="n">
        <v>-0.42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51672127304</t>
        </is>
      </c>
      <c r="D281" s="5" t="inlineStr">
        <is>
          <t>FLUOCINONIDE 0.05% EXTERNAL SOLUTION</t>
        </is>
      </c>
      <c r="E281" s="6" t="inlineStr">
        <is>
          <t>60.0</t>
        </is>
      </c>
      <c r="F281" s="7" t="n">
        <v>180</v>
      </c>
      <c r="G281" s="7" t="n">
        <v>3</v>
      </c>
      <c r="H281" s="7" t="n">
        <v>3</v>
      </c>
      <c r="I281" s="7" t="n">
        <v>0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10702005601</t>
        </is>
      </c>
      <c r="D282" s="5" t="inlineStr">
        <is>
          <t>OXYCODONE HCL 10 MG ORAL TABLET</t>
        </is>
      </c>
      <c r="E282" s="6" t="inlineStr">
        <is>
          <t>100.0</t>
        </is>
      </c>
      <c r="F282" s="7" t="n">
        <v>434</v>
      </c>
      <c r="G282" s="7" t="n">
        <v>4.34</v>
      </c>
      <c r="H282" s="7" t="n">
        <v>6</v>
      </c>
      <c r="I282" s="7" t="n">
        <v>1.66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73070010315</t>
        </is>
      </c>
      <c r="D284" s="5" t="inlineStr">
        <is>
          <t>INSULIN ASPART FLEXPEN 100 UNIT/ML SUBCUTANEOUS SOLUTION PEN-INJECTOR</t>
        </is>
      </c>
      <c r="E284" s="6" t="inlineStr">
        <is>
          <t>15.0</t>
        </is>
      </c>
      <c r="F284" s="7" t="n">
        <v>18</v>
      </c>
      <c r="G284" s="7" t="n">
        <v>1.2</v>
      </c>
      <c r="H284" s="7" t="n">
        <v>0</v>
      </c>
      <c r="I284" s="7" t="n">
        <v>-1.2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72266014201</t>
        </is>
      </c>
      <c r="D289" s="5" t="inlineStr">
        <is>
          <t>BROMFENAC SODIUM (ONCE-DAILY) 0.09% SOLUTION</t>
        </is>
      </c>
      <c r="E289" s="6" t="inlineStr">
        <is>
          <t>1.7</t>
        </is>
      </c>
      <c r="F289" s="7" t="n">
        <v>1.7</v>
      </c>
      <c r="G289" s="7" t="n">
        <v>1</v>
      </c>
      <c r="H289" s="7" t="n">
        <v>0</v>
      </c>
      <c r="I289" s="7" t="n">
        <v>-1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45802059701</t>
        </is>
      </c>
      <c r="D290" s="5" t="inlineStr">
        <is>
          <t>CLINDAMYCIN PHOS-BENZOYL PEROX 1.2-2.5 % EXTERNAL GEL</t>
        </is>
      </c>
      <c r="E290" s="6" t="inlineStr">
        <is>
          <t>50.0</t>
        </is>
      </c>
      <c r="F290" s="7" t="n">
        <v>100</v>
      </c>
      <c r="G290" s="7" t="n">
        <v>2</v>
      </c>
      <c r="H290" s="7" t="n">
        <v>2</v>
      </c>
      <c r="I290" s="7" t="n">
        <v>0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68180097103</t>
        </is>
      </c>
      <c r="D291" s="5" t="inlineStr">
        <is>
          <t>LEVOTHYROXINE 125MCG TABLET</t>
        </is>
      </c>
      <c r="E291" s="6" t="inlineStr">
        <is>
          <t>1000.0</t>
        </is>
      </c>
      <c r="F291" s="7" t="n">
        <v>330</v>
      </c>
      <c r="G291" s="7" t="n">
        <v>0.33</v>
      </c>
      <c r="H291" s="7" t="n">
        <v>0</v>
      </c>
      <c r="I291" s="7" t="n">
        <v>-0.33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65862020299</t>
        </is>
      </c>
      <c r="D292" s="5" t="inlineStr">
        <is>
          <t>LOSARTAN 50MG TABLET</t>
        </is>
      </c>
      <c r="E292" s="6" t="inlineStr">
        <is>
          <t>1000.0</t>
        </is>
      </c>
      <c r="F292" s="7" t="n">
        <v>1080</v>
      </c>
      <c r="G292" s="7" t="n">
        <v>1.08</v>
      </c>
      <c r="H292" s="7" t="n">
        <v>0</v>
      </c>
      <c r="I292" s="7" t="n">
        <v>-1.08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68462026310</t>
        </is>
      </c>
      <c r="D293" s="5" t="inlineStr">
        <is>
          <t>ROSUVASTATIN 20MG TABLET</t>
        </is>
      </c>
      <c r="E293" s="6" t="inlineStr">
        <is>
          <t>1000.0</t>
        </is>
      </c>
      <c r="F293" s="7" t="n">
        <v>750</v>
      </c>
      <c r="G293" s="7" t="n">
        <v>0.75</v>
      </c>
      <c r="H293" s="7" t="n">
        <v>2</v>
      </c>
      <c r="I293" s="7" t="n">
        <v>1.25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68462043890</t>
        </is>
      </c>
      <c r="D294" s="5" t="inlineStr">
        <is>
          <t>OLMESARTAN 40MG TABLET</t>
        </is>
      </c>
      <c r="E294" s="6" t="inlineStr">
        <is>
          <t>90.0</t>
        </is>
      </c>
      <c r="F294" s="7" t="n">
        <v>180</v>
      </c>
      <c r="G294" s="7" t="n">
        <v>2</v>
      </c>
      <c r="H294" s="7" t="n">
        <v>4</v>
      </c>
      <c r="I294" s="7" t="n">
        <v>2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68180037603</t>
        </is>
      </c>
      <c r="D296" s="5" t="inlineStr">
        <is>
          <t>LOSARTAN POTASSIUM 25MG TABLET</t>
        </is>
      </c>
      <c r="E296" s="6" t="inlineStr">
        <is>
          <t>1000.0</t>
        </is>
      </c>
      <c r="F296" s="7" t="n">
        <v>1020</v>
      </c>
      <c r="G296" s="7" t="n">
        <v>1.02</v>
      </c>
      <c r="H296" s="7" t="n">
        <v>0</v>
      </c>
      <c r="I296" s="7" t="n">
        <v>-1.02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67877031905</t>
        </is>
      </c>
      <c r="D297" s="5" t="inlineStr">
        <is>
          <t>IBUPROFEN 400MG TABLET</t>
        </is>
      </c>
      <c r="E297" s="6" t="inlineStr">
        <is>
          <t>500.0</t>
        </is>
      </c>
      <c r="F297" s="7" t="n">
        <v>278</v>
      </c>
      <c r="G297" s="7" t="n">
        <v>0.556</v>
      </c>
      <c r="H297" s="7" t="n">
        <v>2</v>
      </c>
      <c r="I297" s="7" t="n">
        <v>1.444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31722053705</t>
        </is>
      </c>
      <c r="D301" s="5" t="inlineStr">
        <is>
          <t xml:space="preserve">LEVETIRACETAM 500MG TAB </t>
        </is>
      </c>
      <c r="E301" s="6" t="inlineStr">
        <is>
          <t>500.0</t>
        </is>
      </c>
      <c r="F301" s="7" t="n">
        <v>600</v>
      </c>
      <c r="G301" s="7" t="n">
        <v>1.2</v>
      </c>
      <c r="H301" s="7" t="n">
        <v>0</v>
      </c>
      <c r="I301" s="7" t="n">
        <v>-1.2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00713063437</t>
        </is>
      </c>
      <c r="D303" s="5" t="inlineStr">
        <is>
          <t>MOMETASONE FUROATE 0.1 % EXTERNAL CREAM</t>
        </is>
      </c>
      <c r="E303" s="6" t="inlineStr">
        <is>
          <t>45.0</t>
        </is>
      </c>
      <c r="F303" s="7" t="n">
        <v>135</v>
      </c>
      <c r="G303" s="7" t="n">
        <v>3</v>
      </c>
      <c r="H303" s="7" t="n">
        <v>0</v>
      </c>
      <c r="I303" s="7" t="n">
        <v>-3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51672408104</t>
        </is>
      </c>
      <c r="D306" s="5" t="inlineStr">
        <is>
          <t>CLINDAMYCIN PHOSPHATE 1 % EXTERNAL SOLUTION</t>
        </is>
      </c>
      <c r="E306" s="6" t="inlineStr">
        <is>
          <t>60.0</t>
        </is>
      </c>
      <c r="F306" s="7" t="n">
        <v>180</v>
      </c>
      <c r="G306" s="7" t="n">
        <v>3</v>
      </c>
      <c r="H306" s="7" t="n">
        <v>0</v>
      </c>
      <c r="I306" s="7" t="n">
        <v>-3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59651078205</t>
        </is>
      </c>
      <c r="D307" s="5" t="inlineStr">
        <is>
          <t>GLIPIZIDE ER 10MG TABLET</t>
        </is>
      </c>
      <c r="E307" s="6" t="inlineStr">
        <is>
          <t>500.0</t>
        </is>
      </c>
      <c r="F307" s="7" t="n">
        <v>570</v>
      </c>
      <c r="G307" s="7" t="n">
        <v>1.14</v>
      </c>
      <c r="H307" s="7" t="n">
        <v>2</v>
      </c>
      <c r="I307" s="7" t="n">
        <v>0.8600000000000001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00168026850</t>
        </is>
      </c>
      <c r="D308" s="5" t="inlineStr">
        <is>
          <t>BETAMETHASONE DIP AUG 0.05 % OINTMENT</t>
        </is>
      </c>
      <c r="E308" s="6" t="inlineStr">
        <is>
          <t>50.0</t>
        </is>
      </c>
      <c r="F308" s="7" t="n">
        <v>50</v>
      </c>
      <c r="G308" s="7" t="n">
        <v>1</v>
      </c>
      <c r="H308" s="7" t="n">
        <v>0</v>
      </c>
      <c r="I308" s="7" t="n">
        <v>-1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00143980305</t>
        </is>
      </c>
      <c r="D309" s="5" t="inlineStr">
        <is>
          <t>DOXYCYCLINE HYCLATE 100MG CAPSULE</t>
        </is>
      </c>
      <c r="E309" s="6" t="inlineStr">
        <is>
          <t>500.0</t>
        </is>
      </c>
      <c r="F309" s="7" t="n">
        <v>246</v>
      </c>
      <c r="G309" s="7" t="n">
        <v>0.492</v>
      </c>
      <c r="H309" s="7" t="n">
        <v>0</v>
      </c>
      <c r="I309" s="7" t="n">
        <v>-0.492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00555902658</t>
        </is>
      </c>
      <c r="D310" s="5" t="inlineStr">
        <is>
          <t>JUNEL FE 1/20 1-20MG TABLET</t>
        </is>
      </c>
      <c r="E310" s="6" t="inlineStr">
        <is>
          <t>28.0</t>
        </is>
      </c>
      <c r="F310" s="7" t="n">
        <v>280</v>
      </c>
      <c r="G310" s="7" t="n">
        <v>10</v>
      </c>
      <c r="H310" s="7" t="n">
        <v>3</v>
      </c>
      <c r="I310" s="7" t="n">
        <v>-7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67877032105</t>
        </is>
      </c>
      <c r="D312" s="5" t="inlineStr">
        <is>
          <t xml:space="preserve">IBUPROFEN 800MG TAB </t>
        </is>
      </c>
      <c r="E312" s="6" t="inlineStr">
        <is>
          <t>500.0</t>
        </is>
      </c>
      <c r="F312" s="7" t="n">
        <v>541</v>
      </c>
      <c r="G312" s="7" t="n">
        <v>1.082</v>
      </c>
      <c r="H312" s="7" t="n">
        <v>0</v>
      </c>
      <c r="I312" s="7" t="n">
        <v>-1.082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70756001112</t>
        </is>
      </c>
      <c r="D313" s="5" t="inlineStr">
        <is>
          <t>CHLORTHALIDONE 25MG TABLET</t>
        </is>
      </c>
      <c r="E313" s="6" t="inlineStr">
        <is>
          <t>1000.0</t>
        </is>
      </c>
      <c r="F313" s="7" t="n">
        <v>420</v>
      </c>
      <c r="G313" s="7" t="n">
        <v>0.42</v>
      </c>
      <c r="H313" s="7" t="n">
        <v>0</v>
      </c>
      <c r="I313" s="7" t="n">
        <v>-0.42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76204020030</t>
        </is>
      </c>
      <c r="D317" s="5" t="inlineStr">
        <is>
          <t>ALBUTEROL SULFATE (2.5 MG/3ML) 0.083% INHALATION NEBULIZATION SOLUTION</t>
        </is>
      </c>
      <c r="E317" s="6" t="inlineStr">
        <is>
          <t>90.0</t>
        </is>
      </c>
      <c r="F317" s="7" t="n">
        <v>720</v>
      </c>
      <c r="G317" s="7" t="n">
        <v>8</v>
      </c>
      <c r="H317" s="7" t="n">
        <v>0</v>
      </c>
      <c r="I317" s="7" t="n">
        <v>-8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59746012110</t>
        </is>
      </c>
      <c r="D318" s="5" t="inlineStr">
        <is>
          <t>MECLIZINE HCL 25MG TABLET</t>
        </is>
      </c>
      <c r="E318" s="6" t="inlineStr">
        <is>
          <t>1000.0</t>
        </is>
      </c>
      <c r="F318" s="7" t="n">
        <v>409</v>
      </c>
      <c r="G318" s="7" t="n">
        <v>0.409</v>
      </c>
      <c r="H318" s="7" t="n">
        <v>0</v>
      </c>
      <c r="I318" s="7" t="n">
        <v>-0.409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50742026103</t>
        </is>
      </c>
      <c r="D319" s="5" t="inlineStr">
        <is>
          <t>NIFEDIPINE 60MG TABLET ER</t>
        </is>
      </c>
      <c r="E319" s="6" t="inlineStr">
        <is>
          <t>300.0</t>
        </is>
      </c>
      <c r="F319" s="7" t="n">
        <v>300</v>
      </c>
      <c r="G319" s="7" t="n">
        <v>1</v>
      </c>
      <c r="H319" s="7" t="n">
        <v>0</v>
      </c>
      <c r="I319" s="7" t="n">
        <v>-1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67877022405</t>
        </is>
      </c>
      <c r="D320" s="5" t="inlineStr">
        <is>
          <t xml:space="preserve">GABAPENTIN 400MG CAP </t>
        </is>
      </c>
      <c r="E320" s="6" t="inlineStr">
        <is>
          <t>500.0</t>
        </is>
      </c>
      <c r="F320" s="7" t="n">
        <v>750</v>
      </c>
      <c r="G320" s="7" t="n">
        <v>1.5</v>
      </c>
      <c r="H320" s="7" t="n">
        <v>0</v>
      </c>
      <c r="I320" s="7" t="n">
        <v>-1.5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69097007212</t>
        </is>
      </c>
      <c r="D321" s="5" t="inlineStr">
        <is>
          <t>BUPROPION HCL ER (XL) 300MG TABLET</t>
        </is>
      </c>
      <c r="E321" s="6" t="inlineStr">
        <is>
          <t>500.0</t>
        </is>
      </c>
      <c r="F321" s="7" t="n">
        <v>210</v>
      </c>
      <c r="G321" s="7" t="n">
        <v>0.42</v>
      </c>
      <c r="H321" s="7" t="n">
        <v>0</v>
      </c>
      <c r="I321" s="7" t="n">
        <v>-0.42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69097015912</t>
        </is>
      </c>
      <c r="D322" s="5" t="inlineStr">
        <is>
          <t xml:space="preserve">MELOXICAM 15MG TAB </t>
        </is>
      </c>
      <c r="E322" s="6" t="inlineStr">
        <is>
          <t>500.0</t>
        </is>
      </c>
      <c r="F322" s="7" t="n">
        <v>534</v>
      </c>
      <c r="G322" s="7" t="n">
        <v>1.068</v>
      </c>
      <c r="H322" s="7" t="n">
        <v>0</v>
      </c>
      <c r="I322" s="7" t="n">
        <v>-1.068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70069065201</t>
        </is>
      </c>
      <c r="D323" s="5" t="inlineStr">
        <is>
          <t>BRIMONIDINE TARTRATE-TIMOLOL 0.2-0.5 % OPHTHALMIC SOLUTION</t>
        </is>
      </c>
      <c r="E323" s="6" t="inlineStr">
        <is>
          <t>10.0</t>
        </is>
      </c>
      <c r="F323" s="7" t="n">
        <v>10</v>
      </c>
      <c r="G323" s="7" t="n">
        <v>1</v>
      </c>
      <c r="H323" s="7" t="n">
        <v>0</v>
      </c>
      <c r="I323" s="7" t="n">
        <v>-1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51672131802</t>
        </is>
      </c>
      <c r="D324" s="5" t="inlineStr">
        <is>
          <t xml:space="preserve">CICLOPIROX 0.77% CREAM </t>
        </is>
      </c>
      <c r="E324" s="6" t="inlineStr">
        <is>
          <t>30.0</t>
        </is>
      </c>
      <c r="F324" s="7" t="n">
        <v>120</v>
      </c>
      <c r="G324" s="7" t="n">
        <v>4</v>
      </c>
      <c r="H324" s="7" t="n">
        <v>0</v>
      </c>
      <c r="I324" s="7" t="n">
        <v>-4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68462028132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57237000511</t>
        </is>
      </c>
      <c r="D327" s="5" t="inlineStr">
        <is>
          <t xml:space="preserve">FLUCONAZOLE 150MG TAB </t>
        </is>
      </c>
      <c r="E327" s="6" t="inlineStr">
        <is>
          <t>12.0</t>
        </is>
      </c>
      <c r="F327" s="7" t="n">
        <v>27</v>
      </c>
      <c r="G327" s="7" t="n">
        <v>2.25</v>
      </c>
      <c r="H327" s="7" t="n">
        <v>3</v>
      </c>
      <c r="I327" s="7" t="n">
        <v>0.75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50742050510</t>
        </is>
      </c>
      <c r="D328" s="5" t="inlineStr">
        <is>
          <t>SCOPOLAMINE 1 MG/3DAYS TRANSDERMAL PATCH 72 HOUR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00378581577</t>
        </is>
      </c>
      <c r="D330" s="5" t="inlineStr">
        <is>
          <t>VALSARTAN 320MG TABLET</t>
        </is>
      </c>
      <c r="E330" s="6" t="inlineStr">
        <is>
          <t>90.0</t>
        </is>
      </c>
      <c r="F330" s="7" t="n">
        <v>180</v>
      </c>
      <c r="G330" s="7" t="n">
        <v>2</v>
      </c>
      <c r="H330" s="7" t="n">
        <v>0</v>
      </c>
      <c r="I330" s="7" t="n">
        <v>-2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68180069806</t>
        </is>
      </c>
      <c r="D331" s="5" t="inlineStr">
        <is>
          <t>TRAMADOL HCL ER 200MG TABLET</t>
        </is>
      </c>
      <c r="E331" s="6" t="inlineStr">
        <is>
          <t>30.0</t>
        </is>
      </c>
      <c r="F331" s="7" t="n">
        <v>30</v>
      </c>
      <c r="G331" s="7" t="n">
        <v>1</v>
      </c>
      <c r="H331" s="7" t="n">
        <v>0</v>
      </c>
      <c r="I331" s="7" t="n">
        <v>-1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72578015001</t>
        </is>
      </c>
      <c r="D338" s="5" t="inlineStr">
        <is>
          <t>ACETAZOLAMIDE 250 MG ORAL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51672138903</t>
        </is>
      </c>
      <c r="D340" s="5" t="inlineStr">
        <is>
          <t>AZELAIC ACID 15 % EXTERNAL GEL</t>
        </is>
      </c>
      <c r="E340" s="6" t="inlineStr">
        <is>
          <t>50.0</t>
        </is>
      </c>
      <c r="F340" s="7" t="n">
        <v>50</v>
      </c>
      <c r="G340" s="7" t="n">
        <v>1</v>
      </c>
      <c r="H340" s="7" t="n">
        <v>1</v>
      </c>
      <c r="I340" s="7" t="n">
        <v>0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00555904558</t>
        </is>
      </c>
      <c r="D341" s="5" t="inlineStr">
        <is>
          <t>AVIANE 0.1-20MG TABLET</t>
        </is>
      </c>
      <c r="E341" s="6" t="inlineStr">
        <is>
          <t>28.0</t>
        </is>
      </c>
      <c r="F341" s="7" t="n">
        <v>168</v>
      </c>
      <c r="G341" s="7" t="n">
        <v>6</v>
      </c>
      <c r="H341" s="7" t="n">
        <v>0</v>
      </c>
      <c r="I341" s="7" t="n">
        <v>-6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68382080001</t>
        </is>
      </c>
      <c r="D343" s="5" t="inlineStr">
        <is>
          <t>LABETALOL 300MG TABLET</t>
        </is>
      </c>
      <c r="E343" s="6" t="inlineStr">
        <is>
          <t>100.0</t>
        </is>
      </c>
      <c r="F343" s="7" t="n">
        <v>180</v>
      </c>
      <c r="G343" s="7" t="n">
        <v>1.8</v>
      </c>
      <c r="H343" s="7" t="n">
        <v>0</v>
      </c>
      <c r="I343" s="7" t="n">
        <v>-1.8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13668013610</t>
        </is>
      </c>
      <c r="D345" s="5" t="inlineStr">
        <is>
          <t>ESCITALOPRAM 10MG TABLET</t>
        </is>
      </c>
      <c r="E345" s="6" t="inlineStr">
        <is>
          <t>1000.0</t>
        </is>
      </c>
      <c r="F345" s="7" t="n">
        <v>435</v>
      </c>
      <c r="G345" s="7" t="n">
        <v>0.435</v>
      </c>
      <c r="H345" s="7" t="n">
        <v>0</v>
      </c>
      <c r="I345" s="7" t="n">
        <v>-0.435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00168009930</t>
        </is>
      </c>
      <c r="D346" s="5" t="inlineStr">
        <is>
          <t>KETOCONAZOLE 2 % EXTERNAL CREAM</t>
        </is>
      </c>
      <c r="E346" s="6" t="inlineStr">
        <is>
          <t>30.0</t>
        </is>
      </c>
      <c r="F346" s="7" t="n">
        <v>90</v>
      </c>
      <c r="G346" s="7" t="n">
        <v>3</v>
      </c>
      <c r="H346" s="7" t="n">
        <v>0</v>
      </c>
      <c r="I346" s="7" t="n">
        <v>-3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69315030805</t>
        </is>
      </c>
      <c r="D347" s="5" t="inlineStr">
        <is>
          <t>CIPROFLOXACIN HCL 0.3 % OPHTHALMIC SOLUTION</t>
        </is>
      </c>
      <c r="E347" s="6" t="inlineStr">
        <is>
          <t>5.0</t>
        </is>
      </c>
      <c r="F347" s="7" t="n">
        <v>30</v>
      </c>
      <c r="G347" s="7" t="n">
        <v>6</v>
      </c>
      <c r="H347" s="7" t="n">
        <v>8</v>
      </c>
      <c r="I347" s="7" t="n">
        <v>2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51672127506</t>
        </is>
      </c>
      <c r="D351" s="5" t="inlineStr">
        <is>
          <t xml:space="preserve">CLOTRIMAZOLE 1% CREAM </t>
        </is>
      </c>
      <c r="E351" s="6" t="inlineStr">
        <is>
          <t>45.0</t>
        </is>
      </c>
      <c r="F351" s="7" t="n">
        <v>225</v>
      </c>
      <c r="G351" s="7" t="n">
        <v>5</v>
      </c>
      <c r="H351" s="7" t="n">
        <v>0</v>
      </c>
      <c r="I351" s="7" t="n">
        <v>-5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00093736810</t>
        </is>
      </c>
      <c r="D352" s="5" t="inlineStr">
        <is>
          <t>LOSARTAN HCTZ 100-25MG TABLET</t>
        </is>
      </c>
      <c r="E352" s="6" t="inlineStr">
        <is>
          <t>1000.0</t>
        </is>
      </c>
      <c r="F352" s="7" t="n">
        <v>540</v>
      </c>
      <c r="G352" s="7" t="n">
        <v>0.54</v>
      </c>
      <c r="H352" s="7" t="n">
        <v>0</v>
      </c>
      <c r="I352" s="7" t="n">
        <v>-0.54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00168034720</t>
        </is>
      </c>
      <c r="D353" s="5" t="inlineStr">
        <is>
          <t>TERCONAZOLE 0.8 % VAGINAL CREAM</t>
        </is>
      </c>
      <c r="E353" s="6" t="inlineStr">
        <is>
          <t>20.0</t>
        </is>
      </c>
      <c r="F353" s="7" t="n">
        <v>40</v>
      </c>
      <c r="G353" s="7" t="n">
        <v>2</v>
      </c>
      <c r="H353" s="7" t="n">
        <v>3</v>
      </c>
      <c r="I353" s="7" t="n">
        <v>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65862001205</t>
        </is>
      </c>
      <c r="D354" s="5" t="inlineStr">
        <is>
          <t>SERTRALINE 50MG TABLET</t>
        </is>
      </c>
      <c r="E354" s="6" t="inlineStr">
        <is>
          <t>500.0</t>
        </is>
      </c>
      <c r="F354" s="7" t="n">
        <v>405</v>
      </c>
      <c r="G354" s="7" t="n">
        <v>0.8100000000000001</v>
      </c>
      <c r="H354" s="7" t="n">
        <v>2</v>
      </c>
      <c r="I354" s="7" t="n">
        <v>1.19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16571065710</t>
        </is>
      </c>
      <c r="D355" s="5" t="inlineStr">
        <is>
          <t xml:space="preserve">CEVIMELINE 30MG CAP </t>
        </is>
      </c>
      <c r="E355" s="6" t="inlineStr">
        <is>
          <t>100.0</t>
        </is>
      </c>
      <c r="F355" s="7" t="n">
        <v>90</v>
      </c>
      <c r="G355" s="7" t="n">
        <v>0.9</v>
      </c>
      <c r="H355" s="7" t="n">
        <v>0</v>
      </c>
      <c r="I355" s="7" t="n">
        <v>-0.9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70710116701</t>
        </is>
      </c>
      <c r="D356" s="5" t="inlineStr">
        <is>
          <t>ATENOLOL-CHLORTHALIDONE 50-25MG TABLET</t>
        </is>
      </c>
      <c r="E356" s="6" t="inlineStr">
        <is>
          <t>100.0</t>
        </is>
      </c>
      <c r="F356" s="7" t="n">
        <v>210</v>
      </c>
      <c r="G356" s="7" t="n">
        <v>2.1</v>
      </c>
      <c r="H356" s="7" t="n">
        <v>3</v>
      </c>
      <c r="I356" s="7" t="n">
        <v>0.8999999999999999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33342009009</t>
        </is>
      </c>
      <c r="D357" s="5" t="inlineStr">
        <is>
          <t>RIVASTIGMINE TARTRATE 3 MG ORAL CAPSULE</t>
        </is>
      </c>
      <c r="E357" s="6" t="inlineStr">
        <is>
          <t>60.0</t>
        </is>
      </c>
      <c r="F357" s="7" t="n">
        <v>180</v>
      </c>
      <c r="G357" s="7" t="n">
        <v>3</v>
      </c>
      <c r="H357" s="7" t="n">
        <v>0</v>
      </c>
      <c r="I357" s="7" t="n">
        <v>-3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76204010030</t>
        </is>
      </c>
      <c r="D358" s="5" t="inlineStr">
        <is>
          <t>IPRATROPIUM BROMIDE 0.02 % INHALATION SOLUTION</t>
        </is>
      </c>
      <c r="E358" s="6" t="inlineStr">
        <is>
          <t>75.0</t>
        </is>
      </c>
      <c r="F358" s="7" t="n">
        <v>300</v>
      </c>
      <c r="G358" s="7" t="n">
        <v>4</v>
      </c>
      <c r="H358" s="7" t="n">
        <v>0</v>
      </c>
      <c r="I358" s="7" t="n">
        <v>-4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24208034425</t>
        </is>
      </c>
      <c r="D359" s="5" t="inlineStr">
        <is>
          <t>FLUNISOLIDE 25 MCG/ACT (0.025%) NASAL SOLUTION</t>
        </is>
      </c>
      <c r="E359" s="6" t="inlineStr">
        <is>
          <t>25.0</t>
        </is>
      </c>
      <c r="F359" s="7" t="n">
        <v>25</v>
      </c>
      <c r="G359" s="7" t="n">
        <v>1</v>
      </c>
      <c r="H359" s="7" t="n">
        <v>1</v>
      </c>
      <c r="I359" s="7" t="n">
        <v>0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60505057804</t>
        </is>
      </c>
      <c r="D360" s="5" t="inlineStr">
        <is>
          <t>AZELASTINE 0.05% OPHTHALMIC SOLUTION</t>
        </is>
      </c>
      <c r="E360" s="6" t="inlineStr">
        <is>
          <t>6.0</t>
        </is>
      </c>
      <c r="F360" s="7" t="n">
        <v>42</v>
      </c>
      <c r="G360" s="7" t="n">
        <v>7</v>
      </c>
      <c r="H360" s="7" t="n">
        <v>0</v>
      </c>
      <c r="I360" s="7" t="n">
        <v>-7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68180051802</t>
        </is>
      </c>
      <c r="D361" s="5" t="inlineStr">
        <is>
          <t xml:space="preserve">LISINOPRIL-HCTZ 10-12.5MG TAB </t>
        </is>
      </c>
      <c r="E361" s="6" t="inlineStr">
        <is>
          <t>500.0</t>
        </is>
      </c>
      <c r="F361" s="7" t="n">
        <v>450</v>
      </c>
      <c r="G361" s="7" t="n">
        <v>0.9</v>
      </c>
      <c r="H361" s="7" t="n">
        <v>2</v>
      </c>
      <c r="I361" s="7" t="n">
        <v>1.1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00074706890</t>
        </is>
      </c>
      <c r="D362" s="5" t="inlineStr">
        <is>
          <t>SYNTHROID 125 MCG ORAL TABLET</t>
        </is>
      </c>
      <c r="E362" s="6" t="inlineStr">
        <is>
          <t>90.0</t>
        </is>
      </c>
      <c r="F362" s="7" t="n">
        <v>30</v>
      </c>
      <c r="G362" s="7" t="n">
        <v>0.3333333333333333</v>
      </c>
      <c r="H362" s="7" t="n">
        <v>1</v>
      </c>
      <c r="I362" s="7" t="n">
        <v>0.6666666666666667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00115521116</t>
        </is>
      </c>
      <c r="D363" s="5" t="inlineStr">
        <is>
          <t>COLESTIPOL HCL 1 GM ORAL TABLET</t>
        </is>
      </c>
      <c r="E363" s="6" t="inlineStr">
        <is>
          <t>120.0</t>
        </is>
      </c>
      <c r="F363" s="7" t="n">
        <v>90</v>
      </c>
      <c r="G363" s="7" t="n">
        <v>0.75</v>
      </c>
      <c r="H363" s="7" t="n">
        <v>1</v>
      </c>
      <c r="I363" s="7" t="n">
        <v>0.25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33342005144</t>
        </is>
      </c>
      <c r="D364" s="5" t="inlineStr">
        <is>
          <t>LOSARTANHCTZ 100-12.5 MG TABLET</t>
        </is>
      </c>
      <c r="E364" s="6" t="inlineStr">
        <is>
          <t>1000.0</t>
        </is>
      </c>
      <c r="F364" s="7" t="n">
        <v>390</v>
      </c>
      <c r="G364" s="7" t="n">
        <v>0.39</v>
      </c>
      <c r="H364" s="7" t="n">
        <v>0</v>
      </c>
      <c r="I364" s="7" t="n">
        <v>-0.39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71930005012</t>
        </is>
      </c>
      <c r="D369" s="5" t="inlineStr">
        <is>
          <t>POTASSIUM CITRATE 15MEQ TABLET EXTENDED RELEASE</t>
        </is>
      </c>
      <c r="E369" s="6" t="inlineStr">
        <is>
          <t>100.0</t>
        </is>
      </c>
      <c r="F369" s="7" t="n">
        <v>180</v>
      </c>
      <c r="G369" s="7" t="n">
        <v>1.8</v>
      </c>
      <c r="H369" s="7" t="n">
        <v>0</v>
      </c>
      <c r="I369" s="7" t="n">
        <v>-1.8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72578000805</t>
        </is>
      </c>
      <c r="D370" s="5" t="inlineStr">
        <is>
          <t>METRONIDAZOLE 500MG TABLET</t>
        </is>
      </c>
      <c r="E370" s="6" t="inlineStr">
        <is>
          <t>500.0</t>
        </is>
      </c>
      <c r="F370" s="7" t="n">
        <v>65</v>
      </c>
      <c r="G370" s="7" t="n">
        <v>0.13</v>
      </c>
      <c r="H370" s="7" t="n">
        <v>0</v>
      </c>
      <c r="I370" s="7" t="n">
        <v>-0.13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57237004230</t>
        </is>
      </c>
      <c r="D371" s="5" t="inlineStr">
        <is>
          <t>VALACYCLOVIR 500MG TABLET</t>
        </is>
      </c>
      <c r="E371" s="6" t="inlineStr">
        <is>
          <t>30.0</t>
        </is>
      </c>
      <c r="F371" s="7" t="n">
        <v>66</v>
      </c>
      <c r="G371" s="7" t="n">
        <v>2.2</v>
      </c>
      <c r="H371" s="7" t="n">
        <v>0</v>
      </c>
      <c r="I371" s="7" t="n">
        <v>-2.2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50742011808</t>
        </is>
      </c>
      <c r="D372" s="5" t="inlineStr">
        <is>
          <t>CABERGOLINE 0.5MG TABLET</t>
        </is>
      </c>
      <c r="E372" s="6" t="inlineStr">
        <is>
          <t>8.0</t>
        </is>
      </c>
      <c r="F372" s="7" t="n">
        <v>24</v>
      </c>
      <c r="G372" s="7" t="n">
        <v>3</v>
      </c>
      <c r="H372" s="7" t="n">
        <v>0</v>
      </c>
      <c r="I372" s="7" t="n">
        <v>-3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62332017460</t>
        </is>
      </c>
      <c r="D373" s="5" t="inlineStr">
        <is>
          <t>LACOSAMIDE 200 MG ORAL TABLET</t>
        </is>
      </c>
      <c r="E373" s="6" t="inlineStr">
        <is>
          <t>60.0</t>
        </is>
      </c>
      <c r="F373" s="7" t="n">
        <v>120</v>
      </c>
      <c r="G373" s="7" t="n">
        <v>2</v>
      </c>
      <c r="H373" s="7" t="n">
        <v>4</v>
      </c>
      <c r="I373" s="7" t="n">
        <v>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59651029701</t>
        </is>
      </c>
      <c r="D374" s="5" t="inlineStr">
        <is>
          <t>NIFEDIPINE 90MG TABLET ER</t>
        </is>
      </c>
      <c r="E374" s="6" t="inlineStr">
        <is>
          <t>100.0</t>
        </is>
      </c>
      <c r="F374" s="7" t="n">
        <v>120</v>
      </c>
      <c r="G374" s="7" t="n">
        <v>1.2</v>
      </c>
      <c r="H374" s="7" t="n">
        <v>0</v>
      </c>
      <c r="I374" s="7" t="n">
        <v>-1.2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08484081028</t>
        </is>
      </c>
      <c r="D377" s="5" t="inlineStr">
        <is>
          <t>LANCETS PRODIGY</t>
        </is>
      </c>
      <c r="E377" s="6" t="inlineStr">
        <is>
          <t>100.0</t>
        </is>
      </c>
      <c r="F377" s="7" t="n">
        <v>500</v>
      </c>
      <c r="G377" s="7" t="n">
        <v>5</v>
      </c>
      <c r="H377" s="7" t="n">
        <v>0</v>
      </c>
      <c r="I377" s="7" t="n">
        <v>-5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61442010201</t>
        </is>
      </c>
      <c r="D378" s="5" t="inlineStr">
        <is>
          <t xml:space="preserve">DICLOFENAC SOD 50MG TAB DR </t>
        </is>
      </c>
      <c r="E378" s="6" t="inlineStr">
        <is>
          <t>100.0</t>
        </is>
      </c>
      <c r="F378" s="7" t="n">
        <v>240</v>
      </c>
      <c r="G378" s="7" t="n">
        <v>2.4</v>
      </c>
      <c r="H378" s="7" t="n">
        <v>0</v>
      </c>
      <c r="I378" s="7" t="n">
        <v>-2.4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16729000517</t>
        </is>
      </c>
      <c r="D379" s="5" t="inlineStr">
        <is>
          <t>SIMVASTATIN 20MG TABLET</t>
        </is>
      </c>
      <c r="E379" s="6" t="inlineStr">
        <is>
          <t>1000.0</t>
        </is>
      </c>
      <c r="F379" s="7" t="n">
        <v>930</v>
      </c>
      <c r="G379" s="7" t="n">
        <v>0.93</v>
      </c>
      <c r="H379" s="7" t="n">
        <v>0</v>
      </c>
      <c r="I379" s="7" t="n">
        <v>-0.93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00904722320</t>
        </is>
      </c>
      <c r="D380" s="5" t="inlineStr">
        <is>
          <t>ROBAFEN DM 20-200 MG/20ML ORAL LIQUID</t>
        </is>
      </c>
      <c r="E380" s="6" t="inlineStr">
        <is>
          <t>118.0</t>
        </is>
      </c>
      <c r="F380" s="7" t="n">
        <v>1180</v>
      </c>
      <c r="G380" s="7" t="n">
        <v>10</v>
      </c>
      <c r="H380" s="7" t="n">
        <v>0</v>
      </c>
      <c r="I380" s="7" t="n">
        <v>-10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00713063737</t>
        </is>
      </c>
      <c r="D381" s="5" t="inlineStr">
        <is>
          <t>METRONIDAZOLE 0.75 % EXTERNAL GEL</t>
        </is>
      </c>
      <c r="E381" s="6" t="inlineStr">
        <is>
          <t>45.0</t>
        </is>
      </c>
      <c r="F381" s="7" t="n">
        <v>45</v>
      </c>
      <c r="G381" s="7" t="n">
        <v>1</v>
      </c>
      <c r="H381" s="7" t="n">
        <v>0</v>
      </c>
      <c r="I381" s="7" t="n">
        <v>-1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68180096603</t>
        </is>
      </c>
      <c r="D382" s="5" t="inlineStr">
        <is>
          <t>LEVOTHYROXINE 50MCG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72888003600</t>
        </is>
      </c>
      <c r="D383" s="5" t="inlineStr">
        <is>
          <t>CARVEDILOL 12.5MG TABLET</t>
        </is>
      </c>
      <c r="E383" s="6" t="inlineStr">
        <is>
          <t>1000.0</t>
        </is>
      </c>
      <c r="F383" s="7" t="n">
        <v>840</v>
      </c>
      <c r="G383" s="7" t="n">
        <v>0.84</v>
      </c>
      <c r="H383" s="7" t="n">
        <v>0</v>
      </c>
      <c r="I383" s="7" t="n">
        <v>-0.84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72888003700</t>
        </is>
      </c>
      <c r="D384" s="5" t="inlineStr">
        <is>
          <t xml:space="preserve">CARVEDILOL 25 MG TABLET </t>
        </is>
      </c>
      <c r="E384" s="6" t="inlineStr">
        <is>
          <t>1000.0</t>
        </is>
      </c>
      <c r="F384" s="7" t="n">
        <v>930</v>
      </c>
      <c r="G384" s="7" t="n">
        <v>0.93</v>
      </c>
      <c r="H384" s="7" t="n">
        <v>0</v>
      </c>
      <c r="I384" s="7" t="n">
        <v>-0.93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00168008031</t>
        </is>
      </c>
      <c r="D385" s="5" t="inlineStr">
        <is>
          <t>HYDROCORTISONE 2.5% CREAM</t>
        </is>
      </c>
      <c r="E385" s="6" t="inlineStr">
        <is>
          <t>30.0</t>
        </is>
      </c>
      <c r="F385" s="7" t="n">
        <v>300</v>
      </c>
      <c r="G385" s="7" t="n">
        <v>10</v>
      </c>
      <c r="H385" s="7" t="n">
        <v>7</v>
      </c>
      <c r="I385" s="7" t="n">
        <v>-3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13107003105</t>
        </is>
      </c>
      <c r="D386" s="5" t="inlineStr">
        <is>
          <t>MIRTAZAPINE 15MG TABLET</t>
        </is>
      </c>
      <c r="E386" s="6" t="inlineStr">
        <is>
          <t>500.0</t>
        </is>
      </c>
      <c r="F386" s="7" t="n">
        <v>300</v>
      </c>
      <c r="G386" s="7" t="n">
        <v>0.6</v>
      </c>
      <c r="H386" s="7" t="n">
        <v>0</v>
      </c>
      <c r="I386" s="7" t="n">
        <v>-0.6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59651002988</t>
        </is>
      </c>
      <c r="D388" s="5" t="inlineStr">
        <is>
          <t>LO-ZUMANDIMINE 3-0.02 MG ORAL TABLET</t>
        </is>
      </c>
      <c r="E388" s="6" t="inlineStr">
        <is>
          <t>84.0</t>
        </is>
      </c>
      <c r="F388" s="7" t="n">
        <v>196</v>
      </c>
      <c r="G388" s="7" t="n">
        <v>2.333333333333333</v>
      </c>
      <c r="H388" s="7" t="n">
        <v>0</v>
      </c>
      <c r="I388" s="7" t="n">
        <v>-2.333333333333333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45802049326</t>
        </is>
      </c>
      <c r="D389" s="5" t="inlineStr">
        <is>
          <t>AMMONIUM LACTATE 12%CREAM 385GM</t>
        </is>
      </c>
      <c r="E389" s="6" t="inlineStr">
        <is>
          <t>385.0</t>
        </is>
      </c>
      <c r="F389" s="7" t="n">
        <v>770</v>
      </c>
      <c r="G389" s="7" t="n">
        <v>2</v>
      </c>
      <c r="H389" s="7" t="n">
        <v>0</v>
      </c>
      <c r="I389" s="7" t="n">
        <v>-2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62332018203</t>
        </is>
      </c>
      <c r="D392" s="5" t="inlineStr">
        <is>
          <t>ZOLMITRIPTAN 5 MG ORAL TABLET DISINTEGRATING</t>
        </is>
      </c>
      <c r="E392" s="6" t="inlineStr">
        <is>
          <t>3.0</t>
        </is>
      </c>
      <c r="F392" s="7" t="n">
        <v>9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45802046653</t>
        </is>
      </c>
      <c r="D393" s="5" t="inlineStr">
        <is>
          <t xml:space="preserve">ECONAZOLE NITRATE 1% CREAM </t>
        </is>
      </c>
      <c r="E393" s="6" t="inlineStr">
        <is>
          <t>85.0</t>
        </is>
      </c>
      <c r="F393" s="7" t="n">
        <v>85</v>
      </c>
      <c r="G393" s="7" t="n">
        <v>1</v>
      </c>
      <c r="H393" s="7" t="n">
        <v>0</v>
      </c>
      <c r="I393" s="7" t="n">
        <v>-1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68462010230</t>
        </is>
      </c>
      <c r="D394" s="5" t="inlineStr">
        <is>
          <t>FLUCONAZOLE 100 MG ORAL TABLET</t>
        </is>
      </c>
      <c r="E394" s="6" t="inlineStr">
        <is>
          <t>30.0</t>
        </is>
      </c>
      <c r="F394" s="7" t="n">
        <v>36</v>
      </c>
      <c r="G394" s="7" t="n">
        <v>1.2</v>
      </c>
      <c r="H394" s="7" t="n">
        <v>0</v>
      </c>
      <c r="I394" s="7" t="n">
        <v>-1.2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75907002448</t>
        </is>
      </c>
      <c r="D395" s="5" t="inlineStr">
        <is>
          <t>CLONIDINE 0.2 MG/24HR TRANSDERMAL PATCH WEEKLY</t>
        </is>
      </c>
      <c r="E395" s="6" t="inlineStr">
        <is>
          <t>4.0</t>
        </is>
      </c>
      <c r="F395" s="7" t="n">
        <v>4</v>
      </c>
      <c r="G395" s="7" t="n">
        <v>1</v>
      </c>
      <c r="H395" s="7" t="n">
        <v>2</v>
      </c>
      <c r="I395" s="7" t="n">
        <v>1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00378705752</t>
        </is>
      </c>
      <c r="D396" s="5" t="inlineStr">
        <is>
          <t>ALBUTEROL SULFATE 0.63 MG/3ML INHALATION NEBULIZATION SOLUTION</t>
        </is>
      </c>
      <c r="E396" s="6" t="inlineStr">
        <is>
          <t>75.0</t>
        </is>
      </c>
      <c r="F396" s="7" t="n">
        <v>225</v>
      </c>
      <c r="G396" s="7" t="n">
        <v>3</v>
      </c>
      <c r="H396" s="7" t="n">
        <v>0</v>
      </c>
      <c r="I396" s="7" t="n">
        <v>-3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69315030810</t>
        </is>
      </c>
      <c r="D397" s="5" t="inlineStr">
        <is>
          <t>CIPROFLOXACIN HCL 0.3 % OPHTHALMIC SOLUTION</t>
        </is>
      </c>
      <c r="E397" s="6" t="inlineStr">
        <is>
          <t>10.0</t>
        </is>
      </c>
      <c r="F397" s="7" t="n">
        <v>30</v>
      </c>
      <c r="G397" s="7" t="n">
        <v>3</v>
      </c>
      <c r="H397" s="7" t="n">
        <v>3</v>
      </c>
      <c r="I397" s="7" t="n">
        <v>0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67877024910</t>
        </is>
      </c>
      <c r="D398" s="5" t="inlineStr">
        <is>
          <t>QUETIAPINE 50MG TABLET</t>
        </is>
      </c>
      <c r="E398" s="6" t="inlineStr">
        <is>
          <t>1000.0</t>
        </is>
      </c>
      <c r="F398" s="7" t="n">
        <v>300</v>
      </c>
      <c r="G398" s="7" t="n">
        <v>0.3</v>
      </c>
      <c r="H398" s="7" t="n">
        <v>0</v>
      </c>
      <c r="I398" s="7" t="n">
        <v>-0.3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76204080025</t>
        </is>
      </c>
      <c r="D400" s="5" t="inlineStr">
        <is>
          <t>LEVALBUTEROL HCL 0.63 MG/3ML INHALATION NEBULIZATION SOLUTION</t>
        </is>
      </c>
      <c r="E400" s="6" t="inlineStr">
        <is>
          <t>75.0</t>
        </is>
      </c>
      <c r="F400" s="7" t="n">
        <v>225</v>
      </c>
      <c r="G400" s="7" t="n">
        <v>3</v>
      </c>
      <c r="H400" s="7" t="n">
        <v>0</v>
      </c>
      <c r="I400" s="7" t="n">
        <v>-3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00781286810</t>
        </is>
      </c>
      <c r="D402" s="5" t="inlineStr">
        <is>
          <t>OMEPRAZOLE 20MG CAPSULE DR</t>
        </is>
      </c>
      <c r="E402" s="6" t="inlineStr">
        <is>
          <t>1000.0</t>
        </is>
      </c>
      <c r="F402" s="7" t="n">
        <v>1320</v>
      </c>
      <c r="G402" s="7" t="n">
        <v>1.32</v>
      </c>
      <c r="H402" s="7" t="n">
        <v>0</v>
      </c>
      <c r="I402" s="7" t="n">
        <v>-1.32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57237022005</t>
        </is>
      </c>
      <c r="D403" s="5" t="inlineStr">
        <is>
          <t>PIOGLITAZONE 30MG TABLET</t>
        </is>
      </c>
      <c r="E403" s="6" t="inlineStr">
        <is>
          <t>500.0</t>
        </is>
      </c>
      <c r="F403" s="7" t="n">
        <v>390</v>
      </c>
      <c r="G403" s="7" t="n">
        <v>0.78</v>
      </c>
      <c r="H403" s="7" t="n">
        <v>1</v>
      </c>
      <c r="I403" s="7" t="n">
        <v>0.22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00904650106</t>
        </is>
      </c>
      <c r="D404" s="5" t="inlineStr">
        <is>
          <t>FLUCONAZOLE 200 MG ORAL TABLET</t>
        </is>
      </c>
      <c r="E404" s="6" t="inlineStr">
        <is>
          <t>50.0</t>
        </is>
      </c>
      <c r="F404" s="7" t="n">
        <v>78</v>
      </c>
      <c r="G404" s="7" t="n">
        <v>1.56</v>
      </c>
      <c r="H404" s="7" t="n">
        <v>0</v>
      </c>
      <c r="I404" s="7" t="n">
        <v>-1.56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67877025001</t>
        </is>
      </c>
      <c r="D406" s="5" t="inlineStr">
        <is>
          <t>QUETIAPINE FUMARATE 100MG TABLET</t>
        </is>
      </c>
      <c r="E406" s="6" t="inlineStr">
        <is>
          <t>100.0</t>
        </is>
      </c>
      <c r="F406" s="7" t="n">
        <v>285</v>
      </c>
      <c r="G406" s="7" t="n">
        <v>2.85</v>
      </c>
      <c r="H406" s="7" t="n">
        <v>0</v>
      </c>
      <c r="I406" s="7" t="n">
        <v>-2.85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68180096503</t>
        </is>
      </c>
      <c r="D407" s="5" t="inlineStr">
        <is>
          <t>LEVOTHYROXINE 25MCG TABLET</t>
        </is>
      </c>
      <c r="E407" s="6" t="inlineStr">
        <is>
          <t>1000.0</t>
        </is>
      </c>
      <c r="F407" s="7" t="n">
        <v>240</v>
      </c>
      <c r="G407" s="7" t="n">
        <v>0.24</v>
      </c>
      <c r="H407" s="7" t="n">
        <v>0</v>
      </c>
      <c r="I407" s="7" t="n">
        <v>-0.24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57664068788</t>
        </is>
      </c>
      <c r="D408" s="5" t="inlineStr">
        <is>
          <t>AMITRIPTYLINE 10 MG TABLET</t>
        </is>
      </c>
      <c r="E408" s="6" t="inlineStr">
        <is>
          <t>100.0</t>
        </is>
      </c>
      <c r="F408" s="7" t="n">
        <v>240</v>
      </c>
      <c r="G408" s="7" t="n">
        <v>2.4</v>
      </c>
      <c r="H408" s="7" t="n">
        <v>0</v>
      </c>
      <c r="I408" s="7" t="n">
        <v>-2.4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67877024201</t>
        </is>
      </c>
      <c r="D409" s="5" t="inlineStr">
        <is>
          <t>QUETIAPINE 25MG TABLET</t>
        </is>
      </c>
      <c r="E409" s="6" t="inlineStr">
        <is>
          <t>100.0</t>
        </is>
      </c>
      <c r="F409" s="7" t="n">
        <v>231</v>
      </c>
      <c r="G409" s="7" t="n">
        <v>2.31</v>
      </c>
      <c r="H409" s="7" t="n">
        <v>0</v>
      </c>
      <c r="I409" s="7" t="n">
        <v>-2.31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00555904958</t>
        </is>
      </c>
      <c r="D410" s="5" t="inlineStr">
        <is>
          <t>CRYSELLE-28 0.3-0.03MG TABLET</t>
        </is>
      </c>
      <c r="E410" s="6" t="inlineStr">
        <is>
          <t>28.0</t>
        </is>
      </c>
      <c r="F410" s="7" t="n">
        <v>84</v>
      </c>
      <c r="G410" s="7" t="n">
        <v>3</v>
      </c>
      <c r="H410" s="7" t="n">
        <v>0</v>
      </c>
      <c r="I410" s="7" t="n">
        <v>-3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70010006405</t>
        </is>
      </c>
      <c r="D411" s="5" t="inlineStr">
        <is>
          <t>METFORMIN HCL 850 MG ORAL TABLET</t>
        </is>
      </c>
      <c r="E411" s="6" t="inlineStr">
        <is>
          <t>500.0</t>
        </is>
      </c>
      <c r="F411" s="7" t="n">
        <v>870</v>
      </c>
      <c r="G411" s="7" t="n">
        <v>1.74</v>
      </c>
      <c r="H411" s="7" t="n">
        <v>3</v>
      </c>
      <c r="I411" s="7" t="n">
        <v>1.26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65862052405</t>
        </is>
      </c>
      <c r="D412" s="5" t="inlineStr">
        <is>
          <t>GABAPENTIN 800 MG TABLET</t>
        </is>
      </c>
      <c r="E412" s="6" t="inlineStr">
        <is>
          <t>500.0</t>
        </is>
      </c>
      <c r="F412" s="7" t="n">
        <v>570</v>
      </c>
      <c r="G412" s="7" t="n">
        <v>1.14</v>
      </c>
      <c r="H412" s="7" t="n">
        <v>2</v>
      </c>
      <c r="I412" s="7" t="n">
        <v>0.8600000000000001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65862001105</t>
        </is>
      </c>
      <c r="D413" s="5" t="inlineStr">
        <is>
          <t>SERTRALINE 25MG TABLET</t>
        </is>
      </c>
      <c r="E413" s="6" t="inlineStr">
        <is>
          <t>500.0</t>
        </is>
      </c>
      <c r="F413" s="7" t="n">
        <v>330</v>
      </c>
      <c r="G413" s="7" t="n">
        <v>0.66</v>
      </c>
      <c r="H413" s="7" t="n">
        <v>0</v>
      </c>
      <c r="I413" s="7" t="n">
        <v>-0.66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64980051505</t>
        </is>
      </c>
      <c r="D414" s="5" t="inlineStr">
        <is>
          <t xml:space="preserve">OFLOXACIN 0.3% SOL (EYE) </t>
        </is>
      </c>
      <c r="E414" s="6" t="inlineStr">
        <is>
          <t>5.0</t>
        </is>
      </c>
      <c r="F414" s="7" t="n">
        <v>10</v>
      </c>
      <c r="G414" s="7" t="n">
        <v>2</v>
      </c>
      <c r="H414" s="7" t="n">
        <v>0</v>
      </c>
      <c r="I414" s="7" t="n">
        <v>-2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70756040411</t>
        </is>
      </c>
      <c r="D415" s="5" t="inlineStr">
        <is>
          <t>NITROFURANTOIN MONOHYD MACRO 100 MG ORAL CAPSULE</t>
        </is>
      </c>
      <c r="E415" s="6" t="inlineStr">
        <is>
          <t>100.0</t>
        </is>
      </c>
      <c r="F415" s="7" t="n">
        <v>68</v>
      </c>
      <c r="G415" s="7" t="n">
        <v>0.68</v>
      </c>
      <c r="H415" s="7" t="n">
        <v>2</v>
      </c>
      <c r="I415" s="7" t="n">
        <v>1.32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33342028007</t>
        </is>
      </c>
      <c r="D416" s="5" t="inlineStr">
        <is>
          <t>AMLODIPINE BESYLATE-VALSARTAN 10-160 MG ORAL TABLET</t>
        </is>
      </c>
      <c r="E416" s="6" t="inlineStr">
        <is>
          <t>30.0</t>
        </is>
      </c>
      <c r="F416" s="7" t="n">
        <v>120</v>
      </c>
      <c r="G416" s="7" t="n">
        <v>4</v>
      </c>
      <c r="H416" s="7" t="n">
        <v>6</v>
      </c>
      <c r="I416" s="7" t="n">
        <v>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23155077310</t>
        </is>
      </c>
      <c r="D417" s="5" t="inlineStr">
        <is>
          <t>ENALAPRIL 20MG TABLET</t>
        </is>
      </c>
      <c r="E417" s="6" t="inlineStr">
        <is>
          <t>1000.0</t>
        </is>
      </c>
      <c r="F417" s="7" t="n">
        <v>270</v>
      </c>
      <c r="G417" s="7" t="n">
        <v>0.27</v>
      </c>
      <c r="H417" s="7" t="n">
        <v>0</v>
      </c>
      <c r="I417" s="7" t="n">
        <v>-0.27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43547042409</t>
        </is>
      </c>
      <c r="D418" s="5" t="inlineStr">
        <is>
          <t>LOSARTAN-HCTZ 100-25MG TABLET</t>
        </is>
      </c>
      <c r="E418" s="6" t="inlineStr">
        <is>
          <t>90.0</t>
        </is>
      </c>
      <c r="F418" s="7" t="n">
        <v>420</v>
      </c>
      <c r="G418" s="7" t="n">
        <v>4.666666666666667</v>
      </c>
      <c r="H418" s="7" t="n">
        <v>1</v>
      </c>
      <c r="I418" s="7" t="n">
        <v>-3.666666666666667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23155050110</t>
        </is>
      </c>
      <c r="D419" s="5" t="inlineStr">
        <is>
          <t>HYDROXYZINE HCL 25MG TABLET</t>
        </is>
      </c>
      <c r="E419" s="6" t="inlineStr">
        <is>
          <t>1000.0</t>
        </is>
      </c>
      <c r="F419" s="7" t="n">
        <v>367</v>
      </c>
      <c r="G419" s="7" t="n">
        <v>0.367</v>
      </c>
      <c r="H419" s="7" t="n">
        <v>0</v>
      </c>
      <c r="I419" s="7" t="n">
        <v>-0.367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69315030660</t>
        </is>
      </c>
      <c r="D421" s="5" t="inlineStr">
        <is>
          <t>NYSTATIN 100000 UNIT/GM EXTERNAL POWDER</t>
        </is>
      </c>
      <c r="E421" s="6" t="inlineStr">
        <is>
          <t>60.0</t>
        </is>
      </c>
      <c r="F421" s="7" t="n">
        <v>60</v>
      </c>
      <c r="G421" s="7" t="n">
        <v>1</v>
      </c>
      <c r="H421" s="7" t="n">
        <v>0</v>
      </c>
      <c r="I421" s="7" t="n">
        <v>-1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61442019205</t>
        </is>
      </c>
      <c r="D422" s="5" t="inlineStr">
        <is>
          <t>MEMANTINE 5MG TABLET</t>
        </is>
      </c>
      <c r="E422" s="6" t="inlineStr">
        <is>
          <t>500.0</t>
        </is>
      </c>
      <c r="F422" s="7" t="n">
        <v>270</v>
      </c>
      <c r="G422" s="7" t="n">
        <v>0.54</v>
      </c>
      <c r="H422" s="7" t="n">
        <v>0</v>
      </c>
      <c r="I422" s="7" t="n">
        <v>-0.54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00781712254</t>
        </is>
      </c>
      <c r="D423" s="5" t="inlineStr">
        <is>
          <t>ESTRADIOL 0.0375 MG/24HR TRANSDERMAL PATCH WEEKLY</t>
        </is>
      </c>
      <c r="E423" s="6" t="inlineStr">
        <is>
          <t>4.0</t>
        </is>
      </c>
      <c r="F423" s="7" t="n">
        <v>4</v>
      </c>
      <c r="G423" s="7" t="n">
        <v>1</v>
      </c>
      <c r="H423" s="7" t="n">
        <v>2</v>
      </c>
      <c r="I423" s="7" t="n">
        <v>1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00536100715</t>
        </is>
      </c>
      <c r="D424" s="5" t="inlineStr">
        <is>
          <t>CALCIUM CARBONATE 500MG TABLET CHEWABLE</t>
        </is>
      </c>
      <c r="E424" s="6" t="inlineStr">
        <is>
          <t>150.0</t>
        </is>
      </c>
      <c r="F424" s="7" t="n">
        <v>390</v>
      </c>
      <c r="G424" s="7" t="n">
        <v>2.6</v>
      </c>
      <c r="H424" s="7" t="n">
        <v>6</v>
      </c>
      <c r="I424" s="7" t="n">
        <v>3.4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00378581377</t>
        </is>
      </c>
      <c r="D425" s="5" t="inlineStr">
        <is>
          <t>VALSARTAN 80MG TABLET</t>
        </is>
      </c>
      <c r="E425" s="6" t="inlineStr">
        <is>
          <t>90.0</t>
        </is>
      </c>
      <c r="F425" s="7" t="n">
        <v>150</v>
      </c>
      <c r="G425" s="7" t="n">
        <v>1.666666666666667</v>
      </c>
      <c r="H425" s="7" t="n">
        <v>0</v>
      </c>
      <c r="I425" s="7" t="n">
        <v>-1.666666666666667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65862001305</t>
        </is>
      </c>
      <c r="D430" s="5" t="inlineStr">
        <is>
          <t>SERTRALINE 100MG TABLET</t>
        </is>
      </c>
      <c r="E430" s="6" t="inlineStr">
        <is>
          <t>500.0</t>
        </is>
      </c>
      <c r="F430" s="7" t="n">
        <v>330</v>
      </c>
      <c r="G430" s="7" t="n">
        <v>0.66</v>
      </c>
      <c r="H430" s="7" t="n">
        <v>0</v>
      </c>
      <c r="I430" s="7" t="n">
        <v>-0.66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52817018010</t>
        </is>
      </c>
      <c r="D431" s="5" t="inlineStr">
        <is>
          <t xml:space="preserve">CLONIDINE 0.1MG TAB </t>
        </is>
      </c>
      <c r="E431" s="6" t="inlineStr">
        <is>
          <t>100.0</t>
        </is>
      </c>
      <c r="F431" s="7" t="n">
        <v>193</v>
      </c>
      <c r="G431" s="7" t="n">
        <v>1.93</v>
      </c>
      <c r="H431" s="7" t="n">
        <v>0</v>
      </c>
      <c r="I431" s="7" t="n">
        <v>-1.93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45802006336</t>
        </is>
      </c>
      <c r="D432" s="5" t="inlineStr">
        <is>
          <t xml:space="preserve">TRIAMCINOLONE ACETONIDE 0.025 % EXTERNAL CREAM </t>
        </is>
      </c>
      <c r="E432" s="6" t="inlineStr">
        <is>
          <t>80.0</t>
        </is>
      </c>
      <c r="F432" s="7" t="n">
        <v>320</v>
      </c>
      <c r="G432" s="7" t="n">
        <v>4</v>
      </c>
      <c r="H432" s="7" t="n">
        <v>0</v>
      </c>
      <c r="I432" s="7" t="n">
        <v>-4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73473030370</t>
        </is>
      </c>
      <c r="D433" s="5" t="inlineStr">
        <is>
          <t>METRONIDAZOLE 0.75% VAGINAL GEL</t>
        </is>
      </c>
      <c r="E433" s="6" t="inlineStr">
        <is>
          <t>70.0</t>
        </is>
      </c>
      <c r="F433" s="7" t="n">
        <v>140</v>
      </c>
      <c r="G433" s="7" t="n">
        <v>2</v>
      </c>
      <c r="H433" s="7" t="n">
        <v>0</v>
      </c>
      <c r="I433" s="7" t="n">
        <v>-2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69238112309</t>
        </is>
      </c>
      <c r="D434" s="5" t="inlineStr">
        <is>
          <t>NADOLOL 20MG TABLET</t>
        </is>
      </c>
      <c r="E434" s="6" t="inlineStr">
        <is>
          <t>90.0</t>
        </is>
      </c>
      <c r="F434" s="7" t="n">
        <v>60</v>
      </c>
      <c r="G434" s="7" t="n">
        <v>0.6666666666666666</v>
      </c>
      <c r="H434" s="7" t="n">
        <v>0</v>
      </c>
      <c r="I434" s="7" t="n">
        <v>-0.6666666666666666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64380078508</t>
        </is>
      </c>
      <c r="D435" s="5" t="inlineStr">
        <is>
          <t>PREDNISONE 20MG TABLET</t>
        </is>
      </c>
      <c r="E435" s="6" t="inlineStr">
        <is>
          <t>1000.0</t>
        </is>
      </c>
      <c r="F435" s="7" t="n">
        <v>54</v>
      </c>
      <c r="G435" s="7" t="n">
        <v>0.054</v>
      </c>
      <c r="H435" s="7" t="n">
        <v>0</v>
      </c>
      <c r="I435" s="7" t="n">
        <v>-0.054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50111056103</t>
        </is>
      </c>
      <c r="D436" s="5" t="inlineStr">
        <is>
          <t>TRAZODONE 100MG TABLET</t>
        </is>
      </c>
      <c r="E436" s="6" t="inlineStr">
        <is>
          <t>1000.0</t>
        </is>
      </c>
      <c r="F436" s="7" t="n">
        <v>255</v>
      </c>
      <c r="G436" s="7" t="n">
        <v>0.255</v>
      </c>
      <c r="H436" s="7" t="n">
        <v>0</v>
      </c>
      <c r="I436" s="7" t="n">
        <v>-0.255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69238207807</t>
        </is>
      </c>
      <c r="D437" s="5" t="inlineStr">
        <is>
          <t>PROPRANOLOL HCL 20 MG ORAL TABLET</t>
        </is>
      </c>
      <c r="E437" s="6" t="inlineStr">
        <is>
          <t>1000.0</t>
        </is>
      </c>
      <c r="F437" s="7" t="n">
        <v>540</v>
      </c>
      <c r="G437" s="7" t="n">
        <v>0.54</v>
      </c>
      <c r="H437" s="7" t="n">
        <v>0</v>
      </c>
      <c r="I437" s="7" t="n">
        <v>-0.54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42571031501</t>
        </is>
      </c>
      <c r="D438" s="5" t="inlineStr">
        <is>
          <t>CLOBAZAM 10MG TABLET</t>
        </is>
      </c>
      <c r="E438" s="6" t="inlineStr">
        <is>
          <t>100.0</t>
        </is>
      </c>
      <c r="F438" s="7" t="n">
        <v>90</v>
      </c>
      <c r="G438" s="7" t="n">
        <v>0.9</v>
      </c>
      <c r="H438" s="7" t="n">
        <v>0</v>
      </c>
      <c r="I438" s="7" t="n">
        <v>-0.9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70377004812</t>
        </is>
      </c>
      <c r="D439" s="5" t="inlineStr">
        <is>
          <t>PRAVASTATIN 80MG TABLET</t>
        </is>
      </c>
      <c r="E439" s="6" t="inlineStr">
        <is>
          <t>90.0</t>
        </is>
      </c>
      <c r="F439" s="7" t="n">
        <v>60</v>
      </c>
      <c r="G439" s="7" t="n">
        <v>0.6666666666666666</v>
      </c>
      <c r="H439" s="7" t="n">
        <v>0</v>
      </c>
      <c r="I439" s="7" t="n">
        <v>-0.6666666666666666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31722053960</t>
        </is>
      </c>
      <c r="D440" s="5" t="inlineStr">
        <is>
          <t xml:space="preserve">LEVETIRACETAM 1000MG TAB </t>
        </is>
      </c>
      <c r="E440" s="6" t="inlineStr">
        <is>
          <t>60.0</t>
        </is>
      </c>
      <c r="F440" s="7" t="n">
        <v>180</v>
      </c>
      <c r="G440" s="7" t="n">
        <v>3</v>
      </c>
      <c r="H440" s="7" t="n">
        <v>0</v>
      </c>
      <c r="I440" s="7" t="n">
        <v>-3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23155000810</t>
        </is>
      </c>
      <c r="D441" s="5" t="inlineStr">
        <is>
          <t>HYDROCHLOROTHIAZIDE 25MG TABLET</t>
        </is>
      </c>
      <c r="E441" s="6" t="inlineStr">
        <is>
          <t>1000.0</t>
        </is>
      </c>
      <c r="F441" s="7" t="n">
        <v>1350</v>
      </c>
      <c r="G441" s="7" t="n">
        <v>1.35</v>
      </c>
      <c r="H441" s="7" t="n">
        <v>0</v>
      </c>
      <c r="I441" s="7" t="n">
        <v>-1.35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00591292754</t>
        </is>
      </c>
      <c r="D442" s="5" t="inlineStr">
        <is>
          <t>LEVALBUTEROL TARTRATE 45 MCG/ACT INHALATION AEROSOL</t>
        </is>
      </c>
      <c r="E442" s="6" t="inlineStr">
        <is>
          <t>15.0</t>
        </is>
      </c>
      <c r="F442" s="7" t="n">
        <v>15</v>
      </c>
      <c r="G442" s="7" t="n">
        <v>1</v>
      </c>
      <c r="H442" s="7" t="n">
        <v>2</v>
      </c>
      <c r="I442" s="7" t="n">
        <v>1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67877012405</t>
        </is>
      </c>
      <c r="D443" s="5" t="inlineStr">
        <is>
          <t>SILVER SULFADIAZINE 1 % EXTERNAL CREAM</t>
        </is>
      </c>
      <c r="E443" s="6" t="inlineStr">
        <is>
          <t>50.0</t>
        </is>
      </c>
      <c r="F443" s="7" t="n">
        <v>150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70700011685</t>
        </is>
      </c>
      <c r="D446" s="5" t="inlineStr">
        <is>
          <t>ALTAVERA 0.15-30MG TABLET</t>
        </is>
      </c>
      <c r="E446" s="6" t="inlineStr">
        <is>
          <t>28.0</t>
        </is>
      </c>
      <c r="F446" s="7" t="n">
        <v>112</v>
      </c>
      <c r="G446" s="7" t="n">
        <v>4</v>
      </c>
      <c r="H446" s="7" t="n">
        <v>1</v>
      </c>
      <c r="I446" s="7" t="n">
        <v>-3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59630075050</t>
        </is>
      </c>
      <c r="D447" s="5" t="inlineStr">
        <is>
          <t>METHYLIN 5 MG/5ML ORAL SOLUTION</t>
        </is>
      </c>
      <c r="E447" s="6" t="inlineStr">
        <is>
          <t>500.0</t>
        </is>
      </c>
      <c r="F447" s="7" t="n">
        <v>300</v>
      </c>
      <c r="G447" s="7" t="n">
        <v>0.6</v>
      </c>
      <c r="H447" s="7" t="n">
        <v>0</v>
      </c>
      <c r="I447" s="7" t="n">
        <v>-0.6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59651072299</t>
        </is>
      </c>
      <c r="D448" s="5" t="inlineStr">
        <is>
          <t>CLONAZEPAM 0.5MG TABLET</t>
        </is>
      </c>
      <c r="E448" s="6" t="inlineStr">
        <is>
          <t>1000.0</t>
        </is>
      </c>
      <c r="F448" s="7" t="n">
        <v>120</v>
      </c>
      <c r="G448" s="7" t="n">
        <v>0.12</v>
      </c>
      <c r="H448" s="7" t="n">
        <v>0</v>
      </c>
      <c r="I448" s="7" t="n">
        <v>-0.12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69238207701</t>
        </is>
      </c>
      <c r="D450" s="5" t="inlineStr">
        <is>
          <t xml:space="preserve">PROPRANOLOL 10MG TABLET </t>
        </is>
      </c>
      <c r="E450" s="6" t="inlineStr">
        <is>
          <t>100.0</t>
        </is>
      </c>
      <c r="F450" s="7" t="n">
        <v>240</v>
      </c>
      <c r="G450" s="7" t="n">
        <v>2.4</v>
      </c>
      <c r="H450" s="7" t="n">
        <v>0</v>
      </c>
      <c r="I450" s="7" t="n">
        <v>-2.4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68180098103</t>
        </is>
      </c>
      <c r="D451" s="5" t="inlineStr">
        <is>
          <t>LISINOPRIL 20MG TABLET</t>
        </is>
      </c>
      <c r="E451" s="6" t="inlineStr">
        <is>
          <t>1000.0</t>
        </is>
      </c>
      <c r="F451" s="7" t="n">
        <v>780</v>
      </c>
      <c r="G451" s="7" t="n">
        <v>0.78</v>
      </c>
      <c r="H451" s="7" t="n">
        <v>0</v>
      </c>
      <c r="I451" s="7" t="n">
        <v>-0.78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00121086816</t>
        </is>
      </c>
      <c r="D453" s="5" t="inlineStr">
        <is>
          <t>NYSTATIN 100000 UNIT/ML MOUTH/THROAT SUSPENSION</t>
        </is>
      </c>
      <c r="E453" s="6" t="inlineStr">
        <is>
          <t>473.0</t>
        </is>
      </c>
      <c r="F453" s="7" t="n">
        <v>473</v>
      </c>
      <c r="G453" s="7" t="n">
        <v>1</v>
      </c>
      <c r="H453" s="7" t="n">
        <v>1</v>
      </c>
      <c r="I453" s="7" t="n">
        <v>0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45802012932</t>
        </is>
      </c>
      <c r="D455" s="5" t="inlineStr">
        <is>
          <t>HALOBETASOL PROPIONATE 0.05 % EXTERNAL CREAM</t>
        </is>
      </c>
      <c r="E455" s="6" t="inlineStr">
        <is>
          <t>50.0</t>
        </is>
      </c>
      <c r="F455" s="7" t="n">
        <v>50</v>
      </c>
      <c r="G455" s="7" t="n">
        <v>1</v>
      </c>
      <c r="H455" s="7" t="n">
        <v>3</v>
      </c>
      <c r="I455" s="7" t="n">
        <v>2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68462038730</t>
        </is>
      </c>
      <c r="D456" s="5" t="inlineStr">
        <is>
          <t>SOLIFENACIN SUCCINATE 10MG TABLET</t>
        </is>
      </c>
      <c r="E456" s="6" t="inlineStr">
        <is>
          <t>30.0</t>
        </is>
      </c>
      <c r="F456" s="7" t="n">
        <v>60</v>
      </c>
      <c r="G456" s="7" t="n">
        <v>2</v>
      </c>
      <c r="H456" s="7" t="n">
        <v>0</v>
      </c>
      <c r="I456" s="7" t="n">
        <v>-2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62756014202</t>
        </is>
      </c>
      <c r="D458" s="5" t="inlineStr">
        <is>
          <t xml:space="preserve">METFORMIN ER 500MG TAB </t>
        </is>
      </c>
      <c r="E458" s="6" t="inlineStr">
        <is>
          <t>500.0</t>
        </is>
      </c>
      <c r="F458" s="7" t="n">
        <v>330</v>
      </c>
      <c r="G458" s="7" t="n">
        <v>0.66</v>
      </c>
      <c r="H458" s="7" t="n">
        <v>0</v>
      </c>
      <c r="I458" s="7" t="n">
        <v>-0.66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57237022105</t>
        </is>
      </c>
      <c r="D460" s="5" t="inlineStr">
        <is>
          <t>PIOGLITAZONE 45MG TABLET</t>
        </is>
      </c>
      <c r="E460" s="6" t="inlineStr">
        <is>
          <t>500.0</t>
        </is>
      </c>
      <c r="F460" s="7" t="n">
        <v>180</v>
      </c>
      <c r="G460" s="7" t="n">
        <v>0.36</v>
      </c>
      <c r="H460" s="7" t="n">
        <v>0</v>
      </c>
      <c r="I460" s="7" t="n">
        <v>-0.36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51672131200</t>
        </is>
      </c>
      <c r="D461" s="5" t="inlineStr">
        <is>
          <t>MUPIROCIN 2% OINTMENT</t>
        </is>
      </c>
      <c r="E461" s="6" t="inlineStr">
        <is>
          <t>22.0</t>
        </is>
      </c>
      <c r="F461" s="7" t="n">
        <v>88</v>
      </c>
      <c r="G461" s="7" t="n">
        <v>4</v>
      </c>
      <c r="H461" s="7" t="n">
        <v>0</v>
      </c>
      <c r="I461" s="7" t="n">
        <v>-4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68382066105</t>
        </is>
      </c>
      <c r="D462" s="5" t="inlineStr">
        <is>
          <t>SPIRONOLACTONE 50MG TABLET</t>
        </is>
      </c>
      <c r="E462" s="6" t="inlineStr">
        <is>
          <t>500.0</t>
        </is>
      </c>
      <c r="F462" s="7" t="n">
        <v>120</v>
      </c>
      <c r="G462" s="7" t="n">
        <v>0.24</v>
      </c>
      <c r="H462" s="7" t="n">
        <v>0</v>
      </c>
      <c r="I462" s="7" t="n">
        <v>-0.24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45802024494</t>
        </is>
      </c>
      <c r="D463" s="5" t="inlineStr">
        <is>
          <t>NYSTATIN-TRIAMCINOLONE 100000-0.1 U/GM OINTMENT</t>
        </is>
      </c>
      <c r="E463" s="6" t="inlineStr">
        <is>
          <t>30.0</t>
        </is>
      </c>
      <c r="F463" s="7" t="n">
        <v>60</v>
      </c>
      <c r="G463" s="7" t="n">
        <v>2</v>
      </c>
      <c r="H463" s="7" t="n">
        <v>0</v>
      </c>
      <c r="I463" s="7" t="n">
        <v>-2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68382079805</t>
        </is>
      </c>
      <c r="D464" s="5" t="inlineStr">
        <is>
          <t xml:space="preserve">LABETALOL 100MG TAB </t>
        </is>
      </c>
      <c r="E464" s="6" t="inlineStr">
        <is>
          <t>500.0</t>
        </is>
      </c>
      <c r="F464" s="7" t="n">
        <v>180</v>
      </c>
      <c r="G464" s="7" t="n">
        <v>0.36</v>
      </c>
      <c r="H464" s="7" t="n">
        <v>0</v>
      </c>
      <c r="I464" s="7" t="n">
        <v>-0.36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65862078201</t>
        </is>
      </c>
      <c r="D467" s="5" t="inlineStr">
        <is>
          <t>METHENAMINE HIPPURATE 1GM TABLET</t>
        </is>
      </c>
      <c r="E467" s="6" t="inlineStr">
        <is>
          <t>100.0</t>
        </is>
      </c>
      <c r="F467" s="7" t="n">
        <v>120</v>
      </c>
      <c r="G467" s="7" t="n">
        <v>1.2</v>
      </c>
      <c r="H467" s="7" t="n">
        <v>0</v>
      </c>
      <c r="I467" s="7" t="n">
        <v>-1.2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68382045219</t>
        </is>
      </c>
      <c r="D468" s="5" t="inlineStr">
        <is>
          <t>MESALAMINE ER 0.375GCAPSULE</t>
        </is>
      </c>
      <c r="E468" s="6" t="inlineStr">
        <is>
          <t>120.0</t>
        </is>
      </c>
      <c r="F468" s="7" t="n">
        <v>120</v>
      </c>
      <c r="G468" s="7" t="n">
        <v>1</v>
      </c>
      <c r="H468" s="7" t="n">
        <v>1</v>
      </c>
      <c r="I468" s="7" t="n">
        <v>0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59651030901</t>
        </is>
      </c>
      <c r="D469" s="5" t="inlineStr">
        <is>
          <t>FLUOXETINE HCL 20MG TABLET</t>
        </is>
      </c>
      <c r="E469" s="6" t="inlineStr">
        <is>
          <t>100.0</t>
        </is>
      </c>
      <c r="F469" s="7" t="n">
        <v>90</v>
      </c>
      <c r="G469" s="7" t="n">
        <v>0.9</v>
      </c>
      <c r="H469" s="7" t="n">
        <v>0</v>
      </c>
      <c r="I469" s="7" t="n">
        <v>-0.9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69097082112</t>
        </is>
      </c>
      <c r="D471" s="5" t="inlineStr">
        <is>
          <t xml:space="preserve">GEMFIBROZIL 600MG TAB </t>
        </is>
      </c>
      <c r="E471" s="6" t="inlineStr">
        <is>
          <t>500.0</t>
        </is>
      </c>
      <c r="F471" s="7" t="n">
        <v>180</v>
      </c>
      <c r="G471" s="7" t="n">
        <v>0.36</v>
      </c>
      <c r="H471" s="7" t="n">
        <v>0</v>
      </c>
      <c r="I471" s="7" t="n">
        <v>-0.36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16571020310</t>
        </is>
      </c>
      <c r="D472" s="5" t="inlineStr">
        <is>
          <t>DICLOFENAC SODIUM 25MG TABLET DR</t>
        </is>
      </c>
      <c r="E472" s="6" t="inlineStr">
        <is>
          <t>100.0</t>
        </is>
      </c>
      <c r="F472" s="7" t="n">
        <v>30</v>
      </c>
      <c r="G472" s="7" t="n">
        <v>0.3</v>
      </c>
      <c r="H472" s="7" t="n">
        <v>0</v>
      </c>
      <c r="I472" s="7" t="n">
        <v>-0.3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65862052890</t>
        </is>
      </c>
      <c r="D473" s="5" t="inlineStr">
        <is>
          <t>VENLAFAXINE HCL ER 75 MG CAPSULE</t>
        </is>
      </c>
      <c r="E473" s="6" t="inlineStr">
        <is>
          <t>90.0</t>
        </is>
      </c>
      <c r="F473" s="7" t="n">
        <v>90</v>
      </c>
      <c r="G473" s="7" t="n">
        <v>1</v>
      </c>
      <c r="H473" s="7" t="n">
        <v>0</v>
      </c>
      <c r="I473" s="7" t="n">
        <v>-1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00168014630</t>
        </is>
      </c>
      <c r="D474" s="5" t="inlineStr">
        <is>
          <t>HYDROCORTISONE 2.5% OINTMENT</t>
        </is>
      </c>
      <c r="E474" s="6" t="inlineStr">
        <is>
          <t>28.35</t>
        </is>
      </c>
      <c r="F474" s="7" t="n">
        <v>85.05</v>
      </c>
      <c r="G474" s="7" t="n">
        <v>3</v>
      </c>
      <c r="H474" s="7" t="n">
        <v>0</v>
      </c>
      <c r="I474" s="7" t="n">
        <v>-3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55111025660</t>
        </is>
      </c>
      <c r="D475" s="5" t="inlineStr">
        <is>
          <t xml:space="preserve">ZIPRASIDONE 20MG CAP </t>
        </is>
      </c>
      <c r="E475" s="6" t="inlineStr">
        <is>
          <t>60.0</t>
        </is>
      </c>
      <c r="F475" s="7" t="n">
        <v>60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24208091055</t>
        </is>
      </c>
      <c r="D476" s="5" t="inlineStr">
        <is>
          <t>ERYTHROMYCIN 5MG/GM OINTMENT</t>
        </is>
      </c>
      <c r="E476" s="6" t="inlineStr">
        <is>
          <t>3.5</t>
        </is>
      </c>
      <c r="F476" s="7" t="n">
        <v>7</v>
      </c>
      <c r="G476" s="7" t="n">
        <v>2</v>
      </c>
      <c r="H476" s="7" t="n">
        <v>0</v>
      </c>
      <c r="I476" s="7" t="n">
        <v>-2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57237003105</t>
        </is>
      </c>
      <c r="D477" s="5" t="inlineStr">
        <is>
          <t>AMOXICILLIN 500 MG CAPSULE</t>
        </is>
      </c>
      <c r="E477" s="6" t="inlineStr">
        <is>
          <t>500.0</t>
        </is>
      </c>
      <c r="F477" s="7" t="n">
        <v>147</v>
      </c>
      <c r="G477" s="7" t="n">
        <v>0.294</v>
      </c>
      <c r="H477" s="7" t="n">
        <v>0</v>
      </c>
      <c r="I477" s="7" t="n">
        <v>-0.294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67877043405</t>
        </is>
      </c>
      <c r="D478" s="5" t="inlineStr">
        <is>
          <t>ARIPIPRAZOLE 20 MG ORAL TABLET</t>
        </is>
      </c>
      <c r="E478" s="6" t="inlineStr">
        <is>
          <t>500.0</t>
        </is>
      </c>
      <c r="F478" s="7" t="n">
        <v>90</v>
      </c>
      <c r="G478" s="7" t="n">
        <v>0.18</v>
      </c>
      <c r="H478" s="7" t="n">
        <v>0</v>
      </c>
      <c r="I478" s="7" t="n">
        <v>-0.18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72516001201</t>
        </is>
      </c>
      <c r="D479" s="5" t="inlineStr">
        <is>
          <t>AMPHETAMINE-DEXTROAMPHETAMINE 20MG TABLET</t>
        </is>
      </c>
      <c r="E479" s="6" t="inlineStr">
        <is>
          <t>100.0</t>
        </is>
      </c>
      <c r="F479" s="7" t="n">
        <v>60</v>
      </c>
      <c r="G479" s="7" t="n">
        <v>0.6</v>
      </c>
      <c r="H479" s="7" t="n">
        <v>0</v>
      </c>
      <c r="I479" s="7" t="n">
        <v>-0.6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68462015713</t>
        </is>
      </c>
      <c r="D480" s="5" t="inlineStr">
        <is>
          <t xml:space="preserve">ONDANSETRON ODT  4MG TAB </t>
        </is>
      </c>
      <c r="E480" s="6" t="inlineStr">
        <is>
          <t>30.0</t>
        </is>
      </c>
      <c r="F480" s="7" t="n">
        <v>60</v>
      </c>
      <c r="G480" s="7" t="n">
        <v>2</v>
      </c>
      <c r="H480" s="7" t="n">
        <v>0</v>
      </c>
      <c r="I480" s="7" t="n">
        <v>-2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72205000130</t>
        </is>
      </c>
      <c r="D481" s="5" t="inlineStr">
        <is>
          <t>MOXIFLOXACIN HCL 400 MG ORAL TABLET</t>
        </is>
      </c>
      <c r="E481" s="6" t="inlineStr">
        <is>
          <t>30.0</t>
        </is>
      </c>
      <c r="F481" s="7" t="n">
        <v>7</v>
      </c>
      <c r="G481" s="7" t="n">
        <v>0.2333333333333333</v>
      </c>
      <c r="H481" s="7" t="n">
        <v>0</v>
      </c>
      <c r="I481" s="7" t="n">
        <v>-0.2333333333333333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33342029815</t>
        </is>
      </c>
      <c r="D482" s="5" t="inlineStr">
        <is>
          <t>MEMANTINE 10MG TABLET</t>
        </is>
      </c>
      <c r="E482" s="6" t="inlineStr">
        <is>
          <t>500.0</t>
        </is>
      </c>
      <c r="F482" s="7" t="n">
        <v>270</v>
      </c>
      <c r="G482" s="7" t="n">
        <v>0.54</v>
      </c>
      <c r="H482" s="7" t="n">
        <v>0</v>
      </c>
      <c r="I482" s="7" t="n">
        <v>-0.54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00574022901</t>
        </is>
      </c>
      <c r="D483" s="5" t="inlineStr">
        <is>
          <t>BENAZEPRIL-HCTZ 20-12.5MG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0</v>
      </c>
      <c r="I483" s="7" t="n">
        <v>-0.9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68180047201</t>
        </is>
      </c>
      <c r="D484" s="5" t="inlineStr">
        <is>
          <t>AMLODIPINE-BENAZEPRIL 10-20MG CAPSULE</t>
        </is>
      </c>
      <c r="E484" s="6" t="inlineStr">
        <is>
          <t>100.0</t>
        </is>
      </c>
      <c r="F484" s="7" t="n">
        <v>180</v>
      </c>
      <c r="G484" s="7" t="n">
        <v>1.8</v>
      </c>
      <c r="H484" s="7" t="n">
        <v>0</v>
      </c>
      <c r="I484" s="7" t="n">
        <v>-1.8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51672131201</t>
        </is>
      </c>
      <c r="D485" s="5" t="inlineStr">
        <is>
          <t>MUPIROCIN 2 % EXTERNAL OINTMENT</t>
        </is>
      </c>
      <c r="E485" s="6" t="inlineStr">
        <is>
          <t>15.0</t>
        </is>
      </c>
      <c r="F485" s="7" t="n">
        <v>75</v>
      </c>
      <c r="G485" s="7" t="n">
        <v>5</v>
      </c>
      <c r="H485" s="7" t="n">
        <v>3</v>
      </c>
      <c r="I485" s="7" t="n">
        <v>-2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69315011710</t>
        </is>
      </c>
      <c r="D486" s="5" t="inlineStr">
        <is>
          <t>FUROSEMIDE 40 MG TABLET</t>
        </is>
      </c>
      <c r="E486" s="6" t="inlineStr">
        <is>
          <t>1000.0</t>
        </is>
      </c>
      <c r="F486" s="7" t="n">
        <v>300</v>
      </c>
      <c r="G486" s="7" t="n">
        <v>0.3</v>
      </c>
      <c r="H486" s="7" t="n">
        <v>0</v>
      </c>
      <c r="I486" s="7" t="n">
        <v>-0.3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0</v>
      </c>
      <c r="I487" s="7" t="n">
        <v>-0.5600000000000001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00093354143</t>
        </is>
      </c>
      <c r="D489" s="5" t="inlineStr">
        <is>
          <t>ESTRADIOL 0.1MG/GM CREAM</t>
        </is>
      </c>
      <c r="E489" s="6" t="inlineStr">
        <is>
          <t>42.5</t>
        </is>
      </c>
      <c r="F489" s="7" t="n">
        <v>42.5</v>
      </c>
      <c r="G489" s="7" t="n">
        <v>1</v>
      </c>
      <c r="H489" s="7" t="n">
        <v>0</v>
      </c>
      <c r="I489" s="7" t="n">
        <v>-1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00781711954</t>
        </is>
      </c>
      <c r="D490" s="5" t="inlineStr">
        <is>
          <t>ESTRADIOL 0.025 MG/24HR TRANSDERMAL PATCH WEEKLY</t>
        </is>
      </c>
      <c r="E490" s="6" t="inlineStr">
        <is>
          <t>4.0</t>
        </is>
      </c>
      <c r="F490" s="7" t="n">
        <v>4</v>
      </c>
      <c r="G490" s="7" t="n">
        <v>1</v>
      </c>
      <c r="H490" s="7" t="n">
        <v>0</v>
      </c>
      <c r="I490" s="7" t="n">
        <v>-1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68382013905</t>
        </is>
      </c>
      <c r="D492" s="5" t="inlineStr">
        <is>
          <t xml:space="preserve">TOPIRAMATE 50MG TAB </t>
        </is>
      </c>
      <c r="E492" s="6" t="inlineStr">
        <is>
          <t>500.0</t>
        </is>
      </c>
      <c r="F492" s="7" t="n">
        <v>210</v>
      </c>
      <c r="G492" s="7" t="n">
        <v>0.42</v>
      </c>
      <c r="H492" s="7" t="n">
        <v>0</v>
      </c>
      <c r="I492" s="7" t="n">
        <v>-0.42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00168032346</t>
        </is>
      </c>
      <c r="D493" s="5" t="inlineStr">
        <is>
          <t>METRONIDAZOLE TOPICAL 0.75% CREAM</t>
        </is>
      </c>
      <c r="E493" s="6" t="inlineStr">
        <is>
          <t>45.0</t>
        </is>
      </c>
      <c r="F493" s="7" t="n">
        <v>45</v>
      </c>
      <c r="G493" s="7" t="n">
        <v>1</v>
      </c>
      <c r="H493" s="7" t="n">
        <v>0</v>
      </c>
      <c r="I493" s="7" t="n">
        <v>-1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69315031228</t>
        </is>
      </c>
      <c r="D494" s="5" t="inlineStr">
        <is>
          <t>PROCTO-MED HC 2.5 % EXTERNAL CREAM</t>
        </is>
      </c>
      <c r="E494" s="6" t="inlineStr">
        <is>
          <t>28.0</t>
        </is>
      </c>
      <c r="F494" s="7" t="n">
        <v>84</v>
      </c>
      <c r="G494" s="7" t="n">
        <v>3</v>
      </c>
      <c r="H494" s="7" t="n">
        <v>5</v>
      </c>
      <c r="I494" s="7" t="n">
        <v>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31722053812</t>
        </is>
      </c>
      <c r="D496" s="5" t="inlineStr">
        <is>
          <t>LEVETIRACETAM 750MG TABLET</t>
        </is>
      </c>
      <c r="E496" s="6" t="inlineStr">
        <is>
          <t>120.0</t>
        </is>
      </c>
      <c r="F496" s="7" t="n">
        <v>180</v>
      </c>
      <c r="G496" s="7" t="n">
        <v>1.5</v>
      </c>
      <c r="H496" s="7" t="n">
        <v>0</v>
      </c>
      <c r="I496" s="7" t="n">
        <v>-1.5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33342033354</t>
        </is>
      </c>
      <c r="D498" s="5" t="inlineStr">
        <is>
          <t>TRIAMCINOLONE 0.1% EXTERNAL OINTMENT</t>
        </is>
      </c>
      <c r="E498" s="6" t="inlineStr">
        <is>
          <t>454.0</t>
        </is>
      </c>
      <c r="F498" s="7" t="n">
        <v>454</v>
      </c>
      <c r="G498" s="7" t="n">
        <v>1</v>
      </c>
      <c r="H498" s="7" t="n">
        <v>0</v>
      </c>
      <c r="I498" s="7" t="n">
        <v>-1</v>
      </c>
      <c r="J498" s="8" t="n">
        <v>26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31722072250</t>
        </is>
      </c>
      <c r="D500" s="5" t="inlineStr">
        <is>
          <t xml:space="preserve">LEVOFLOXACIN 500MG TAB </t>
        </is>
      </c>
      <c r="E500" s="6" t="inlineStr">
        <is>
          <t>50.0</t>
        </is>
      </c>
      <c r="F500" s="7" t="n">
        <v>44</v>
      </c>
      <c r="G500" s="7" t="n">
        <v>0.88</v>
      </c>
      <c r="H500" s="7" t="n">
        <v>0</v>
      </c>
      <c r="I500" s="7" t="n">
        <v>-0.88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16729009016</t>
        </is>
      </c>
      <c r="D501" s="5" t="inlineStr">
        <is>
          <t xml:space="preserve">FINASTERIDE 5MG TAB </t>
        </is>
      </c>
      <c r="E501" s="6" t="inlineStr">
        <is>
          <t>500.0</t>
        </is>
      </c>
      <c r="F501" s="7" t="n">
        <v>450</v>
      </c>
      <c r="G501" s="7" t="n">
        <v>0.9</v>
      </c>
      <c r="H501" s="7" t="n">
        <v>0</v>
      </c>
      <c r="I501" s="7" t="n">
        <v>-0.9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68382013805</t>
        </is>
      </c>
      <c r="D502" s="5" t="inlineStr">
        <is>
          <t>TOPIRAMATE 25MG TABLET</t>
        </is>
      </c>
      <c r="E502" s="6" t="inlineStr">
        <is>
          <t>500.0</t>
        </is>
      </c>
      <c r="F502" s="7" t="n">
        <v>120</v>
      </c>
      <c r="G502" s="7" t="n">
        <v>0.24</v>
      </c>
      <c r="H502" s="7" t="n">
        <v>0</v>
      </c>
      <c r="I502" s="7" t="n">
        <v>-0.24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69315011610</t>
        </is>
      </c>
      <c r="D503" s="5" t="inlineStr">
        <is>
          <t xml:space="preserve">FUROSEMIDE 20MG TAB </t>
        </is>
      </c>
      <c r="E503" s="6" t="inlineStr">
        <is>
          <t>1000.0</t>
        </is>
      </c>
      <c r="F503" s="7" t="n">
        <v>510</v>
      </c>
      <c r="G503" s="7" t="n">
        <v>0.51</v>
      </c>
      <c r="H503" s="7" t="n">
        <v>0</v>
      </c>
      <c r="I503" s="7" t="n">
        <v>-0.51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00472037945</t>
        </is>
      </c>
      <c r="D504" s="5" t="inlineStr">
        <is>
          <t>CLOTRIMAZOLE-BETAMETHASONE 1-0.05 % EXTERNAL CREAM</t>
        </is>
      </c>
      <c r="E504" s="6" t="inlineStr">
        <is>
          <t>45.0</t>
        </is>
      </c>
      <c r="F504" s="7" t="n">
        <v>90</v>
      </c>
      <c r="G504" s="7" t="n">
        <v>2</v>
      </c>
      <c r="H504" s="7" t="n">
        <v>0</v>
      </c>
      <c r="I504" s="7" t="n">
        <v>-2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69680011225</t>
        </is>
      </c>
      <c r="D505" s="5" t="inlineStr">
        <is>
          <t>CYANOCOBALAMIN 1000 MCG/ML INJECTION SOLUTION</t>
        </is>
      </c>
      <c r="E505" s="6" t="inlineStr">
        <is>
          <t>25.0</t>
        </is>
      </c>
      <c r="F505" s="7" t="n">
        <v>7</v>
      </c>
      <c r="G505" s="7" t="n">
        <v>0.28</v>
      </c>
      <c r="H505" s="7" t="n">
        <v>0</v>
      </c>
      <c r="I505" s="7" t="n">
        <v>-0.28</v>
      </c>
      <c r="J505" s="8" t="n">
        <v>25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65162069179</t>
        </is>
      </c>
      <c r="D506" s="5" t="inlineStr">
        <is>
          <t>ONDANSETRON HCL 4 MG/5ML SOLUTION</t>
        </is>
      </c>
      <c r="E506" s="6" t="inlineStr">
        <is>
          <t>50.0</t>
        </is>
      </c>
      <c r="F506" s="7" t="n">
        <v>50</v>
      </c>
      <c r="G506" s="7" t="n">
        <v>1</v>
      </c>
      <c r="H506" s="7" t="n">
        <v>3</v>
      </c>
      <c r="I506" s="7" t="n">
        <v>2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49483060450</t>
        </is>
      </c>
      <c r="D507" s="5" t="inlineStr">
        <is>
          <t>IBUPROFEN 800MG TABLET</t>
        </is>
      </c>
      <c r="E507" s="6" t="inlineStr">
        <is>
          <t>500.0</t>
        </is>
      </c>
      <c r="F507" s="7" t="n">
        <v>71</v>
      </c>
      <c r="G507" s="7" t="n">
        <v>0.142</v>
      </c>
      <c r="H507" s="7" t="n">
        <v>0</v>
      </c>
      <c r="I507" s="7" t="n">
        <v>-0.142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31722066860</t>
        </is>
      </c>
      <c r="D508" s="5" t="inlineStr">
        <is>
          <t>RANOLAZINE ER 500 MG ORAL TABLET EXTENDED RELEASE 12 HOUR</t>
        </is>
      </c>
      <c r="E508" s="6" t="inlineStr">
        <is>
          <t>60.0</t>
        </is>
      </c>
      <c r="F508" s="7" t="n">
        <v>180</v>
      </c>
      <c r="G508" s="7" t="n">
        <v>3</v>
      </c>
      <c r="H508" s="7" t="n">
        <v>5</v>
      </c>
      <c r="I508" s="7" t="n">
        <v>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68180097903</t>
        </is>
      </c>
      <c r="D509" s="5" t="inlineStr">
        <is>
          <t>LISINOPRIL 40MG TABLET</t>
        </is>
      </c>
      <c r="E509" s="6" t="inlineStr">
        <is>
          <t>1000.0</t>
        </is>
      </c>
      <c r="F509" s="7" t="n">
        <v>330</v>
      </c>
      <c r="G509" s="7" t="n">
        <v>0.33</v>
      </c>
      <c r="H509" s="7" t="n">
        <v>0</v>
      </c>
      <c r="I509" s="7" t="n">
        <v>-0.33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61314014310</t>
        </is>
      </c>
      <c r="D510" s="5" t="inlineStr">
        <is>
          <t>BRIMONIDINE TARTRATE 0.2% SOLUTION</t>
        </is>
      </c>
      <c r="E510" s="6" t="inlineStr">
        <is>
          <t>10.0</t>
        </is>
      </c>
      <c r="F510" s="7" t="n">
        <v>20</v>
      </c>
      <c r="G510" s="7" t="n">
        <v>2</v>
      </c>
      <c r="H510" s="7" t="n">
        <v>0</v>
      </c>
      <c r="I510" s="7" t="n">
        <v>-2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21922006215</t>
        </is>
      </c>
      <c r="D511" s="5" t="inlineStr">
        <is>
          <t>TRIAMCINOLONE ACETONIDE 0.1 % EXTERNAL CREAM</t>
        </is>
      </c>
      <c r="E511" s="6" t="inlineStr">
        <is>
          <t>80.0</t>
        </is>
      </c>
      <c r="F511" s="7" t="n">
        <v>240</v>
      </c>
      <c r="G511" s="7" t="n">
        <v>3</v>
      </c>
      <c r="H511" s="7" t="n">
        <v>6</v>
      </c>
      <c r="I511" s="7" t="n">
        <v>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72888007715</t>
        </is>
      </c>
      <c r="D512" s="5" t="inlineStr">
        <is>
          <t>DORZOLAMIDE HCL 2 % OPHTHALMIC SOLUTION</t>
        </is>
      </c>
      <c r="E512" s="6" t="inlineStr">
        <is>
          <t>10.0</t>
        </is>
      </c>
      <c r="F512" s="7" t="n">
        <v>20</v>
      </c>
      <c r="G512" s="7" t="n">
        <v>2</v>
      </c>
      <c r="H512" s="7" t="n">
        <v>0</v>
      </c>
      <c r="I512" s="7" t="n">
        <v>-2</v>
      </c>
      <c r="J512" s="8" t="n">
        <v>24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70436005704</t>
        </is>
      </c>
      <c r="D513" s="5" t="inlineStr">
        <is>
          <t>MEMANTINE 28MG CAPSULE ER</t>
        </is>
      </c>
      <c r="E513" s="6" t="inlineStr">
        <is>
          <t>30.0</t>
        </is>
      </c>
      <c r="F513" s="7" t="n">
        <v>30</v>
      </c>
      <c r="G513" s="7" t="n">
        <v>1</v>
      </c>
      <c r="H513" s="7" t="n">
        <v>0</v>
      </c>
      <c r="I513" s="7" t="n">
        <v>-1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57237023301</t>
        </is>
      </c>
      <c r="D514" s="5" t="inlineStr">
        <is>
          <t>SULFAMETHOXAZOLE-TRIMETHOPRIM 800-160MG TABLET</t>
        </is>
      </c>
      <c r="E514" s="6" t="inlineStr">
        <is>
          <t>100.0</t>
        </is>
      </c>
      <c r="F514" s="7" t="n">
        <v>48</v>
      </c>
      <c r="G514" s="7" t="n">
        <v>0.48</v>
      </c>
      <c r="H514" s="7" t="n">
        <v>1</v>
      </c>
      <c r="I514" s="7" t="n">
        <v>0.52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31722004990</t>
        </is>
      </c>
      <c r="D515" s="5" t="inlineStr">
        <is>
          <t>EPLERENONE 25 MG ORAL TABLET</t>
        </is>
      </c>
      <c r="E515" s="6" t="inlineStr">
        <is>
          <t>90.0</t>
        </is>
      </c>
      <c r="F515" s="7" t="n">
        <v>90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47781026305</t>
        </is>
      </c>
      <c r="D516" s="5" t="inlineStr">
        <is>
          <t>OXYCODONE HCL 5 MG TABLET</t>
        </is>
      </c>
      <c r="E516" s="6" t="inlineStr">
        <is>
          <t>500.0</t>
        </is>
      </c>
      <c r="F516" s="7" t="n">
        <v>32</v>
      </c>
      <c r="G516" s="7" t="n">
        <v>0.064</v>
      </c>
      <c r="H516" s="7" t="n">
        <v>0</v>
      </c>
      <c r="I516" s="7" t="n">
        <v>-0.064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00168000215</t>
        </is>
      </c>
      <c r="D517" s="5" t="inlineStr">
        <is>
          <t>TRIAMCINOLONE ACETONIDE 0.5 % CREAM</t>
        </is>
      </c>
      <c r="E517" s="6" t="inlineStr">
        <is>
          <t>15.0</t>
        </is>
      </c>
      <c r="F517" s="7" t="n">
        <v>45</v>
      </c>
      <c r="G517" s="7" t="n">
        <v>3</v>
      </c>
      <c r="H517" s="7" t="n">
        <v>0</v>
      </c>
      <c r="I517" s="7" t="n">
        <v>-3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57237010099</t>
        </is>
      </c>
      <c r="D518" s="5" t="inlineStr">
        <is>
          <t>METOPROLOL TARTRATE 25MG TABLET</t>
        </is>
      </c>
      <c r="E518" s="6" t="inlineStr">
        <is>
          <t>1000.0</t>
        </is>
      </c>
      <c r="F518" s="7" t="n">
        <v>150</v>
      </c>
      <c r="G518" s="7" t="n">
        <v>0.15</v>
      </c>
      <c r="H518" s="7" t="n">
        <v>0</v>
      </c>
      <c r="I518" s="7" t="n">
        <v>-0.15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23155066201</t>
        </is>
      </c>
      <c r="D520" s="5" t="inlineStr">
        <is>
          <t xml:space="preserve">CALCITRIOL 0.25MCG CAP </t>
        </is>
      </c>
      <c r="E520" s="6" t="inlineStr">
        <is>
          <t>100.0</t>
        </is>
      </c>
      <c r="F520" s="7" t="n">
        <v>90</v>
      </c>
      <c r="G520" s="7" t="n">
        <v>0.9</v>
      </c>
      <c r="H520" s="7" t="n">
        <v>3</v>
      </c>
      <c r="I520" s="7" t="n">
        <v>2.1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42806071405</t>
        </is>
      </c>
      <c r="D521" s="5" t="inlineStr">
        <is>
          <t>BENZONATATE 100MG CAPSULE NYM</t>
        </is>
      </c>
      <c r="E521" s="6" t="inlineStr">
        <is>
          <t>500.0</t>
        </is>
      </c>
      <c r="F521" s="7" t="n">
        <v>32</v>
      </c>
      <c r="G521" s="7" t="n">
        <v>0.064</v>
      </c>
      <c r="H521" s="7" t="n">
        <v>1</v>
      </c>
      <c r="I521" s="7" t="n">
        <v>0.9359999999999999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00378632177</t>
        </is>
      </c>
      <c r="D522" s="5" t="inlineStr">
        <is>
          <t>VALSARTAN-HYDROCHLOROTHIAZIDE 80-12.5 MG ORAL TABLET</t>
        </is>
      </c>
      <c r="E522" s="6" t="inlineStr">
        <is>
          <t>90.0</t>
        </is>
      </c>
      <c r="F522" s="7" t="n">
        <v>90</v>
      </c>
      <c r="G522" s="7" t="n">
        <v>1</v>
      </c>
      <c r="H522" s="7" t="n">
        <v>2</v>
      </c>
      <c r="I522" s="7" t="n">
        <v>1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00781196260</t>
        </is>
      </c>
      <c r="D523" s="5" t="inlineStr">
        <is>
          <t xml:space="preserve">CLARITHROMYCIN 500MG TAB </t>
        </is>
      </c>
      <c r="E523" s="6" t="inlineStr">
        <is>
          <t>60.0</t>
        </is>
      </c>
      <c r="F523" s="7" t="n">
        <v>28</v>
      </c>
      <c r="G523" s="7" t="n">
        <v>0.4666666666666667</v>
      </c>
      <c r="H523" s="7" t="n">
        <v>0</v>
      </c>
      <c r="I523" s="7" t="n">
        <v>-0.4666666666666667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00228212910</t>
        </is>
      </c>
      <c r="D524" s="5" t="inlineStr">
        <is>
          <t xml:space="preserve">CLONIDINE 0.3MG TAB </t>
        </is>
      </c>
      <c r="E524" s="6" t="inlineStr">
        <is>
          <t>100.0</t>
        </is>
      </c>
      <c r="F524" s="7" t="n">
        <v>60</v>
      </c>
      <c r="G524" s="7" t="n">
        <v>0.6</v>
      </c>
      <c r="H524" s="7" t="n">
        <v>3</v>
      </c>
      <c r="I524" s="7" t="n">
        <v>2.4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00378050501</t>
        </is>
      </c>
      <c r="D525" s="5" t="inlineStr">
        <is>
          <t>BISOPROLOL-HCTZ 10-6.25MG TABLET</t>
        </is>
      </c>
      <c r="E525" s="6" t="inlineStr">
        <is>
          <t>100.0</t>
        </is>
      </c>
      <c r="F525" s="7" t="n">
        <v>150</v>
      </c>
      <c r="G525" s="7" t="n">
        <v>1.5</v>
      </c>
      <c r="H525" s="7" t="n">
        <v>0</v>
      </c>
      <c r="I525" s="7" t="n">
        <v>-1.5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65862016999</t>
        </is>
      </c>
      <c r="D526" s="5" t="inlineStr">
        <is>
          <t>ATENOLOL 50MG TABLET</t>
        </is>
      </c>
      <c r="E526" s="6" t="inlineStr">
        <is>
          <t>1000.0</t>
        </is>
      </c>
      <c r="F526" s="7" t="n">
        <v>450</v>
      </c>
      <c r="G526" s="7" t="n">
        <v>0.45</v>
      </c>
      <c r="H526" s="7" t="n">
        <v>0</v>
      </c>
      <c r="I526" s="7" t="n">
        <v>-0.45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42571034201</t>
        </is>
      </c>
      <c r="D527" s="5" t="inlineStr">
        <is>
          <t>CLOMIPRAMINE HCL 25 MG ORAL CAPSULE</t>
        </is>
      </c>
      <c r="E527" s="6" t="inlineStr">
        <is>
          <t>100.0</t>
        </is>
      </c>
      <c r="F527" s="7" t="n">
        <v>30</v>
      </c>
      <c r="G527" s="7" t="n">
        <v>0.3</v>
      </c>
      <c r="H527" s="7" t="n">
        <v>1</v>
      </c>
      <c r="I527" s="7" t="n">
        <v>0.7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70377000613</t>
        </is>
      </c>
      <c r="D528" s="5" t="inlineStr">
        <is>
          <t>ROSUVASTATIN 5MG TABLET</t>
        </is>
      </c>
      <c r="E528" s="6" t="inlineStr">
        <is>
          <t>500.0</t>
        </is>
      </c>
      <c r="F528" s="7" t="n">
        <v>360</v>
      </c>
      <c r="G528" s="7" t="n">
        <v>0.72</v>
      </c>
      <c r="H528" s="7" t="n">
        <v>0</v>
      </c>
      <c r="I528" s="7" t="n">
        <v>-0.72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00054350049</t>
        </is>
      </c>
      <c r="D529" s="5" t="inlineStr">
        <is>
          <t>LIDOCAINE VISCOUS 2 % ORAL SOLUTION</t>
        </is>
      </c>
      <c r="E529" s="6" t="inlineStr">
        <is>
          <t>100.0</t>
        </is>
      </c>
      <c r="F529" s="7" t="n">
        <v>400</v>
      </c>
      <c r="G529" s="7" t="n">
        <v>4</v>
      </c>
      <c r="H529" s="7" t="n">
        <v>3</v>
      </c>
      <c r="I529" s="7" t="n">
        <v>-1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00378632377</t>
        </is>
      </c>
      <c r="D530" s="5" t="inlineStr">
        <is>
          <t>VALSARTAN-HCTZ 160-25MG TABLET</t>
        </is>
      </c>
      <c r="E530" s="6" t="inlineStr">
        <is>
          <t>90.0</t>
        </is>
      </c>
      <c r="F530" s="7" t="n">
        <v>120</v>
      </c>
      <c r="G530" s="7" t="n">
        <v>1.333333333333333</v>
      </c>
      <c r="H530" s="7" t="n">
        <v>2</v>
      </c>
      <c r="I530" s="7" t="n">
        <v>0.6666666666666667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33342040550</t>
        </is>
      </c>
      <c r="D531" s="5" t="inlineStr">
        <is>
          <t>LIDOCAINE 5 % EXTERNAL OINTMENT</t>
        </is>
      </c>
      <c r="E531" s="6" t="inlineStr">
        <is>
          <t>50.0</t>
        </is>
      </c>
      <c r="F531" s="7" t="n">
        <v>100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65162044210</t>
        </is>
      </c>
      <c r="D532" s="5" t="inlineStr">
        <is>
          <t>MECLIZINE 25MG TABLET</t>
        </is>
      </c>
      <c r="E532" s="6" t="inlineStr">
        <is>
          <t>100.0</t>
        </is>
      </c>
      <c r="F532" s="7" t="n">
        <v>120</v>
      </c>
      <c r="G532" s="7" t="n">
        <v>1.2</v>
      </c>
      <c r="H532" s="7" t="n">
        <v>0</v>
      </c>
      <c r="I532" s="7" t="n">
        <v>-1.2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00054253125</t>
        </is>
      </c>
      <c r="D533" s="5" t="inlineStr">
        <is>
          <t>LITHIUM CARBONATE 600MG CAPSULE</t>
        </is>
      </c>
      <c r="E533" s="6" t="inlineStr">
        <is>
          <t>100.0</t>
        </is>
      </c>
      <c r="F533" s="7" t="n">
        <v>60</v>
      </c>
      <c r="G533" s="7" t="n">
        <v>0.6</v>
      </c>
      <c r="H533" s="7" t="n">
        <v>0</v>
      </c>
      <c r="I533" s="7" t="n">
        <v>-0.6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68180059206</t>
        </is>
      </c>
      <c r="D534" s="5" t="inlineStr">
        <is>
          <t>DESVENLAFAXINE SUCCINATE ER 50MG TABLET</t>
        </is>
      </c>
      <c r="E534" s="6" t="inlineStr">
        <is>
          <t>30.0</t>
        </is>
      </c>
      <c r="F534" s="7" t="n">
        <v>90</v>
      </c>
      <c r="G534" s="7" t="n">
        <v>3</v>
      </c>
      <c r="H534" s="7" t="n">
        <v>3</v>
      </c>
      <c r="I534" s="7" t="n">
        <v>0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64980028001</t>
        </is>
      </c>
      <c r="D535" s="5" t="inlineStr">
        <is>
          <t>GLIPIZIDE ER 5 MG TABLET</t>
        </is>
      </c>
      <c r="E535" s="6" t="inlineStr">
        <is>
          <t>100.0</t>
        </is>
      </c>
      <c r="F535" s="7" t="n">
        <v>300</v>
      </c>
      <c r="G535" s="7" t="n">
        <v>3</v>
      </c>
      <c r="H535" s="7" t="n">
        <v>0</v>
      </c>
      <c r="I535" s="7" t="n">
        <v>-3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65862073205</t>
        </is>
      </c>
      <c r="D536" s="5" t="inlineStr">
        <is>
          <t>AMIODARONE 200MG TABLET</t>
        </is>
      </c>
      <c r="E536" s="6" t="inlineStr">
        <is>
          <t>500.0</t>
        </is>
      </c>
      <c r="F536" s="7" t="n">
        <v>210</v>
      </c>
      <c r="G536" s="7" t="n">
        <v>0.42</v>
      </c>
      <c r="H536" s="7" t="n">
        <v>0</v>
      </c>
      <c r="I536" s="7" t="n">
        <v>-0.42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60505279500</t>
        </is>
      </c>
      <c r="D537" s="5" t="inlineStr">
        <is>
          <t xml:space="preserve">IBANDRONATE 150MG TAB </t>
        </is>
      </c>
      <c r="E537" s="6" t="inlineStr">
        <is>
          <t>1.0</t>
        </is>
      </c>
      <c r="F537" s="7" t="n">
        <v>3</v>
      </c>
      <c r="G537" s="7" t="n">
        <v>3</v>
      </c>
      <c r="H537" s="7" t="n">
        <v>0</v>
      </c>
      <c r="I537" s="7" t="n">
        <v>-3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64980032430</t>
        </is>
      </c>
      <c r="D538" s="5" t="inlineStr">
        <is>
          <t>PROCTOZONE-HC 2.5% CREAM</t>
        </is>
      </c>
      <c r="E538" s="6" t="inlineStr">
        <is>
          <t>30.0</t>
        </is>
      </c>
      <c r="F538" s="7" t="n">
        <v>60</v>
      </c>
      <c r="G538" s="7" t="n">
        <v>2</v>
      </c>
      <c r="H538" s="7" t="n">
        <v>0</v>
      </c>
      <c r="I538" s="7" t="n">
        <v>-2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00093720110</t>
        </is>
      </c>
      <c r="D539" s="5" t="inlineStr">
        <is>
          <t>PRAVASTATIN 20MG TABLET</t>
        </is>
      </c>
      <c r="E539" s="6" t="inlineStr">
        <is>
          <t>1000.0</t>
        </is>
      </c>
      <c r="F539" s="7" t="n">
        <v>180</v>
      </c>
      <c r="G539" s="7" t="n">
        <v>0.18</v>
      </c>
      <c r="H539" s="7" t="n">
        <v>0</v>
      </c>
      <c r="I539" s="7" t="n">
        <v>-0.18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00555902858</t>
        </is>
      </c>
      <c r="D540" s="5" t="inlineStr">
        <is>
          <t>JUNEL FE 1.5/30 1.5-30 MG-MCG ORAL TABLET</t>
        </is>
      </c>
      <c r="E540" s="6" t="inlineStr">
        <is>
          <t>168.0</t>
        </is>
      </c>
      <c r="F540" s="7" t="n">
        <v>84</v>
      </c>
      <c r="G540" s="7" t="n">
        <v>0.5</v>
      </c>
      <c r="H540" s="7" t="n">
        <v>0</v>
      </c>
      <c r="I540" s="7" t="n">
        <v>-0.5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00116400516</t>
        </is>
      </c>
      <c r="D541" s="5" t="inlineStr">
        <is>
          <t>LACTULOSE 10 GM/15ML ORAL SOLUTION</t>
        </is>
      </c>
      <c r="E541" s="6" t="inlineStr">
        <is>
          <t>473.0</t>
        </is>
      </c>
      <c r="F541" s="7" t="n">
        <v>946</v>
      </c>
      <c r="G541" s="7" t="n">
        <v>2</v>
      </c>
      <c r="H541" s="7" t="n">
        <v>5</v>
      </c>
      <c r="I541" s="7" t="n">
        <v>3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65702072910</t>
        </is>
      </c>
      <c r="D542" s="5" t="inlineStr">
        <is>
          <t>ACCU-CHEK GUIDE W/DEVICE KIT</t>
        </is>
      </c>
      <c r="E542" s="6" t="inlineStr">
        <is>
          <t>1.0</t>
        </is>
      </c>
      <c r="F542" s="7" t="n">
        <v>1</v>
      </c>
      <c r="G542" s="7" t="n">
        <v>1</v>
      </c>
      <c r="H542" s="7" t="n">
        <v>3</v>
      </c>
      <c r="I542" s="7" t="n">
        <v>2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69097045805</t>
        </is>
      </c>
      <c r="D544" s="5" t="inlineStr">
        <is>
          <t xml:space="preserve">FENOFIBRATE 145MG TAB </t>
        </is>
      </c>
      <c r="E544" s="6" t="inlineStr">
        <is>
          <t>90.0</t>
        </is>
      </c>
      <c r="F544" s="7" t="n">
        <v>90</v>
      </c>
      <c r="G544" s="7" t="n">
        <v>1</v>
      </c>
      <c r="H544" s="7" t="n">
        <v>0</v>
      </c>
      <c r="I544" s="7" t="n">
        <v>-1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00116200116</t>
        </is>
      </c>
      <c r="D546" s="5" t="inlineStr">
        <is>
          <t xml:space="preserve">CHLORHEXIDINE 0.12% SOLUTION </t>
        </is>
      </c>
      <c r="E546" s="6" t="inlineStr">
        <is>
          <t>473.0</t>
        </is>
      </c>
      <c r="F546" s="7" t="n">
        <v>1892</v>
      </c>
      <c r="G546" s="7" t="n">
        <v>4</v>
      </c>
      <c r="H546" s="7" t="n">
        <v>0</v>
      </c>
      <c r="I546" s="7" t="n">
        <v>-4</v>
      </c>
      <c r="J546" s="8" t="n">
        <v>21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57237015801</t>
        </is>
      </c>
      <c r="D547" s="5" t="inlineStr">
        <is>
          <t xml:space="preserve">REPAGLINIDE 1MG TAB </t>
        </is>
      </c>
      <c r="E547" s="6" t="inlineStr">
        <is>
          <t>100.0</t>
        </is>
      </c>
      <c r="F547" s="7" t="n">
        <v>180</v>
      </c>
      <c r="G547" s="7" t="n">
        <v>1.8</v>
      </c>
      <c r="H547" s="7" t="n">
        <v>0</v>
      </c>
      <c r="I547" s="7" t="n">
        <v>-1.8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68180087673</t>
        </is>
      </c>
      <c r="D548" s="5" t="inlineStr">
        <is>
          <t xml:space="preserve">NORETHINDRONE 0.35MG TABLET </t>
        </is>
      </c>
      <c r="E548" s="6" t="inlineStr">
        <is>
          <t>84.0</t>
        </is>
      </c>
      <c r="F548" s="7" t="n">
        <v>112</v>
      </c>
      <c r="G548" s="7" t="n">
        <v>1.333333333333333</v>
      </c>
      <c r="H548" s="7" t="n">
        <v>2</v>
      </c>
      <c r="I548" s="7" t="n">
        <v>0.6666666666666667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60505252201</t>
        </is>
      </c>
      <c r="D549" s="5" t="inlineStr">
        <is>
          <t>CILOSTAZOL 100MG TABLET</t>
        </is>
      </c>
      <c r="E549" s="6" t="inlineStr">
        <is>
          <t>60.0</t>
        </is>
      </c>
      <c r="F549" s="7" t="n">
        <v>180</v>
      </c>
      <c r="G549" s="7" t="n">
        <v>3</v>
      </c>
      <c r="H549" s="7" t="n">
        <v>0</v>
      </c>
      <c r="I549" s="7" t="n">
        <v>-3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27241015608</t>
        </is>
      </c>
      <c r="D550" s="5" t="inlineStr">
        <is>
          <t>OXYBUTYNIN 10MG TABLET ER</t>
        </is>
      </c>
      <c r="E550" s="6" t="inlineStr">
        <is>
          <t>500.0</t>
        </is>
      </c>
      <c r="F550" s="7" t="n">
        <v>90</v>
      </c>
      <c r="G550" s="7" t="n">
        <v>0.18</v>
      </c>
      <c r="H550" s="7" t="n">
        <v>0</v>
      </c>
      <c r="I550" s="7" t="n">
        <v>-0.18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76204030003</t>
        </is>
      </c>
      <c r="D552" s="5" t="inlineStr">
        <is>
          <t>SODIUM CHLORIDE 0.9 % INHALATION NEBULIZATION SOLUTION</t>
        </is>
      </c>
      <c r="E552" s="6" t="inlineStr">
        <is>
          <t>300.0</t>
        </is>
      </c>
      <c r="F552" s="7" t="n">
        <v>300</v>
      </c>
      <c r="G552" s="7" t="n">
        <v>1</v>
      </c>
      <c r="H552" s="7" t="n">
        <v>0</v>
      </c>
      <c r="I552" s="7" t="n">
        <v>-1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68462029201</t>
        </is>
      </c>
      <c r="D554" s="5" t="inlineStr">
        <is>
          <t>VERAPAMIL ER 120MG TABLET</t>
        </is>
      </c>
      <c r="E554" s="6" t="inlineStr">
        <is>
          <t>100.0</t>
        </is>
      </c>
      <c r="F554" s="7" t="n">
        <v>120</v>
      </c>
      <c r="G554" s="7" t="n">
        <v>1.2</v>
      </c>
      <c r="H554" s="7" t="n">
        <v>0</v>
      </c>
      <c r="I554" s="7" t="n">
        <v>-1.2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55150027701</t>
        </is>
      </c>
      <c r="D557" s="5" t="inlineStr">
        <is>
          <t>TESTOSTERONE CYPIONATE 200 MG/ML INTRAMUSCULAR SOLUTION</t>
        </is>
      </c>
      <c r="E557" s="6" t="inlineStr">
        <is>
          <t>1.0</t>
        </is>
      </c>
      <c r="F557" s="7" t="n">
        <v>2</v>
      </c>
      <c r="G557" s="7" t="n">
        <v>2</v>
      </c>
      <c r="H557" s="7" t="n">
        <v>2</v>
      </c>
      <c r="I557" s="7" t="n">
        <v>0</v>
      </c>
      <c r="J557" s="8" t="n">
        <v>20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47781001301</t>
        </is>
      </c>
      <c r="D558" s="5" t="inlineStr">
        <is>
          <t>HYOSCYAMINE SULFATE 0.125MG TABLET</t>
        </is>
      </c>
      <c r="E558" s="6" t="inlineStr">
        <is>
          <t>100.0</t>
        </is>
      </c>
      <c r="F558" s="7" t="n">
        <v>40</v>
      </c>
      <c r="G558" s="7" t="n">
        <v>0.4</v>
      </c>
      <c r="H558" s="7" t="n">
        <v>0</v>
      </c>
      <c r="I558" s="7" t="n">
        <v>-0.4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60505014101</t>
        </is>
      </c>
      <c r="D559" s="5" t="inlineStr">
        <is>
          <t xml:space="preserve">GLIPIZIDE 5MG TAB </t>
        </is>
      </c>
      <c r="E559" s="6" t="inlineStr">
        <is>
          <t>1000.0</t>
        </is>
      </c>
      <c r="F559" s="7" t="n">
        <v>300</v>
      </c>
      <c r="G559" s="7" t="n">
        <v>0.3</v>
      </c>
      <c r="H559" s="7" t="n">
        <v>0</v>
      </c>
      <c r="I559" s="7" t="n">
        <v>-0.3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65862014836</t>
        </is>
      </c>
      <c r="D560" s="5" t="inlineStr">
        <is>
          <t xml:space="preserve">SUMATRIPTAN SUCCINATE 100MG TAB </t>
        </is>
      </c>
      <c r="E560" s="6" t="inlineStr">
        <is>
          <t>9.0</t>
        </is>
      </c>
      <c r="F560" s="7" t="n">
        <v>18</v>
      </c>
      <c r="G560" s="7" t="n">
        <v>2</v>
      </c>
      <c r="H560" s="7" t="n">
        <v>0</v>
      </c>
      <c r="I560" s="7" t="n">
        <v>-2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24208038555</t>
        </is>
      </c>
      <c r="D561" s="5" t="inlineStr">
        <is>
          <t>MURO 128 5% OINTMENT</t>
        </is>
      </c>
      <c r="E561" s="6" t="inlineStr">
        <is>
          <t>3.5</t>
        </is>
      </c>
      <c r="F561" s="7" t="n">
        <v>3.5</v>
      </c>
      <c r="G561" s="7" t="n">
        <v>1</v>
      </c>
      <c r="H561" s="7" t="n">
        <v>0</v>
      </c>
      <c r="I561" s="7" t="n">
        <v>-1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00832532510</t>
        </is>
      </c>
      <c r="D563" s="5" t="inlineStr">
        <is>
          <t>POTASSIUM ER 20MEQ TABLET</t>
        </is>
      </c>
      <c r="E563" s="6" t="inlineStr">
        <is>
          <t>1000.0</t>
        </is>
      </c>
      <c r="F563" s="7" t="n">
        <v>90</v>
      </c>
      <c r="G563" s="7" t="n">
        <v>0.09</v>
      </c>
      <c r="H563" s="7" t="n">
        <v>1</v>
      </c>
      <c r="I563" s="7" t="n">
        <v>0.91</v>
      </c>
      <c r="J563" s="8" t="n">
        <v>19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47335070352</t>
        </is>
      </c>
      <c r="D564" s="5" t="inlineStr">
        <is>
          <t>ALBUTEROL SULFATE (2.5 MG/3ML) 0.083% INHALATION NEBULIZATION SOLUTION</t>
        </is>
      </c>
      <c r="E564" s="6" t="inlineStr">
        <is>
          <t>90.0</t>
        </is>
      </c>
      <c r="F564" s="7" t="n">
        <v>180</v>
      </c>
      <c r="G564" s="7" t="n">
        <v>2</v>
      </c>
      <c r="H564" s="7" t="n">
        <v>0</v>
      </c>
      <c r="I564" s="7" t="n">
        <v>-2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42858080201</t>
        </is>
      </c>
      <c r="D565" s="5" t="inlineStr">
        <is>
          <t>MORPHINE SULFATE ER 30 MG ORAL TABLET EXTENDED RELEASE</t>
        </is>
      </c>
      <c r="E565" s="6" t="inlineStr">
        <is>
          <t>100.0</t>
        </is>
      </c>
      <c r="F565" s="7" t="n">
        <v>60</v>
      </c>
      <c r="G565" s="7" t="n">
        <v>0.6</v>
      </c>
      <c r="H565" s="7" t="n">
        <v>1</v>
      </c>
      <c r="I565" s="7" t="n">
        <v>0.4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67877043003</t>
        </is>
      </c>
      <c r="D566" s="5" t="inlineStr">
        <is>
          <t>ARIPIPRAZOLE 2MG TABLET</t>
        </is>
      </c>
      <c r="E566" s="6" t="inlineStr">
        <is>
          <t>30.0</t>
        </is>
      </c>
      <c r="F566" s="7" t="n">
        <v>120</v>
      </c>
      <c r="G566" s="7" t="n">
        <v>4</v>
      </c>
      <c r="H566" s="7" t="n">
        <v>0</v>
      </c>
      <c r="I566" s="7" t="n">
        <v>-4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24208027615</t>
        </is>
      </c>
      <c r="D567" s="5" t="inlineStr">
        <is>
          <t>MURO 128 2% SOLUTION</t>
        </is>
      </c>
      <c r="E567" s="6" t="inlineStr">
        <is>
          <t>15.0</t>
        </is>
      </c>
      <c r="F567" s="7" t="n">
        <v>15</v>
      </c>
      <c r="G567" s="7" t="n">
        <v>1</v>
      </c>
      <c r="H567" s="7" t="n">
        <v>0</v>
      </c>
      <c r="I567" s="7" t="n">
        <v>-1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13668000805</t>
        </is>
      </c>
      <c r="D568" s="5" t="inlineStr">
        <is>
          <t xml:space="preserve">ZOLPIDEM TARTRATE 10MG TAB </t>
        </is>
      </c>
      <c r="E568" s="6" t="inlineStr">
        <is>
          <t>500.0</t>
        </is>
      </c>
      <c r="F568" s="7" t="n">
        <v>345</v>
      </c>
      <c r="G568" s="7" t="n">
        <v>0.6899999999999999</v>
      </c>
      <c r="H568" s="7" t="n">
        <v>0</v>
      </c>
      <c r="I568" s="7" t="n">
        <v>-0.6899999999999999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00093171401</t>
        </is>
      </c>
      <c r="D569" s="5" t="inlineStr">
        <is>
          <t>WARFARIN 2.5MG TABLET</t>
        </is>
      </c>
      <c r="E569" s="6" t="inlineStr">
        <is>
          <t>100.0</t>
        </is>
      </c>
      <c r="F569" s="7" t="n">
        <v>90</v>
      </c>
      <c r="G569" s="7" t="n">
        <v>0.9</v>
      </c>
      <c r="H569" s="7" t="n">
        <v>2</v>
      </c>
      <c r="I569" s="7" t="n">
        <v>1.1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00093321201</t>
        </is>
      </c>
      <c r="D570" s="5" t="inlineStr">
        <is>
          <t>CLONAZEPAM 1MG TABLET</t>
        </is>
      </c>
      <c r="E570" s="6" t="inlineStr">
        <is>
          <t>100.0</t>
        </is>
      </c>
      <c r="F570" s="7" t="n">
        <v>180</v>
      </c>
      <c r="G570" s="7" t="n">
        <v>1.8</v>
      </c>
      <c r="H570" s="7" t="n">
        <v>0</v>
      </c>
      <c r="I570" s="7" t="n">
        <v>-1.8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65862022960</t>
        </is>
      </c>
      <c r="D571" s="5" t="inlineStr">
        <is>
          <t>LAMOTRIGINE 150MG  TABLET</t>
        </is>
      </c>
      <c r="E571" s="6" t="inlineStr">
        <is>
          <t>60.0</t>
        </is>
      </c>
      <c r="F571" s="7" t="n">
        <v>120</v>
      </c>
      <c r="G571" s="7" t="n">
        <v>2</v>
      </c>
      <c r="H571" s="7" t="n">
        <v>0</v>
      </c>
      <c r="I571" s="7" t="n">
        <v>-2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57237021905</t>
        </is>
      </c>
      <c r="D572" s="5" t="inlineStr">
        <is>
          <t>PIOGLITAZONE 15MG TABLET</t>
        </is>
      </c>
      <c r="E572" s="6" t="inlineStr">
        <is>
          <t>500.0</t>
        </is>
      </c>
      <c r="F572" s="7" t="n">
        <v>240</v>
      </c>
      <c r="G572" s="7" t="n">
        <v>0.48</v>
      </c>
      <c r="H572" s="7" t="n">
        <v>0</v>
      </c>
      <c r="I572" s="7" t="n">
        <v>-0.48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69367024101</t>
        </is>
      </c>
      <c r="D573" s="5" t="inlineStr">
        <is>
          <t>NABUMETONE 500MG TABLET</t>
        </is>
      </c>
      <c r="E573" s="6" t="inlineStr">
        <is>
          <t>100.0</t>
        </is>
      </c>
      <c r="F573" s="7" t="n">
        <v>118</v>
      </c>
      <c r="G573" s="7" t="n">
        <v>1.18</v>
      </c>
      <c r="H573" s="7" t="n">
        <v>0</v>
      </c>
      <c r="I573" s="7" t="n">
        <v>-1.18</v>
      </c>
      <c r="J573" s="8" t="n">
        <v>18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00378013710</t>
        </is>
      </c>
      <c r="D574" s="5" t="inlineStr">
        <is>
          <t>ALLOPURINOL 100 MG TABLET</t>
        </is>
      </c>
      <c r="E574" s="6" t="inlineStr">
        <is>
          <t>1000.0</t>
        </is>
      </c>
      <c r="F574" s="7" t="n">
        <v>120</v>
      </c>
      <c r="G574" s="7" t="n">
        <v>0.12</v>
      </c>
      <c r="H574" s="7" t="n">
        <v>0</v>
      </c>
      <c r="I574" s="7" t="n">
        <v>-0.12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21922001606</t>
        </is>
      </c>
      <c r="D575" s="5" t="inlineStr">
        <is>
          <t>CLOBETASOL PROPIONATE 0.05% CREAM</t>
        </is>
      </c>
      <c r="E575" s="6" t="inlineStr">
        <is>
          <t>45.0</t>
        </is>
      </c>
      <c r="F575" s="7" t="n">
        <v>45</v>
      </c>
      <c r="G575" s="7" t="n">
        <v>1</v>
      </c>
      <c r="H575" s="7" t="n">
        <v>0</v>
      </c>
      <c r="I575" s="7" t="n">
        <v>-1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00603516632</t>
        </is>
      </c>
      <c r="D576" s="5" t="inlineStr">
        <is>
          <t>PHENOBARBITAL 32.4 MG TABLET</t>
        </is>
      </c>
      <c r="E576" s="6" t="inlineStr">
        <is>
          <t>1000.0</t>
        </is>
      </c>
      <c r="F576" s="7" t="n">
        <v>60</v>
      </c>
      <c r="G576" s="7" t="n">
        <v>0.06</v>
      </c>
      <c r="H576" s="7" t="n">
        <v>0</v>
      </c>
      <c r="I576" s="7" t="n">
        <v>-0.06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72241003304</t>
        </is>
      </c>
      <c r="D577" s="5" t="inlineStr">
        <is>
          <t>NEBIVOLOL 5MG TABLET</t>
        </is>
      </c>
      <c r="E577" s="6" t="inlineStr">
        <is>
          <t>90.0</t>
        </is>
      </c>
      <c r="F577" s="7" t="n">
        <v>90</v>
      </c>
      <c r="G577" s="7" t="n">
        <v>1</v>
      </c>
      <c r="H577" s="7" t="n">
        <v>0</v>
      </c>
      <c r="I577" s="7" t="n">
        <v>-1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23155000310</t>
        </is>
      </c>
      <c r="D578" s="5" t="inlineStr">
        <is>
          <t>HYDRALAZINE HCL 50MG TABLET</t>
        </is>
      </c>
      <c r="E578" s="6" t="inlineStr">
        <is>
          <t>1000.0</t>
        </is>
      </c>
      <c r="F578" s="7" t="n">
        <v>180</v>
      </c>
      <c r="G578" s="7" t="n">
        <v>0.18</v>
      </c>
      <c r="H578" s="7" t="n">
        <v>0</v>
      </c>
      <c r="I578" s="7" t="n">
        <v>-0.18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00378210005</t>
        </is>
      </c>
      <c r="D579" s="5" t="inlineStr">
        <is>
          <t xml:space="preserve">LOPERAMIDE 2MG CAP </t>
        </is>
      </c>
      <c r="E579" s="6" t="inlineStr">
        <is>
          <t>500.0</t>
        </is>
      </c>
      <c r="F579" s="7" t="n">
        <v>54</v>
      </c>
      <c r="G579" s="7" t="n">
        <v>0.108</v>
      </c>
      <c r="H579" s="7" t="n">
        <v>0</v>
      </c>
      <c r="I579" s="7" t="n">
        <v>-0.108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68382009305</t>
        </is>
      </c>
      <c r="D580" s="5" t="inlineStr">
        <is>
          <t xml:space="preserve">CARVEDILOL 6.25MG TAB </t>
        </is>
      </c>
      <c r="E580" s="6" t="inlineStr">
        <is>
          <t>500.0</t>
        </is>
      </c>
      <c r="F580" s="7" t="n">
        <v>1260</v>
      </c>
      <c r="G580" s="7" t="n">
        <v>2.52</v>
      </c>
      <c r="H580" s="7" t="n">
        <v>0</v>
      </c>
      <c r="I580" s="7" t="n">
        <v>-2.52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00713068231</t>
        </is>
      </c>
      <c r="D582" s="5" t="inlineStr">
        <is>
          <t>GENTAMICIN SULFATE 0.1 % EXTERNAL OINTMENT</t>
        </is>
      </c>
      <c r="E582" s="6" t="inlineStr">
        <is>
          <t>30.0</t>
        </is>
      </c>
      <c r="F582" s="7" t="n">
        <v>30</v>
      </c>
      <c r="G582" s="7" t="n">
        <v>1</v>
      </c>
      <c r="H582" s="7" t="n">
        <v>0</v>
      </c>
      <c r="I582" s="7" t="n">
        <v>-1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65862002306</t>
        </is>
      </c>
      <c r="D583" s="5" t="inlineStr">
        <is>
          <t>MIRTAZAPINE 45 MG TABLET DISINTEGRATING</t>
        </is>
      </c>
      <c r="E583" s="6" t="inlineStr">
        <is>
          <t>30.0</t>
        </is>
      </c>
      <c r="F583" s="7" t="n">
        <v>30</v>
      </c>
      <c r="G583" s="7" t="n">
        <v>1</v>
      </c>
      <c r="H583" s="7" t="n">
        <v>0</v>
      </c>
      <c r="I583" s="7" t="n">
        <v>-1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62332017360</t>
        </is>
      </c>
      <c r="D584" s="5" t="inlineStr">
        <is>
          <t>LACOSAMIDE 150MG TABLET</t>
        </is>
      </c>
      <c r="E584" s="6" t="inlineStr">
        <is>
          <t>60.0</t>
        </is>
      </c>
      <c r="F584" s="7" t="n">
        <v>60</v>
      </c>
      <c r="G584" s="7" t="n">
        <v>1</v>
      </c>
      <c r="H584" s="7" t="n">
        <v>0</v>
      </c>
      <c r="I584" s="7" t="n">
        <v>-1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00093720210</t>
        </is>
      </c>
      <c r="D585" s="5" t="inlineStr">
        <is>
          <t>PRAVASTATIN 40MG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70377006611</t>
        </is>
      </c>
      <c r="D587" s="5" t="inlineStr">
        <is>
          <t>PRAZOSIN HCL 1 MG ORAL CAPSULE</t>
        </is>
      </c>
      <c r="E587" s="6" t="inlineStr">
        <is>
          <t>100.0</t>
        </is>
      </c>
      <c r="F587" s="7" t="n">
        <v>90</v>
      </c>
      <c r="G587" s="7" t="n">
        <v>0.9</v>
      </c>
      <c r="H587" s="7" t="n">
        <v>0</v>
      </c>
      <c r="I587" s="7" t="n">
        <v>-0.9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00168025815</t>
        </is>
      </c>
      <c r="D588" s="5" t="inlineStr">
        <is>
          <t>CLOTRIMAZOLE-BETAMETHASONE 1-0.05 % EXTERNAL CREAM</t>
        </is>
      </c>
      <c r="E588" s="6" t="inlineStr">
        <is>
          <t>15.0</t>
        </is>
      </c>
      <c r="F588" s="7" t="n">
        <v>30</v>
      </c>
      <c r="G588" s="7" t="n">
        <v>2</v>
      </c>
      <c r="H588" s="7" t="n">
        <v>0</v>
      </c>
      <c r="I588" s="7" t="n">
        <v>-2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72888000901</t>
        </is>
      </c>
      <c r="D589" s="5" t="inlineStr">
        <is>
          <t>BACLOFEN 5 MG ORAL TABLET</t>
        </is>
      </c>
      <c r="E589" s="6" t="inlineStr">
        <is>
          <t>100.0</t>
        </is>
      </c>
      <c r="F589" s="7" t="n">
        <v>90</v>
      </c>
      <c r="G589" s="7" t="n">
        <v>0.9</v>
      </c>
      <c r="H589" s="7" t="n">
        <v>0</v>
      </c>
      <c r="I589" s="7" t="n">
        <v>-0.9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42571023530</t>
        </is>
      </c>
      <c r="D590" s="5" t="inlineStr">
        <is>
          <t>AMLODIPINE-OLMESARTAN 5-20MG TABLET</t>
        </is>
      </c>
      <c r="E590" s="6" t="inlineStr">
        <is>
          <t>30.0</t>
        </is>
      </c>
      <c r="F590" s="7" t="n">
        <v>120</v>
      </c>
      <c r="G590" s="7" t="n">
        <v>4</v>
      </c>
      <c r="H590" s="7" t="n">
        <v>0</v>
      </c>
      <c r="I590" s="7" t="n">
        <v>-4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72888006605</t>
        </is>
      </c>
      <c r="D591" s="5" t="inlineStr">
        <is>
          <t>BUSPIRONE HCL 30 MG ORAL TABLET</t>
        </is>
      </c>
      <c r="E591" s="6" t="inlineStr">
        <is>
          <t>500.0</t>
        </is>
      </c>
      <c r="F591" s="7" t="n">
        <v>60</v>
      </c>
      <c r="G591" s="7" t="n">
        <v>0.12</v>
      </c>
      <c r="H591" s="7" t="n">
        <v>0</v>
      </c>
      <c r="I591" s="7" t="n">
        <v>-0.12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23155002405</t>
        </is>
      </c>
      <c r="D592" s="5" t="inlineStr">
        <is>
          <t>BUSPIRONE 10MG TABLET</t>
        </is>
      </c>
      <c r="E592" s="6" t="inlineStr">
        <is>
          <t>500.0</t>
        </is>
      </c>
      <c r="F592" s="7" t="n">
        <v>240</v>
      </c>
      <c r="G592" s="7" t="n">
        <v>0.48</v>
      </c>
      <c r="H592" s="7" t="n">
        <v>0</v>
      </c>
      <c r="I592" s="7" t="n">
        <v>-0.48</v>
      </c>
      <c r="J592" s="8" t="n">
        <v>17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00093227434</t>
        </is>
      </c>
      <c r="D593" s="5" t="inlineStr">
        <is>
          <t>AMOXICILLIN-CLAVULANATE 500-125MG TABLET</t>
        </is>
      </c>
      <c r="E593" s="6" t="inlineStr">
        <is>
          <t>20.0</t>
        </is>
      </c>
      <c r="F593" s="7" t="n">
        <v>20</v>
      </c>
      <c r="G593" s="7" t="n">
        <v>1</v>
      </c>
      <c r="H593" s="7" t="n">
        <v>5</v>
      </c>
      <c r="I593" s="7" t="n">
        <v>4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69315015501</t>
        </is>
      </c>
      <c r="D594" s="5" t="inlineStr">
        <is>
          <t>HYDROCHLOROTHIAZIDE 12.5MG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00185005501</t>
        </is>
      </c>
      <c r="D596" s="5" t="inlineStr">
        <is>
          <t>METOLAZONE 5 MG TABLET</t>
        </is>
      </c>
      <c r="E596" s="6" t="inlineStr">
        <is>
          <t>100.0</t>
        </is>
      </c>
      <c r="F596" s="7" t="n">
        <v>30</v>
      </c>
      <c r="G596" s="7" t="n">
        <v>0.3</v>
      </c>
      <c r="H596" s="7" t="n">
        <v>0</v>
      </c>
      <c r="I596" s="7" t="n">
        <v>-0.3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67877024801</t>
        </is>
      </c>
      <c r="D597" s="5" t="inlineStr">
        <is>
          <t>QUETIAPINE FUMARATE 400 MG ORAL TABLET</t>
        </is>
      </c>
      <c r="E597" s="6" t="inlineStr">
        <is>
          <t>100.0</t>
        </is>
      </c>
      <c r="F597" s="7" t="n">
        <v>30</v>
      </c>
      <c r="G597" s="7" t="n">
        <v>0.3</v>
      </c>
      <c r="H597" s="7" t="n">
        <v>0</v>
      </c>
      <c r="I597" s="7" t="n">
        <v>-0.3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64980059248</t>
        </is>
      </c>
      <c r="D598" s="5" t="inlineStr">
        <is>
          <t>LACTULOSE ENCEPHALOPATHY 10 GM/15ML ORAL SOLUTION</t>
        </is>
      </c>
      <c r="E598" s="6" t="inlineStr">
        <is>
          <t>473.0</t>
        </is>
      </c>
      <c r="F598" s="7" t="n">
        <v>473</v>
      </c>
      <c r="G598" s="7" t="n">
        <v>1</v>
      </c>
      <c r="H598" s="7" t="n">
        <v>0</v>
      </c>
      <c r="I598" s="7" t="n">
        <v>-1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57664050318</t>
        </is>
      </c>
      <c r="D599" s="5" t="inlineStr">
        <is>
          <t>TIZANIDINE 4MG TABLET</t>
        </is>
      </c>
      <c r="E599" s="6" t="inlineStr">
        <is>
          <t>1000.0</t>
        </is>
      </c>
      <c r="F599" s="7" t="n">
        <v>120</v>
      </c>
      <c r="G599" s="7" t="n">
        <v>0.12</v>
      </c>
      <c r="H599" s="7" t="n">
        <v>0</v>
      </c>
      <c r="I599" s="7" t="n">
        <v>-0.12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23155051901</t>
        </is>
      </c>
      <c r="D600" s="5" t="inlineStr">
        <is>
          <t>ISOSORBIDE MONONITRATE 30MG TABLET ER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00378910293</t>
        </is>
      </c>
      <c r="D602" s="5" t="inlineStr">
        <is>
          <t>NITROGLYCERIN 0.1 MG/HR TRANSDERMAL PATCH 24 HOUR</t>
        </is>
      </c>
      <c r="E602" s="6" t="inlineStr">
        <is>
          <t>30.0</t>
        </is>
      </c>
      <c r="F602" s="7" t="n">
        <v>30</v>
      </c>
      <c r="G602" s="7" t="n">
        <v>1</v>
      </c>
      <c r="H602" s="7" t="n">
        <v>1</v>
      </c>
      <c r="I602" s="7" t="n">
        <v>0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62332064531</t>
        </is>
      </c>
      <c r="D603" s="5" t="inlineStr">
        <is>
          <t>DOXEPIN HCL 50 MG ORAL CAPSULE</t>
        </is>
      </c>
      <c r="E603" s="6" t="inlineStr">
        <is>
          <t>100.0</t>
        </is>
      </c>
      <c r="F603" s="7" t="n">
        <v>90</v>
      </c>
      <c r="G603" s="7" t="n">
        <v>0.9</v>
      </c>
      <c r="H603" s="7" t="n">
        <v>0</v>
      </c>
      <c r="I603" s="7" t="n">
        <v>-0.9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00093117701</t>
        </is>
      </c>
      <c r="D604" s="5" t="inlineStr">
        <is>
          <t>NEOMYCIN SULFATE 500 MG ORAL TABLET</t>
        </is>
      </c>
      <c r="E604" s="6" t="inlineStr">
        <is>
          <t>100.0</t>
        </is>
      </c>
      <c r="F604" s="7" t="n">
        <v>6</v>
      </c>
      <c r="G604" s="7" t="n">
        <v>0.06</v>
      </c>
      <c r="H604" s="7" t="n">
        <v>0</v>
      </c>
      <c r="I604" s="7" t="n">
        <v>-0.06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68180061307</t>
        </is>
      </c>
      <c r="D605" s="5" t="inlineStr">
        <is>
          <t>QUETIAPINE 150MG TABLET ER</t>
        </is>
      </c>
      <c r="E605" s="6" t="inlineStr">
        <is>
          <t>60.0</t>
        </is>
      </c>
      <c r="F605" s="7" t="n">
        <v>28</v>
      </c>
      <c r="G605" s="7" t="n">
        <v>0.4666666666666667</v>
      </c>
      <c r="H605" s="7" t="n">
        <v>0</v>
      </c>
      <c r="I605" s="7" t="n">
        <v>-0.4666666666666667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61314001910</t>
        </is>
      </c>
      <c r="D606" s="5" t="inlineStr">
        <is>
          <t>DORZOLAMIDE HCL 2% SOLUTION</t>
        </is>
      </c>
      <c r="E606" s="6" t="inlineStr">
        <is>
          <t>10.0</t>
        </is>
      </c>
      <c r="F606" s="7" t="n">
        <v>30</v>
      </c>
      <c r="G606" s="7" t="n">
        <v>3</v>
      </c>
      <c r="H606" s="7" t="n">
        <v>0</v>
      </c>
      <c r="I606" s="7" t="n">
        <v>-3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70954045520</t>
        </is>
      </c>
      <c r="D607" s="5" t="inlineStr">
        <is>
          <t>BISOPROLOL FUMARATE 5 MG ORAL TABLET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16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70377006711</t>
        </is>
      </c>
      <c r="D608" s="5" t="inlineStr">
        <is>
          <t>PRAZOSIN HCL 2 MG ORAL CAPSULE</t>
        </is>
      </c>
      <c r="E608" s="6" t="inlineStr">
        <is>
          <t>100.0</t>
        </is>
      </c>
      <c r="F608" s="7" t="n">
        <v>90</v>
      </c>
      <c r="G608" s="7" t="n">
        <v>0.9</v>
      </c>
      <c r="H608" s="7" t="n">
        <v>0</v>
      </c>
      <c r="I608" s="7" t="n">
        <v>-0.9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24979053301</t>
        </is>
      </c>
      <c r="D610" s="5" t="inlineStr">
        <is>
          <t xml:space="preserve">GUANFACINE ER 1MG TAB </t>
        </is>
      </c>
      <c r="E610" s="6" t="inlineStr">
        <is>
          <t>100.0</t>
        </is>
      </c>
      <c r="F610" s="7" t="n">
        <v>30</v>
      </c>
      <c r="G610" s="7" t="n">
        <v>0.3</v>
      </c>
      <c r="H610" s="7" t="n">
        <v>0</v>
      </c>
      <c r="I610" s="7" t="n">
        <v>-0.3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45802004935</t>
        </is>
      </c>
      <c r="D611" s="5" t="inlineStr">
        <is>
          <t>TRIAMCINOLONE ACETONIDE 0.5 % EXTERNAL OINTMENT</t>
        </is>
      </c>
      <c r="E611" s="6" t="inlineStr">
        <is>
          <t>15.0</t>
        </is>
      </c>
      <c r="F611" s="7" t="n">
        <v>15</v>
      </c>
      <c r="G611" s="7" t="n">
        <v>1</v>
      </c>
      <c r="H611" s="7" t="n">
        <v>6</v>
      </c>
      <c r="I611" s="7" t="n">
        <v>5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68180029407</t>
        </is>
      </c>
      <c r="D612" s="5" t="inlineStr">
        <is>
          <t>DULOXETINE 20MG CAPSULE DR</t>
        </is>
      </c>
      <c r="E612" s="6" t="inlineStr">
        <is>
          <t>60.0</t>
        </is>
      </c>
      <c r="F612" s="7" t="n">
        <v>60</v>
      </c>
      <c r="G612" s="7" t="n">
        <v>1</v>
      </c>
      <c r="H612" s="7" t="n">
        <v>0</v>
      </c>
      <c r="I612" s="7" t="n">
        <v>-1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23155050210</t>
        </is>
      </c>
      <c r="D614" s="5" t="inlineStr">
        <is>
          <t>HYDROXYZINE HCL 50MG TABLET</t>
        </is>
      </c>
      <c r="E614" s="6" t="inlineStr">
        <is>
          <t>1000.0</t>
        </is>
      </c>
      <c r="F614" s="7" t="n">
        <v>90</v>
      </c>
      <c r="G614" s="7" t="n">
        <v>0.09</v>
      </c>
      <c r="H614" s="7" t="n">
        <v>0</v>
      </c>
      <c r="I614" s="7" t="n">
        <v>-0.09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68180098003</t>
        </is>
      </c>
      <c r="D615" s="5" t="inlineStr">
        <is>
          <t>LISINOPRIL 10MG TABLET</t>
        </is>
      </c>
      <c r="E615" s="6" t="inlineStr">
        <is>
          <t>1000.0</t>
        </is>
      </c>
      <c r="F615" s="7" t="n">
        <v>270</v>
      </c>
      <c r="G615" s="7" t="n">
        <v>0.27</v>
      </c>
      <c r="H615" s="7" t="n">
        <v>0</v>
      </c>
      <c r="I615" s="7" t="n">
        <v>-0.27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59746000103</t>
        </is>
      </c>
      <c r="D616" s="5" t="inlineStr">
        <is>
          <t xml:space="preserve">METHYLPREDNISOLONE 4MG (MEDROL) </t>
        </is>
      </c>
      <c r="E616" s="6" t="inlineStr">
        <is>
          <t>21.0</t>
        </is>
      </c>
      <c r="F616" s="7" t="n">
        <v>42</v>
      </c>
      <c r="G616" s="7" t="n">
        <v>2</v>
      </c>
      <c r="H616" s="7" t="n">
        <v>0</v>
      </c>
      <c r="I616" s="7" t="n">
        <v>-2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62332008631</t>
        </is>
      </c>
      <c r="D617" s="5" t="inlineStr">
        <is>
          <t>FENOFIBRATE MICRONIZED 200MG CAPSULE</t>
        </is>
      </c>
      <c r="E617" s="6" t="inlineStr">
        <is>
          <t>100.0</t>
        </is>
      </c>
      <c r="F617" s="7" t="n">
        <v>90</v>
      </c>
      <c r="G617" s="7" t="n">
        <v>0.9</v>
      </c>
      <c r="H617" s="7" t="n">
        <v>0</v>
      </c>
      <c r="I617" s="7" t="n">
        <v>-0.9</v>
      </c>
      <c r="J617" s="8" t="n">
        <v>15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70010013801</t>
        </is>
      </c>
      <c r="D618" s="5" t="inlineStr">
        <is>
          <t>NAPROXEN 375 MG TABLET</t>
        </is>
      </c>
      <c r="E618" s="6" t="inlineStr">
        <is>
          <t>100.0</t>
        </is>
      </c>
      <c r="F618" s="7" t="n">
        <v>76</v>
      </c>
      <c r="G618" s="7" t="n">
        <v>0.76</v>
      </c>
      <c r="H618" s="7" t="n">
        <v>3</v>
      </c>
      <c r="I618" s="7" t="n">
        <v>2.24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00093171201</t>
        </is>
      </c>
      <c r="D619" s="5" t="inlineStr">
        <is>
          <t xml:space="preserve">WARFARIN SODIUM 1MG TAB </t>
        </is>
      </c>
      <c r="E619" s="6" t="inlineStr">
        <is>
          <t>100.0</t>
        </is>
      </c>
      <c r="F619" s="7" t="n">
        <v>60</v>
      </c>
      <c r="G619" s="7" t="n">
        <v>0.6</v>
      </c>
      <c r="H619" s="7" t="n">
        <v>1</v>
      </c>
      <c r="I619" s="7" t="n">
        <v>0.4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21922002107</t>
        </is>
      </c>
      <c r="D620" s="5" t="inlineStr">
        <is>
          <t>PERMETHRIN 5 % EXTERNAL CREAM</t>
        </is>
      </c>
      <c r="E620" s="6" t="inlineStr">
        <is>
          <t>60.0</t>
        </is>
      </c>
      <c r="F620" s="7" t="n">
        <v>60</v>
      </c>
      <c r="G620" s="7" t="n">
        <v>1</v>
      </c>
      <c r="H620" s="7" t="n">
        <v>0</v>
      </c>
      <c r="I620" s="7" t="n">
        <v>-1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65862017501</t>
        </is>
      </c>
      <c r="D621" s="5" t="inlineStr">
        <is>
          <t>PENICILLIN V POTASSIUM 250MG TABLET</t>
        </is>
      </c>
      <c r="E621" s="6" t="inlineStr">
        <is>
          <t>100.0</t>
        </is>
      </c>
      <c r="F621" s="7" t="n">
        <v>60</v>
      </c>
      <c r="G621" s="7" t="n">
        <v>0.6</v>
      </c>
      <c r="H621" s="7" t="n">
        <v>0</v>
      </c>
      <c r="I621" s="7" t="n">
        <v>-0.6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68180086111</t>
        </is>
      </c>
      <c r="D622" s="5" t="inlineStr">
        <is>
          <t>AZITHROMYCIN 250 MG TABLET</t>
        </is>
      </c>
      <c r="E622" s="6" t="inlineStr">
        <is>
          <t>6.0</t>
        </is>
      </c>
      <c r="F622" s="7" t="n">
        <v>16</v>
      </c>
      <c r="G622" s="7" t="n">
        <v>2.666666666666667</v>
      </c>
      <c r="H622" s="7" t="n">
        <v>12</v>
      </c>
      <c r="I622" s="7" t="n">
        <v>9.333333333333334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68180086106</t>
        </is>
      </c>
      <c r="D623" s="5" t="inlineStr">
        <is>
          <t>AZITHROMYCIN 250 MG ORAL TABLET</t>
        </is>
      </c>
      <c r="E623" s="6" t="inlineStr">
        <is>
          <t>30.0</t>
        </is>
      </c>
      <c r="F623" s="7" t="n">
        <v>20</v>
      </c>
      <c r="G623" s="7" t="n">
        <v>0.6666666666666666</v>
      </c>
      <c r="H623" s="7" t="n">
        <v>0</v>
      </c>
      <c r="I623" s="7" t="n">
        <v>-0.6666666666666666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00378797052</t>
        </is>
      </c>
      <c r="D625" s="5" t="inlineStr">
        <is>
          <t>IPRATROPIUM BROMIDE 0.02 % INHALATION SOLUTION</t>
        </is>
      </c>
      <c r="E625" s="6" t="inlineStr">
        <is>
          <t>62.5</t>
        </is>
      </c>
      <c r="F625" s="7" t="n">
        <v>125</v>
      </c>
      <c r="G625" s="7" t="n">
        <v>2</v>
      </c>
      <c r="H625" s="7" t="n">
        <v>0</v>
      </c>
      <c r="I625" s="7" t="n">
        <v>-2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69097042112</t>
        </is>
      </c>
      <c r="D626" s="5" t="inlineStr">
        <is>
          <t>CELECOXIB 200 MG ORAL CAPSULE</t>
        </is>
      </c>
      <c r="E626" s="6" t="inlineStr">
        <is>
          <t>500.0</t>
        </is>
      </c>
      <c r="F626" s="7" t="n">
        <v>90</v>
      </c>
      <c r="G626" s="7" t="n">
        <v>0.18</v>
      </c>
      <c r="H626" s="7" t="n">
        <v>0</v>
      </c>
      <c r="I626" s="7" t="n">
        <v>-0.18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65862014636</t>
        </is>
      </c>
      <c r="D628" s="5" t="inlineStr">
        <is>
          <t>SUMATRIPTAN SUCCINATE 25 MG ORAL TABLET</t>
        </is>
      </c>
      <c r="E628" s="6" t="inlineStr">
        <is>
          <t>9.0</t>
        </is>
      </c>
      <c r="F628" s="7" t="n">
        <v>12</v>
      </c>
      <c r="G628" s="7" t="n">
        <v>1.333333333333333</v>
      </c>
      <c r="H628" s="7" t="n">
        <v>0</v>
      </c>
      <c r="I628" s="7" t="n">
        <v>-1.333333333333333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67877025145</t>
        </is>
      </c>
      <c r="D629" s="5" t="inlineStr">
        <is>
          <t>TRIAMCINOLONE ACETONIDE 0.1% CREAM</t>
        </is>
      </c>
      <c r="E629" s="6" t="inlineStr">
        <is>
          <t>454.0</t>
        </is>
      </c>
      <c r="F629" s="7" t="n">
        <v>454</v>
      </c>
      <c r="G629" s="7" t="n">
        <v>1</v>
      </c>
      <c r="H629" s="7" t="n">
        <v>0</v>
      </c>
      <c r="I629" s="7" t="n">
        <v>-1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45802090096</t>
        </is>
      </c>
      <c r="D630" s="5" t="inlineStr">
        <is>
          <t>CLINDAMYCIN PHOS 1 % EXTERNAL GEL</t>
        </is>
      </c>
      <c r="E630" s="6" t="inlineStr">
        <is>
          <t>60.0</t>
        </is>
      </c>
      <c r="F630" s="7" t="n">
        <v>60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68382008001</t>
        </is>
      </c>
      <c r="D631" s="5" t="inlineStr">
        <is>
          <t>HALOPERIDOL 10MG TABLET</t>
        </is>
      </c>
      <c r="E631" s="6" t="inlineStr">
        <is>
          <t>100.0</t>
        </is>
      </c>
      <c r="F631" s="7" t="n">
        <v>30</v>
      </c>
      <c r="G631" s="7" t="n">
        <v>0.3</v>
      </c>
      <c r="H631" s="7" t="n">
        <v>0</v>
      </c>
      <c r="I631" s="7" t="n">
        <v>-0.3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45802000403</t>
        </is>
      </c>
      <c r="D632" s="5" t="inlineStr">
        <is>
          <t xml:space="preserve">HYDROCORTISONE 2.5 % EXTERNAL CREAM </t>
        </is>
      </c>
      <c r="E632" s="6" t="inlineStr">
        <is>
          <t>28.0</t>
        </is>
      </c>
      <c r="F632" s="7" t="n">
        <v>84</v>
      </c>
      <c r="G632" s="7" t="n">
        <v>3</v>
      </c>
      <c r="H632" s="7" t="n">
        <v>0</v>
      </c>
      <c r="I632" s="7" t="n">
        <v>-3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70710116801</t>
        </is>
      </c>
      <c r="D633" s="5" t="inlineStr">
        <is>
          <t>ATENOLOL-CHLORTHALIDONE 100-25 MG TABLET</t>
        </is>
      </c>
      <c r="E633" s="6" t="inlineStr">
        <is>
          <t>100.0</t>
        </is>
      </c>
      <c r="F633" s="7" t="n">
        <v>30</v>
      </c>
      <c r="G633" s="7" t="n">
        <v>0.3</v>
      </c>
      <c r="H633" s="7" t="n">
        <v>0</v>
      </c>
      <c r="I633" s="7" t="n">
        <v>-0.3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70954020210</t>
        </is>
      </c>
      <c r="D634" s="5" t="inlineStr">
        <is>
          <t xml:space="preserve">DIGOXIN 250MCG TABLET 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64980051401</t>
        </is>
      </c>
      <c r="D635" s="5" t="inlineStr">
        <is>
          <t>TIMOLOL MALEATE 0.5% SOLUTION</t>
        </is>
      </c>
      <c r="E635" s="6" t="inlineStr">
        <is>
          <t>10.0</t>
        </is>
      </c>
      <c r="F635" s="7" t="n">
        <v>10</v>
      </c>
      <c r="G635" s="7" t="n">
        <v>1</v>
      </c>
      <c r="H635" s="7" t="n">
        <v>0</v>
      </c>
      <c r="I635" s="7" t="n">
        <v>-1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57237004805</t>
        </is>
      </c>
      <c r="D636" s="5" t="inlineStr">
        <is>
          <t>DIVALPROEX 500MG TABLET DELAYED RELEASE</t>
        </is>
      </c>
      <c r="E636" s="6" t="inlineStr">
        <is>
          <t>500.0</t>
        </is>
      </c>
      <c r="F636" s="7" t="n">
        <v>60</v>
      </c>
      <c r="G636" s="7" t="n">
        <v>0.12</v>
      </c>
      <c r="H636" s="7" t="n">
        <v>0</v>
      </c>
      <c r="I636" s="7" t="n">
        <v>-0.12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51672130406</t>
        </is>
      </c>
      <c r="D637" s="5" t="inlineStr">
        <is>
          <t>TERCONAZOLE 0.4% CREAM</t>
        </is>
      </c>
      <c r="E637" s="6" t="inlineStr">
        <is>
          <t>45.0</t>
        </is>
      </c>
      <c r="F637" s="7" t="n">
        <v>45</v>
      </c>
      <c r="G637" s="7" t="n">
        <v>1</v>
      </c>
      <c r="H637" s="7" t="n">
        <v>0</v>
      </c>
      <c r="I637" s="7" t="n">
        <v>-1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65862067901</t>
        </is>
      </c>
      <c r="D638" s="5" t="inlineStr">
        <is>
          <t>ALPRAZOLAM 2 MG ORAL TABLET</t>
        </is>
      </c>
      <c r="E638" s="6" t="inlineStr">
        <is>
          <t>100.0</t>
        </is>
      </c>
      <c r="F638" s="7" t="n">
        <v>90</v>
      </c>
      <c r="G638" s="7" t="n">
        <v>0.9</v>
      </c>
      <c r="H638" s="7" t="n">
        <v>3</v>
      </c>
      <c r="I638" s="7" t="n">
        <v>2.1</v>
      </c>
      <c r="J638" s="8" t="n">
        <v>14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67877024601</t>
        </is>
      </c>
      <c r="D639" s="5" t="inlineStr">
        <is>
          <t>QUETIAPINE FUMARATE 200 MG ORAL TABLET</t>
        </is>
      </c>
      <c r="E639" s="6" t="inlineStr">
        <is>
          <t>100.0</t>
        </is>
      </c>
      <c r="F639" s="7" t="n">
        <v>30</v>
      </c>
      <c r="G639" s="7" t="n">
        <v>0.3</v>
      </c>
      <c r="H639" s="7" t="n">
        <v>0</v>
      </c>
      <c r="I639" s="7" t="n">
        <v>-0.3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31722077801</t>
        </is>
      </c>
      <c r="D640" s="5" t="inlineStr">
        <is>
          <t>ACYCLOVIR 800 MG TABLET</t>
        </is>
      </c>
      <c r="E640" s="6" t="inlineStr">
        <is>
          <t>100.0</t>
        </is>
      </c>
      <c r="F640" s="7" t="n">
        <v>20</v>
      </c>
      <c r="G640" s="7" t="n">
        <v>0.2</v>
      </c>
      <c r="H640" s="7" t="n">
        <v>0</v>
      </c>
      <c r="I640" s="7" t="n">
        <v>-0.2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16571010701</t>
        </is>
      </c>
      <c r="D641" s="5" t="inlineStr">
        <is>
          <t>AMITRIPTYLINE HCL 50 MG ORAL TABLET</t>
        </is>
      </c>
      <c r="E641" s="6" t="inlineStr">
        <is>
          <t>100.0</t>
        </is>
      </c>
      <c r="F641" s="7" t="n">
        <v>60</v>
      </c>
      <c r="G641" s="7" t="n">
        <v>0.6</v>
      </c>
      <c r="H641" s="7" t="n">
        <v>0</v>
      </c>
      <c r="I641" s="7" t="n">
        <v>-0.6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69315016401</t>
        </is>
      </c>
      <c r="D642" s="5" t="inlineStr">
        <is>
          <t>HYDROXYUREA 500MG CAPSULE</t>
        </is>
      </c>
      <c r="E642" s="6" t="inlineStr">
        <is>
          <t>100.0</t>
        </is>
      </c>
      <c r="F642" s="7" t="n">
        <v>90</v>
      </c>
      <c r="G642" s="7" t="n">
        <v>0.9</v>
      </c>
      <c r="H642" s="7" t="n">
        <v>0</v>
      </c>
      <c r="I642" s="7" t="n">
        <v>-0.9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16729003510</t>
        </is>
      </c>
      <c r="D643" s="5" t="inlineStr">
        <is>
          <t>ANASTROZOLE 1MG TABLET</t>
        </is>
      </c>
      <c r="E643" s="6" t="inlineStr">
        <is>
          <t>30.0</t>
        </is>
      </c>
      <c r="F643" s="7" t="n">
        <v>120</v>
      </c>
      <c r="G643" s="7" t="n">
        <v>4</v>
      </c>
      <c r="H643" s="7" t="n">
        <v>0</v>
      </c>
      <c r="I643" s="7" t="n">
        <v>-4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61314012610</t>
        </is>
      </c>
      <c r="D644" s="5" t="inlineStr">
        <is>
          <t>KETOROLAC TROMETHAMINE 0.5 % OPHTHALMIC SOLUTION</t>
        </is>
      </c>
      <c r="E644" s="6" t="inlineStr">
        <is>
          <t>10.0</t>
        </is>
      </c>
      <c r="F644" s="7" t="n">
        <v>10</v>
      </c>
      <c r="G644" s="7" t="n">
        <v>1</v>
      </c>
      <c r="H644" s="7" t="n">
        <v>5</v>
      </c>
      <c r="I644" s="7" t="n">
        <v>4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59762004901</t>
        </is>
      </c>
      <c r="D645" s="5" t="inlineStr">
        <is>
          <t>METHYLPREDNISOLONE 8MG TABLET</t>
        </is>
      </c>
      <c r="E645" s="6" t="inlineStr">
        <is>
          <t>25.0</t>
        </is>
      </c>
      <c r="F645" s="7" t="n">
        <v>10</v>
      </c>
      <c r="G645" s="7" t="n">
        <v>0.4</v>
      </c>
      <c r="H645" s="7" t="n">
        <v>0</v>
      </c>
      <c r="I645" s="7" t="n">
        <v>-0.4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69097015815</t>
        </is>
      </c>
      <c r="D646" s="5" t="inlineStr">
        <is>
          <t xml:space="preserve">MELOXICAM 7.5MG TAB </t>
        </is>
      </c>
      <c r="E646" s="6" t="inlineStr">
        <is>
          <t>1000.0</t>
        </is>
      </c>
      <c r="F646" s="7" t="n">
        <v>60</v>
      </c>
      <c r="G646" s="7" t="n">
        <v>0.06</v>
      </c>
      <c r="H646" s="7" t="n">
        <v>0</v>
      </c>
      <c r="I646" s="7" t="n">
        <v>-0.06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11527075043</t>
        </is>
      </c>
      <c r="D647" s="5" t="inlineStr">
        <is>
          <t>SODIUM FLUORIDE 5000 PPM 1.1 % DENTAL PASTE</t>
        </is>
      </c>
      <c r="E647" s="6" t="inlineStr">
        <is>
          <t>100.0</t>
        </is>
      </c>
      <c r="F647" s="7" t="n">
        <v>100</v>
      </c>
      <c r="G647" s="7" t="n">
        <v>1</v>
      </c>
      <c r="H647" s="7" t="n">
        <v>0</v>
      </c>
      <c r="I647" s="7" t="n">
        <v>-1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94030000268</t>
        </is>
      </c>
      <c r="D648" s="5" t="inlineStr">
        <is>
          <t>LANCING DEVICE EMBRACE</t>
        </is>
      </c>
      <c r="E648" s="6" t="inlineStr">
        <is>
          <t>1.0</t>
        </is>
      </c>
      <c r="F648" s="7" t="n">
        <v>1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70756042511</t>
        </is>
      </c>
      <c r="D649" s="5" t="inlineStr">
        <is>
          <t>DOXEPIN HCL 25 MG ORAL CAPSULE</t>
        </is>
      </c>
      <c r="E649" s="6" t="inlineStr">
        <is>
          <t>100.0</t>
        </is>
      </c>
      <c r="F649" s="7" t="n">
        <v>30</v>
      </c>
      <c r="G649" s="7" t="n">
        <v>0.3</v>
      </c>
      <c r="H649" s="7" t="n">
        <v>0</v>
      </c>
      <c r="I649" s="7" t="n">
        <v>-0.3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42571023790</t>
        </is>
      </c>
      <c r="D650" s="5" t="inlineStr">
        <is>
          <t>AMLODIPINE-OLMESARTAN 5-40MG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23155070510</t>
        </is>
      </c>
      <c r="D651" s="5" t="inlineStr">
        <is>
          <t>ENALAPRIL 5MG TABLET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70069008101</t>
        </is>
      </c>
      <c r="D652" s="5" t="inlineStr">
        <is>
          <t>MOXIFLOXACIN HCL 0.5 % OPHTHALMIC SOLUTION</t>
        </is>
      </c>
      <c r="E652" s="6" t="inlineStr">
        <is>
          <t>3.0</t>
        </is>
      </c>
      <c r="F652" s="7" t="n">
        <v>6</v>
      </c>
      <c r="G652" s="7" t="n">
        <v>2</v>
      </c>
      <c r="H652" s="7" t="n">
        <v>0</v>
      </c>
      <c r="I652" s="7" t="n">
        <v>-2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00093171301</t>
        </is>
      </c>
      <c r="D653" s="5" t="inlineStr">
        <is>
          <t>WARFARIN SODIUM 2 MG TABLET</t>
        </is>
      </c>
      <c r="E653" s="6" t="inlineStr">
        <is>
          <t>100.0</t>
        </is>
      </c>
      <c r="F653" s="7" t="n">
        <v>30</v>
      </c>
      <c r="G653" s="7" t="n">
        <v>0.3</v>
      </c>
      <c r="H653" s="7" t="n">
        <v>0</v>
      </c>
      <c r="I653" s="7" t="n">
        <v>-0.3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00093172001</t>
        </is>
      </c>
      <c r="D654" s="5" t="inlineStr">
        <is>
          <t>WARFARIN SODIUM 10 MG ORAL TABLET</t>
        </is>
      </c>
      <c r="E654" s="6" t="inlineStr">
        <is>
          <t>100.0</t>
        </is>
      </c>
      <c r="F654" s="7" t="n">
        <v>30</v>
      </c>
      <c r="G654" s="7" t="n">
        <v>0.3</v>
      </c>
      <c r="H654" s="7" t="n">
        <v>0</v>
      </c>
      <c r="I654" s="7" t="n">
        <v>-0.3</v>
      </c>
      <c r="J654" s="8" t="n">
        <v>13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13107015530</t>
        </is>
      </c>
      <c r="D655" s="5" t="inlineStr">
        <is>
          <t xml:space="preserve">PAROXETINE 20MG TABLET </t>
        </is>
      </c>
      <c r="E655" s="6" t="inlineStr">
        <is>
          <t>30.0</t>
        </is>
      </c>
      <c r="F655" s="7" t="n">
        <v>30</v>
      </c>
      <c r="G655" s="7" t="n">
        <v>1</v>
      </c>
      <c r="H655" s="7" t="n">
        <v>0</v>
      </c>
      <c r="I655" s="7" t="n">
        <v>-1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55111058601</t>
        </is>
      </c>
      <c r="D656" s="5" t="inlineStr">
        <is>
          <t>AMLODIPINE BENAZEPRIL 10-40MG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45802005911</t>
        </is>
      </c>
      <c r="D657" s="5" t="inlineStr">
        <is>
          <t>NYSTATIN 100000UNIT/GM CREAM</t>
        </is>
      </c>
      <c r="E657" s="6" t="inlineStr">
        <is>
          <t>30.0</t>
        </is>
      </c>
      <c r="F657" s="7" t="n">
        <v>30</v>
      </c>
      <c r="G657" s="7" t="n">
        <v>1</v>
      </c>
      <c r="H657" s="7" t="n">
        <v>0</v>
      </c>
      <c r="I657" s="7" t="n">
        <v>-1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00172409760</t>
        </is>
      </c>
      <c r="D658" s="5" t="inlineStr">
        <is>
          <t>BACLOFEN 20MG TABLET</t>
        </is>
      </c>
      <c r="E658" s="6" t="inlineStr">
        <is>
          <t>100.0</t>
        </is>
      </c>
      <c r="F658" s="7" t="n">
        <v>30</v>
      </c>
      <c r="G658" s="7" t="n">
        <v>0.3</v>
      </c>
      <c r="H658" s="7" t="n">
        <v>0</v>
      </c>
      <c r="I658" s="7" t="n">
        <v>-0.3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69367061101</t>
        </is>
      </c>
      <c r="D659" s="5" t="inlineStr">
        <is>
          <t>PHENAZOPYRIDINE HCL 100MG TABLET</t>
        </is>
      </c>
      <c r="E659" s="6" t="inlineStr">
        <is>
          <t>100.0</t>
        </is>
      </c>
      <c r="F659" s="7" t="n">
        <v>15</v>
      </c>
      <c r="G659" s="7" t="n">
        <v>0.15</v>
      </c>
      <c r="H659" s="7" t="n">
        <v>0</v>
      </c>
      <c r="I659" s="7" t="n">
        <v>-0.15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00713068631</t>
        </is>
      </c>
      <c r="D660" s="5" t="inlineStr">
        <is>
          <t>NYSTATIN 100000UNIT/GM OINTMENT</t>
        </is>
      </c>
      <c r="E660" s="6" t="inlineStr">
        <is>
          <t>30.0</t>
        </is>
      </c>
      <c r="F660" s="7" t="n">
        <v>30</v>
      </c>
      <c r="G660" s="7" t="n">
        <v>1</v>
      </c>
      <c r="H660" s="7" t="n">
        <v>0</v>
      </c>
      <c r="I660" s="7" t="n">
        <v>-1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57237004701</t>
        </is>
      </c>
      <c r="D661" s="5" t="inlineStr">
        <is>
          <t>DIVALPROEX SODIUM 250MG TABLET DR</t>
        </is>
      </c>
      <c r="E661" s="6" t="inlineStr">
        <is>
          <t>100.0</t>
        </is>
      </c>
      <c r="F661" s="7" t="n">
        <v>30</v>
      </c>
      <c r="G661" s="7" t="n">
        <v>0.3</v>
      </c>
      <c r="H661" s="7" t="n">
        <v>0</v>
      </c>
      <c r="I661" s="7" t="n">
        <v>-0.3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16729017201</t>
        </is>
      </c>
      <c r="D662" s="5" t="inlineStr">
        <is>
          <t xml:space="preserve">AMITRIPTYLINE 25MG TAB </t>
        </is>
      </c>
      <c r="E662" s="6" t="inlineStr">
        <is>
          <t>100.0</t>
        </is>
      </c>
      <c r="F662" s="7" t="n">
        <v>30</v>
      </c>
      <c r="G662" s="7" t="n">
        <v>0.3</v>
      </c>
      <c r="H662" s="7" t="n">
        <v>0</v>
      </c>
      <c r="I662" s="7" t="n">
        <v>-0.3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65862058501</t>
        </is>
      </c>
      <c r="D663" s="5" t="inlineStr">
        <is>
          <t>AMLODIPINE-BENAZEPRIL 5-40 MG CAPSULE</t>
        </is>
      </c>
      <c r="E663" s="6" t="inlineStr">
        <is>
          <t>100.0</t>
        </is>
      </c>
      <c r="F663" s="7" t="n">
        <v>90</v>
      </c>
      <c r="G663" s="7" t="n">
        <v>0.9</v>
      </c>
      <c r="H663" s="7" t="n">
        <v>0</v>
      </c>
      <c r="I663" s="7" t="n">
        <v>-0.9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57237002801</t>
        </is>
      </c>
      <c r="D665" s="5" t="inlineStr">
        <is>
          <t>AMOXICILLIN 500MG TABLET</t>
        </is>
      </c>
      <c r="E665" s="6" t="inlineStr">
        <is>
          <t>100.0</t>
        </is>
      </c>
      <c r="F665" s="7" t="n">
        <v>21</v>
      </c>
      <c r="G665" s="7" t="n">
        <v>0.21</v>
      </c>
      <c r="H665" s="7" t="n">
        <v>0</v>
      </c>
      <c r="I665" s="7" t="n">
        <v>-0.21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53746010901</t>
        </is>
      </c>
      <c r="D666" s="5" t="inlineStr">
        <is>
          <t>HYDROCODONE-ACETAMINOPHEN 5-325 MG ORAL TABLET</t>
        </is>
      </c>
      <c r="E666" s="6" t="inlineStr">
        <is>
          <t>100.0</t>
        </is>
      </c>
      <c r="F666" s="7" t="n">
        <v>32</v>
      </c>
      <c r="G666" s="7" t="n">
        <v>0.32</v>
      </c>
      <c r="H666" s="7" t="n">
        <v>0</v>
      </c>
      <c r="I666" s="7" t="n">
        <v>-0.32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31722008230</t>
        </is>
      </c>
      <c r="D668" s="5" t="inlineStr">
        <is>
          <t>LURASIDONE HCL 60 MG ORAL TABLET</t>
        </is>
      </c>
      <c r="E668" s="6" t="inlineStr">
        <is>
          <t>30.0</t>
        </is>
      </c>
      <c r="F668" s="7" t="n">
        <v>30</v>
      </c>
      <c r="G668" s="7" t="n">
        <v>1</v>
      </c>
      <c r="H668" s="7" t="n">
        <v>1</v>
      </c>
      <c r="I668" s="7" t="n">
        <v>0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68180097303</t>
        </is>
      </c>
      <c r="D669" s="5" t="inlineStr">
        <is>
          <t>LEVOTHYROXINE 150 MCG TABLET</t>
        </is>
      </c>
      <c r="E669" s="6" t="inlineStr">
        <is>
          <t>1000.0</t>
        </is>
      </c>
      <c r="F669" s="7" t="n">
        <v>40</v>
      </c>
      <c r="G669" s="7" t="n">
        <v>0.04</v>
      </c>
      <c r="H669" s="7" t="n">
        <v>0</v>
      </c>
      <c r="I669" s="7" t="n">
        <v>-0.04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67877043103</t>
        </is>
      </c>
      <c r="D670" s="5" t="inlineStr">
        <is>
          <t>ARIPIPRAZOLE 5MG TABLET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68180051303</t>
        </is>
      </c>
      <c r="D671" s="5" t="inlineStr">
        <is>
          <t>LISINOPRIL 5MG TABLET</t>
        </is>
      </c>
      <c r="E671" s="6" t="inlineStr">
        <is>
          <t>1000.0</t>
        </is>
      </c>
      <c r="F671" s="7" t="n">
        <v>450</v>
      </c>
      <c r="G671" s="7" t="n">
        <v>0.45</v>
      </c>
      <c r="H671" s="7" t="n">
        <v>0</v>
      </c>
      <c r="I671" s="7" t="n">
        <v>-0.45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70756002011</t>
        </is>
      </c>
      <c r="D672" s="5" t="inlineStr">
        <is>
          <t>CHLORTHALIDONE 50 MG TABLET</t>
        </is>
      </c>
      <c r="E672" s="6" t="inlineStr">
        <is>
          <t>100.0</t>
        </is>
      </c>
      <c r="F672" s="7" t="n">
        <v>30</v>
      </c>
      <c r="G672" s="7" t="n">
        <v>0.3</v>
      </c>
      <c r="H672" s="7" t="n">
        <v>0</v>
      </c>
      <c r="I672" s="7" t="n">
        <v>-0.3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60505014201</t>
        </is>
      </c>
      <c r="D673" s="5" t="inlineStr">
        <is>
          <t xml:space="preserve">GLIPIZIDE 10MG TAB </t>
        </is>
      </c>
      <c r="E673" s="6" t="inlineStr">
        <is>
          <t>1000.0</t>
        </is>
      </c>
      <c r="F673" s="7" t="n">
        <v>360</v>
      </c>
      <c r="G673" s="7" t="n">
        <v>0.36</v>
      </c>
      <c r="H673" s="7" t="n">
        <v>0</v>
      </c>
      <c r="I673" s="7" t="n">
        <v>-0.36</v>
      </c>
      <c r="J673" s="8" t="n">
        <v>12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68180051202</t>
        </is>
      </c>
      <c r="D674" s="5" t="inlineStr">
        <is>
          <t>LISINOPRIL 2.5MG TABLET</t>
        </is>
      </c>
      <c r="E674" s="6" t="inlineStr">
        <is>
          <t>500.0</t>
        </is>
      </c>
      <c r="F674" s="7" t="n">
        <v>90</v>
      </c>
      <c r="G674" s="7" t="n">
        <v>0.18</v>
      </c>
      <c r="H674" s="7" t="n">
        <v>0</v>
      </c>
      <c r="I674" s="7" t="n">
        <v>-0.18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68382007901</t>
        </is>
      </c>
      <c r="D675" s="5" t="inlineStr">
        <is>
          <t xml:space="preserve">HALOPERIDOL 5MG TAB </t>
        </is>
      </c>
      <c r="E675" s="6" t="inlineStr">
        <is>
          <t>100.0</t>
        </is>
      </c>
      <c r="F675" s="7" t="n">
        <v>60</v>
      </c>
      <c r="G675" s="7" t="n">
        <v>0.6</v>
      </c>
      <c r="H675" s="7" t="n">
        <v>0</v>
      </c>
      <c r="I675" s="7" t="n">
        <v>-0.6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00168001531</t>
        </is>
      </c>
      <c r="D676" s="5" t="inlineStr">
        <is>
          <t>HYDROCORTISONE 1% CREAM</t>
        </is>
      </c>
      <c r="E676" s="6" t="inlineStr">
        <is>
          <t>28.35</t>
        </is>
      </c>
      <c r="F676" s="7" t="n">
        <v>28.35</v>
      </c>
      <c r="G676" s="7" t="n">
        <v>1</v>
      </c>
      <c r="H676" s="7" t="n">
        <v>0</v>
      </c>
      <c r="I676" s="7" t="n">
        <v>-1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68382011214</t>
        </is>
      </c>
      <c r="D677" s="5" t="inlineStr">
        <is>
          <t>RISPERIDONE 0.25MG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00121087316</t>
        </is>
      </c>
      <c r="D678" s="5" t="inlineStr">
        <is>
          <t>LACTULOSE 10 GM/15ML ORAL SOLUTION</t>
        </is>
      </c>
      <c r="E678" s="6" t="inlineStr">
        <is>
          <t>473.0</t>
        </is>
      </c>
      <c r="F678" s="7" t="n">
        <v>473</v>
      </c>
      <c r="G678" s="7" t="n">
        <v>1</v>
      </c>
      <c r="H678" s="7" t="n">
        <v>0</v>
      </c>
      <c r="I678" s="7" t="n">
        <v>-1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70954000530</t>
        </is>
      </c>
      <c r="D679" s="5" t="inlineStr">
        <is>
          <t>OXYBUTYNIN CHLORIDE 5MG TABLET</t>
        </is>
      </c>
      <c r="E679" s="6" t="inlineStr">
        <is>
          <t>1000.0</t>
        </is>
      </c>
      <c r="F679" s="7" t="n">
        <v>30</v>
      </c>
      <c r="G679" s="7" t="n">
        <v>0.03</v>
      </c>
      <c r="H679" s="7" t="n">
        <v>0</v>
      </c>
      <c r="I679" s="7" t="n">
        <v>-0.03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64380078306</t>
        </is>
      </c>
      <c r="D680" s="5" t="inlineStr">
        <is>
          <t>PREDNISONE 5MG TABLET</t>
        </is>
      </c>
      <c r="E680" s="6" t="inlineStr">
        <is>
          <t>100.0</t>
        </is>
      </c>
      <c r="F680" s="7" t="n">
        <v>30</v>
      </c>
      <c r="G680" s="7" t="n">
        <v>0.3</v>
      </c>
      <c r="H680" s="7" t="n">
        <v>0</v>
      </c>
      <c r="I680" s="7" t="n">
        <v>-0.3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68462018801</t>
        </is>
      </c>
      <c r="D681" s="5" t="inlineStr">
        <is>
          <t>NAPROXEN 250MG TABLET</t>
        </is>
      </c>
      <c r="E681" s="6" t="inlineStr">
        <is>
          <t>100.0</t>
        </is>
      </c>
      <c r="F681" s="7" t="n">
        <v>20</v>
      </c>
      <c r="G681" s="7" t="n">
        <v>0.2</v>
      </c>
      <c r="H681" s="7" t="n">
        <v>0</v>
      </c>
      <c r="I681" s="7" t="n">
        <v>-0.2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70954044420</t>
        </is>
      </c>
      <c r="D682" s="5" t="inlineStr">
        <is>
          <t>MISOPROSTOL 200 MCG ORAL TABLET</t>
        </is>
      </c>
      <c r="E682" s="6" t="inlineStr">
        <is>
          <t>100.0</t>
        </is>
      </c>
      <c r="F682" s="7" t="n">
        <v>2</v>
      </c>
      <c r="G682" s="7" t="n">
        <v>0.02</v>
      </c>
      <c r="H682" s="7" t="n">
        <v>0</v>
      </c>
      <c r="I682" s="7" t="n">
        <v>-0.02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70010077001</t>
        </is>
      </c>
      <c r="D683" s="5" t="inlineStr">
        <is>
          <t>METHOCARBAMOL 750 MG ORAL TABLET</t>
        </is>
      </c>
      <c r="E683" s="6" t="inlineStr">
        <is>
          <t>100.0</t>
        </is>
      </c>
      <c r="F683" s="7" t="n">
        <v>28</v>
      </c>
      <c r="G683" s="7" t="n">
        <v>0.28</v>
      </c>
      <c r="H683" s="7" t="n">
        <v>0</v>
      </c>
      <c r="I683" s="7" t="n">
        <v>-0.28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62756035664</t>
        </is>
      </c>
      <c r="D684" s="5" t="inlineStr">
        <is>
          <t xml:space="preserve">ONDANSETRON ODT 8MG TAB </t>
        </is>
      </c>
      <c r="E684" s="6" t="inlineStr">
        <is>
          <t>30.0</t>
        </is>
      </c>
      <c r="F684" s="7" t="n">
        <v>30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31722013130</t>
        </is>
      </c>
      <c r="D685" s="5" t="inlineStr">
        <is>
          <t xml:space="preserve">DUTASTERIDE 0.5MG CAP </t>
        </is>
      </c>
      <c r="E685" s="6" t="inlineStr">
        <is>
          <t>30.0</t>
        </is>
      </c>
      <c r="F685" s="7" t="n">
        <v>90</v>
      </c>
      <c r="G685" s="7" t="n">
        <v>3</v>
      </c>
      <c r="H685" s="7" t="n">
        <v>0</v>
      </c>
      <c r="I685" s="7" t="n">
        <v>-3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43547027611</t>
        </is>
      </c>
      <c r="D686" s="5" t="inlineStr">
        <is>
          <t xml:space="preserve">DONEPEZIL 10MG TAB </t>
        </is>
      </c>
      <c r="E686" s="6" t="inlineStr">
        <is>
          <t>1000.0</t>
        </is>
      </c>
      <c r="F686" s="7" t="n">
        <v>360</v>
      </c>
      <c r="G686" s="7" t="n">
        <v>0.36</v>
      </c>
      <c r="H686" s="7" t="n">
        <v>1</v>
      </c>
      <c r="I686" s="7" t="n">
        <v>0.64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65862019399</t>
        </is>
      </c>
      <c r="D687" s="5" t="inlineStr">
        <is>
          <t>FLUOXETINE 20MG CAPSULE</t>
        </is>
      </c>
      <c r="E687" s="6" t="inlineStr">
        <is>
          <t>1000.0</t>
        </is>
      </c>
      <c r="F687" s="7" t="n">
        <v>30</v>
      </c>
      <c r="G687" s="7" t="n">
        <v>0.03</v>
      </c>
      <c r="H687" s="7" t="n">
        <v>0</v>
      </c>
      <c r="I687" s="7" t="n">
        <v>-0.03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23155083310</t>
        </is>
      </c>
      <c r="D688" s="5" t="inlineStr">
        <is>
          <t>HYDRALAZINE HCL 25 MG TABLET</t>
        </is>
      </c>
      <c r="E688" s="6" t="inlineStr">
        <is>
          <t>1000.0</t>
        </is>
      </c>
      <c r="F688" s="7" t="n">
        <v>450</v>
      </c>
      <c r="G688" s="7" t="n">
        <v>0.45</v>
      </c>
      <c r="H688" s="7" t="n">
        <v>2</v>
      </c>
      <c r="I688" s="7" t="n">
        <v>1.55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43975027810</t>
        </is>
      </c>
      <c r="D689" s="5" t="inlineStr">
        <is>
          <t>AMPHETAMINE-DEXTROAMPHET ER 10 MG ORAL CAPSULE EXTENDED RELEASE 24 HOUR</t>
        </is>
      </c>
      <c r="E689" s="6" t="inlineStr">
        <is>
          <t>100.0</t>
        </is>
      </c>
      <c r="F689" s="7" t="n">
        <v>15</v>
      </c>
      <c r="G689" s="7" t="n">
        <v>0.15</v>
      </c>
      <c r="H689" s="7" t="n">
        <v>0</v>
      </c>
      <c r="I689" s="7" t="n">
        <v>-0.15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23155050005</t>
        </is>
      </c>
      <c r="D690" s="5" t="inlineStr">
        <is>
          <t xml:space="preserve">HYDROXYZINE HCL 10MG TAB </t>
        </is>
      </c>
      <c r="E690" s="6" t="inlineStr">
        <is>
          <t>500.0</t>
        </is>
      </c>
      <c r="F690" s="7" t="n">
        <v>30</v>
      </c>
      <c r="G690" s="7" t="n">
        <v>0.06</v>
      </c>
      <c r="H690" s="7" t="n">
        <v>0</v>
      </c>
      <c r="I690" s="7" t="n">
        <v>-0.06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31722053612</t>
        </is>
      </c>
      <c r="D691" s="5" t="inlineStr">
        <is>
          <t>LEVETIRACETAM 250 MG TABLET</t>
        </is>
      </c>
      <c r="E691" s="6" t="inlineStr">
        <is>
          <t>120.0</t>
        </is>
      </c>
      <c r="F691" s="7" t="n">
        <v>30</v>
      </c>
      <c r="G691" s="7" t="n">
        <v>0.25</v>
      </c>
      <c r="H691" s="7" t="n">
        <v>0</v>
      </c>
      <c r="I691" s="7" t="n">
        <v>-0.25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68382011414</t>
        </is>
      </c>
      <c r="D692" s="5" t="inlineStr">
        <is>
          <t>RISPERIDONE 1MG TABLET</t>
        </is>
      </c>
      <c r="E692" s="6" t="inlineStr">
        <is>
          <t>60.0</t>
        </is>
      </c>
      <c r="F692" s="7" t="n">
        <v>30</v>
      </c>
      <c r="G692" s="7" t="n">
        <v>0.5</v>
      </c>
      <c r="H692" s="7" t="n">
        <v>0</v>
      </c>
      <c r="I692" s="7" t="n">
        <v>-0.5</v>
      </c>
      <c r="J692" s="8" t="n">
        <v>11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50742026003</t>
        </is>
      </c>
      <c r="D693" s="5" t="inlineStr">
        <is>
          <t>NIFEDIPINE 30MG TABLET ER</t>
        </is>
      </c>
      <c r="E693" s="6" t="inlineStr">
        <is>
          <t>300.0</t>
        </is>
      </c>
      <c r="F693" s="7" t="n">
        <v>120</v>
      </c>
      <c r="G693" s="7" t="n">
        <v>0.4</v>
      </c>
      <c r="H693" s="7" t="n">
        <v>0</v>
      </c>
      <c r="I693" s="7" t="n">
        <v>-0.4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70756044011</t>
        </is>
      </c>
      <c r="D694" s="5" t="inlineStr">
        <is>
          <t>PRAZOSIN HCL 5 MG ORAL CAPSULE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23155060601</t>
        </is>
      </c>
      <c r="D695" s="5" t="inlineStr">
        <is>
          <t>GLYCOPYRROLATE 1MG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10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42192060716</t>
        </is>
      </c>
      <c r="D696" s="5" t="inlineStr">
        <is>
          <t>PSEUDOEPH-BROMPHEN-DM 30-2-10 MG/5ML ORAL SYRUP</t>
        </is>
      </c>
      <c r="E696" s="6" t="inlineStr">
        <is>
          <t>473.0</t>
        </is>
      </c>
      <c r="F696" s="7" t="n">
        <v>200</v>
      </c>
      <c r="G696" s="7" t="n">
        <v>0.4228329809725159</v>
      </c>
      <c r="H696" s="7" t="n">
        <v>0</v>
      </c>
      <c r="I696" s="7" t="n">
        <v>-0.4228329809725159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42806036201</t>
        </is>
      </c>
      <c r="D697" s="5" t="inlineStr">
        <is>
          <t>DOXYCYCLINE HYCLATE 20 MG ORAL TABLET</t>
        </is>
      </c>
      <c r="E697" s="6" t="inlineStr">
        <is>
          <t>100.0</t>
        </is>
      </c>
      <c r="F697" s="7" t="n">
        <v>60</v>
      </c>
      <c r="G697" s="7" t="n">
        <v>0.6</v>
      </c>
      <c r="H697" s="7" t="n">
        <v>0</v>
      </c>
      <c r="I697" s="7" t="n">
        <v>-0.6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62332008531</t>
        </is>
      </c>
      <c r="D698" s="5" t="inlineStr">
        <is>
          <t>FENOFIBRATE MICRONIZED 134MG CAPSULE</t>
        </is>
      </c>
      <c r="E698" s="6" t="inlineStr">
        <is>
          <t>100.0</t>
        </is>
      </c>
      <c r="F698" s="7" t="n">
        <v>90</v>
      </c>
      <c r="G698" s="7" t="n">
        <v>0.9</v>
      </c>
      <c r="H698" s="7" t="n">
        <v>3</v>
      </c>
      <c r="I698" s="7" t="n">
        <v>2.1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50111045002</t>
        </is>
      </c>
      <c r="D700" s="5" t="inlineStr">
        <is>
          <t>TRAZODONE 150MG TABLET</t>
        </is>
      </c>
      <c r="E700" s="6" t="inlineStr">
        <is>
          <t>500.0</t>
        </is>
      </c>
      <c r="F700" s="7" t="n">
        <v>90</v>
      </c>
      <c r="G700" s="7" t="n">
        <v>0.18</v>
      </c>
      <c r="H700" s="7" t="n">
        <v>0</v>
      </c>
      <c r="I700" s="7" t="n">
        <v>-0.18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68180098202</t>
        </is>
      </c>
      <c r="D701" s="5" t="inlineStr">
        <is>
          <t>LISINOPRIL 30MG TABLET</t>
        </is>
      </c>
      <c r="E701" s="6" t="inlineStr">
        <is>
          <t>500.0</t>
        </is>
      </c>
      <c r="F701" s="7" t="n">
        <v>90</v>
      </c>
      <c r="G701" s="7" t="n">
        <v>0.18</v>
      </c>
      <c r="H701" s="7" t="n">
        <v>0</v>
      </c>
      <c r="I701" s="7" t="n">
        <v>-0.18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69238201702</t>
        </is>
      </c>
      <c r="D702" s="5" t="inlineStr">
        <is>
          <t>IPRATROPIUM BROMIDE 0.06 % NASAL SOLUTION</t>
        </is>
      </c>
      <c r="E702" s="6" t="inlineStr">
        <is>
          <t>15.0</t>
        </is>
      </c>
      <c r="F702" s="7" t="n">
        <v>15</v>
      </c>
      <c r="G702" s="7" t="n">
        <v>1</v>
      </c>
      <c r="H702" s="7" t="n">
        <v>0</v>
      </c>
      <c r="I702" s="7" t="n">
        <v>-1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23155007001</t>
        </is>
      </c>
      <c r="D703" s="5" t="inlineStr">
        <is>
          <t xml:space="preserve">METHIMAZOLE 5MG TABLE </t>
        </is>
      </c>
      <c r="E703" s="6" t="inlineStr">
        <is>
          <t>100.0</t>
        </is>
      </c>
      <c r="F703" s="7" t="n">
        <v>90</v>
      </c>
      <c r="G703" s="7" t="n">
        <v>0.9</v>
      </c>
      <c r="H703" s="7" t="n">
        <v>2</v>
      </c>
      <c r="I703" s="7" t="n">
        <v>1.1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51672126403</t>
        </is>
      </c>
      <c r="D704" s="5" t="inlineStr">
        <is>
          <t>FLUOCINONIDE 0.05 % EXTERNAL OINTMENT</t>
        </is>
      </c>
      <c r="E704" s="6" t="inlineStr">
        <is>
          <t>60.0</t>
        </is>
      </c>
      <c r="F704" s="7" t="n">
        <v>60</v>
      </c>
      <c r="G704" s="7" t="n">
        <v>1</v>
      </c>
      <c r="H704" s="7" t="n">
        <v>0</v>
      </c>
      <c r="I704" s="7" t="n">
        <v>-1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62559041701</t>
        </is>
      </c>
      <c r="D705" s="5" t="inlineStr">
        <is>
          <t>BENAZEPRIL-HYDROCHLOROTHIAZIDE 20-25 MG TABLET</t>
        </is>
      </c>
      <c r="E705" s="6" t="inlineStr">
        <is>
          <t>100.0</t>
        </is>
      </c>
      <c r="F705" s="7" t="n">
        <v>30</v>
      </c>
      <c r="G705" s="7" t="n">
        <v>0.3</v>
      </c>
      <c r="H705" s="7" t="n">
        <v>2</v>
      </c>
      <c r="I705" s="7" t="n">
        <v>1.7</v>
      </c>
      <c r="J705" s="8" t="n">
        <v>9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70010075401</t>
        </is>
      </c>
      <c r="D706" s="5" t="inlineStr">
        <is>
          <t xml:space="preserve">METHOCARBAMOL 500MG TAB </t>
        </is>
      </c>
      <c r="E706" s="6" t="inlineStr">
        <is>
          <t>100.0</t>
        </is>
      </c>
      <c r="F706" s="7" t="n">
        <v>90</v>
      </c>
      <c r="G706" s="7" t="n">
        <v>0.9</v>
      </c>
      <c r="H706" s="7" t="n">
        <v>0</v>
      </c>
      <c r="I706" s="7" t="n">
        <v>-0.9</v>
      </c>
      <c r="J706" s="8" t="n">
        <v>9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70752013005</t>
        </is>
      </c>
      <c r="D707" s="5" t="inlineStr">
        <is>
          <t>TRIAMCINOLONE ACETONIDE 0.1 % EXTERNAL LOTION</t>
        </is>
      </c>
      <c r="E707" s="6" t="inlineStr">
        <is>
          <t>60.0</t>
        </is>
      </c>
      <c r="F707" s="7" t="n">
        <v>60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00168035730</t>
        </is>
      </c>
      <c r="D708" s="5" t="inlineStr">
        <is>
          <t>LIDOCAINE-PRILOCAINE 2.5-2.5 % EXTERNAL CREAM</t>
        </is>
      </c>
      <c r="E708" s="6" t="inlineStr">
        <is>
          <t>30.0</t>
        </is>
      </c>
      <c r="F708" s="7" t="n">
        <v>30</v>
      </c>
      <c r="G708" s="7" t="n">
        <v>1</v>
      </c>
      <c r="H708" s="7" t="n">
        <v>0</v>
      </c>
      <c r="I708" s="7" t="n">
        <v>-1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23155077210</t>
        </is>
      </c>
      <c r="D709" s="5" t="inlineStr">
        <is>
          <t>ENALAPRIL 10MG TABLET</t>
        </is>
      </c>
      <c r="E709" s="6" t="inlineStr">
        <is>
          <t>1000.0</t>
        </is>
      </c>
      <c r="F709" s="7" t="n">
        <v>90</v>
      </c>
      <c r="G709" s="7" t="n">
        <v>0.09</v>
      </c>
      <c r="H709" s="7" t="n">
        <v>0</v>
      </c>
      <c r="I709" s="7" t="n">
        <v>-0.09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50742025290</t>
        </is>
      </c>
      <c r="D710" s="5" t="inlineStr">
        <is>
          <t>DILTIAZEM 360MG CAPSULE ER</t>
        </is>
      </c>
      <c r="E710" s="6" t="inlineStr">
        <is>
          <t>90.0</t>
        </is>
      </c>
      <c r="F710" s="7" t="n">
        <v>30</v>
      </c>
      <c r="G710" s="7" t="n">
        <v>0.3333333333333333</v>
      </c>
      <c r="H710" s="7" t="n">
        <v>0</v>
      </c>
      <c r="I710" s="7" t="n">
        <v>-0.3333333333333333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23155053006</t>
        </is>
      </c>
      <c r="D711" s="5" t="inlineStr">
        <is>
          <t>TROSPIUM CHLORIDE 20 MG TABLET</t>
        </is>
      </c>
      <c r="E711" s="6" t="inlineStr">
        <is>
          <t>60.0</t>
        </is>
      </c>
      <c r="F711" s="7" t="n">
        <v>20</v>
      </c>
      <c r="G711" s="7" t="n">
        <v>0.3333333333333333</v>
      </c>
      <c r="H711" s="7" t="n">
        <v>0</v>
      </c>
      <c r="I711" s="7" t="n">
        <v>-0.3333333333333333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64980032005</t>
        </is>
      </c>
      <c r="D712" s="5" t="inlineStr">
        <is>
          <t>TRIAMCINOLONE ACETONIDE 0.1 % MOUTH/THROAT PASTE</t>
        </is>
      </c>
      <c r="E712" s="6" t="inlineStr">
        <is>
          <t>5.0</t>
        </is>
      </c>
      <c r="F712" s="7" t="n">
        <v>5</v>
      </c>
      <c r="G712" s="7" t="n">
        <v>1</v>
      </c>
      <c r="H712" s="7" t="n">
        <v>0</v>
      </c>
      <c r="I712" s="7" t="n">
        <v>-1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69097082312</t>
        </is>
      </c>
      <c r="D713" s="5" t="inlineStr">
        <is>
          <t>CITALOPRAM 20MG TABLET</t>
        </is>
      </c>
      <c r="E713" s="6" t="inlineStr">
        <is>
          <t>500.0</t>
        </is>
      </c>
      <c r="F713" s="7" t="n">
        <v>120</v>
      </c>
      <c r="G713" s="7" t="n">
        <v>0.24</v>
      </c>
      <c r="H713" s="7" t="n">
        <v>0</v>
      </c>
      <c r="I713" s="7" t="n">
        <v>-0.24</v>
      </c>
      <c r="J713" s="8" t="n">
        <v>8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16729048516</t>
        </is>
      </c>
      <c r="D714" s="5" t="inlineStr">
        <is>
          <t>HYDROXYCHLOROQUINE 200MG TABLET</t>
        </is>
      </c>
      <c r="E714" s="6" t="inlineStr">
        <is>
          <t>500.0</t>
        </is>
      </c>
      <c r="F714" s="7" t="n">
        <v>30</v>
      </c>
      <c r="G714" s="7" t="n">
        <v>0.06</v>
      </c>
      <c r="H714" s="7" t="n">
        <v>0</v>
      </c>
      <c r="I714" s="7" t="n">
        <v>-0.06</v>
      </c>
      <c r="J714" s="8" t="n">
        <v>8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10702002501</t>
        </is>
      </c>
      <c r="D715" s="5" t="inlineStr">
        <is>
          <t>PHENTERMINE 37.5MG TABLET</t>
        </is>
      </c>
      <c r="E715" s="6" t="inlineStr">
        <is>
          <t>100.0</t>
        </is>
      </c>
      <c r="F715" s="7" t="n">
        <v>30</v>
      </c>
      <c r="G715" s="7" t="n">
        <v>0.3</v>
      </c>
      <c r="H715" s="7" t="n">
        <v>0</v>
      </c>
      <c r="I715" s="7" t="n">
        <v>-0.3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69097082212</t>
        </is>
      </c>
      <c r="D716" s="5" t="inlineStr">
        <is>
          <t>CITALOPRAM 10MG TABLET</t>
        </is>
      </c>
      <c r="E716" s="6" t="inlineStr">
        <is>
          <t>500.0</t>
        </is>
      </c>
      <c r="F716" s="7" t="n">
        <v>270</v>
      </c>
      <c r="G716" s="7" t="n">
        <v>0.54</v>
      </c>
      <c r="H716" s="7" t="n">
        <v>0</v>
      </c>
      <c r="I716" s="7" t="n">
        <v>-0.54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70010006410</t>
        </is>
      </c>
      <c r="D717" s="5" t="inlineStr">
        <is>
          <t>METFORMIN 850 MG TABLET</t>
        </is>
      </c>
      <c r="E717" s="6" t="inlineStr">
        <is>
          <t>1000.0</t>
        </is>
      </c>
      <c r="F717" s="7" t="n">
        <v>360</v>
      </c>
      <c r="G717" s="7" t="n">
        <v>0.36</v>
      </c>
      <c r="H717" s="7" t="n">
        <v>0</v>
      </c>
      <c r="I717" s="7" t="n">
        <v>-0.36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31722055190</t>
        </is>
      </c>
      <c r="D718" s="5" t="inlineStr">
        <is>
          <t>LEVOCETIRIZINE 5MG TABLET</t>
        </is>
      </c>
      <c r="E718" s="6" t="inlineStr">
        <is>
          <t>90.0</t>
        </is>
      </c>
      <c r="F718" s="7" t="n">
        <v>120</v>
      </c>
      <c r="G718" s="7" t="n">
        <v>1.333333333333333</v>
      </c>
      <c r="H718" s="7" t="n">
        <v>0</v>
      </c>
      <c r="I718" s="7" t="n">
        <v>-1.333333333333333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23155007101</t>
        </is>
      </c>
      <c r="D719" s="5" t="inlineStr">
        <is>
          <t xml:space="preserve">METHIMAZOLE 10MG TAB </t>
        </is>
      </c>
      <c r="E719" s="6" t="inlineStr">
        <is>
          <t>100.0</t>
        </is>
      </c>
      <c r="F719" s="7" t="n">
        <v>90</v>
      </c>
      <c r="G719" s="7" t="n">
        <v>0.9</v>
      </c>
      <c r="H719" s="7" t="n">
        <v>0</v>
      </c>
      <c r="I719" s="7" t="n">
        <v>-0.9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59651015201</t>
        </is>
      </c>
      <c r="D721" s="5" t="inlineStr">
        <is>
          <t>PROGESTERONE 100 MG CAPSULE</t>
        </is>
      </c>
      <c r="E721" s="6" t="inlineStr">
        <is>
          <t>100.0</t>
        </is>
      </c>
      <c r="F721" s="7" t="n">
        <v>30</v>
      </c>
      <c r="G721" s="7" t="n">
        <v>0.3</v>
      </c>
      <c r="H721" s="7" t="n">
        <v>0</v>
      </c>
      <c r="I721" s="7" t="n">
        <v>-0.3</v>
      </c>
      <c r="J721" s="8" t="n">
        <v>7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68462043790</t>
        </is>
      </c>
      <c r="D722" s="5" t="inlineStr">
        <is>
          <t>OLMESARTAN 20MG TABLET</t>
        </is>
      </c>
      <c r="E722" s="6" t="inlineStr">
        <is>
          <t>90.0</t>
        </is>
      </c>
      <c r="F722" s="7" t="n">
        <v>90</v>
      </c>
      <c r="G722" s="7" t="n">
        <v>1</v>
      </c>
      <c r="H722" s="7" t="n">
        <v>0</v>
      </c>
      <c r="I722" s="7" t="n">
        <v>-1</v>
      </c>
      <c r="J722" s="8" t="n">
        <v>7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68180045901</t>
        </is>
      </c>
      <c r="D723" s="5" t="inlineStr">
        <is>
          <t>AMLODIPINE-BENAZEPRIL 5-20MG CAPSULE</t>
        </is>
      </c>
      <c r="E723" s="6" t="inlineStr">
        <is>
          <t>100.0</t>
        </is>
      </c>
      <c r="F723" s="7" t="n">
        <v>30</v>
      </c>
      <c r="G723" s="7" t="n">
        <v>0.3</v>
      </c>
      <c r="H723" s="7" t="n">
        <v>0</v>
      </c>
      <c r="I723" s="7" t="n">
        <v>-0.3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59651054005</t>
        </is>
      </c>
      <c r="D724" s="5" t="inlineStr">
        <is>
          <t>ISOSORBIDE MONONITRATE ER 60 MG ORAL TABLET EXTENDED RELEASE 24 HOUR</t>
        </is>
      </c>
      <c r="E724" s="6" t="inlineStr">
        <is>
          <t>500.0</t>
        </is>
      </c>
      <c r="F724" s="7" t="n">
        <v>60</v>
      </c>
      <c r="G724" s="7" t="n">
        <v>0.12</v>
      </c>
      <c r="H724" s="7" t="n">
        <v>0</v>
      </c>
      <c r="I724" s="7" t="n">
        <v>-0.12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42806035830</t>
        </is>
      </c>
      <c r="D725" s="5" t="inlineStr">
        <is>
          <t>LEUCOVORIN CALCIUM 5 MG ORAL TABLET</t>
        </is>
      </c>
      <c r="E725" s="6" t="inlineStr">
        <is>
          <t>30.0</t>
        </is>
      </c>
      <c r="F725" s="7" t="n">
        <v>24</v>
      </c>
      <c r="G725" s="7" t="n">
        <v>0.8</v>
      </c>
      <c r="H725" s="7" t="n">
        <v>0</v>
      </c>
      <c r="I725" s="7" t="n">
        <v>-0.8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70377005512</t>
        </is>
      </c>
      <c r="D726" s="5" t="inlineStr">
        <is>
          <t>ESOMEPRAZOLE 20MG CAPSULE DR</t>
        </is>
      </c>
      <c r="E726" s="6" t="inlineStr">
        <is>
          <t>90.0</t>
        </is>
      </c>
      <c r="F726" s="7" t="n">
        <v>30</v>
      </c>
      <c r="G726" s="7" t="n">
        <v>0.3333333333333333</v>
      </c>
      <c r="H726" s="7" t="n">
        <v>0</v>
      </c>
      <c r="I726" s="7" t="n">
        <v>-0.3333333333333333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55111073005</t>
        </is>
      </c>
      <c r="D727" s="5" t="inlineStr">
        <is>
          <t>ALLOPURINOL 300 MG TABLET</t>
        </is>
      </c>
      <c r="E727" s="6" t="inlineStr">
        <is>
          <t>500.0</t>
        </is>
      </c>
      <c r="F727" s="7" t="n">
        <v>90</v>
      </c>
      <c r="G727" s="7" t="n">
        <v>0.18</v>
      </c>
      <c r="H727" s="7" t="n">
        <v>0</v>
      </c>
      <c r="I727" s="7" t="n">
        <v>-0.18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72888007301</t>
        </is>
      </c>
      <c r="D728" s="5" t="inlineStr">
        <is>
          <t>DICLOFENAC POTASSIUM 50MG TABLET</t>
        </is>
      </c>
      <c r="E728" s="6" t="inlineStr">
        <is>
          <t>100.0</t>
        </is>
      </c>
      <c r="F728" s="7" t="n">
        <v>30</v>
      </c>
      <c r="G728" s="7" t="n">
        <v>0.3</v>
      </c>
      <c r="H728" s="7" t="n">
        <v>0</v>
      </c>
      <c r="I728" s="7" t="n">
        <v>-0.3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13668010410</t>
        </is>
      </c>
      <c r="D729" s="5" t="inlineStr">
        <is>
          <t xml:space="preserve">ISOSORBIDE MONONITRATE ER 30MG TAB </t>
        </is>
      </c>
      <c r="E729" s="6" t="inlineStr">
        <is>
          <t>1000.0</t>
        </is>
      </c>
      <c r="F729" s="7" t="n">
        <v>90</v>
      </c>
      <c r="G729" s="7" t="n">
        <v>0.09</v>
      </c>
      <c r="H729" s="7" t="n">
        <v>0</v>
      </c>
      <c r="I729" s="7" t="n">
        <v>-0.09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59746017306</t>
        </is>
      </c>
      <c r="D730" s="5" t="inlineStr">
        <is>
          <t>PREDNISONE 10MG TABLET</t>
        </is>
      </c>
      <c r="E730" s="6" t="inlineStr">
        <is>
          <t>100.0</t>
        </is>
      </c>
      <c r="F730" s="7" t="n">
        <v>41</v>
      </c>
      <c r="G730" s="7" t="n">
        <v>0.41</v>
      </c>
      <c r="H730" s="7" t="n">
        <v>0</v>
      </c>
      <c r="I730" s="7" t="n">
        <v>-0.41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68462043630</t>
        </is>
      </c>
      <c r="D731" s="5" t="inlineStr">
        <is>
          <t>OLMESARTAN 5MG TABLET</t>
        </is>
      </c>
      <c r="E731" s="6" t="inlineStr">
        <is>
          <t>30.0</t>
        </is>
      </c>
      <c r="F731" s="7" t="n">
        <v>90</v>
      </c>
      <c r="G731" s="7" t="n">
        <v>3</v>
      </c>
      <c r="H731" s="7" t="n">
        <v>0</v>
      </c>
      <c r="I731" s="7" t="n">
        <v>-3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60505010104</t>
        </is>
      </c>
      <c r="D732" s="5" t="inlineStr">
        <is>
          <t>PAROXETINE 40MG TABLET</t>
        </is>
      </c>
      <c r="E732" s="6" t="inlineStr">
        <is>
          <t>1000.0</t>
        </is>
      </c>
      <c r="F732" s="7" t="n">
        <v>90</v>
      </c>
      <c r="G732" s="7" t="n">
        <v>0.09</v>
      </c>
      <c r="H732" s="7" t="n">
        <v>0</v>
      </c>
      <c r="I732" s="7" t="n">
        <v>-0.09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55111016730</t>
        </is>
      </c>
      <c r="D733" s="5" t="inlineStr">
        <is>
          <t>OLANZAPINE 15MG TABLET</t>
        </is>
      </c>
      <c r="E733" s="6" t="inlineStr">
        <is>
          <t>30.0</t>
        </is>
      </c>
      <c r="F733" s="7" t="n">
        <v>60</v>
      </c>
      <c r="G733" s="7" t="n">
        <v>2</v>
      </c>
      <c r="H733" s="7" t="n">
        <v>0</v>
      </c>
      <c r="I733" s="7" t="n">
        <v>-2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31722053001</t>
        </is>
      </c>
      <c r="D734" s="5" t="inlineStr">
        <is>
          <t>TORSEMIDE 10MG TABLET</t>
        </is>
      </c>
      <c r="E734" s="6" t="inlineStr">
        <is>
          <t>100.0</t>
        </is>
      </c>
      <c r="F734" s="7" t="n">
        <v>60</v>
      </c>
      <c r="G734" s="7" t="n">
        <v>0.6</v>
      </c>
      <c r="H734" s="7" t="n">
        <v>0</v>
      </c>
      <c r="I734" s="7" t="n">
        <v>-0.6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16729000301</t>
        </is>
      </c>
      <c r="D735" s="5" t="inlineStr">
        <is>
          <t xml:space="preserve">GLIMEPIRIDE 4MG TAB </t>
        </is>
      </c>
      <c r="E735" s="6" t="inlineStr">
        <is>
          <t>100.0</t>
        </is>
      </c>
      <c r="F735" s="7" t="n">
        <v>90</v>
      </c>
      <c r="G735" s="7" t="n">
        <v>0.9</v>
      </c>
      <c r="H735" s="7" t="n">
        <v>0</v>
      </c>
      <c r="I735" s="7" t="n">
        <v>-0.9</v>
      </c>
      <c r="J735" s="8" t="n">
        <v>6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68462074635</t>
        </is>
      </c>
      <c r="D736" s="5" t="inlineStr">
        <is>
          <t>ACYCLOVIR 5 % EXTERNAL OINTMENT</t>
        </is>
      </c>
      <c r="E736" s="6" t="inlineStr">
        <is>
          <t>30.0</t>
        </is>
      </c>
      <c r="F736" s="7" t="n">
        <v>30</v>
      </c>
      <c r="G736" s="7" t="n">
        <v>1</v>
      </c>
      <c r="H736" s="7" t="n">
        <v>0</v>
      </c>
      <c r="I736" s="7" t="n">
        <v>-1</v>
      </c>
      <c r="J736" s="8" t="n">
        <v>6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72888001205</t>
        </is>
      </c>
      <c r="D737" s="5" t="inlineStr">
        <is>
          <t>CYCLOBENZAPRINE 5MG TABLET</t>
        </is>
      </c>
      <c r="E737" s="6" t="inlineStr">
        <is>
          <t>500.0</t>
        </is>
      </c>
      <c r="F737" s="7" t="n">
        <v>247</v>
      </c>
      <c r="G737" s="7" t="n">
        <v>0.494</v>
      </c>
      <c r="H737" s="7" t="n">
        <v>0</v>
      </c>
      <c r="I737" s="7" t="n">
        <v>-0.494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68180051902</t>
        </is>
      </c>
      <c r="D738" s="5" t="inlineStr">
        <is>
          <t xml:space="preserve">LISINOPRIL-HCTZ 20-12.5MG TAB </t>
        </is>
      </c>
      <c r="E738" s="6" t="inlineStr">
        <is>
          <t>500.0</t>
        </is>
      </c>
      <c r="F738" s="7" t="n">
        <v>210</v>
      </c>
      <c r="G738" s="7" t="n">
        <v>0.42</v>
      </c>
      <c r="H738" s="7" t="n">
        <v>0</v>
      </c>
      <c r="I738" s="7" t="n">
        <v>-0.42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65862016899</t>
        </is>
      </c>
      <c r="D739" s="5" t="inlineStr">
        <is>
          <t>ATENOLOL 25MG TABLET</t>
        </is>
      </c>
      <c r="E739" s="6" t="inlineStr">
        <is>
          <t>1000.0</t>
        </is>
      </c>
      <c r="F739" s="7" t="n">
        <v>180</v>
      </c>
      <c r="G739" s="7" t="n">
        <v>0.18</v>
      </c>
      <c r="H739" s="7" t="n">
        <v>0</v>
      </c>
      <c r="I739" s="7" t="n">
        <v>-0.18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61314063006</t>
        </is>
      </c>
      <c r="D740" s="5" t="inlineStr">
        <is>
          <t>NEOMYCIN-POLY-DEX OPTH SUSPENSION (EYE)</t>
        </is>
      </c>
      <c r="E740" s="6" t="inlineStr">
        <is>
          <t>5.0</t>
        </is>
      </c>
      <c r="F740" s="7" t="n">
        <v>5</v>
      </c>
      <c r="G740" s="7" t="n">
        <v>1</v>
      </c>
      <c r="H740" s="7" t="n">
        <v>3</v>
      </c>
      <c r="I740" s="7" t="n">
        <v>2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13668009690</t>
        </is>
      </c>
      <c r="D742" s="5" t="inlineStr">
        <is>
          <t xml:space="preserve">PANTOPRAZOLE 20MG TAB </t>
        </is>
      </c>
      <c r="E742" s="6" t="inlineStr">
        <is>
          <t>90.0</t>
        </is>
      </c>
      <c r="F742" s="7" t="n">
        <v>90</v>
      </c>
      <c r="G742" s="7" t="n">
        <v>1</v>
      </c>
      <c r="H742" s="7" t="n">
        <v>0</v>
      </c>
      <c r="I742" s="7" t="n">
        <v>-1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59651015301</t>
        </is>
      </c>
      <c r="D743" s="5" t="inlineStr">
        <is>
          <t>PROGESTERONE 200 MG ORAL CAPSULE</t>
        </is>
      </c>
      <c r="E743" s="6" t="inlineStr">
        <is>
          <t>100.0</t>
        </is>
      </c>
      <c r="F743" s="7" t="n">
        <v>12</v>
      </c>
      <c r="G743" s="7" t="n">
        <v>0.12</v>
      </c>
      <c r="H743" s="7" t="n">
        <v>0</v>
      </c>
      <c r="I743" s="7" t="n">
        <v>-0.12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64980034001</t>
        </is>
      </c>
      <c r="D744" s="5" t="inlineStr">
        <is>
          <t>ALENDRONATE SODIUM 10 MG ORAL TABLET</t>
        </is>
      </c>
      <c r="E744" s="6" t="inlineStr">
        <is>
          <t>100.0</t>
        </is>
      </c>
      <c r="F744" s="7" t="n">
        <v>28</v>
      </c>
      <c r="G744" s="7" t="n">
        <v>0.28</v>
      </c>
      <c r="H744" s="7" t="n">
        <v>0</v>
      </c>
      <c r="I744" s="7" t="n">
        <v>-0.28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70436005801</t>
        </is>
      </c>
      <c r="D745" s="5" t="inlineStr">
        <is>
          <t>BUPROPION HCL ER (SR) 100MG TABLET</t>
        </is>
      </c>
      <c r="E745" s="6" t="inlineStr">
        <is>
          <t>100.0</t>
        </is>
      </c>
      <c r="F745" s="7" t="n">
        <v>30</v>
      </c>
      <c r="G745" s="7" t="n">
        <v>0.3</v>
      </c>
      <c r="H745" s="7" t="n">
        <v>0</v>
      </c>
      <c r="I745" s="7" t="n">
        <v>-0.3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65862070020</t>
        </is>
      </c>
      <c r="D746" s="5" t="inlineStr">
        <is>
          <t>CEFUROXIME AXETIL 500MG TABLET</t>
        </is>
      </c>
      <c r="E746" s="6" t="inlineStr">
        <is>
          <t>20.0</t>
        </is>
      </c>
      <c r="F746" s="7" t="n">
        <v>17</v>
      </c>
      <c r="G746" s="7" t="n">
        <v>0.85</v>
      </c>
      <c r="H746" s="7" t="n">
        <v>0</v>
      </c>
      <c r="I746" s="7" t="n">
        <v>-0.85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68180096803</t>
        </is>
      </c>
      <c r="D747" s="5" t="inlineStr">
        <is>
          <t>LEVOTHYROXINE 88MCG TABLET</t>
        </is>
      </c>
      <c r="E747" s="6" t="inlineStr">
        <is>
          <t>1000.0</t>
        </is>
      </c>
      <c r="F747" s="7" t="n">
        <v>60</v>
      </c>
      <c r="G747" s="7" t="n">
        <v>0.06</v>
      </c>
      <c r="H747" s="7" t="n">
        <v>0</v>
      </c>
      <c r="I747" s="7" t="n">
        <v>-0.06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60505265701</t>
        </is>
      </c>
      <c r="D748" s="5" t="inlineStr">
        <is>
          <t>TRIAMTERENE-HCTZ 75-50 MG ORAL TABLET</t>
        </is>
      </c>
      <c r="E748" s="6" t="inlineStr">
        <is>
          <t>100.0</t>
        </is>
      </c>
      <c r="F748" s="7" t="n">
        <v>90</v>
      </c>
      <c r="G748" s="7" t="n">
        <v>0.9</v>
      </c>
      <c r="H748" s="7" t="n">
        <v>0</v>
      </c>
      <c r="I748" s="7" t="n">
        <v>-0.9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31722054501</t>
        </is>
      </c>
      <c r="D749" s="5" t="inlineStr">
        <is>
          <t xml:space="preserve">LITHIUM CARBONATE 300MG CAP </t>
        </is>
      </c>
      <c r="E749" s="6" t="inlineStr">
        <is>
          <t>100.0</t>
        </is>
      </c>
      <c r="F749" s="7" t="n">
        <v>120</v>
      </c>
      <c r="G749" s="7" t="n">
        <v>1.2</v>
      </c>
      <c r="H749" s="7" t="n">
        <v>0</v>
      </c>
      <c r="I749" s="7" t="n">
        <v>-1.2</v>
      </c>
      <c r="J749" s="8" t="n">
        <v>5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23155017805</t>
        </is>
      </c>
      <c r="D750" s="5" t="inlineStr">
        <is>
          <t>ISOSORBIDE MONONITRATE ER 60MG</t>
        </is>
      </c>
      <c r="E750" s="6" t="inlineStr">
        <is>
          <t>500.0</t>
        </is>
      </c>
      <c r="F750" s="7" t="n">
        <v>30</v>
      </c>
      <c r="G750" s="7" t="n">
        <v>0.06</v>
      </c>
      <c r="H750" s="7" t="n">
        <v>0</v>
      </c>
      <c r="I750" s="7" t="n">
        <v>-0.06</v>
      </c>
      <c r="J750" s="8" t="n">
        <v>5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00093220405</t>
        </is>
      </c>
      <c r="D751" s="5" t="inlineStr">
        <is>
          <t>METOCLOPRAMIDE 5MG TABLET</t>
        </is>
      </c>
      <c r="E751" s="6" t="inlineStr">
        <is>
          <t>500.0</t>
        </is>
      </c>
      <c r="F751" s="7" t="n">
        <v>120</v>
      </c>
      <c r="G751" s="7" t="n">
        <v>0.24</v>
      </c>
      <c r="H751" s="7" t="n">
        <v>0</v>
      </c>
      <c r="I751" s="7" t="n">
        <v>-0.24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65862047501</t>
        </is>
      </c>
      <c r="D752" s="5" t="inlineStr">
        <is>
          <t>RAMIPRIL 2.5MG CAPSULE</t>
        </is>
      </c>
      <c r="E752" s="6" t="inlineStr">
        <is>
          <t>100.0</t>
        </is>
      </c>
      <c r="F752" s="7" t="n">
        <v>90</v>
      </c>
      <c r="G752" s="7" t="n">
        <v>0.9</v>
      </c>
      <c r="H752" s="7" t="n">
        <v>0</v>
      </c>
      <c r="I752" s="7" t="n">
        <v>-0.9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67877021905</t>
        </is>
      </c>
      <c r="D753" s="5" t="inlineStr">
        <is>
          <t xml:space="preserve">CEPHALEXIN 500MG CAPSULE </t>
        </is>
      </c>
      <c r="E753" s="6" t="inlineStr">
        <is>
          <t>500.0</t>
        </is>
      </c>
      <c r="F753" s="7" t="n">
        <v>54</v>
      </c>
      <c r="G753" s="7" t="n">
        <v>0.108</v>
      </c>
      <c r="H753" s="7" t="n">
        <v>0</v>
      </c>
      <c r="I753" s="7" t="n">
        <v>-0.108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24208079535</t>
        </is>
      </c>
      <c r="D754" s="5" t="inlineStr">
        <is>
          <t>NEOMYCIN-POLYMYXIN-DEXAMETH 3.5-10000-0.1 OPHTHALMIC OINTMENT</t>
        </is>
      </c>
      <c r="E754" s="6" t="inlineStr">
        <is>
          <t>3.5</t>
        </is>
      </c>
      <c r="F754" s="7" t="n">
        <v>3.5</v>
      </c>
      <c r="G754" s="7" t="n">
        <v>1</v>
      </c>
      <c r="H754" s="7" t="n">
        <v>0</v>
      </c>
      <c r="I754" s="7" t="n">
        <v>-1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13107015430</t>
        </is>
      </c>
      <c r="D755" s="5" t="inlineStr">
        <is>
          <t>PAROXETINE 10MG TABLET</t>
        </is>
      </c>
      <c r="E755" s="6" t="inlineStr">
        <is>
          <t>30.0</t>
        </is>
      </c>
      <c r="F755" s="7" t="n">
        <v>90</v>
      </c>
      <c r="G755" s="7" t="n">
        <v>3</v>
      </c>
      <c r="H755" s="7" t="n">
        <v>0</v>
      </c>
      <c r="I755" s="7" t="n">
        <v>-3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68382009205</t>
        </is>
      </c>
      <c r="D756" s="5" t="inlineStr">
        <is>
          <t xml:space="preserve">CARVEDILOL 3.125MG TAB </t>
        </is>
      </c>
      <c r="E756" s="6" t="inlineStr">
        <is>
          <t>500.0</t>
        </is>
      </c>
      <c r="F756" s="7" t="n">
        <v>240</v>
      </c>
      <c r="G756" s="7" t="n">
        <v>0.48</v>
      </c>
      <c r="H756" s="7" t="n">
        <v>0</v>
      </c>
      <c r="I756" s="7" t="n">
        <v>-0.48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57237010199</t>
        </is>
      </c>
      <c r="D757" s="5" t="inlineStr">
        <is>
          <t>METOPROLOL TARTRATE 50MG TABLET</t>
        </is>
      </c>
      <c r="E757" s="6" t="inlineStr">
        <is>
          <t>1000.0</t>
        </is>
      </c>
      <c r="F757" s="7" t="n">
        <v>240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50228014610</t>
        </is>
      </c>
      <c r="D758" s="5" t="inlineStr">
        <is>
          <t>HYDROCHLOROTHIAZIDE 12.5MG CAPSULE</t>
        </is>
      </c>
      <c r="E758" s="6" t="inlineStr">
        <is>
          <t>1000.0</t>
        </is>
      </c>
      <c r="F758" s="7" t="n">
        <v>270</v>
      </c>
      <c r="G758" s="7" t="n">
        <v>0.27</v>
      </c>
      <c r="H758" s="7" t="n">
        <v>0</v>
      </c>
      <c r="I758" s="7" t="n">
        <v>-0.27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00781107901</t>
        </is>
      </c>
      <c r="D759" s="5" t="inlineStr">
        <is>
          <t>ALPRAZOLAM 1 MG ORAL TABLET</t>
        </is>
      </c>
      <c r="E759" s="6" t="inlineStr">
        <is>
          <t>100.0</t>
        </is>
      </c>
      <c r="F759" s="7" t="n">
        <v>60</v>
      </c>
      <c r="G759" s="7" t="n">
        <v>0.6</v>
      </c>
      <c r="H759" s="7" t="n">
        <v>0</v>
      </c>
      <c r="I759" s="7" t="n">
        <v>-0.6</v>
      </c>
      <c r="J759" s="8" t="n">
        <v>4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24689088201</t>
        </is>
      </c>
      <c r="D760" s="5" t="inlineStr">
        <is>
          <t>TERAZOSIN HCL 5 MG ORAL CAPSULE</t>
        </is>
      </c>
      <c r="E760" s="6" t="inlineStr">
        <is>
          <t>100.0</t>
        </is>
      </c>
      <c r="F760" s="7" t="n">
        <v>60</v>
      </c>
      <c r="G760" s="7" t="n">
        <v>0.6</v>
      </c>
      <c r="H760" s="7" t="n">
        <v>0</v>
      </c>
      <c r="I760" s="7" t="n">
        <v>-0.6</v>
      </c>
      <c r="J760" s="8" t="n">
        <v>4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13107015630</t>
        </is>
      </c>
      <c r="D761" s="5" t="inlineStr">
        <is>
          <t>PAROXETINE 30MG TABLET</t>
        </is>
      </c>
      <c r="E761" s="6" t="inlineStr">
        <is>
          <t>30.0</t>
        </is>
      </c>
      <c r="F761" s="7" t="n">
        <v>30</v>
      </c>
      <c r="G761" s="7" t="n">
        <v>1</v>
      </c>
      <c r="H761" s="7" t="n">
        <v>0</v>
      </c>
      <c r="I761" s="7" t="n">
        <v>-1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00093970210</t>
        </is>
      </c>
      <c r="D762" s="5" t="inlineStr">
        <is>
          <t xml:space="preserve">CARBIDOPA-LEVODOPA 25-100 MG TABLET </t>
        </is>
      </c>
      <c r="E762" s="6" t="inlineStr">
        <is>
          <t>1000.0</t>
        </is>
      </c>
      <c r="F762" s="7" t="n">
        <v>90</v>
      </c>
      <c r="G762" s="7" t="n">
        <v>0.09</v>
      </c>
      <c r="H762" s="7" t="n">
        <v>0</v>
      </c>
      <c r="I762" s="7" t="n">
        <v>-0.09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23155073601</t>
        </is>
      </c>
      <c r="D763" s="5" t="inlineStr">
        <is>
          <t>TERAZOSIN 2MG CAPSULE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65862018730</t>
        </is>
      </c>
      <c r="D764" s="5" t="inlineStr">
        <is>
          <t xml:space="preserve">ONDANSETRON 4MG TAB </t>
        </is>
      </c>
      <c r="E764" s="6" t="inlineStr">
        <is>
          <t>30.0</t>
        </is>
      </c>
      <c r="F764" s="7" t="n">
        <v>25</v>
      </c>
      <c r="G764" s="7" t="n">
        <v>0.8333333333333334</v>
      </c>
      <c r="H764" s="7" t="n">
        <v>0</v>
      </c>
      <c r="I764" s="7" t="n">
        <v>-0.8333333333333334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55111016830</t>
        </is>
      </c>
      <c r="D766" s="5" t="inlineStr">
        <is>
          <t>OLANZAPINE 20MG TABLET</t>
        </is>
      </c>
      <c r="E766" s="6" t="inlineStr">
        <is>
          <t>30.0</t>
        </is>
      </c>
      <c r="F766" s="7" t="n">
        <v>30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53489038601</t>
        </is>
      </c>
      <c r="D767" s="5" t="inlineStr">
        <is>
          <t>MINOXIDIL 2.5MG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70436015542</t>
        </is>
      </c>
      <c r="D768" s="5" t="inlineStr">
        <is>
          <t>PROMETHAZINE-DM 6.25-15 MG/5ML ORAL SYRUP</t>
        </is>
      </c>
      <c r="E768" s="6" t="inlineStr">
        <is>
          <t>473.0</t>
        </is>
      </c>
      <c r="F768" s="7" t="n">
        <v>100</v>
      </c>
      <c r="G768" s="7" t="n">
        <v>0.2114164904862579</v>
      </c>
      <c r="H768" s="7" t="n">
        <v>0</v>
      </c>
      <c r="I768" s="7" t="n">
        <v>-0.2114164904862579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13668013510</t>
        </is>
      </c>
      <c r="D769" s="5" t="inlineStr">
        <is>
          <t>ESCITALOPRAM 5MG TABLET</t>
        </is>
      </c>
      <c r="E769" s="6" t="inlineStr">
        <is>
          <t>1000.0</t>
        </is>
      </c>
      <c r="F769" s="7" t="n">
        <v>44</v>
      </c>
      <c r="G769" s="7" t="n">
        <v>0.044</v>
      </c>
      <c r="H769" s="7" t="n">
        <v>0</v>
      </c>
      <c r="I769" s="7" t="n">
        <v>-0.044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23155070401</t>
        </is>
      </c>
      <c r="D770" s="5" t="inlineStr">
        <is>
          <t>ENALAPRIL MALEATE 2.5MG TABLET</t>
        </is>
      </c>
      <c r="E770" s="6" t="inlineStr">
        <is>
          <t>100.0</t>
        </is>
      </c>
      <c r="F770" s="7" t="n">
        <v>30</v>
      </c>
      <c r="G770" s="7" t="n">
        <v>0.3</v>
      </c>
      <c r="H770" s="7" t="n">
        <v>2</v>
      </c>
      <c r="I770" s="7" t="n">
        <v>1.7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00781809003</t>
        </is>
      </c>
      <c r="D771" s="5" t="inlineStr">
        <is>
          <t>AZITHROMYCIN 500MG TAB</t>
        </is>
      </c>
      <c r="E771" s="6" t="inlineStr">
        <is>
          <t>3.0</t>
        </is>
      </c>
      <c r="F771" s="7" t="n">
        <v>5</v>
      </c>
      <c r="G771" s="7" t="n">
        <v>1.666666666666667</v>
      </c>
      <c r="H771" s="7" t="n">
        <v>0</v>
      </c>
      <c r="I771" s="7" t="n">
        <v>-1.666666666666667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68180059102</t>
        </is>
      </c>
      <c r="D772" s="5" t="inlineStr">
        <is>
          <t xml:space="preserve">RAMIPRIL 10MG CAP </t>
        </is>
      </c>
      <c r="E772" s="6" t="inlineStr">
        <is>
          <t>500.0</t>
        </is>
      </c>
      <c r="F772" s="7" t="n">
        <v>90</v>
      </c>
      <c r="G772" s="7" t="n">
        <v>0.18</v>
      </c>
      <c r="H772" s="7" t="n">
        <v>0</v>
      </c>
      <c r="I772" s="7" t="n">
        <v>-0.18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65862014736</t>
        </is>
      </c>
      <c r="D773" s="5" t="inlineStr">
        <is>
          <t xml:space="preserve">SUMATRIPTAN SUCCINATE 50MG TAB </t>
        </is>
      </c>
      <c r="E773" s="6" t="inlineStr">
        <is>
          <t>9.0</t>
        </is>
      </c>
      <c r="F773" s="7" t="n">
        <v>9</v>
      </c>
      <c r="G773" s="7" t="n">
        <v>1</v>
      </c>
      <c r="H773" s="7" t="n">
        <v>0</v>
      </c>
      <c r="I773" s="7" t="n">
        <v>-1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65862017099</t>
        </is>
      </c>
      <c r="D774" s="5" t="inlineStr">
        <is>
          <t>ATENOLOL 100 MG TABLET</t>
        </is>
      </c>
      <c r="E774" s="6" t="inlineStr">
        <is>
          <t>1000.0</t>
        </is>
      </c>
      <c r="F774" s="7" t="n">
        <v>90</v>
      </c>
      <c r="G774" s="7" t="n">
        <v>0.09</v>
      </c>
      <c r="H774" s="7" t="n">
        <v>0</v>
      </c>
      <c r="I774" s="7" t="n">
        <v>-0.09</v>
      </c>
      <c r="J774" s="8" t="n">
        <v>3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47335001183</t>
        </is>
      </c>
      <c r="D775" s="5" t="inlineStr">
        <is>
          <t>TADALAFIL 10MG TABLET</t>
        </is>
      </c>
      <c r="E775" s="6" t="inlineStr">
        <is>
          <t>30.0</t>
        </is>
      </c>
      <c r="F775" s="7" t="n">
        <v>6</v>
      </c>
      <c r="G775" s="7" t="n">
        <v>0.2</v>
      </c>
      <c r="H775" s="7" t="n">
        <v>0</v>
      </c>
      <c r="I775" s="7" t="n">
        <v>-0.2</v>
      </c>
      <c r="J775" s="8" t="n">
        <v>3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67877026218</t>
        </is>
      </c>
      <c r="D776" s="5" t="inlineStr">
        <is>
          <t>RIZATRIPTAN BENZOATE 10MG TABLET</t>
        </is>
      </c>
      <c r="E776" s="6" t="inlineStr">
        <is>
          <t>18.0</t>
        </is>
      </c>
      <c r="F776" s="7" t="n">
        <v>12</v>
      </c>
      <c r="G776" s="7" t="n">
        <v>0.6666666666666666</v>
      </c>
      <c r="H776" s="7" t="n">
        <v>0</v>
      </c>
      <c r="I776" s="7" t="n">
        <v>-0.6666666666666666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10135069712</t>
        </is>
      </c>
      <c r="D777" s="5" t="inlineStr">
        <is>
          <t>ALENDRONATE 70MG TABLET</t>
        </is>
      </c>
      <c r="E777" s="6" t="inlineStr">
        <is>
          <t>12.0</t>
        </is>
      </c>
      <c r="F777" s="7" t="n">
        <v>12</v>
      </c>
      <c r="G777" s="7" t="n">
        <v>1</v>
      </c>
      <c r="H777" s="7" t="n">
        <v>0</v>
      </c>
      <c r="I777" s="7" t="n">
        <v>-1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00832532411</t>
        </is>
      </c>
      <c r="D778" s="5" t="inlineStr">
        <is>
          <t>POTASSIUM CHLORIDE 10MEQ TABLET ER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00093171601</t>
        </is>
      </c>
      <c r="D779" s="5" t="inlineStr">
        <is>
          <t xml:space="preserve">WARFARIN 4MG TAB </t>
        </is>
      </c>
      <c r="E779" s="6" t="inlineStr">
        <is>
          <t>100.0</t>
        </is>
      </c>
      <c r="F779" s="7" t="n">
        <v>50</v>
      </c>
      <c r="G779" s="7" t="n">
        <v>0.5</v>
      </c>
      <c r="H779" s="7" t="n">
        <v>1</v>
      </c>
      <c r="I779" s="7" t="n">
        <v>0.5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43598096830</t>
        </is>
      </c>
      <c r="D780" s="5" t="inlineStr">
        <is>
          <t>ARIPIPRAZOLE 15MG TABLET</t>
        </is>
      </c>
      <c r="E780" s="6" t="inlineStr">
        <is>
          <t>30.0</t>
        </is>
      </c>
      <c r="F780" s="7" t="n">
        <v>30</v>
      </c>
      <c r="G780" s="7" t="n">
        <v>1</v>
      </c>
      <c r="H780" s="7" t="n">
        <v>0</v>
      </c>
      <c r="I780" s="7" t="n">
        <v>-1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42571016201</t>
        </is>
      </c>
      <c r="D781" s="5" t="inlineStr">
        <is>
          <t>AMOXICILLIN-CLAVULANATE 875-125MG TABLET</t>
        </is>
      </c>
      <c r="E781" s="6" t="inlineStr">
        <is>
          <t>100.0</t>
        </is>
      </c>
      <c r="F781" s="7" t="n">
        <v>14</v>
      </c>
      <c r="G781" s="7" t="n">
        <v>0.14</v>
      </c>
      <c r="H781" s="7" t="n">
        <v>0</v>
      </c>
      <c r="I781" s="7" t="n">
        <v>-0.14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82619012601</t>
        </is>
      </c>
      <c r="D782" s="5" t="inlineStr">
        <is>
          <t>PREGABALIN 150 MG ORAL CAPSULE</t>
        </is>
      </c>
      <c r="E782" s="6" t="inlineStr">
        <is>
          <t>90.0</t>
        </is>
      </c>
      <c r="F782" s="7" t="n">
        <v>60</v>
      </c>
      <c r="G782" s="7" t="n">
        <v>0.6666666666666666</v>
      </c>
      <c r="H782" s="7" t="n">
        <v>0</v>
      </c>
      <c r="I782" s="7" t="n">
        <v>-0.6666666666666666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64980043401</t>
        </is>
      </c>
      <c r="D784" s="5" t="inlineStr">
        <is>
          <t>MIDODRINE 5MG TABLET</t>
        </is>
      </c>
      <c r="E784" s="6" t="inlineStr">
        <is>
          <t>100.0</t>
        </is>
      </c>
      <c r="F784" s="7" t="n">
        <v>12</v>
      </c>
      <c r="G784" s="7" t="n">
        <v>0.12</v>
      </c>
      <c r="H784" s="7" t="n">
        <v>0</v>
      </c>
      <c r="I784" s="7" t="n">
        <v>-0.12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00591079410</t>
        </is>
      </c>
      <c r="D785" s="5" t="inlineStr">
        <is>
          <t>DICYCLOMINE HCL 10MG CAP</t>
        </is>
      </c>
      <c r="E785" s="6" t="inlineStr">
        <is>
          <t>1000.0</t>
        </is>
      </c>
      <c r="F785" s="7" t="n">
        <v>30</v>
      </c>
      <c r="G785" s="7" t="n">
        <v>0.03</v>
      </c>
      <c r="H785" s="7" t="n">
        <v>0</v>
      </c>
      <c r="I785" s="7" t="n">
        <v>-0.03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65862022801</t>
        </is>
      </c>
      <c r="D786" s="5" t="inlineStr">
        <is>
          <t>LAMOTRIGINE 100MG TABLET</t>
        </is>
      </c>
      <c r="E786" s="6" t="inlineStr">
        <is>
          <t>100.0</t>
        </is>
      </c>
      <c r="F786" s="7" t="n">
        <v>60</v>
      </c>
      <c r="G786" s="7" t="n">
        <v>0.6</v>
      </c>
      <c r="H786" s="7" t="n">
        <v>0</v>
      </c>
      <c r="I786" s="7" t="n">
        <v>-0.6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00904637161</t>
        </is>
      </c>
      <c r="D787" s="5" t="inlineStr">
        <is>
          <t>AMLODIPINE BESYLATE 10 MG ORAL TABLET</t>
        </is>
      </c>
      <c r="E787" s="6" t="inlineStr">
        <is>
          <t>100.0</t>
        </is>
      </c>
      <c r="F787" s="7" t="n">
        <v>30</v>
      </c>
      <c r="G787" s="7" t="n">
        <v>0.3</v>
      </c>
      <c r="H787" s="7" t="n">
        <v>0</v>
      </c>
      <c r="I787" s="7" t="n">
        <v>-0.3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43547027511</t>
        </is>
      </c>
      <c r="D788" s="5" t="inlineStr">
        <is>
          <t xml:space="preserve">DONEPEZIL 5MG TAB </t>
        </is>
      </c>
      <c r="E788" s="6" t="inlineStr">
        <is>
          <t>1000.0</t>
        </is>
      </c>
      <c r="F788" s="7" t="n">
        <v>120</v>
      </c>
      <c r="G788" s="7" t="n">
        <v>0.12</v>
      </c>
      <c r="H788" s="7" t="n">
        <v>0</v>
      </c>
      <c r="I788" s="7" t="n">
        <v>-0.12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120</v>
      </c>
      <c r="G789" s="7" t="n">
        <v>1.2</v>
      </c>
      <c r="H789" s="7" t="n">
        <v>0</v>
      </c>
      <c r="I789" s="7" t="n">
        <v>-1.2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16729000617</t>
        </is>
      </c>
      <c r="D790" s="5" t="inlineStr">
        <is>
          <t>SIMVASTATIN 40MG TABLET</t>
        </is>
      </c>
      <c r="E790" s="6" t="inlineStr">
        <is>
          <t>1000.0</t>
        </is>
      </c>
      <c r="F790" s="7" t="n">
        <v>30</v>
      </c>
      <c r="G790" s="7" t="n">
        <v>0.03</v>
      </c>
      <c r="H790" s="7" t="n">
        <v>0</v>
      </c>
      <c r="I790" s="7" t="n">
        <v>-0.03</v>
      </c>
      <c r="J790" s="8" t="n">
        <v>2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68180046801</t>
        </is>
      </c>
      <c r="D791" s="5" t="inlineStr">
        <is>
          <t xml:space="preserve">LOVASTATIN 20MG TAB </t>
        </is>
      </c>
      <c r="E791" s="6" t="inlineStr">
        <is>
          <t>100.0</t>
        </is>
      </c>
      <c r="F791" s="7" t="n">
        <v>90</v>
      </c>
      <c r="G791" s="7" t="n">
        <v>0.9</v>
      </c>
      <c r="H791" s="7" t="n">
        <v>0</v>
      </c>
      <c r="I791" s="7" t="n">
        <v>-0.9</v>
      </c>
      <c r="J791" s="8" t="n">
        <v>2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13668000705</t>
        </is>
      </c>
      <c r="D792" s="5" t="inlineStr">
        <is>
          <t xml:space="preserve">ZOLPIDEM TARTRATE 5MG TAB </t>
        </is>
      </c>
      <c r="E792" s="6" t="inlineStr">
        <is>
          <t>500.0</t>
        </is>
      </c>
      <c r="F792" s="7" t="n">
        <v>80</v>
      </c>
      <c r="G792" s="7" t="n">
        <v>0.16</v>
      </c>
      <c r="H792" s="7" t="n">
        <v>0</v>
      </c>
      <c r="I792" s="7" t="n">
        <v>-0.16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67877024210</t>
        </is>
      </c>
      <c r="D793" s="5" t="inlineStr">
        <is>
          <t>QUETIAPINE FUMARATE 25 MG ORAL TABLET</t>
        </is>
      </c>
      <c r="E793" s="6" t="inlineStr">
        <is>
          <t>1000.0</t>
        </is>
      </c>
      <c r="F793" s="7" t="n">
        <v>90</v>
      </c>
      <c r="G793" s="7" t="n">
        <v>0.09</v>
      </c>
      <c r="H793" s="7" t="n">
        <v>0</v>
      </c>
      <c r="I793" s="7" t="n">
        <v>-0.09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51672400101</t>
        </is>
      </c>
      <c r="D794" s="5" t="inlineStr">
        <is>
          <t>NORTRIPTYLINE 10MG CAPSULE</t>
        </is>
      </c>
      <c r="E794" s="6" t="inlineStr">
        <is>
          <t>100.0</t>
        </is>
      </c>
      <c r="F794" s="7" t="n">
        <v>30</v>
      </c>
      <c r="G794" s="7" t="n">
        <v>0.3</v>
      </c>
      <c r="H794" s="7" t="n">
        <v>0</v>
      </c>
      <c r="I794" s="7" t="n">
        <v>-0.3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65862018830</t>
        </is>
      </c>
      <c r="D795" s="5" t="inlineStr">
        <is>
          <t xml:space="preserve">ONDANSETRON 8MG TAB </t>
        </is>
      </c>
      <c r="E795" s="6" t="inlineStr">
        <is>
          <t>30.0</t>
        </is>
      </c>
      <c r="F795" s="7" t="n">
        <v>30</v>
      </c>
      <c r="G795" s="7" t="n">
        <v>1</v>
      </c>
      <c r="H795" s="7" t="n">
        <v>0</v>
      </c>
      <c r="I795" s="7" t="n">
        <v>-1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51672403001</t>
        </is>
      </c>
      <c r="D796" s="5" t="inlineStr">
        <is>
          <t>WARFARIN SODIUM 3MG TABLET</t>
        </is>
      </c>
      <c r="E796" s="6" t="inlineStr">
        <is>
          <t>100.0</t>
        </is>
      </c>
      <c r="F796" s="7" t="n">
        <v>35</v>
      </c>
      <c r="G796" s="7" t="n">
        <v>0.35</v>
      </c>
      <c r="H796" s="7" t="n">
        <v>0</v>
      </c>
      <c r="I796" s="7" t="n">
        <v>-0.35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69097015915</t>
        </is>
      </c>
      <c r="D797" s="5" t="inlineStr">
        <is>
          <t>MELOXICAM 15MG TABLET</t>
        </is>
      </c>
      <c r="E797" s="6" t="inlineStr">
        <is>
          <t>1000.0</t>
        </is>
      </c>
      <c r="F797" s="7" t="n">
        <v>30</v>
      </c>
      <c r="G797" s="7" t="n">
        <v>0.03</v>
      </c>
      <c r="H797" s="7" t="n">
        <v>0</v>
      </c>
      <c r="I797" s="7" t="n">
        <v>-0.03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60219234805</t>
        </is>
      </c>
      <c r="D798" s="5" t="inlineStr">
        <is>
          <t>TRAMADOL 50 MG TABLET</t>
        </is>
      </c>
      <c r="E798" s="6" t="inlineStr">
        <is>
          <t>500.0</t>
        </is>
      </c>
      <c r="F798" s="7" t="n">
        <v>40</v>
      </c>
      <c r="G798" s="7" t="n">
        <v>0.08</v>
      </c>
      <c r="H798" s="7" t="n">
        <v>0</v>
      </c>
      <c r="I798" s="7" t="n">
        <v>-0.08</v>
      </c>
      <c r="J798" s="8" t="n">
        <v>1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55111032005</t>
        </is>
      </c>
      <c r="D799" s="5" t="inlineStr">
        <is>
          <t>GLIMEPIRIDE 1 MG ORAL TABLET</t>
        </is>
      </c>
      <c r="E799" s="6" t="inlineStr">
        <is>
          <t>500.0</t>
        </is>
      </c>
      <c r="F799" s="7" t="n">
        <v>30</v>
      </c>
      <c r="G799" s="7" t="n">
        <v>0.06</v>
      </c>
      <c r="H799" s="7" t="n">
        <v>0</v>
      </c>
      <c r="I799" s="7" t="n">
        <v>-0.06</v>
      </c>
      <c r="J799" s="8" t="n">
        <v>1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71921016201</t>
        </is>
      </c>
      <c r="D800" s="5" t="inlineStr">
        <is>
          <t>DOXEPIN 10MG CAPSULE</t>
        </is>
      </c>
      <c r="E800" s="6" t="inlineStr">
        <is>
          <t>100.0</t>
        </is>
      </c>
      <c r="F800" s="7" t="n">
        <v>30</v>
      </c>
      <c r="G800" s="7" t="n">
        <v>0.3</v>
      </c>
      <c r="H800" s="7" t="n">
        <v>0</v>
      </c>
      <c r="I800" s="7" t="n">
        <v>-0.3</v>
      </c>
      <c r="J800" s="8" t="n">
        <v>1</v>
      </c>
      <c r="K800" s="9">
        <f>IFERROR(IF((ROUND((J800/G800)*I800,1))&lt;0,(ROUND((J800/G800)*I800,1)),0),0)</f>
        <v/>
      </c>
    </row>
    <row r="801">
      <c r="E801" s="10" t="inlineStr">
        <is>
          <t>TOTAL</t>
        </is>
      </c>
      <c r="F801" s="11">
        <f>SUM(F4:F800)</f>
        <v/>
      </c>
      <c r="G801" s="11">
        <f>SUM(G4:G800)</f>
        <v/>
      </c>
      <c r="H801" s="11">
        <f>SUM(H4:H800)</f>
        <v/>
      </c>
      <c r="I801" s="11">
        <f>SUM(I4:I800)</f>
        <v/>
      </c>
      <c r="J801" s="12">
        <f>SUM(J4:J800)</f>
        <v/>
      </c>
      <c r="K801" s="13">
        <f>SUM(K4:K800)</f>
        <v/>
      </c>
    </row>
    <row r="802">
      <c r="J802" s="14" t="inlineStr">
        <is>
          <t>Audited Drugs Count</t>
        </is>
      </c>
      <c r="K802" s="15">
        <f>COUNTIF(K4:K800,"&lt;0")</f>
        <v/>
      </c>
    </row>
    <row r="803">
      <c r="J803" s="14" t="inlineStr">
        <is>
          <t>Total Audit Exposure</t>
        </is>
      </c>
      <c r="K803" s="16">
        <f>SUMIF(K4:K800,"&lt;0",K4:K800)</f>
        <v/>
      </c>
    </row>
  </sheetData>
  <autoFilter ref="A3:K800"/>
  <mergeCells count="2">
    <mergeCell ref="A2:K2"/>
    <mergeCell ref="A1:K1"/>
  </mergeCells>
  <conditionalFormatting sqref="E4:K80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kk — Feb 2025 -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00006011231</t>
        </is>
      </c>
      <c r="D4" s="5" t="inlineStr">
        <is>
          <t>JANUVIA 50MG TABLET</t>
        </is>
      </c>
      <c r="E4" s="6" t="inlineStr">
        <is>
          <t>30.0</t>
        </is>
      </c>
      <c r="F4" s="7" t="n">
        <v>60</v>
      </c>
      <c r="G4" s="7" t="n">
        <v>2</v>
      </c>
      <c r="H4" s="7" t="n">
        <v>12</v>
      </c>
      <c r="I4" s="7" t="n">
        <v>10</v>
      </c>
      <c r="J4" s="8" t="n">
        <v>235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66993007896</t>
        </is>
      </c>
      <c r="D5" s="5" t="inlineStr">
        <is>
          <t>FLUTICASONE PROPIONATE HFA 44 MCG/ACT INH AEROSOL</t>
        </is>
      </c>
      <c r="E5" s="6" t="inlineStr">
        <is>
          <t>10.6</t>
        </is>
      </c>
      <c r="F5" s="7" t="n">
        <v>10.6</v>
      </c>
      <c r="G5" s="7" t="n">
        <v>1</v>
      </c>
      <c r="H5" s="7" t="n">
        <v>4</v>
      </c>
      <c r="I5" s="7" t="n">
        <v>3</v>
      </c>
      <c r="J5" s="8" t="n">
        <v>118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16</v>
      </c>
      <c r="I6" s="7" t="n">
        <v>12</v>
      </c>
      <c r="J6" s="8" t="n">
        <v>68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68180096301</t>
        </is>
      </c>
      <c r="D7" s="5" t="inlineStr">
        <is>
          <t>ALBUTEROL SULFATE HFA 108 (90 BASE)MCG/ACT AEROSOL</t>
        </is>
      </c>
      <c r="E7" s="6" t="inlineStr">
        <is>
          <t>8.5</t>
        </is>
      </c>
      <c r="F7" s="7" t="n">
        <v>8.5</v>
      </c>
      <c r="G7" s="7" t="n">
        <v>1</v>
      </c>
      <c r="H7" s="7" t="n">
        <v>48</v>
      </c>
      <c r="I7" s="7" t="n">
        <v>47</v>
      </c>
      <c r="J7" s="8" t="n">
        <v>21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00168032346</t>
        </is>
      </c>
      <c r="D8" s="5" t="inlineStr">
        <is>
          <t>METRONIDAZOLE TOPICAL 0.75% CREAM</t>
        </is>
      </c>
      <c r="E8" s="6" t="inlineStr">
        <is>
          <t>45.0</t>
        </is>
      </c>
      <c r="F8" s="7" t="n">
        <v>45</v>
      </c>
      <c r="G8" s="7" t="n">
        <v>1</v>
      </c>
      <c r="H8" s="7" t="n">
        <v>0</v>
      </c>
      <c r="I8" s="7" t="n">
        <v>-1</v>
      </c>
      <c r="J8" s="8" t="n">
        <v>13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68180098202</t>
        </is>
      </c>
      <c r="D9" s="5" t="inlineStr">
        <is>
          <t>LISINOPRIL 30MG TABLET</t>
        </is>
      </c>
      <c r="E9" s="6" t="inlineStr">
        <is>
          <t>500.0</t>
        </is>
      </c>
      <c r="F9" s="7" t="n">
        <v>90</v>
      </c>
      <c r="G9" s="7" t="n">
        <v>0.18</v>
      </c>
      <c r="H9" s="7" t="n">
        <v>0</v>
      </c>
      <c r="I9" s="7" t="n">
        <v>-0.18</v>
      </c>
      <c r="J9" s="8" t="n">
        <v>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70010078205</t>
        </is>
      </c>
      <c r="D10" s="5" t="inlineStr">
        <is>
          <t>METOPROLOL SUCCINATE ER 100MG TABLET</t>
        </is>
      </c>
      <c r="E10" s="6" t="inlineStr">
        <is>
          <t>500.0</t>
        </is>
      </c>
      <c r="F10" s="7" t="n">
        <v>60</v>
      </c>
      <c r="G10" s="7" t="n">
        <v>0.12</v>
      </c>
      <c r="H10" s="7" t="n">
        <v>2</v>
      </c>
      <c r="I10" s="7" t="n">
        <v>1.88</v>
      </c>
      <c r="J10" s="8" t="n">
        <v>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70010006599</t>
        </is>
      </c>
      <c r="D11" s="5" t="inlineStr">
        <is>
          <t>METFORMIN 1000MG TABLET</t>
        </is>
      </c>
      <c r="E11" s="6" t="inlineStr">
        <is>
          <t>1000.0</t>
        </is>
      </c>
      <c r="F11" s="7" t="n">
        <v>120</v>
      </c>
      <c r="G11" s="7" t="n">
        <v>0.12</v>
      </c>
      <c r="H11" s="7" t="n">
        <v>3</v>
      </c>
      <c r="I11" s="7" t="n">
        <v>2.88</v>
      </c>
      <c r="J11" s="8" t="n">
        <v>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ARG/HUM</t>
        </is>
      </c>
      <c r="C12" s="5" t="inlineStr">
        <is>
          <t>68382009205</t>
        </is>
      </c>
      <c r="D12" s="5" t="inlineStr">
        <is>
          <t xml:space="preserve">CARVEDILOL 3.125MG TAB </t>
        </is>
      </c>
      <c r="E12" s="6" t="inlineStr">
        <is>
          <t>500.0</t>
        </is>
      </c>
      <c r="F12" s="7" t="n">
        <v>60</v>
      </c>
      <c r="G12" s="7" t="n">
        <v>0.12</v>
      </c>
      <c r="H12" s="7" t="n">
        <v>0</v>
      </c>
      <c r="I12" s="7" t="n">
        <v>-0.12</v>
      </c>
      <c r="J12" s="8" t="n">
        <v>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ARG/HUM</t>
        </is>
      </c>
      <c r="C13" s="5" t="inlineStr">
        <is>
          <t>98302014071</t>
        </is>
      </c>
      <c r="D13" s="5" t="inlineStr">
        <is>
          <t>LANCETS CHOICE [CVS]</t>
        </is>
      </c>
      <c r="E13" s="6" t="inlineStr">
        <is>
          <t>100.0</t>
        </is>
      </c>
      <c r="F13" s="7" t="n">
        <v>200</v>
      </c>
      <c r="G13" s="7" t="n">
        <v>2</v>
      </c>
      <c r="H13" s="7" t="n">
        <v>0</v>
      </c>
      <c r="I13" s="7" t="n">
        <v>-2</v>
      </c>
      <c r="J13" s="8" t="n">
        <v>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ARG/HUM</t>
        </is>
      </c>
      <c r="C14" s="5" t="inlineStr">
        <is>
          <t>65862001105</t>
        </is>
      </c>
      <c r="D14" s="5" t="inlineStr">
        <is>
          <t>SERTRALINE 25MG TABLET</t>
        </is>
      </c>
      <c r="E14" s="6" t="inlineStr">
        <is>
          <t>500.0</t>
        </is>
      </c>
      <c r="F14" s="7" t="n">
        <v>30</v>
      </c>
      <c r="G14" s="7" t="n">
        <v>0.06</v>
      </c>
      <c r="H14" s="7" t="n">
        <v>0</v>
      </c>
      <c r="I14" s="7" t="n">
        <v>-0.06</v>
      </c>
      <c r="J14" s="8" t="n">
        <v>2</v>
      </c>
      <c r="K14" s="9">
        <f>IFERROR(IF((ROUND((J14/G14)*I14,1))&lt;0,(ROUND((J14/G14)*I14,1)),0),0)</f>
        <v/>
      </c>
    </row>
    <row r="15">
      <c r="E15" s="10" t="inlineStr">
        <is>
          <t>TOTAL</t>
        </is>
      </c>
      <c r="F15" s="11">
        <f>SUM(F4:F14)</f>
        <v/>
      </c>
      <c r="G15" s="11">
        <f>SUM(G4:G14)</f>
        <v/>
      </c>
      <c r="H15" s="11">
        <f>SUM(H4:H14)</f>
        <v/>
      </c>
      <c r="I15" s="11">
        <f>SUM(I4:I14)</f>
        <v/>
      </c>
      <c r="J15" s="12">
        <f>SUM(J4:J14)</f>
        <v/>
      </c>
      <c r="K15" s="13">
        <f>SUM(K4:K14)</f>
        <v/>
      </c>
    </row>
    <row r="16">
      <c r="J16" s="14" t="inlineStr">
        <is>
          <t>Audited Drugs Count</t>
        </is>
      </c>
      <c r="K16" s="15">
        <f>COUNTIF(K4:K14,"&lt;0")</f>
        <v/>
      </c>
    </row>
    <row r="17">
      <c r="J17" s="14" t="inlineStr">
        <is>
          <t>Total Audit Exposure</t>
        </is>
      </c>
      <c r="K17" s="16">
        <f>SUMIF(K4:K14,"&lt;0",K4:K14)</f>
        <v/>
      </c>
    </row>
  </sheetData>
  <autoFilter ref="A3:K14"/>
  <mergeCells count="2">
    <mergeCell ref="A2:K2"/>
    <mergeCell ref="A1:K1"/>
  </mergeCells>
  <conditionalFormatting sqref="E4:K1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kk — Feb 2025 - Feb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00169633910</t>
        </is>
      </c>
      <c r="D96" s="5" t="inlineStr">
        <is>
          <t>NOVOLOG FLEXPEN 100UNIT/ML INJECTION</t>
        </is>
      </c>
      <c r="E96" s="6" t="inlineStr">
        <is>
          <t>15.0</t>
        </is>
      </c>
      <c r="F96" s="7" t="n">
        <v>63</v>
      </c>
      <c r="G96" s="7" t="n">
        <v>4.2</v>
      </c>
      <c r="H96" s="7" t="n">
        <v>0</v>
      </c>
      <c r="I96" s="7" t="n">
        <v>-4.2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00173069600</t>
        </is>
      </c>
      <c r="D97" s="5" t="inlineStr">
        <is>
          <t>ADVAIR DISKUS 250-50MCG/DOSE AEROSOL 60EA</t>
        </is>
      </c>
      <c r="E97" s="6" t="inlineStr">
        <is>
          <t>60.0</t>
        </is>
      </c>
      <c r="F97" s="7" t="n">
        <v>180</v>
      </c>
      <c r="G97" s="7" t="n">
        <v>3</v>
      </c>
      <c r="H97" s="7" t="n">
        <v>3</v>
      </c>
      <c r="I97" s="7" t="n">
        <v>0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00591352530</t>
        </is>
      </c>
      <c r="D116" s="5" t="inlineStr">
        <is>
          <t xml:space="preserve">LIDOCAINE 5% PATCH </t>
        </is>
      </c>
      <c r="E116" s="6" t="inlineStr">
        <is>
          <t>30.0</t>
        </is>
      </c>
      <c r="F116" s="7" t="n">
        <v>120</v>
      </c>
      <c r="G116" s="7" t="n">
        <v>4</v>
      </c>
      <c r="H116" s="7" t="n">
        <v>0</v>
      </c>
      <c r="I116" s="7" t="n">
        <v>-4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00005200010</t>
        </is>
      </c>
      <c r="D117" s="5" t="inlineStr">
        <is>
          <t>PREVNAR 20 0.5 ML PREFILLED SYRINGE</t>
        </is>
      </c>
      <c r="E117" s="6" t="inlineStr">
        <is>
          <t>5.0</t>
        </is>
      </c>
      <c r="F117" s="7" t="n">
        <v>0.5</v>
      </c>
      <c r="G117" s="7" t="n">
        <v>0.1</v>
      </c>
      <c r="H117" s="7" t="n">
        <v>0</v>
      </c>
      <c r="I117" s="7" t="n">
        <v>-0.1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64380072507</t>
        </is>
      </c>
      <c r="D163" s="5" t="inlineStr">
        <is>
          <t>MYCOPHENOLATE MOFETIL 500MG TABLET</t>
        </is>
      </c>
      <c r="E163" s="6" t="inlineStr">
        <is>
          <t>500.0</t>
        </is>
      </c>
      <c r="F163" s="7" t="n">
        <v>180</v>
      </c>
      <c r="G163" s="7" t="n">
        <v>0.36</v>
      </c>
      <c r="H163" s="7" t="n">
        <v>0</v>
      </c>
      <c r="I163" s="7" t="n">
        <v>-0.36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00832046530</t>
        </is>
      </c>
      <c r="D164" s="5" t="inlineStr">
        <is>
          <t>NYSTATIN 100000UNIT/GM POWDER</t>
        </is>
      </c>
      <c r="E164" s="6" t="inlineStr">
        <is>
          <t>30.0</t>
        </is>
      </c>
      <c r="F164" s="7" t="n">
        <v>120</v>
      </c>
      <c r="G164" s="7" t="n">
        <v>4</v>
      </c>
      <c r="H164" s="7" t="n">
        <v>0</v>
      </c>
      <c r="I164" s="7" t="n">
        <v>-4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72266014201</t>
        </is>
      </c>
      <c r="D179" s="5" t="inlineStr">
        <is>
          <t>BROMFENAC SODIUM (ONCE-DAILY) 0.09% SOLUTION</t>
        </is>
      </c>
      <c r="E179" s="6" t="inlineStr">
        <is>
          <t>1.7</t>
        </is>
      </c>
      <c r="F179" s="7" t="n">
        <v>1.7</v>
      </c>
      <c r="G179" s="7" t="n">
        <v>1</v>
      </c>
      <c r="H179" s="7" t="n">
        <v>0</v>
      </c>
      <c r="I179" s="7" t="n">
        <v>-1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67877072592</t>
        </is>
      </c>
      <c r="D180" s="5" t="inlineStr">
        <is>
          <t>NA SULFATE-K SULFATE-MG SULF 17.5-3.13-1.6 GM/177ML ORAL SOLUTION</t>
        </is>
      </c>
      <c r="E180" s="6" t="inlineStr">
        <is>
          <t>354.0</t>
        </is>
      </c>
      <c r="F180" s="7" t="n">
        <v>708</v>
      </c>
      <c r="G180" s="7" t="n">
        <v>2</v>
      </c>
      <c r="H180" s="7" t="n">
        <v>3</v>
      </c>
      <c r="I180" s="7" t="n">
        <v>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68180096703</t>
        </is>
      </c>
      <c r="D182" s="5" t="inlineStr">
        <is>
          <t>LEVOTHYROXINE 75MCG TABLET</t>
        </is>
      </c>
      <c r="E182" s="6" t="inlineStr">
        <is>
          <t>1000.0</t>
        </is>
      </c>
      <c r="F182" s="7" t="n">
        <v>330</v>
      </c>
      <c r="G182" s="7" t="n">
        <v>0.33</v>
      </c>
      <c r="H182" s="7" t="n">
        <v>0</v>
      </c>
      <c r="I182" s="7" t="n">
        <v>-0.33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45802059701</t>
        </is>
      </c>
      <c r="D183" s="5" t="inlineStr">
        <is>
          <t>CLINDAMYCIN PHOS-BENZOYL PEROX 1.2-2.5 % EXTERNAL GEL</t>
        </is>
      </c>
      <c r="E183" s="6" t="inlineStr">
        <is>
          <t>50.0</t>
        </is>
      </c>
      <c r="F183" s="7" t="n">
        <v>100</v>
      </c>
      <c r="G183" s="7" t="n">
        <v>2</v>
      </c>
      <c r="H183" s="7" t="n">
        <v>2</v>
      </c>
      <c r="I183" s="7" t="n">
        <v>0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70756001112</t>
        </is>
      </c>
      <c r="D186" s="5" t="inlineStr">
        <is>
          <t>CHLORTHALIDONE 25MG TABLET</t>
        </is>
      </c>
      <c r="E186" s="6" t="inlineStr">
        <is>
          <t>1000.0</t>
        </is>
      </c>
      <c r="F186" s="7" t="n">
        <v>420</v>
      </c>
      <c r="G186" s="7" t="n">
        <v>0.42</v>
      </c>
      <c r="H186" s="7" t="n">
        <v>0</v>
      </c>
      <c r="I186" s="7" t="n">
        <v>-0.42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70069065201</t>
        </is>
      </c>
      <c r="D188" s="5" t="inlineStr">
        <is>
          <t>BRIMONIDINE TARTRATE-TIMOLOL 0.2-0.5 % OPHTHALMIC SOLUTION</t>
        </is>
      </c>
      <c r="E188" s="6" t="inlineStr">
        <is>
          <t>10.0</t>
        </is>
      </c>
      <c r="F188" s="7" t="n">
        <v>10</v>
      </c>
      <c r="G188" s="7" t="n">
        <v>1</v>
      </c>
      <c r="H188" s="7" t="n">
        <v>0</v>
      </c>
      <c r="I188" s="7" t="n">
        <v>-1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59651078205</t>
        </is>
      </c>
      <c r="D189" s="5" t="inlineStr">
        <is>
          <t>GLIPIZIDE ER 10MG TABLET</t>
        </is>
      </c>
      <c r="E189" s="6" t="inlineStr">
        <is>
          <t>500.0</t>
        </is>
      </c>
      <c r="F189" s="7" t="n">
        <v>540</v>
      </c>
      <c r="G189" s="7" t="n">
        <v>1.08</v>
      </c>
      <c r="H189" s="7" t="n">
        <v>2</v>
      </c>
      <c r="I189" s="7" t="n">
        <v>0.9199999999999999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62332004390</t>
        </is>
      </c>
      <c r="D190" s="5" t="inlineStr">
        <is>
          <t>IRBESARTAN 300MG TABLET</t>
        </is>
      </c>
      <c r="E190" s="6" t="inlineStr">
        <is>
          <t>90.0</t>
        </is>
      </c>
      <c r="F190" s="7" t="n">
        <v>180</v>
      </c>
      <c r="G190" s="7" t="n">
        <v>2</v>
      </c>
      <c r="H190" s="7" t="n">
        <v>0</v>
      </c>
      <c r="I190" s="7" t="n">
        <v>-2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65862020399</t>
        </is>
      </c>
      <c r="D191" s="5" t="inlineStr">
        <is>
          <t>LOSARTAN 100MG TABLET</t>
        </is>
      </c>
      <c r="E191" s="6" t="inlineStr">
        <is>
          <t>1000.0</t>
        </is>
      </c>
      <c r="F191" s="7" t="n">
        <v>750</v>
      </c>
      <c r="G191" s="7" t="n">
        <v>0.75</v>
      </c>
      <c r="H191" s="7" t="n">
        <v>0</v>
      </c>
      <c r="I191" s="7" t="n">
        <v>-0.75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72578015001</t>
        </is>
      </c>
      <c r="D194" s="5" t="inlineStr">
        <is>
          <t>ACETAZOLAMIDE 250 MG ORAL TABLET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59762330403</t>
        </is>
      </c>
      <c r="D195" s="5" t="inlineStr">
        <is>
          <t>NITROGLYCERIN 0.4 MG SUBLINGUAL TAB 25X4</t>
        </is>
      </c>
      <c r="E195" s="6" t="inlineStr">
        <is>
          <t>100.0</t>
        </is>
      </c>
      <c r="F195" s="7" t="n">
        <v>125</v>
      </c>
      <c r="G195" s="7" t="n">
        <v>1.25</v>
      </c>
      <c r="H195" s="7" t="n">
        <v>0</v>
      </c>
      <c r="I195" s="7" t="n">
        <v>-1.25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68180097103</t>
        </is>
      </c>
      <c r="D196" s="5" t="inlineStr">
        <is>
          <t>LEVOTHYROXINE 125MCG TABLET</t>
        </is>
      </c>
      <c r="E196" s="6" t="inlineStr">
        <is>
          <t>1000.0</t>
        </is>
      </c>
      <c r="F196" s="7" t="n">
        <v>210</v>
      </c>
      <c r="G196" s="7" t="n">
        <v>0.21</v>
      </c>
      <c r="H196" s="7" t="n">
        <v>0</v>
      </c>
      <c r="I196" s="7" t="n">
        <v>-0.21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51672131802</t>
        </is>
      </c>
      <c r="D197" s="5" t="inlineStr">
        <is>
          <t xml:space="preserve">CICLOPIROX 0.77% CREAM </t>
        </is>
      </c>
      <c r="E197" s="6" t="inlineStr">
        <is>
          <t>30.0</t>
        </is>
      </c>
      <c r="F197" s="7" t="n">
        <v>120</v>
      </c>
      <c r="G197" s="7" t="n">
        <v>4</v>
      </c>
      <c r="H197" s="7" t="n">
        <v>0</v>
      </c>
      <c r="I197" s="7" t="n">
        <v>-4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00536120207</t>
        </is>
      </c>
      <c r="D198" s="5" t="inlineStr">
        <is>
          <t>LIDOCAINE PAIN RELIEF 4 % EXTERNAL PATCH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21</v>
      </c>
      <c r="I198" s="7" t="n">
        <v>18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52937000340</t>
        </is>
      </c>
      <c r="D199" s="5" t="inlineStr">
        <is>
          <t>VASCEPA 0.5 GM ORAL CAPSULE</t>
        </is>
      </c>
      <c r="E199" s="6" t="inlineStr">
        <is>
          <t>240.0</t>
        </is>
      </c>
      <c r="F199" s="7" t="n">
        <v>60</v>
      </c>
      <c r="G199" s="7" t="n">
        <v>0.25</v>
      </c>
      <c r="H199" s="7" t="n">
        <v>0</v>
      </c>
      <c r="I199" s="7" t="n">
        <v>-0.25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70954066210</t>
        </is>
      </c>
      <c r="D200" s="5" t="inlineStr">
        <is>
          <t>KETOCONAZOLE 2 % EXTERNAL SHAMPOO</t>
        </is>
      </c>
      <c r="E200" s="6" t="inlineStr">
        <is>
          <t>120.0</t>
        </is>
      </c>
      <c r="F200" s="7" t="n">
        <v>1200</v>
      </c>
      <c r="G200" s="7" t="n">
        <v>10</v>
      </c>
      <c r="H200" s="7" t="n">
        <v>6</v>
      </c>
      <c r="I200" s="7" t="n">
        <v>-4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45802057884</t>
        </is>
      </c>
      <c r="D209" s="5" t="inlineStr">
        <is>
          <t>NALOXONE HCL 4 MG/0.1ML NASAL LIQUID</t>
        </is>
      </c>
      <c r="E209" s="6" t="inlineStr">
        <is>
          <t>2.0</t>
        </is>
      </c>
      <c r="F209" s="7" t="n">
        <v>2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70377007713</t>
        </is>
      </c>
      <c r="D216" s="5" t="inlineStr">
        <is>
          <t>ATORVASTATIN 10MG TABLET</t>
        </is>
      </c>
      <c r="E216" s="6" t="inlineStr">
        <is>
          <t>1000.0</t>
        </is>
      </c>
      <c r="F216" s="7" t="n">
        <v>1080</v>
      </c>
      <c r="G216" s="7" t="n">
        <v>1.08</v>
      </c>
      <c r="H216" s="7" t="n">
        <v>0</v>
      </c>
      <c r="I216" s="7" t="n">
        <v>-1.08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00193755301</t>
        </is>
      </c>
      <c r="D217" s="5" t="inlineStr">
        <is>
          <t>CONTOUR NEXT EZ W/DEVICE KIT</t>
        </is>
      </c>
      <c r="E217" s="6" t="inlineStr">
        <is>
          <t>1.0</t>
        </is>
      </c>
      <c r="F217" s="7" t="n">
        <v>4</v>
      </c>
      <c r="G217" s="7" t="n">
        <v>4</v>
      </c>
      <c r="H217" s="7" t="n">
        <v>12</v>
      </c>
      <c r="I217" s="7" t="n">
        <v>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70436005404</t>
        </is>
      </c>
      <c r="D220" s="5" t="inlineStr">
        <is>
          <t>MEMANTINE HCL ER 7 MG ORAL CAPSULE EXTENDED RELEASE 24 HOUR</t>
        </is>
      </c>
      <c r="E220" s="6" t="inlineStr">
        <is>
          <t>30.0</t>
        </is>
      </c>
      <c r="F220" s="7" t="n">
        <v>90</v>
      </c>
      <c r="G220" s="7" t="n">
        <v>3</v>
      </c>
      <c r="H220" s="7" t="n">
        <v>4</v>
      </c>
      <c r="I220" s="7" t="n">
        <v>1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70010078305</t>
        </is>
      </c>
      <c r="D222" s="5" t="inlineStr">
        <is>
          <t>METOPROLOL SUCCINATE ER 200MG TABLET</t>
        </is>
      </c>
      <c r="E222" s="6" t="inlineStr">
        <is>
          <t>500.0</t>
        </is>
      </c>
      <c r="F222" s="7" t="n">
        <v>150</v>
      </c>
      <c r="G222" s="7" t="n">
        <v>0.3</v>
      </c>
      <c r="H222" s="7" t="n">
        <v>0</v>
      </c>
      <c r="I222" s="7" t="n">
        <v>-0.3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45802046653</t>
        </is>
      </c>
      <c r="D223" s="5" t="inlineStr">
        <is>
          <t xml:space="preserve">ECONAZOLE NITRATE 1% CREAM </t>
        </is>
      </c>
      <c r="E223" s="6" t="inlineStr">
        <is>
          <t>85.0</t>
        </is>
      </c>
      <c r="F223" s="7" t="n">
        <v>85</v>
      </c>
      <c r="G223" s="7" t="n">
        <v>1</v>
      </c>
      <c r="H223" s="7" t="n">
        <v>0</v>
      </c>
      <c r="I223" s="7" t="n">
        <v>-1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69097012715</t>
        </is>
      </c>
      <c r="D224" s="5" t="inlineStr">
        <is>
          <t xml:space="preserve">AMLODIPINE 5MG TABLET </t>
        </is>
      </c>
      <c r="E224" s="6" t="inlineStr">
        <is>
          <t>1000.0</t>
        </is>
      </c>
      <c r="F224" s="7" t="n">
        <v>1800</v>
      </c>
      <c r="G224" s="7" t="n">
        <v>1.8</v>
      </c>
      <c r="H224" s="7" t="n">
        <v>0</v>
      </c>
      <c r="I224" s="7" t="n">
        <v>-1.8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00168009960</t>
        </is>
      </c>
      <c r="D225" s="5" t="inlineStr">
        <is>
          <t>KETOCONAZOLE 2% CREAM</t>
        </is>
      </c>
      <c r="E225" s="6" t="inlineStr">
        <is>
          <t>60.0</t>
        </is>
      </c>
      <c r="F225" s="7" t="n">
        <v>60</v>
      </c>
      <c r="G225" s="7" t="n">
        <v>1</v>
      </c>
      <c r="H225" s="7" t="n">
        <v>0</v>
      </c>
      <c r="I225" s="7" t="n">
        <v>-1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65162099708</t>
        </is>
      </c>
      <c r="D226" s="5" t="inlineStr">
        <is>
          <t>DOTTI 0.1 MG/24HR TRANSDERMAL PATCH TWICE WEEKLY</t>
        </is>
      </c>
      <c r="E226" s="6" t="inlineStr">
        <is>
          <t>8.0</t>
        </is>
      </c>
      <c r="F226" s="7" t="n">
        <v>8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69097015912</t>
        </is>
      </c>
      <c r="D227" s="5" t="inlineStr">
        <is>
          <t xml:space="preserve">MELOXICAM 15MG TAB </t>
        </is>
      </c>
      <c r="E227" s="6" t="inlineStr">
        <is>
          <t>500.0</t>
        </is>
      </c>
      <c r="F227" s="7" t="n">
        <v>384</v>
      </c>
      <c r="G227" s="7" t="n">
        <v>0.768</v>
      </c>
      <c r="H227" s="7" t="n">
        <v>0</v>
      </c>
      <c r="I227" s="7" t="n">
        <v>-0.768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50111091703</t>
        </is>
      </c>
      <c r="D228" s="5" t="inlineStr">
        <is>
          <t>TORSEMIDE 20MG TABLET</t>
        </is>
      </c>
      <c r="E228" s="6" t="inlineStr">
        <is>
          <t>1000.0</t>
        </is>
      </c>
      <c r="F228" s="7" t="n">
        <v>330</v>
      </c>
      <c r="G228" s="7" t="n">
        <v>0.33</v>
      </c>
      <c r="H228" s="7" t="n">
        <v>0</v>
      </c>
      <c r="I228" s="7" t="n">
        <v>-0.33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1980</v>
      </c>
      <c r="G229" s="7" t="n">
        <v>1.98</v>
      </c>
      <c r="H229" s="7" t="n">
        <v>0</v>
      </c>
      <c r="I229" s="7" t="n">
        <v>-1.98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64980051505</t>
        </is>
      </c>
      <c r="D230" s="5" t="inlineStr">
        <is>
          <t xml:space="preserve">OFLOXACIN 0.3% SOL (EYE) </t>
        </is>
      </c>
      <c r="E230" s="6" t="inlineStr">
        <is>
          <t>5.0</t>
        </is>
      </c>
      <c r="F230" s="7" t="n">
        <v>10</v>
      </c>
      <c r="G230" s="7" t="n">
        <v>2</v>
      </c>
      <c r="H230" s="7" t="n">
        <v>0</v>
      </c>
      <c r="I230" s="7" t="n">
        <v>-2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33342028007</t>
        </is>
      </c>
      <c r="D231" s="5" t="inlineStr">
        <is>
          <t>AMLODIPINE BESYLATE-VALSARTAN 10-160 MG ORAL TABLET</t>
        </is>
      </c>
      <c r="E231" s="6" t="inlineStr">
        <is>
          <t>30.0</t>
        </is>
      </c>
      <c r="F231" s="7" t="n">
        <v>120</v>
      </c>
      <c r="G231" s="7" t="n">
        <v>4</v>
      </c>
      <c r="H231" s="7" t="n">
        <v>6</v>
      </c>
      <c r="I231" s="7" t="n">
        <v>2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00904650106</t>
        </is>
      </c>
      <c r="D232" s="5" t="inlineStr">
        <is>
          <t>FLUCONAZOLE 200 MG ORAL TABLET</t>
        </is>
      </c>
      <c r="E232" s="6" t="inlineStr">
        <is>
          <t>50.0</t>
        </is>
      </c>
      <c r="F232" s="7" t="n">
        <v>74</v>
      </c>
      <c r="G232" s="7" t="n">
        <v>1.48</v>
      </c>
      <c r="H232" s="7" t="n">
        <v>0</v>
      </c>
      <c r="I232" s="7" t="n">
        <v>-1.48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69315030660</t>
        </is>
      </c>
      <c r="D234" s="5" t="inlineStr">
        <is>
          <t>NYSTATIN 100000 UNIT/GM EXTERNAL POWDER</t>
        </is>
      </c>
      <c r="E234" s="6" t="inlineStr">
        <is>
          <t>60.0</t>
        </is>
      </c>
      <c r="F234" s="7" t="n">
        <v>60</v>
      </c>
      <c r="G234" s="7" t="n">
        <v>1</v>
      </c>
      <c r="H234" s="7" t="n">
        <v>0</v>
      </c>
      <c r="I234" s="7" t="n">
        <v>-1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67877015905</t>
        </is>
      </c>
      <c r="D235" s="5" t="inlineStr">
        <is>
          <t xml:space="preserve">METFORMIN ER 500MG TABLET </t>
        </is>
      </c>
      <c r="E235" s="6" t="inlineStr">
        <is>
          <t>500.0</t>
        </is>
      </c>
      <c r="F235" s="7" t="n">
        <v>240</v>
      </c>
      <c r="G235" s="7" t="n">
        <v>0.48</v>
      </c>
      <c r="H235" s="7" t="n">
        <v>0</v>
      </c>
      <c r="I235" s="7" t="n">
        <v>-0.48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50742026103</t>
        </is>
      </c>
      <c r="D238" s="5" t="inlineStr">
        <is>
          <t>NIFEDIPINE 60MG TABLET ER</t>
        </is>
      </c>
      <c r="E238" s="6" t="inlineStr">
        <is>
          <t>300.0</t>
        </is>
      </c>
      <c r="F238" s="7" t="n">
        <v>180</v>
      </c>
      <c r="G238" s="7" t="n">
        <v>0.6</v>
      </c>
      <c r="H238" s="7" t="n">
        <v>0</v>
      </c>
      <c r="I238" s="7" t="n">
        <v>-0.6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61442019205</t>
        </is>
      </c>
      <c r="D239" s="5" t="inlineStr">
        <is>
          <t>MEMANTINE 5MG TABLET</t>
        </is>
      </c>
      <c r="E239" s="6" t="inlineStr">
        <is>
          <t>500.0</t>
        </is>
      </c>
      <c r="F239" s="7" t="n">
        <v>270</v>
      </c>
      <c r="G239" s="7" t="n">
        <v>0.54</v>
      </c>
      <c r="H239" s="7" t="n">
        <v>0</v>
      </c>
      <c r="I239" s="7" t="n">
        <v>-0.54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69315030805</t>
        </is>
      </c>
      <c r="D240" s="5" t="inlineStr">
        <is>
          <t>CIPROFLOXACIN HCL 0.3 % OPHTHALMIC SOLUTION</t>
        </is>
      </c>
      <c r="E240" s="6" t="inlineStr">
        <is>
          <t>5.0</t>
        </is>
      </c>
      <c r="F240" s="7" t="n">
        <v>25</v>
      </c>
      <c r="G240" s="7" t="n">
        <v>5</v>
      </c>
      <c r="H240" s="7" t="n">
        <v>8</v>
      </c>
      <c r="I240" s="7" t="n">
        <v>3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65862078190</t>
        </is>
      </c>
      <c r="D244" s="5" t="inlineStr">
        <is>
          <t>OLMESARTAN-HCTZ 40-25 MG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50924097110</t>
        </is>
      </c>
      <c r="D245" s="5" t="inlineStr">
        <is>
          <t>ACCU-CHEK SOFTCLIX LANCETS</t>
        </is>
      </c>
      <c r="E245" s="6" t="inlineStr">
        <is>
          <t>100.0</t>
        </is>
      </c>
      <c r="F245" s="7" t="n">
        <v>300</v>
      </c>
      <c r="G245" s="7" t="n">
        <v>3</v>
      </c>
      <c r="H245" s="7" t="n">
        <v>0</v>
      </c>
      <c r="I245" s="7" t="n">
        <v>-3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70010078005</t>
        </is>
      </c>
      <c r="D246" s="5" t="inlineStr">
        <is>
          <t>METOPROLOL SUCCINATE ER 25MG TABLET</t>
        </is>
      </c>
      <c r="E246" s="6" t="inlineStr">
        <is>
          <t>500.0</t>
        </is>
      </c>
      <c r="F246" s="7" t="n">
        <v>660</v>
      </c>
      <c r="G246" s="7" t="n">
        <v>1.32</v>
      </c>
      <c r="H246" s="7" t="n">
        <v>4</v>
      </c>
      <c r="I246" s="7" t="n">
        <v>2.68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72888003600</t>
        </is>
      </c>
      <c r="D247" s="5" t="inlineStr">
        <is>
          <t>CARVEDILOL 12.5MG TABLET</t>
        </is>
      </c>
      <c r="E247" s="6" t="inlineStr">
        <is>
          <t>1000.0</t>
        </is>
      </c>
      <c r="F247" s="7" t="n">
        <v>420</v>
      </c>
      <c r="G247" s="7" t="n">
        <v>0.42</v>
      </c>
      <c r="H247" s="7" t="n">
        <v>0</v>
      </c>
      <c r="I247" s="7" t="n">
        <v>-0.42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21922003601</t>
        </is>
      </c>
      <c r="D248" s="5" t="inlineStr">
        <is>
          <t>CLINDAMYCIN PHOSPHATE 1 % EXTERNAL LOTION</t>
        </is>
      </c>
      <c r="E248" s="6" t="inlineStr">
        <is>
          <t>60.0</t>
        </is>
      </c>
      <c r="F248" s="7" t="n">
        <v>180</v>
      </c>
      <c r="G248" s="7" t="n">
        <v>3</v>
      </c>
      <c r="H248" s="7" t="n">
        <v>3</v>
      </c>
      <c r="I248" s="7" t="n">
        <v>0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00591292754</t>
        </is>
      </c>
      <c r="D249" s="5" t="inlineStr">
        <is>
          <t>LEVALBUTEROL TARTRATE 45 MCG/ACT INHALATION AEROSOL</t>
        </is>
      </c>
      <c r="E249" s="6" t="inlineStr">
        <is>
          <t>15.0</t>
        </is>
      </c>
      <c r="F249" s="7" t="n">
        <v>15</v>
      </c>
      <c r="G249" s="7" t="n">
        <v>1</v>
      </c>
      <c r="H249" s="7" t="n">
        <v>2</v>
      </c>
      <c r="I249" s="7" t="n">
        <v>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68180096503</t>
        </is>
      </c>
      <c r="D250" s="5" t="inlineStr">
        <is>
          <t>LEVOTHYROXINE 25MCG TABLET</t>
        </is>
      </c>
      <c r="E250" s="6" t="inlineStr">
        <is>
          <t>1000.0</t>
        </is>
      </c>
      <c r="F250" s="7" t="n">
        <v>210</v>
      </c>
      <c r="G250" s="7" t="n">
        <v>0.21</v>
      </c>
      <c r="H250" s="7" t="n">
        <v>0</v>
      </c>
      <c r="I250" s="7" t="n">
        <v>-0.21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55111073130</t>
        </is>
      </c>
      <c r="D251" s="5" t="inlineStr">
        <is>
          <t>VALSARTAN 40MG TABLET</t>
        </is>
      </c>
      <c r="E251" s="6" t="inlineStr">
        <is>
          <t>30.0</t>
        </is>
      </c>
      <c r="F251" s="7" t="n">
        <v>90</v>
      </c>
      <c r="G251" s="7" t="n">
        <v>3</v>
      </c>
      <c r="H251" s="7" t="n">
        <v>0</v>
      </c>
      <c r="I251" s="7" t="n">
        <v>-3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65862078201</t>
        </is>
      </c>
      <c r="D252" s="5" t="inlineStr">
        <is>
          <t>METHENAMINE HIPPURATE 1GM TABLET</t>
        </is>
      </c>
      <c r="E252" s="6" t="inlineStr">
        <is>
          <t>100.0</t>
        </is>
      </c>
      <c r="F252" s="7" t="n">
        <v>120</v>
      </c>
      <c r="G252" s="7" t="n">
        <v>1.2</v>
      </c>
      <c r="H252" s="7" t="n">
        <v>0</v>
      </c>
      <c r="I252" s="7" t="n">
        <v>-1.2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70010078205</t>
        </is>
      </c>
      <c r="D253" s="5" t="inlineStr">
        <is>
          <t>METOPROLOL SUCCINATE ER 100MG TABLET</t>
        </is>
      </c>
      <c r="E253" s="6" t="inlineStr">
        <is>
          <t>500.0</t>
        </is>
      </c>
      <c r="F253" s="7" t="n">
        <v>180</v>
      </c>
      <c r="G253" s="7" t="n">
        <v>0.36</v>
      </c>
      <c r="H253" s="7" t="n">
        <v>2</v>
      </c>
      <c r="I253" s="7" t="n">
        <v>1.64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00378581577</t>
        </is>
      </c>
      <c r="D254" s="5" t="inlineStr">
        <is>
          <t>VALSARTAN 320MG TABLET</t>
        </is>
      </c>
      <c r="E254" s="6" t="inlineStr">
        <is>
          <t>90.0</t>
        </is>
      </c>
      <c r="F254" s="7" t="n">
        <v>90</v>
      </c>
      <c r="G254" s="7" t="n">
        <v>1</v>
      </c>
      <c r="H254" s="7" t="n">
        <v>0</v>
      </c>
      <c r="I254" s="7" t="n">
        <v>-1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68462038730</t>
        </is>
      </c>
      <c r="D255" s="5" t="inlineStr">
        <is>
          <t>SOLIFENACIN SUCCINATE 10MG TABLET</t>
        </is>
      </c>
      <c r="E255" s="6" t="inlineStr">
        <is>
          <t>30.0</t>
        </is>
      </c>
      <c r="F255" s="7" t="n">
        <v>60</v>
      </c>
      <c r="G255" s="7" t="n">
        <v>2</v>
      </c>
      <c r="H255" s="7" t="n">
        <v>0</v>
      </c>
      <c r="I255" s="7" t="n">
        <v>-2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68382045219</t>
        </is>
      </c>
      <c r="D256" s="5" t="inlineStr">
        <is>
          <t>MESALAMINE ER 0.375GCAPSULE</t>
        </is>
      </c>
      <c r="E256" s="6" t="inlineStr">
        <is>
          <t>120.0</t>
        </is>
      </c>
      <c r="F256" s="7" t="n">
        <v>120</v>
      </c>
      <c r="G256" s="7" t="n">
        <v>1</v>
      </c>
      <c r="H256" s="7" t="n">
        <v>1</v>
      </c>
      <c r="I256" s="7" t="n">
        <v>0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00378172493</t>
        </is>
      </c>
      <c r="D257" s="5" t="inlineStr">
        <is>
          <t>AMLODIPINE VALSARTAN 10-320MG TABLET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0</v>
      </c>
      <c r="I257" s="7" t="n">
        <v>-3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45963067696</t>
        </is>
      </c>
      <c r="D258" s="5" t="inlineStr">
        <is>
          <t>METOPROLOL SUCCINATE 50MG TABLET ER</t>
        </is>
      </c>
      <c r="E258" s="6" t="inlineStr">
        <is>
          <t>1000.0</t>
        </is>
      </c>
      <c r="F258" s="7" t="n">
        <v>510</v>
      </c>
      <c r="G258" s="7" t="n">
        <v>0.51</v>
      </c>
      <c r="H258" s="7" t="n">
        <v>0</v>
      </c>
      <c r="I258" s="7" t="n">
        <v>-0.51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68382077501</t>
        </is>
      </c>
      <c r="D259" s="5" t="inlineStr">
        <is>
          <t xml:space="preserve">METHOTREXATE 2.5MG TAB </t>
        </is>
      </c>
      <c r="E259" s="6" t="inlineStr">
        <is>
          <t>100.0</t>
        </is>
      </c>
      <c r="F259" s="7" t="n">
        <v>56</v>
      </c>
      <c r="G259" s="7" t="n">
        <v>0.5600000000000001</v>
      </c>
      <c r="H259" s="7" t="n">
        <v>0</v>
      </c>
      <c r="I259" s="7" t="n">
        <v>-0.5600000000000001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00093681655</t>
        </is>
      </c>
      <c r="D262" s="5" t="inlineStr">
        <is>
          <t>BUDESONIDE 0.5 MG/2ML INHALATION SUSPENSION</t>
        </is>
      </c>
      <c r="E262" s="6" t="inlineStr">
        <is>
          <t>60.0</t>
        </is>
      </c>
      <c r="F262" s="7" t="n">
        <v>120</v>
      </c>
      <c r="G262" s="7" t="n">
        <v>2</v>
      </c>
      <c r="H262" s="7" t="n">
        <v>0</v>
      </c>
      <c r="I262" s="7" t="n">
        <v>-2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68180097003</t>
        </is>
      </c>
      <c r="D264" s="5" t="inlineStr">
        <is>
          <t>LEVOTHYROXINE 112MCG TABLET</t>
        </is>
      </c>
      <c r="E264" s="6" t="inlineStr">
        <is>
          <t>1000.0</t>
        </is>
      </c>
      <c r="F264" s="7" t="n">
        <v>90</v>
      </c>
      <c r="G264" s="7" t="n">
        <v>0.09</v>
      </c>
      <c r="H264" s="7" t="n">
        <v>0</v>
      </c>
      <c r="I264" s="7" t="n">
        <v>-0.09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00574220545</t>
        </is>
      </c>
      <c r="D265" s="5" t="inlineStr">
        <is>
          <t>TRETINOIN 0.05% CREAM</t>
        </is>
      </c>
      <c r="E265" s="6" t="inlineStr">
        <is>
          <t>45.0</t>
        </is>
      </c>
      <c r="F265" s="7" t="n">
        <v>45</v>
      </c>
      <c r="G265" s="7" t="n">
        <v>1</v>
      </c>
      <c r="H265" s="7" t="n">
        <v>0</v>
      </c>
      <c r="I265" s="7" t="n">
        <v>-1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43547042409</t>
        </is>
      </c>
      <c r="D266" s="5" t="inlineStr">
        <is>
          <t>LOSARTAN-HCTZ 100-25MG TABLET</t>
        </is>
      </c>
      <c r="E266" s="6" t="inlineStr">
        <is>
          <t>90.0</t>
        </is>
      </c>
      <c r="F266" s="7" t="n">
        <v>420</v>
      </c>
      <c r="G266" s="7" t="n">
        <v>4.666666666666667</v>
      </c>
      <c r="H266" s="7" t="n">
        <v>1</v>
      </c>
      <c r="I266" s="7" t="n">
        <v>-3.666666666666667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51672130005</t>
        </is>
      </c>
      <c r="D267" s="5" t="inlineStr">
        <is>
          <t>AMMONIUM LACTATE 12 % EXTERNAL LOTION</t>
        </is>
      </c>
      <c r="E267" s="6" t="inlineStr">
        <is>
          <t>225.0</t>
        </is>
      </c>
      <c r="F267" s="7" t="n">
        <v>850</v>
      </c>
      <c r="G267" s="7" t="n">
        <v>3.777777777777778</v>
      </c>
      <c r="H267" s="7" t="n">
        <v>0</v>
      </c>
      <c r="I267" s="7" t="n">
        <v>-3.777777777777778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70756005212</t>
        </is>
      </c>
      <c r="D269" s="5" t="inlineStr">
        <is>
          <t>FAMOTIDINE 40MG TABLET</t>
        </is>
      </c>
      <c r="E269" s="6" t="inlineStr">
        <is>
          <t>1000.0</t>
        </is>
      </c>
      <c r="F269" s="7" t="n">
        <v>900</v>
      </c>
      <c r="G269" s="7" t="n">
        <v>0.9</v>
      </c>
      <c r="H269" s="7" t="n">
        <v>0</v>
      </c>
      <c r="I269" s="7" t="n">
        <v>-0.9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69097017353</t>
        </is>
      </c>
      <c r="D270" s="5" t="inlineStr">
        <is>
          <t>IPRATROPIUM-ALBUTEROL 0.5-2.5 (3)MG/3ML SOLUTION</t>
        </is>
      </c>
      <c r="E270" s="6" t="inlineStr">
        <is>
          <t>90.0</t>
        </is>
      </c>
      <c r="F270" s="7" t="n">
        <v>540</v>
      </c>
      <c r="G270" s="7" t="n">
        <v>6</v>
      </c>
      <c r="H270" s="7" t="n">
        <v>0</v>
      </c>
      <c r="I270" s="7" t="n">
        <v>-6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70436005704</t>
        </is>
      </c>
      <c r="D271" s="5" t="inlineStr">
        <is>
          <t>MEMANTINE 28MG CAPSULE ER</t>
        </is>
      </c>
      <c r="E271" s="6" t="inlineStr">
        <is>
          <t>30.0</t>
        </is>
      </c>
      <c r="F271" s="7" t="n">
        <v>30</v>
      </c>
      <c r="G271" s="7" t="n">
        <v>1</v>
      </c>
      <c r="H271" s="7" t="n">
        <v>0</v>
      </c>
      <c r="I271" s="7" t="n">
        <v>-1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57237015901</t>
        </is>
      </c>
      <c r="D272" s="5" t="inlineStr">
        <is>
          <t>REPAGLINIDE 2MG TABLET</t>
        </is>
      </c>
      <c r="E272" s="6" t="inlineStr">
        <is>
          <t>100.0</t>
        </is>
      </c>
      <c r="F272" s="7" t="n">
        <v>270</v>
      </c>
      <c r="G272" s="7" t="n">
        <v>2.7</v>
      </c>
      <c r="H272" s="7" t="n">
        <v>0</v>
      </c>
      <c r="I272" s="7" t="n">
        <v>-2.7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00093736810</t>
        </is>
      </c>
      <c r="D273" s="5" t="inlineStr">
        <is>
          <t>LOSARTAN HCTZ 100-25MG TABLET</t>
        </is>
      </c>
      <c r="E273" s="6" t="inlineStr">
        <is>
          <t>1000.0</t>
        </is>
      </c>
      <c r="F273" s="7" t="n">
        <v>270</v>
      </c>
      <c r="G273" s="7" t="n">
        <v>0.27</v>
      </c>
      <c r="H273" s="7" t="n">
        <v>0</v>
      </c>
      <c r="I273" s="7" t="n">
        <v>-0.27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72205000130</t>
        </is>
      </c>
      <c r="D274" s="5" t="inlineStr">
        <is>
          <t>MOXIFLOXACIN HCL 400 MG ORAL TABLET</t>
        </is>
      </c>
      <c r="E274" s="6" t="inlineStr">
        <is>
          <t>30.0</t>
        </is>
      </c>
      <c r="F274" s="7" t="n">
        <v>7</v>
      </c>
      <c r="G274" s="7" t="n">
        <v>0.2333333333333333</v>
      </c>
      <c r="H274" s="7" t="n">
        <v>0</v>
      </c>
      <c r="I274" s="7" t="n">
        <v>-0.2333333333333333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00378581377</t>
        </is>
      </c>
      <c r="D275" s="5" t="inlineStr">
        <is>
          <t>VALSARTAN 80MG TABLET</t>
        </is>
      </c>
      <c r="E275" s="6" t="inlineStr">
        <is>
          <t>90.0</t>
        </is>
      </c>
      <c r="F275" s="7" t="n">
        <v>90</v>
      </c>
      <c r="G275" s="7" t="n">
        <v>1</v>
      </c>
      <c r="H275" s="7" t="n">
        <v>0</v>
      </c>
      <c r="I275" s="7" t="n">
        <v>-1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42571034201</t>
        </is>
      </c>
      <c r="D276" s="5" t="inlineStr">
        <is>
          <t>CLOMIPRAMINE HCL 25 MG ORAL CAPSULE</t>
        </is>
      </c>
      <c r="E276" s="6" t="inlineStr">
        <is>
          <t>100.0</t>
        </is>
      </c>
      <c r="F276" s="7" t="n">
        <v>30</v>
      </c>
      <c r="G276" s="7" t="n">
        <v>0.3</v>
      </c>
      <c r="H276" s="7" t="n">
        <v>1</v>
      </c>
      <c r="I276" s="7" t="n">
        <v>0.7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31722004990</t>
        </is>
      </c>
      <c r="D277" s="5" t="inlineStr">
        <is>
          <t>EPLERENONE 25 MG ORAL TABLET</t>
        </is>
      </c>
      <c r="E277" s="6" t="inlineStr">
        <is>
          <t>90.0</t>
        </is>
      </c>
      <c r="F277" s="7" t="n">
        <v>90</v>
      </c>
      <c r="G277" s="7" t="n">
        <v>1</v>
      </c>
      <c r="H277" s="7" t="n">
        <v>0</v>
      </c>
      <c r="I277" s="7" t="n">
        <v>-1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64980028001</t>
        </is>
      </c>
      <c r="D278" s="5" t="inlineStr">
        <is>
          <t>GLIPIZIDE ER 5 MG TABLET</t>
        </is>
      </c>
      <c r="E278" s="6" t="inlineStr">
        <is>
          <t>100.0</t>
        </is>
      </c>
      <c r="F278" s="7" t="n">
        <v>300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57237004390</t>
        </is>
      </c>
      <c r="D279" s="5" t="inlineStr">
        <is>
          <t>VALACYCLOVIR 1GM TABLET</t>
        </is>
      </c>
      <c r="E279" s="6" t="inlineStr">
        <is>
          <t>90.0</t>
        </is>
      </c>
      <c r="F279" s="7" t="n">
        <v>104</v>
      </c>
      <c r="G279" s="7" t="n">
        <v>1.155555555555555</v>
      </c>
      <c r="H279" s="7" t="n">
        <v>0</v>
      </c>
      <c r="I279" s="7" t="n">
        <v>-1.155555555555555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68180059206</t>
        </is>
      </c>
      <c r="D280" s="5" t="inlineStr">
        <is>
          <t>DESVENLAFAXINE SUCCINATE ER 50MG TABLET</t>
        </is>
      </c>
      <c r="E280" s="6" t="inlineStr">
        <is>
          <t>30.0</t>
        </is>
      </c>
      <c r="F280" s="7" t="n">
        <v>90</v>
      </c>
      <c r="G280" s="7" t="n">
        <v>3</v>
      </c>
      <c r="H280" s="7" t="n">
        <v>3</v>
      </c>
      <c r="I280" s="7" t="n">
        <v>0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00168034720</t>
        </is>
      </c>
      <c r="D281" s="5" t="inlineStr">
        <is>
          <t>TERCONAZOLE 0.8 % VAGINAL CREAM</t>
        </is>
      </c>
      <c r="E281" s="6" t="inlineStr">
        <is>
          <t>20.0</t>
        </is>
      </c>
      <c r="F281" s="7" t="n">
        <v>20</v>
      </c>
      <c r="G281" s="7" t="n">
        <v>1</v>
      </c>
      <c r="H281" s="7" t="n">
        <v>3</v>
      </c>
      <c r="I281" s="7" t="n">
        <v>2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71930005012</t>
        </is>
      </c>
      <c r="D282" s="5" t="inlineStr">
        <is>
          <t>POTASSIUM CITRATE 15MEQ TABLET EXTENDED RELEASE</t>
        </is>
      </c>
      <c r="E282" s="6" t="inlineStr">
        <is>
          <t>100.0</t>
        </is>
      </c>
      <c r="F282" s="7" t="n">
        <v>120</v>
      </c>
      <c r="G282" s="7" t="n">
        <v>1.2</v>
      </c>
      <c r="H282" s="7" t="n">
        <v>0</v>
      </c>
      <c r="I282" s="7" t="n">
        <v>-1.2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60505279500</t>
        </is>
      </c>
      <c r="D283" s="5" t="inlineStr">
        <is>
          <t xml:space="preserve">IBANDRONATE 150MG TAB </t>
        </is>
      </c>
      <c r="E283" s="6" t="inlineStr">
        <is>
          <t>1.0</t>
        </is>
      </c>
      <c r="F283" s="7" t="n">
        <v>3</v>
      </c>
      <c r="G283" s="7" t="n">
        <v>3</v>
      </c>
      <c r="H283" s="7" t="n">
        <v>0</v>
      </c>
      <c r="I283" s="7" t="n">
        <v>-3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42385095330</t>
        </is>
      </c>
      <c r="D284" s="5" t="inlineStr">
        <is>
          <t>EMTRICITABINE-TENOFOVIR DF 200-300MG TABLET</t>
        </is>
      </c>
      <c r="E284" s="6" t="inlineStr">
        <is>
          <t>30.0</t>
        </is>
      </c>
      <c r="F284" s="7" t="n">
        <v>30</v>
      </c>
      <c r="G284" s="7" t="n">
        <v>1</v>
      </c>
      <c r="H284" s="7" t="n">
        <v>3</v>
      </c>
      <c r="I284" s="7" t="n">
        <v>2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51672127506</t>
        </is>
      </c>
      <c r="D285" s="5" t="inlineStr">
        <is>
          <t xml:space="preserve">CLOTRIMAZOLE 1% CREAM </t>
        </is>
      </c>
      <c r="E285" s="6" t="inlineStr">
        <is>
          <t>45.0</t>
        </is>
      </c>
      <c r="F285" s="7" t="n">
        <v>135</v>
      </c>
      <c r="G285" s="7" t="n">
        <v>3</v>
      </c>
      <c r="H285" s="7" t="n">
        <v>0</v>
      </c>
      <c r="I285" s="7" t="n">
        <v>-3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68382066010</t>
        </is>
      </c>
      <c r="D286" s="5" t="inlineStr">
        <is>
          <t>SPIRONOLACTONE 25MG TABLET</t>
        </is>
      </c>
      <c r="E286" s="6" t="inlineStr">
        <is>
          <t>1000.0</t>
        </is>
      </c>
      <c r="F286" s="7" t="n">
        <v>510</v>
      </c>
      <c r="G286" s="7" t="n">
        <v>0.51</v>
      </c>
      <c r="H286" s="7" t="n">
        <v>0</v>
      </c>
      <c r="I286" s="7" t="n">
        <v>-0.51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23155077310</t>
        </is>
      </c>
      <c r="D287" s="5" t="inlineStr">
        <is>
          <t>ENALAPRIL 20MG TABLET</t>
        </is>
      </c>
      <c r="E287" s="6" t="inlineStr">
        <is>
          <t>1000.0</t>
        </is>
      </c>
      <c r="F287" s="7" t="n">
        <v>180</v>
      </c>
      <c r="G287" s="7" t="n">
        <v>0.18</v>
      </c>
      <c r="H287" s="7" t="n">
        <v>0</v>
      </c>
      <c r="I287" s="7" t="n">
        <v>-0.18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67877022405</t>
        </is>
      </c>
      <c r="D288" s="5" t="inlineStr">
        <is>
          <t xml:space="preserve">GABAPENTIN 400MG CAP </t>
        </is>
      </c>
      <c r="E288" s="6" t="inlineStr">
        <is>
          <t>500.0</t>
        </is>
      </c>
      <c r="F288" s="7" t="n">
        <v>510</v>
      </c>
      <c r="G288" s="7" t="n">
        <v>1.02</v>
      </c>
      <c r="H288" s="7" t="n">
        <v>0</v>
      </c>
      <c r="I288" s="7" t="n">
        <v>-1.02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00713032637</t>
        </is>
      </c>
      <c r="D289" s="5" t="inlineStr">
        <is>
          <t>BETAMETHASONE VALERATE 0.1% CREAM</t>
        </is>
      </c>
      <c r="E289" s="6" t="inlineStr">
        <is>
          <t>45.0</t>
        </is>
      </c>
      <c r="F289" s="7" t="n">
        <v>45</v>
      </c>
      <c r="G289" s="7" t="n">
        <v>1</v>
      </c>
      <c r="H289" s="7" t="n">
        <v>5</v>
      </c>
      <c r="I289" s="7" t="n">
        <v>4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50742050504</t>
        </is>
      </c>
      <c r="D290" s="5" t="inlineStr">
        <is>
          <t>SCOPOLAMINE 1 MG/3DAYS TRANSDERMAL PATCH 72 HOUR</t>
        </is>
      </c>
      <c r="E290" s="6" t="inlineStr">
        <is>
          <t>4.0</t>
        </is>
      </c>
      <c r="F290" s="7" t="n">
        <v>4</v>
      </c>
      <c r="G290" s="7" t="n">
        <v>1</v>
      </c>
      <c r="H290" s="7" t="n">
        <v>4</v>
      </c>
      <c r="I290" s="7" t="n">
        <v>3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00555902658</t>
        </is>
      </c>
      <c r="D291" s="5" t="inlineStr">
        <is>
          <t>JUNEL FE 1/20 1-20MG TABLET</t>
        </is>
      </c>
      <c r="E291" s="6" t="inlineStr">
        <is>
          <t>28.0</t>
        </is>
      </c>
      <c r="F291" s="7" t="n">
        <v>112</v>
      </c>
      <c r="G291" s="7" t="n">
        <v>4</v>
      </c>
      <c r="H291" s="7" t="n">
        <v>3</v>
      </c>
      <c r="I291" s="7" t="n">
        <v>-1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55150027701</t>
        </is>
      </c>
      <c r="D293" s="5" t="inlineStr">
        <is>
          <t>TESTOSTERONE CYPIONATE 200 MG/ML INTRAMUSCULAR SOLUTION</t>
        </is>
      </c>
      <c r="E293" s="6" t="inlineStr">
        <is>
          <t>1.0</t>
        </is>
      </c>
      <c r="F293" s="7" t="n">
        <v>2</v>
      </c>
      <c r="G293" s="7" t="n">
        <v>2</v>
      </c>
      <c r="H293" s="7" t="n">
        <v>2</v>
      </c>
      <c r="I293" s="7" t="n">
        <v>0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08484081028</t>
        </is>
      </c>
      <c r="D295" s="5" t="inlineStr">
        <is>
          <t>LANCETS PRODIGY</t>
        </is>
      </c>
      <c r="E295" s="6" t="inlineStr">
        <is>
          <t>100.0</t>
        </is>
      </c>
      <c r="F295" s="7" t="n">
        <v>200</v>
      </c>
      <c r="G295" s="7" t="n">
        <v>2</v>
      </c>
      <c r="H295" s="7" t="n">
        <v>0</v>
      </c>
      <c r="I295" s="7" t="n">
        <v>-2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31722066860</t>
        </is>
      </c>
      <c r="D296" s="5" t="inlineStr">
        <is>
          <t>RANOLAZINE ER 500 MG ORAL TABLET EXTENDED RELEASE 12 HOUR</t>
        </is>
      </c>
      <c r="E296" s="6" t="inlineStr">
        <is>
          <t>60.0</t>
        </is>
      </c>
      <c r="F296" s="7" t="n">
        <v>180</v>
      </c>
      <c r="G296" s="7" t="n">
        <v>3</v>
      </c>
      <c r="H296" s="7" t="n">
        <v>5</v>
      </c>
      <c r="I296" s="7" t="n">
        <v>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57237021905</t>
        </is>
      </c>
      <c r="D297" s="5" t="inlineStr">
        <is>
          <t>PIOGLITAZONE 15MG TABLET</t>
        </is>
      </c>
      <c r="E297" s="6" t="inlineStr">
        <is>
          <t>500.0</t>
        </is>
      </c>
      <c r="F297" s="7" t="n">
        <v>240</v>
      </c>
      <c r="G297" s="7" t="n">
        <v>0.48</v>
      </c>
      <c r="H297" s="7" t="n">
        <v>0</v>
      </c>
      <c r="I297" s="7" t="n">
        <v>-0.48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69097007212</t>
        </is>
      </c>
      <c r="D298" s="5" t="inlineStr">
        <is>
          <t>BUPROPION HCL ER (XL) 300MG TABLET</t>
        </is>
      </c>
      <c r="E298" s="6" t="inlineStr">
        <is>
          <t>500.0</t>
        </is>
      </c>
      <c r="F298" s="7" t="n">
        <v>120</v>
      </c>
      <c r="G298" s="7" t="n">
        <v>0.24</v>
      </c>
      <c r="H298" s="7" t="n">
        <v>0</v>
      </c>
      <c r="I298" s="7" t="n">
        <v>-0.24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61314014305</t>
        </is>
      </c>
      <c r="D299" s="5" t="inlineStr">
        <is>
          <t>BRIMONIDINE TARTRATE 0.2% SOLUTION</t>
        </is>
      </c>
      <c r="E299" s="6" t="inlineStr">
        <is>
          <t>5.0</t>
        </is>
      </c>
      <c r="F299" s="7" t="n">
        <v>20</v>
      </c>
      <c r="G299" s="7" t="n">
        <v>4</v>
      </c>
      <c r="H299" s="7" t="n">
        <v>0</v>
      </c>
      <c r="I299" s="7" t="n">
        <v>-4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68462029201</t>
        </is>
      </c>
      <c r="D300" s="5" t="inlineStr">
        <is>
          <t>VERAPAMIL ER 120MG TABLET</t>
        </is>
      </c>
      <c r="E300" s="6" t="inlineStr">
        <is>
          <t>100.0</t>
        </is>
      </c>
      <c r="F300" s="7" t="n">
        <v>120</v>
      </c>
      <c r="G300" s="7" t="n">
        <v>1.2</v>
      </c>
      <c r="H300" s="7" t="n">
        <v>0</v>
      </c>
      <c r="I300" s="7" t="n">
        <v>-1.2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23155083501</t>
        </is>
      </c>
      <c r="D301" s="5" t="inlineStr">
        <is>
          <t>HYDRALAZINE HCL 100MG TABLET</t>
        </is>
      </c>
      <c r="E301" s="6" t="inlineStr">
        <is>
          <t>100.0</t>
        </is>
      </c>
      <c r="F301" s="7" t="n">
        <v>540</v>
      </c>
      <c r="G301" s="7" t="n">
        <v>5.4</v>
      </c>
      <c r="H301" s="7" t="n">
        <v>3</v>
      </c>
      <c r="I301" s="7" t="n">
        <v>-2.4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00713068231</t>
        </is>
      </c>
      <c r="D302" s="5" t="inlineStr">
        <is>
          <t>GENTAMICIN SULFATE 0.1 % EXTERNAL OINTMENT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0</v>
      </c>
      <c r="I302" s="7" t="n">
        <v>-1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42571023530</t>
        </is>
      </c>
      <c r="D303" s="5" t="inlineStr">
        <is>
          <t>AMLODIPINE-OLMESARTAN 5-20MG TABLET</t>
        </is>
      </c>
      <c r="E303" s="6" t="inlineStr">
        <is>
          <t>30.0</t>
        </is>
      </c>
      <c r="F303" s="7" t="n">
        <v>120</v>
      </c>
      <c r="G303" s="7" t="n">
        <v>4</v>
      </c>
      <c r="H303" s="7" t="n">
        <v>0</v>
      </c>
      <c r="I303" s="7" t="n">
        <v>-4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00603516632</t>
        </is>
      </c>
      <c r="D305" s="5" t="inlineStr">
        <is>
          <t>PHENOBARBITAL 32.4 MG TABLET</t>
        </is>
      </c>
      <c r="E305" s="6" t="inlineStr">
        <is>
          <t>1000.0</t>
        </is>
      </c>
      <c r="F305" s="7" t="n">
        <v>60</v>
      </c>
      <c r="G305" s="7" t="n">
        <v>0.06</v>
      </c>
      <c r="H305" s="7" t="n">
        <v>0</v>
      </c>
      <c r="I305" s="7" t="n">
        <v>-0.06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00054350049</t>
        </is>
      </c>
      <c r="D306" s="5" t="inlineStr">
        <is>
          <t>LIDOCAINE VISCOUS 2 % ORAL SOLUTION</t>
        </is>
      </c>
      <c r="E306" s="6" t="inlineStr">
        <is>
          <t>100.0</t>
        </is>
      </c>
      <c r="F306" s="7" t="n">
        <v>400</v>
      </c>
      <c r="G306" s="7" t="n">
        <v>4</v>
      </c>
      <c r="H306" s="7" t="n">
        <v>3</v>
      </c>
      <c r="I306" s="7" t="n">
        <v>-1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00093720210</t>
        </is>
      </c>
      <c r="D307" s="5" t="inlineStr">
        <is>
          <t>PRAVASTATIN 40MG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00378210005</t>
        </is>
      </c>
      <c r="D308" s="5" t="inlineStr">
        <is>
          <t xml:space="preserve">LOPERAMIDE 2MG CAP </t>
        </is>
      </c>
      <c r="E308" s="6" t="inlineStr">
        <is>
          <t>500.0</t>
        </is>
      </c>
      <c r="F308" s="7" t="n">
        <v>54</v>
      </c>
      <c r="G308" s="7" t="n">
        <v>0.108</v>
      </c>
      <c r="H308" s="7" t="n">
        <v>0</v>
      </c>
      <c r="I308" s="7" t="n">
        <v>-0.108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62332064531</t>
        </is>
      </c>
      <c r="D309" s="5" t="inlineStr">
        <is>
          <t>DOXEPIN HCL 50 MG ORAL CAPSULE</t>
        </is>
      </c>
      <c r="E309" s="6" t="inlineStr">
        <is>
          <t>100.0</t>
        </is>
      </c>
      <c r="F309" s="7" t="n">
        <v>90</v>
      </c>
      <c r="G309" s="7" t="n">
        <v>0.9</v>
      </c>
      <c r="H309" s="7" t="n">
        <v>0</v>
      </c>
      <c r="I309" s="7" t="n">
        <v>-0.9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70010006310</t>
        </is>
      </c>
      <c r="D310" s="5" t="inlineStr">
        <is>
          <t>METFORMIN HCL 500 MG TABLET</t>
        </is>
      </c>
      <c r="E310" s="6" t="inlineStr">
        <is>
          <t>1000.0</t>
        </is>
      </c>
      <c r="F310" s="7" t="n">
        <v>1440</v>
      </c>
      <c r="G310" s="7" t="n">
        <v>1.44</v>
      </c>
      <c r="H310" s="7" t="n">
        <v>2</v>
      </c>
      <c r="I310" s="7" t="n">
        <v>0.5600000000000001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24208048610</t>
        </is>
      </c>
      <c r="D311" s="5" t="inlineStr">
        <is>
          <t xml:space="preserve">DORZOLAMID-TIMOLO 22.3-6.8MG/ML (EYE) </t>
        </is>
      </c>
      <c r="E311" s="6" t="inlineStr">
        <is>
          <t>10.0</t>
        </is>
      </c>
      <c r="F311" s="7" t="n">
        <v>30</v>
      </c>
      <c r="G311" s="7" t="n">
        <v>3</v>
      </c>
      <c r="H311" s="7" t="n">
        <v>0</v>
      </c>
      <c r="I311" s="7" t="n">
        <v>-3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00378632377</t>
        </is>
      </c>
      <c r="D312" s="5" t="inlineStr">
        <is>
          <t>VALSARTAN-HCTZ 160-25MG TABLET</t>
        </is>
      </c>
      <c r="E312" s="6" t="inlineStr">
        <is>
          <t>90.0</t>
        </is>
      </c>
      <c r="F312" s="7" t="n">
        <v>90</v>
      </c>
      <c r="G312" s="7" t="n">
        <v>1</v>
      </c>
      <c r="H312" s="7" t="n">
        <v>2</v>
      </c>
      <c r="I312" s="7" t="n">
        <v>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47781001301</t>
        </is>
      </c>
      <c r="D313" s="5" t="inlineStr">
        <is>
          <t>HYOSCYAMINE SULFATE 0.125MG TABLET</t>
        </is>
      </c>
      <c r="E313" s="6" t="inlineStr">
        <is>
          <t>100.0</t>
        </is>
      </c>
      <c r="F313" s="7" t="n">
        <v>40</v>
      </c>
      <c r="G313" s="7" t="n">
        <v>0.4</v>
      </c>
      <c r="H313" s="7" t="n">
        <v>0</v>
      </c>
      <c r="I313" s="7" t="n">
        <v>-0.4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00536110301</t>
        </is>
      </c>
      <c r="D314" s="5" t="inlineStr">
        <is>
          <t>ALCOHOL PREP 70 % PAD CVS</t>
        </is>
      </c>
      <c r="E314" s="6" t="inlineStr">
        <is>
          <t>100.0</t>
        </is>
      </c>
      <c r="F314" s="7" t="n">
        <v>1100</v>
      </c>
      <c r="G314" s="7" t="n">
        <v>11</v>
      </c>
      <c r="H314" s="7" t="n">
        <v>0</v>
      </c>
      <c r="I314" s="7" t="n">
        <v>-11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33342033380</t>
        </is>
      </c>
      <c r="D316" s="5" t="inlineStr">
        <is>
          <t>TRIAMCINOLONE ACETONIDE 0.1 % EXTERNAL OINTMENT</t>
        </is>
      </c>
      <c r="E316" s="6" t="inlineStr">
        <is>
          <t>80.0</t>
        </is>
      </c>
      <c r="F316" s="7" t="n">
        <v>240</v>
      </c>
      <c r="G316" s="7" t="n">
        <v>3</v>
      </c>
      <c r="H316" s="7" t="n">
        <v>8</v>
      </c>
      <c r="I316" s="7" t="n">
        <v>5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70756040411</t>
        </is>
      </c>
      <c r="D317" s="5" t="inlineStr">
        <is>
          <t>NITROFURANTOIN MONOHYD MACRO 100 MG ORAL CAPSULE</t>
        </is>
      </c>
      <c r="E317" s="6" t="inlineStr">
        <is>
          <t>100.0</t>
        </is>
      </c>
      <c r="F317" s="7" t="n">
        <v>48</v>
      </c>
      <c r="G317" s="7" t="n">
        <v>0.48</v>
      </c>
      <c r="H317" s="7" t="n">
        <v>2</v>
      </c>
      <c r="I317" s="7" t="n">
        <v>1.52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65862052205</t>
        </is>
      </c>
      <c r="D318" s="5" t="inlineStr">
        <is>
          <t>NAPROXEN 500MG TABLET</t>
        </is>
      </c>
      <c r="E318" s="6" t="inlineStr">
        <is>
          <t>500.0</t>
        </is>
      </c>
      <c r="F318" s="7" t="n">
        <v>270</v>
      </c>
      <c r="G318" s="7" t="n">
        <v>0.54</v>
      </c>
      <c r="H318" s="7" t="n">
        <v>0</v>
      </c>
      <c r="I318" s="7" t="n">
        <v>-0.54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61314022705</t>
        </is>
      </c>
      <c r="D319" s="5" t="inlineStr">
        <is>
          <t>TIMOLOL MALEATE 0.5% SOLUTION</t>
        </is>
      </c>
      <c r="E319" s="6" t="inlineStr">
        <is>
          <t>5.0</t>
        </is>
      </c>
      <c r="F319" s="7" t="n">
        <v>10</v>
      </c>
      <c r="G319" s="7" t="n">
        <v>2</v>
      </c>
      <c r="H319" s="7" t="n">
        <v>6</v>
      </c>
      <c r="I319" s="7" t="n">
        <v>4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59651002988</t>
        </is>
      </c>
      <c r="D320" s="5" t="inlineStr">
        <is>
          <t>LO-ZUMANDIMINE 3-0.02 MG ORAL TABLET</t>
        </is>
      </c>
      <c r="E320" s="6" t="inlineStr">
        <is>
          <t>84.0</t>
        </is>
      </c>
      <c r="F320" s="7" t="n">
        <v>84</v>
      </c>
      <c r="G320" s="7" t="n">
        <v>1</v>
      </c>
      <c r="H320" s="7" t="n">
        <v>0</v>
      </c>
      <c r="I320" s="7" t="n">
        <v>-1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33342005144</t>
        </is>
      </c>
      <c r="D321" s="5" t="inlineStr">
        <is>
          <t>LOSARTANHCTZ 100-12.5 MG TABLET</t>
        </is>
      </c>
      <c r="E321" s="6" t="inlineStr">
        <is>
          <t>1000.0</t>
        </is>
      </c>
      <c r="F321" s="7" t="n">
        <v>180</v>
      </c>
      <c r="G321" s="7" t="n">
        <v>0.18</v>
      </c>
      <c r="H321" s="7" t="n">
        <v>0</v>
      </c>
      <c r="I321" s="7" t="n">
        <v>-0.18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61314001910</t>
        </is>
      </c>
      <c r="D323" s="5" t="inlineStr">
        <is>
          <t>DORZOLAMIDE HCL 2% SOLUTION</t>
        </is>
      </c>
      <c r="E323" s="6" t="inlineStr">
        <is>
          <t>10.0</t>
        </is>
      </c>
      <c r="F323" s="7" t="n">
        <v>30</v>
      </c>
      <c r="G323" s="7" t="n">
        <v>3</v>
      </c>
      <c r="H323" s="7" t="n">
        <v>0</v>
      </c>
      <c r="I323" s="7" t="n">
        <v>-3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62559051001</t>
        </is>
      </c>
      <c r="D324" s="5" t="inlineStr">
        <is>
          <t>INDAPAMIDE 1.25MG TABLET</t>
        </is>
      </c>
      <c r="E324" s="6" t="inlineStr">
        <is>
          <t>100.0</t>
        </is>
      </c>
      <c r="F324" s="7" t="n">
        <v>120</v>
      </c>
      <c r="G324" s="7" t="n">
        <v>1.2</v>
      </c>
      <c r="H324" s="7" t="n">
        <v>0</v>
      </c>
      <c r="I324" s="7" t="n">
        <v>-1.2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68382009305</t>
        </is>
      </c>
      <c r="D325" s="5" t="inlineStr">
        <is>
          <t xml:space="preserve">CARVEDILOL 6.25MG TAB </t>
        </is>
      </c>
      <c r="E325" s="6" t="inlineStr">
        <is>
          <t>500.0</t>
        </is>
      </c>
      <c r="F325" s="7" t="n">
        <v>1260</v>
      </c>
      <c r="G325" s="7" t="n">
        <v>2.52</v>
      </c>
      <c r="H325" s="7" t="n">
        <v>0</v>
      </c>
      <c r="I325" s="7" t="n">
        <v>-2.52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00168008031</t>
        </is>
      </c>
      <c r="D326" s="5" t="inlineStr">
        <is>
          <t>HYDROCORTISONE 2.5% CREAM</t>
        </is>
      </c>
      <c r="E326" s="6" t="inlineStr">
        <is>
          <t>30.0</t>
        </is>
      </c>
      <c r="F326" s="7" t="n">
        <v>180</v>
      </c>
      <c r="G326" s="7" t="n">
        <v>6</v>
      </c>
      <c r="H326" s="7" t="n">
        <v>7</v>
      </c>
      <c r="I326" s="7" t="n">
        <v>1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64980051401</t>
        </is>
      </c>
      <c r="D327" s="5" t="inlineStr">
        <is>
          <t>TIMOLOL MALEATE 0.5% SOLUTION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69238207807</t>
        </is>
      </c>
      <c r="D328" s="5" t="inlineStr">
        <is>
          <t>PROPRANOLOL HCL 20 MG ORAL TABLET</t>
        </is>
      </c>
      <c r="E328" s="6" t="inlineStr">
        <is>
          <t>1000.0</t>
        </is>
      </c>
      <c r="F328" s="7" t="n">
        <v>450</v>
      </c>
      <c r="G328" s="7" t="n">
        <v>0.45</v>
      </c>
      <c r="H328" s="7" t="n">
        <v>0</v>
      </c>
      <c r="I328" s="7" t="n">
        <v>-0.45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00378050501</t>
        </is>
      </c>
      <c r="D330" s="5" t="inlineStr">
        <is>
          <t>BISOPROLOL-HCTZ 10-6.25MG TABLET</t>
        </is>
      </c>
      <c r="E330" s="6" t="inlineStr">
        <is>
          <t>100.0</t>
        </is>
      </c>
      <c r="F330" s="7" t="n">
        <v>120</v>
      </c>
      <c r="G330" s="7" t="n">
        <v>1.2</v>
      </c>
      <c r="H330" s="7" t="n">
        <v>0</v>
      </c>
      <c r="I330" s="7" t="n">
        <v>-1.2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69367039505</t>
        </is>
      </c>
      <c r="D332" s="5" t="inlineStr">
        <is>
          <t>IBUPROFEN 600 MG TABLET</t>
        </is>
      </c>
      <c r="E332" s="6" t="inlineStr">
        <is>
          <t>500.0</t>
        </is>
      </c>
      <c r="F332" s="7" t="n">
        <v>751</v>
      </c>
      <c r="G332" s="7" t="n">
        <v>1.502</v>
      </c>
      <c r="H332" s="7" t="n">
        <v>2</v>
      </c>
      <c r="I332" s="7" t="n">
        <v>0.498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68180051802</t>
        </is>
      </c>
      <c r="D333" s="5" t="inlineStr">
        <is>
          <t xml:space="preserve">LISINOPRIL-HCTZ 10-12.5MG TAB </t>
        </is>
      </c>
      <c r="E333" s="6" t="inlineStr">
        <is>
          <t>500.0</t>
        </is>
      </c>
      <c r="F333" s="7" t="n">
        <v>180</v>
      </c>
      <c r="G333" s="7" t="n">
        <v>0.36</v>
      </c>
      <c r="H333" s="7" t="n">
        <v>2</v>
      </c>
      <c r="I333" s="7" t="n">
        <v>1.64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43598097710</t>
        </is>
      </c>
      <c r="D334" s="5" t="inlineStr">
        <is>
          <t>DICLOFENAC SODIUM 1 % EXT GEL **NYM</t>
        </is>
      </c>
      <c r="E334" s="6" t="inlineStr">
        <is>
          <t>100.0</t>
        </is>
      </c>
      <c r="F334" s="7" t="n">
        <v>300</v>
      </c>
      <c r="G334" s="7" t="n">
        <v>3</v>
      </c>
      <c r="H334" s="7" t="n">
        <v>48</v>
      </c>
      <c r="I334" s="7" t="n">
        <v>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51672130406</t>
        </is>
      </c>
      <c r="D335" s="5" t="inlineStr">
        <is>
          <t>TERCONAZOLE 0.4% CREAM</t>
        </is>
      </c>
      <c r="E335" s="6" t="inlineStr">
        <is>
          <t>45.0</t>
        </is>
      </c>
      <c r="F335" s="7" t="n">
        <v>45</v>
      </c>
      <c r="G335" s="7" t="n">
        <v>1</v>
      </c>
      <c r="H335" s="7" t="n">
        <v>0</v>
      </c>
      <c r="I335" s="7" t="n">
        <v>-1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65862052405</t>
        </is>
      </c>
      <c r="D337" s="5" t="inlineStr">
        <is>
          <t>GABAPENTIN 800 MG TABLET</t>
        </is>
      </c>
      <c r="E337" s="6" t="inlineStr">
        <is>
          <t>500.0</t>
        </is>
      </c>
      <c r="F337" s="7" t="n">
        <v>450</v>
      </c>
      <c r="G337" s="7" t="n">
        <v>0.9</v>
      </c>
      <c r="H337" s="7" t="n">
        <v>2</v>
      </c>
      <c r="I337" s="7" t="n">
        <v>1.1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00378705752</t>
        </is>
      </c>
      <c r="D338" s="5" t="inlineStr">
        <is>
          <t>ALBUTEROL SULFATE 0.63 MG/3ML INHALATION NEBULIZATION SOLUTION</t>
        </is>
      </c>
      <c r="E338" s="6" t="inlineStr">
        <is>
          <t>75.0</t>
        </is>
      </c>
      <c r="F338" s="7" t="n">
        <v>150</v>
      </c>
      <c r="G338" s="7" t="n">
        <v>2</v>
      </c>
      <c r="H338" s="7" t="n">
        <v>0</v>
      </c>
      <c r="I338" s="7" t="n">
        <v>-2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70752013812</t>
        </is>
      </c>
      <c r="D339" s="5" t="inlineStr">
        <is>
          <t>PROMETHAZINE HCL 6.25 MG/5ML ORAL SOLUTION</t>
        </is>
      </c>
      <c r="E339" s="6" t="inlineStr">
        <is>
          <t>473.0</t>
        </is>
      </c>
      <c r="F339" s="7" t="n">
        <v>560</v>
      </c>
      <c r="G339" s="7" t="n">
        <v>1.183932346723044</v>
      </c>
      <c r="H339" s="7" t="n">
        <v>0</v>
      </c>
      <c r="I339" s="7" t="n">
        <v>-1.183932346723044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94030000268</t>
        </is>
      </c>
      <c r="D340" s="5" t="inlineStr">
        <is>
          <t>LANCING DEVICE EMBRACE</t>
        </is>
      </c>
      <c r="E340" s="6" t="inlineStr">
        <is>
          <t>1.0</t>
        </is>
      </c>
      <c r="F340" s="7" t="n">
        <v>1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69315016401</t>
        </is>
      </c>
      <c r="D342" s="5" t="inlineStr">
        <is>
          <t>HYDROXYUREA 500MG CAPSULE</t>
        </is>
      </c>
      <c r="E342" s="6" t="inlineStr">
        <is>
          <t>100.0</t>
        </is>
      </c>
      <c r="F342" s="7" t="n">
        <v>90</v>
      </c>
      <c r="G342" s="7" t="n">
        <v>0.9</v>
      </c>
      <c r="H342" s="7" t="n">
        <v>0</v>
      </c>
      <c r="I342" s="7" t="n">
        <v>-0.9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72888003700</t>
        </is>
      </c>
      <c r="D343" s="5" t="inlineStr">
        <is>
          <t xml:space="preserve">CARVEDILOL 25 MG TABLET </t>
        </is>
      </c>
      <c r="E343" s="6" t="inlineStr">
        <is>
          <t>1000.0</t>
        </is>
      </c>
      <c r="F343" s="7" t="n">
        <v>600</v>
      </c>
      <c r="G343" s="7" t="n">
        <v>0.6</v>
      </c>
      <c r="H343" s="7" t="n">
        <v>0</v>
      </c>
      <c r="I343" s="7" t="n">
        <v>-0.6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43598012105</t>
        </is>
      </c>
      <c r="D344" s="5" t="inlineStr">
        <is>
          <t>CLOPIDOGREL BISULFATE 75 MG ORAL TABLET</t>
        </is>
      </c>
      <c r="E344" s="6" t="inlineStr">
        <is>
          <t>500.0</t>
        </is>
      </c>
      <c r="F344" s="7" t="n">
        <v>584</v>
      </c>
      <c r="G344" s="7" t="n">
        <v>1.168</v>
      </c>
      <c r="H344" s="7" t="n">
        <v>0</v>
      </c>
      <c r="I344" s="7" t="n">
        <v>-1.168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42571023790</t>
        </is>
      </c>
      <c r="D345" s="5" t="inlineStr">
        <is>
          <t>AMLODIPINE-OLMESARTAN 5-40MG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51672131201</t>
        </is>
      </c>
      <c r="D346" s="5" t="inlineStr">
        <is>
          <t>MUPIROCIN 2 % EXTERNAL OINTMENT</t>
        </is>
      </c>
      <c r="E346" s="6" t="inlineStr">
        <is>
          <t>15.0</t>
        </is>
      </c>
      <c r="F346" s="7" t="n">
        <v>45</v>
      </c>
      <c r="G346" s="7" t="n">
        <v>3</v>
      </c>
      <c r="H346" s="7" t="n">
        <v>3</v>
      </c>
      <c r="I346" s="7" t="n">
        <v>0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00713068631</t>
        </is>
      </c>
      <c r="D347" s="5" t="inlineStr">
        <is>
          <t>NYSTATIN 100000UNIT/GM OINTMENT</t>
        </is>
      </c>
      <c r="E347" s="6" t="inlineStr">
        <is>
          <t>30.0</t>
        </is>
      </c>
      <c r="F347" s="7" t="n">
        <v>30</v>
      </c>
      <c r="G347" s="7" t="n">
        <v>1</v>
      </c>
      <c r="H347" s="7" t="n">
        <v>0</v>
      </c>
      <c r="I347" s="7" t="n">
        <v>-1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68180047201</t>
        </is>
      </c>
      <c r="D348" s="5" t="inlineStr">
        <is>
          <t>AMLODIPINE-BENAZEPRIL 10-20MG CAPSULE</t>
        </is>
      </c>
      <c r="E348" s="6" t="inlineStr">
        <is>
          <t>100.0</t>
        </is>
      </c>
      <c r="F348" s="7" t="n">
        <v>90</v>
      </c>
      <c r="G348" s="7" t="n">
        <v>0.9</v>
      </c>
      <c r="H348" s="7" t="n">
        <v>0</v>
      </c>
      <c r="I348" s="7" t="n">
        <v>-0.9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65862058501</t>
        </is>
      </c>
      <c r="D349" s="5" t="inlineStr">
        <is>
          <t>AMLODIPINE-BENAZEPRIL 5-40 MG CAPSULE</t>
        </is>
      </c>
      <c r="E349" s="6" t="inlineStr">
        <is>
          <t>100.0</t>
        </is>
      </c>
      <c r="F349" s="7" t="n">
        <v>90</v>
      </c>
      <c r="G349" s="7" t="n">
        <v>0.9</v>
      </c>
      <c r="H349" s="7" t="n">
        <v>0</v>
      </c>
      <c r="I349" s="7" t="n">
        <v>-0.9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55111058601</t>
        </is>
      </c>
      <c r="D350" s="5" t="inlineStr">
        <is>
          <t>AMLODIPINE BENAZEPRIL 10-40MG CAPSULE</t>
        </is>
      </c>
      <c r="E350" s="6" t="inlineStr">
        <is>
          <t>100.0</t>
        </is>
      </c>
      <c r="F350" s="7" t="n">
        <v>90</v>
      </c>
      <c r="G350" s="7" t="n">
        <v>0.9</v>
      </c>
      <c r="H350" s="7" t="n">
        <v>0</v>
      </c>
      <c r="I350" s="7" t="n">
        <v>-0.9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57237022105</t>
        </is>
      </c>
      <c r="D351" s="5" t="inlineStr">
        <is>
          <t>PIOGLITAZONE 45MG TABLET</t>
        </is>
      </c>
      <c r="E351" s="6" t="inlineStr">
        <is>
          <t>500.0</t>
        </is>
      </c>
      <c r="F351" s="7" t="n">
        <v>90</v>
      </c>
      <c r="G351" s="7" t="n">
        <v>0.18</v>
      </c>
      <c r="H351" s="7" t="n">
        <v>0</v>
      </c>
      <c r="I351" s="7" t="n">
        <v>-0.18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73473030370</t>
        </is>
      </c>
      <c r="D352" s="5" t="inlineStr">
        <is>
          <t>METRONIDAZOLE 0.75% VAGINAL GEL</t>
        </is>
      </c>
      <c r="E352" s="6" t="inlineStr">
        <is>
          <t>70.0</t>
        </is>
      </c>
      <c r="F352" s="7" t="n">
        <v>70</v>
      </c>
      <c r="G352" s="7" t="n">
        <v>1</v>
      </c>
      <c r="H352" s="7" t="n">
        <v>0</v>
      </c>
      <c r="I352" s="7" t="n">
        <v>-1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120</v>
      </c>
      <c r="G353" s="7" t="n">
        <v>1.2</v>
      </c>
      <c r="H353" s="7" t="n">
        <v>3</v>
      </c>
      <c r="I353" s="7" t="n">
        <v>1.8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70377000613</t>
        </is>
      </c>
      <c r="D355" s="5" t="inlineStr">
        <is>
          <t>ROSUVASTATIN 5MG TABLET</t>
        </is>
      </c>
      <c r="E355" s="6" t="inlineStr">
        <is>
          <t>500.0</t>
        </is>
      </c>
      <c r="F355" s="7" t="n">
        <v>240</v>
      </c>
      <c r="G355" s="7" t="n">
        <v>0.48</v>
      </c>
      <c r="H355" s="7" t="n">
        <v>0</v>
      </c>
      <c r="I355" s="7" t="n">
        <v>-0.48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21922002107</t>
        </is>
      </c>
      <c r="D356" s="5" t="inlineStr">
        <is>
          <t>PERMETHRIN 5 % EXTERNAL CREAM</t>
        </is>
      </c>
      <c r="E356" s="6" t="inlineStr">
        <is>
          <t>60.0</t>
        </is>
      </c>
      <c r="F356" s="7" t="n">
        <v>60</v>
      </c>
      <c r="G356" s="7" t="n">
        <v>1</v>
      </c>
      <c r="H356" s="7" t="n">
        <v>0</v>
      </c>
      <c r="I356" s="7" t="n">
        <v>-1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68180087673</t>
        </is>
      </c>
      <c r="D357" s="5" t="inlineStr">
        <is>
          <t xml:space="preserve">NORETHINDRONE 0.35MG TABLET </t>
        </is>
      </c>
      <c r="E357" s="6" t="inlineStr">
        <is>
          <t>84.0</t>
        </is>
      </c>
      <c r="F357" s="7" t="n">
        <v>28</v>
      </c>
      <c r="G357" s="7" t="n">
        <v>0.3333333333333333</v>
      </c>
      <c r="H357" s="7" t="n">
        <v>2</v>
      </c>
      <c r="I357" s="7" t="n">
        <v>1.666666666666667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16729009016</t>
        </is>
      </c>
      <c r="D359" s="5" t="inlineStr">
        <is>
          <t xml:space="preserve">FINASTERIDE 5MG TAB </t>
        </is>
      </c>
      <c r="E359" s="6" t="inlineStr">
        <is>
          <t>500.0</t>
        </is>
      </c>
      <c r="F359" s="7" t="n">
        <v>330</v>
      </c>
      <c r="G359" s="7" t="n">
        <v>0.66</v>
      </c>
      <c r="H359" s="7" t="n">
        <v>0</v>
      </c>
      <c r="I359" s="7" t="n">
        <v>-0.66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10702005601</t>
        </is>
      </c>
      <c r="D360" s="5" t="inlineStr">
        <is>
          <t>OXYCODONE HCL 10 MG ORAL TABLET</t>
        </is>
      </c>
      <c r="E360" s="6" t="inlineStr">
        <is>
          <t>100.0</t>
        </is>
      </c>
      <c r="F360" s="7" t="n">
        <v>120</v>
      </c>
      <c r="G360" s="7" t="n">
        <v>1.2</v>
      </c>
      <c r="H360" s="7" t="n">
        <v>6</v>
      </c>
      <c r="I360" s="7" t="n">
        <v>4.8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69315030810</t>
        </is>
      </c>
      <c r="D361" s="5" t="inlineStr">
        <is>
          <t>CIPROFLOXACIN HCL 0.3 % OPHTHALMIC SOLUTION</t>
        </is>
      </c>
      <c r="E361" s="6" t="inlineStr">
        <is>
          <t>10.0</t>
        </is>
      </c>
      <c r="F361" s="7" t="n">
        <v>10</v>
      </c>
      <c r="G361" s="7" t="n">
        <v>1</v>
      </c>
      <c r="H361" s="7" t="n">
        <v>3</v>
      </c>
      <c r="I361" s="7" t="n">
        <v>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00378910293</t>
        </is>
      </c>
      <c r="D362" s="5" t="inlineStr">
        <is>
          <t>NITROGLYCERIN 0.1 MG/HR TRANSDERMAL PATCH 24 HOUR</t>
        </is>
      </c>
      <c r="E362" s="6" t="inlineStr">
        <is>
          <t>30.0</t>
        </is>
      </c>
      <c r="F362" s="7" t="n">
        <v>30</v>
      </c>
      <c r="G362" s="7" t="n">
        <v>1</v>
      </c>
      <c r="H362" s="7" t="n">
        <v>1</v>
      </c>
      <c r="I362" s="7" t="n">
        <v>0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70069008101</t>
        </is>
      </c>
      <c r="D363" s="5" t="inlineStr">
        <is>
          <t>MOXIFLOXACIN HCL 0.5 % OPHTHALMIC SOLUTION</t>
        </is>
      </c>
      <c r="E363" s="6" t="inlineStr">
        <is>
          <t>3.0</t>
        </is>
      </c>
      <c r="F363" s="7" t="n">
        <v>6</v>
      </c>
      <c r="G363" s="7" t="n">
        <v>2</v>
      </c>
      <c r="H363" s="7" t="n">
        <v>0</v>
      </c>
      <c r="I363" s="7" t="n">
        <v>-2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42192071506</t>
        </is>
      </c>
      <c r="D364" s="5" t="inlineStr">
        <is>
          <t>CICLOPIROX 8 % EXTERNAL SOLUTION</t>
        </is>
      </c>
      <c r="E364" s="6" t="inlineStr">
        <is>
          <t>6.6</t>
        </is>
      </c>
      <c r="F364" s="7" t="n">
        <v>6.6</v>
      </c>
      <c r="G364" s="7" t="n">
        <v>1</v>
      </c>
      <c r="H364" s="7" t="n">
        <v>8</v>
      </c>
      <c r="I364" s="7" t="n">
        <v>7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45802005911</t>
        </is>
      </c>
      <c r="D365" s="5" t="inlineStr">
        <is>
          <t>NYSTATIN 100000UNIT/GM CREAM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0</v>
      </c>
      <c r="I365" s="7" t="n">
        <v>-1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67877043405</t>
        </is>
      </c>
      <c r="D366" s="5" t="inlineStr">
        <is>
          <t>ARIPIPRAZOLE 20 MG ORAL TABLET</t>
        </is>
      </c>
      <c r="E366" s="6" t="inlineStr">
        <is>
          <t>500.0</t>
        </is>
      </c>
      <c r="F366" s="7" t="n">
        <v>30</v>
      </c>
      <c r="G366" s="7" t="n">
        <v>0.06</v>
      </c>
      <c r="H366" s="7" t="n">
        <v>0</v>
      </c>
      <c r="I366" s="7" t="n">
        <v>-0.06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43547027611</t>
        </is>
      </c>
      <c r="D367" s="5" t="inlineStr">
        <is>
          <t xml:space="preserve">DONEPEZIL 10MG TAB </t>
        </is>
      </c>
      <c r="E367" s="6" t="inlineStr">
        <is>
          <t>1000.0</t>
        </is>
      </c>
      <c r="F367" s="7" t="n">
        <v>360</v>
      </c>
      <c r="G367" s="7" t="n">
        <v>0.36</v>
      </c>
      <c r="H367" s="7" t="n">
        <v>1</v>
      </c>
      <c r="I367" s="7" t="n">
        <v>0.64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00536105227</t>
        </is>
      </c>
      <c r="D368" s="5" t="inlineStr">
        <is>
          <t>POLYETHYLENE GLYCOL 3350 17GM/SCOOP POWDER</t>
        </is>
      </c>
      <c r="E368" s="6" t="inlineStr">
        <is>
          <t>510.0</t>
        </is>
      </c>
      <c r="F368" s="7" t="n">
        <v>1020</v>
      </c>
      <c r="G368" s="7" t="n">
        <v>2</v>
      </c>
      <c r="H368" s="7" t="n">
        <v>20</v>
      </c>
      <c r="I368" s="7" t="n">
        <v>18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42192060716</t>
        </is>
      </c>
      <c r="D369" s="5" t="inlineStr">
        <is>
          <t>PSEUDOEPH-BROMPHEN-DM 30-2-10 MG/5ML ORAL SYRUP</t>
        </is>
      </c>
      <c r="E369" s="6" t="inlineStr">
        <is>
          <t>473.0</t>
        </is>
      </c>
      <c r="F369" s="7" t="n">
        <v>200</v>
      </c>
      <c r="G369" s="7" t="n">
        <v>0.4228329809725159</v>
      </c>
      <c r="H369" s="7" t="n">
        <v>0</v>
      </c>
      <c r="I369" s="7" t="n">
        <v>-0.4228329809725159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00832011150</t>
        </is>
      </c>
      <c r="D371" s="5" t="inlineStr">
        <is>
          <t>AMANTADINE 100MG TABLET</t>
        </is>
      </c>
      <c r="E371" s="6" t="inlineStr">
        <is>
          <t>500.0</t>
        </is>
      </c>
      <c r="F371" s="7" t="n">
        <v>30</v>
      </c>
      <c r="G371" s="7" t="n">
        <v>0.06</v>
      </c>
      <c r="H371" s="7" t="n">
        <v>0</v>
      </c>
      <c r="I371" s="7" t="n">
        <v>-0.06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00378797052</t>
        </is>
      </c>
      <c r="D372" s="5" t="inlineStr">
        <is>
          <t>IPRATROPIUM BROMIDE 0.02 % INHALATION SOLUTION</t>
        </is>
      </c>
      <c r="E372" s="6" t="inlineStr">
        <is>
          <t>62.5</t>
        </is>
      </c>
      <c r="F372" s="7" t="n">
        <v>125</v>
      </c>
      <c r="G372" s="7" t="n">
        <v>2</v>
      </c>
      <c r="H372" s="7" t="n">
        <v>0</v>
      </c>
      <c r="I372" s="7" t="n">
        <v>-2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50111045002</t>
        </is>
      </c>
      <c r="D373" s="5" t="inlineStr">
        <is>
          <t>TRAZODONE 150MG TABLET</t>
        </is>
      </c>
      <c r="E373" s="6" t="inlineStr">
        <is>
          <t>500.0</t>
        </is>
      </c>
      <c r="F373" s="7" t="n">
        <v>90</v>
      </c>
      <c r="G373" s="7" t="n">
        <v>0.18</v>
      </c>
      <c r="H373" s="7" t="n">
        <v>0</v>
      </c>
      <c r="I373" s="7" t="n">
        <v>-0.18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51672126403</t>
        </is>
      </c>
      <c r="D374" s="5" t="inlineStr">
        <is>
          <t>FLUOCINONIDE 0.05 % EXTERNAL OINTMENT</t>
        </is>
      </c>
      <c r="E374" s="6" t="inlineStr">
        <is>
          <t>60.0</t>
        </is>
      </c>
      <c r="F374" s="7" t="n">
        <v>60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62332008531</t>
        </is>
      </c>
      <c r="D375" s="5" t="inlineStr">
        <is>
          <t>FENOFIBRATE MICRONIZED 134MG CAPSULE</t>
        </is>
      </c>
      <c r="E375" s="6" t="inlineStr">
        <is>
          <t>100.0</t>
        </is>
      </c>
      <c r="F375" s="7" t="n">
        <v>90</v>
      </c>
      <c r="G375" s="7" t="n">
        <v>0.9</v>
      </c>
      <c r="H375" s="7" t="n">
        <v>3</v>
      </c>
      <c r="I375" s="7" t="n">
        <v>2.1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70377004812</t>
        </is>
      </c>
      <c r="D376" s="5" t="inlineStr">
        <is>
          <t>PRAVASTATIN 80MG TABLET</t>
        </is>
      </c>
      <c r="E376" s="6" t="inlineStr">
        <is>
          <t>90.0</t>
        </is>
      </c>
      <c r="F376" s="7" t="n">
        <v>30</v>
      </c>
      <c r="G376" s="7" t="n">
        <v>0.3333333333333333</v>
      </c>
      <c r="H376" s="7" t="n">
        <v>0</v>
      </c>
      <c r="I376" s="7" t="n">
        <v>-0.3333333333333333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57237022005</t>
        </is>
      </c>
      <c r="D377" s="5" t="inlineStr">
        <is>
          <t>PIOGLITAZONE 30MG TABLET</t>
        </is>
      </c>
      <c r="E377" s="6" t="inlineStr">
        <is>
          <t>500.0</t>
        </is>
      </c>
      <c r="F377" s="7" t="n">
        <v>180</v>
      </c>
      <c r="G377" s="7" t="n">
        <v>0.36</v>
      </c>
      <c r="H377" s="7" t="n">
        <v>1</v>
      </c>
      <c r="I377" s="7" t="n">
        <v>0.64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31722013130</t>
        </is>
      </c>
      <c r="D378" s="5" t="inlineStr">
        <is>
          <t xml:space="preserve">DUTASTERIDE 0.5MG CAP </t>
        </is>
      </c>
      <c r="E378" s="6" t="inlineStr">
        <is>
          <t>30.0</t>
        </is>
      </c>
      <c r="F378" s="7" t="n">
        <v>90</v>
      </c>
      <c r="G378" s="7" t="n">
        <v>3</v>
      </c>
      <c r="H378" s="7" t="n">
        <v>0</v>
      </c>
      <c r="I378" s="7" t="n">
        <v>-3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00121087316</t>
        </is>
      </c>
      <c r="D379" s="5" t="inlineStr">
        <is>
          <t>LACTULOSE 10 GM/15ML ORAL SOLUTION</t>
        </is>
      </c>
      <c r="E379" s="6" t="inlineStr">
        <is>
          <t>473.0</t>
        </is>
      </c>
      <c r="F379" s="7" t="n">
        <v>473</v>
      </c>
      <c r="G379" s="7" t="n">
        <v>1</v>
      </c>
      <c r="H379" s="7" t="n">
        <v>0</v>
      </c>
      <c r="I379" s="7" t="n">
        <v>-1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00904731427</t>
        </is>
      </c>
      <c r="D380" s="5" t="inlineStr">
        <is>
          <t>ACETAMINOPHEN ER 650MG TABLET ER</t>
        </is>
      </c>
      <c r="E380" s="6" t="inlineStr">
        <is>
          <t>400.0</t>
        </is>
      </c>
      <c r="F380" s="7" t="n">
        <v>180</v>
      </c>
      <c r="G380" s="7" t="n">
        <v>0.45</v>
      </c>
      <c r="H380" s="7" t="n">
        <v>2</v>
      </c>
      <c r="I380" s="7" t="n">
        <v>1.55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50742025290</t>
        </is>
      </c>
      <c r="D381" s="5" t="inlineStr">
        <is>
          <t>DILTIAZEM 360MG CAPSULE ER</t>
        </is>
      </c>
      <c r="E381" s="6" t="inlineStr">
        <is>
          <t>90.0</t>
        </is>
      </c>
      <c r="F381" s="7" t="n">
        <v>30</v>
      </c>
      <c r="G381" s="7" t="n">
        <v>0.3333333333333333</v>
      </c>
      <c r="H381" s="7" t="n">
        <v>0</v>
      </c>
      <c r="I381" s="7" t="n">
        <v>-0.3333333333333333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69097082312</t>
        </is>
      </c>
      <c r="D382" s="5" t="inlineStr">
        <is>
          <t>CITALOPRAM 20MG TABLET</t>
        </is>
      </c>
      <c r="E382" s="6" t="inlineStr">
        <is>
          <t>500.0</t>
        </is>
      </c>
      <c r="F382" s="7" t="n">
        <v>120</v>
      </c>
      <c r="G382" s="7" t="n">
        <v>0.24</v>
      </c>
      <c r="H382" s="7" t="n">
        <v>0</v>
      </c>
      <c r="I382" s="7" t="n">
        <v>-0.24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60505057804</t>
        </is>
      </c>
      <c r="D383" s="5" t="inlineStr">
        <is>
          <t>AZELASTINE 0.05% OPHTHALMIC SOLUTION</t>
        </is>
      </c>
      <c r="E383" s="6" t="inlineStr">
        <is>
          <t>6.0</t>
        </is>
      </c>
      <c r="F383" s="7" t="n">
        <v>18</v>
      </c>
      <c r="G383" s="7" t="n">
        <v>3</v>
      </c>
      <c r="H383" s="7" t="n">
        <v>0</v>
      </c>
      <c r="I383" s="7" t="n">
        <v>-3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50111056103</t>
        </is>
      </c>
      <c r="D384" s="5" t="inlineStr">
        <is>
          <t>TRAZODONE 100MG TABLET</t>
        </is>
      </c>
      <c r="E384" s="6" t="inlineStr">
        <is>
          <t>1000.0</t>
        </is>
      </c>
      <c r="F384" s="7" t="n">
        <v>120</v>
      </c>
      <c r="G384" s="7" t="n">
        <v>0.12</v>
      </c>
      <c r="H384" s="7" t="n">
        <v>0</v>
      </c>
      <c r="I384" s="7" t="n">
        <v>-0.12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64980032005</t>
        </is>
      </c>
      <c r="D385" s="5" t="inlineStr">
        <is>
          <t>TRIAMCINOLONE ACETONIDE 0.1 % MOUTH/THROAT PASTE</t>
        </is>
      </c>
      <c r="E385" s="6" t="inlineStr">
        <is>
          <t>5.0</t>
        </is>
      </c>
      <c r="F385" s="7" t="n">
        <v>5</v>
      </c>
      <c r="G385" s="7" t="n">
        <v>1</v>
      </c>
      <c r="H385" s="7" t="n">
        <v>0</v>
      </c>
      <c r="I385" s="7" t="n">
        <v>-1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65862016999</t>
        </is>
      </c>
      <c r="D386" s="5" t="inlineStr">
        <is>
          <t>ATENOLOL 50MG TABLET</t>
        </is>
      </c>
      <c r="E386" s="6" t="inlineStr">
        <is>
          <t>1000.0</t>
        </is>
      </c>
      <c r="F386" s="7" t="n">
        <v>360</v>
      </c>
      <c r="G386" s="7" t="n">
        <v>0.36</v>
      </c>
      <c r="H386" s="7" t="n">
        <v>0</v>
      </c>
      <c r="I386" s="7" t="n">
        <v>-0.36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62756014202</t>
        </is>
      </c>
      <c r="D387" s="5" t="inlineStr">
        <is>
          <t xml:space="preserve">METFORMIN ER 500MG TAB </t>
        </is>
      </c>
      <c r="E387" s="6" t="inlineStr">
        <is>
          <t>500.0</t>
        </is>
      </c>
      <c r="F387" s="7" t="n">
        <v>210</v>
      </c>
      <c r="G387" s="7" t="n">
        <v>0.42</v>
      </c>
      <c r="H387" s="7" t="n">
        <v>0</v>
      </c>
      <c r="I387" s="7" t="n">
        <v>-0.42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23155077210</t>
        </is>
      </c>
      <c r="D388" s="5" t="inlineStr">
        <is>
          <t>ENALAPRIL 10MG TABLET</t>
        </is>
      </c>
      <c r="E388" s="6" t="inlineStr">
        <is>
          <t>1000.0</t>
        </is>
      </c>
      <c r="F388" s="7" t="n">
        <v>90</v>
      </c>
      <c r="G388" s="7" t="n">
        <v>0.09</v>
      </c>
      <c r="H388" s="7" t="n">
        <v>0</v>
      </c>
      <c r="I388" s="7" t="n">
        <v>-0.09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67877022210</t>
        </is>
      </c>
      <c r="D389" s="5" t="inlineStr">
        <is>
          <t>GABAPENTIN 100MG CAPSULE</t>
        </is>
      </c>
      <c r="E389" s="6" t="inlineStr">
        <is>
          <t>1000.0</t>
        </is>
      </c>
      <c r="F389" s="7" t="n">
        <v>630</v>
      </c>
      <c r="G389" s="7" t="n">
        <v>0.63</v>
      </c>
      <c r="H389" s="7" t="n">
        <v>0</v>
      </c>
      <c r="I389" s="7" t="n">
        <v>-0.63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70752013005</t>
        </is>
      </c>
      <c r="D390" s="5" t="inlineStr">
        <is>
          <t>TRIAMCINOLONE ACETONIDE 0.1 % EXTERNAL LOTION</t>
        </is>
      </c>
      <c r="E390" s="6" t="inlineStr">
        <is>
          <t>60.0</t>
        </is>
      </c>
      <c r="F390" s="7" t="n">
        <v>60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24208091055</t>
        </is>
      </c>
      <c r="D391" s="5" t="inlineStr">
        <is>
          <t>ERYTHROMYCIN 5MG/GM OINTMENT</t>
        </is>
      </c>
      <c r="E391" s="6" t="inlineStr">
        <is>
          <t>3.5</t>
        </is>
      </c>
      <c r="F391" s="7" t="n">
        <v>3.5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65862073205</t>
        </is>
      </c>
      <c r="D393" s="5" t="inlineStr">
        <is>
          <t>AMIODARONE 200MG TABLET</t>
        </is>
      </c>
      <c r="E393" s="6" t="inlineStr">
        <is>
          <t>500.0</t>
        </is>
      </c>
      <c r="F393" s="7" t="n">
        <v>120</v>
      </c>
      <c r="G393" s="7" t="n">
        <v>0.24</v>
      </c>
      <c r="H393" s="7" t="n">
        <v>0</v>
      </c>
      <c r="I393" s="7" t="n">
        <v>-0.24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68180029603</t>
        </is>
      </c>
      <c r="D394" s="5" t="inlineStr">
        <is>
          <t>DULOXETINE 60MG CAPSULE DR</t>
        </is>
      </c>
      <c r="E394" s="6" t="inlineStr">
        <is>
          <t>1000.0</t>
        </is>
      </c>
      <c r="F394" s="7" t="n">
        <v>60</v>
      </c>
      <c r="G394" s="7" t="n">
        <v>0.06</v>
      </c>
      <c r="H394" s="7" t="n">
        <v>0</v>
      </c>
      <c r="I394" s="7" t="n">
        <v>-0.06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00168035730</t>
        </is>
      </c>
      <c r="D396" s="5" t="inlineStr">
        <is>
          <t>LIDOCAINE-PRILOCAINE 2.5-2.5 % EXTERNAL CREAM</t>
        </is>
      </c>
      <c r="E396" s="6" t="inlineStr">
        <is>
          <t>30.0</t>
        </is>
      </c>
      <c r="F396" s="7" t="n">
        <v>30</v>
      </c>
      <c r="G396" s="7" t="n">
        <v>1</v>
      </c>
      <c r="H396" s="7" t="n">
        <v>0</v>
      </c>
      <c r="I396" s="7" t="n">
        <v>-1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68462043790</t>
        </is>
      </c>
      <c r="D397" s="5" t="inlineStr">
        <is>
          <t>OLMESARTAN 20MG TABLET</t>
        </is>
      </c>
      <c r="E397" s="6" t="inlineStr">
        <is>
          <t>90.0</t>
        </is>
      </c>
      <c r="F397" s="7" t="n">
        <v>90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16729000517</t>
        </is>
      </c>
      <c r="D398" s="5" t="inlineStr">
        <is>
          <t>SIMVASTATIN 20MG TABLET</t>
        </is>
      </c>
      <c r="E398" s="6" t="inlineStr">
        <is>
          <t>1000.0</t>
        </is>
      </c>
      <c r="F398" s="7" t="n">
        <v>510</v>
      </c>
      <c r="G398" s="7" t="n">
        <v>0.51</v>
      </c>
      <c r="H398" s="7" t="n">
        <v>0</v>
      </c>
      <c r="I398" s="7" t="n">
        <v>-0.51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64380073706</t>
        </is>
      </c>
      <c r="D399" s="5" t="inlineStr">
        <is>
          <t>VITAMIN D 50 000 U CAPSULE</t>
        </is>
      </c>
      <c r="E399" s="6" t="inlineStr">
        <is>
          <t>100.0</t>
        </is>
      </c>
      <c r="F399" s="7" t="n">
        <v>88</v>
      </c>
      <c r="G399" s="7" t="n">
        <v>0.88</v>
      </c>
      <c r="H399" s="7" t="n">
        <v>2</v>
      </c>
      <c r="I399" s="7" t="n">
        <v>1.12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69238201702</t>
        </is>
      </c>
      <c r="D400" s="5" t="inlineStr">
        <is>
          <t>IPRATROPIUM BROMIDE 0.06 % NASAL SOLUTION</t>
        </is>
      </c>
      <c r="E400" s="6" t="inlineStr">
        <is>
          <t>15.0</t>
        </is>
      </c>
      <c r="F400" s="7" t="n">
        <v>15</v>
      </c>
      <c r="G400" s="7" t="n">
        <v>1</v>
      </c>
      <c r="H400" s="7" t="n">
        <v>0</v>
      </c>
      <c r="I400" s="7" t="n">
        <v>-1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67877032105</t>
        </is>
      </c>
      <c r="D401" s="5" t="inlineStr">
        <is>
          <t xml:space="preserve">IBUPROFEN 800MG TAB </t>
        </is>
      </c>
      <c r="E401" s="6" t="inlineStr">
        <is>
          <t>500.0</t>
        </is>
      </c>
      <c r="F401" s="7" t="n">
        <v>330</v>
      </c>
      <c r="G401" s="7" t="n">
        <v>0.66</v>
      </c>
      <c r="H401" s="7" t="n">
        <v>0</v>
      </c>
      <c r="I401" s="7" t="n">
        <v>-0.66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31722053705</t>
        </is>
      </c>
      <c r="D402" s="5" t="inlineStr">
        <is>
          <t xml:space="preserve">LEVETIRACETAM 500MG TAB </t>
        </is>
      </c>
      <c r="E402" s="6" t="inlineStr">
        <is>
          <t>500.0</t>
        </is>
      </c>
      <c r="F402" s="7" t="n">
        <v>180</v>
      </c>
      <c r="G402" s="7" t="n">
        <v>0.36</v>
      </c>
      <c r="H402" s="7" t="n">
        <v>0</v>
      </c>
      <c r="I402" s="7" t="n">
        <v>-0.36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kk — Feb 2025 - Feb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kk — Feb 2025 - Feb 2026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100</v>
      </c>
      <c r="G4" s="7" t="n">
        <v>2</v>
      </c>
      <c r="H4" s="7" t="n">
        <v>0</v>
      </c>
      <c r="I4" s="7" t="n">
        <v>-2</v>
      </c>
      <c r="J4" s="8" t="n">
        <v>13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kk — Feb 2025 -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kk — Feb 2025 -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kk — Feb 2025 -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kk — Feb 2025 -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kk — Feb 2025 - Feb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2026-04-17T15:54:39Z</dcterms:created>
  <dcterms:modified xsi:type="dcterms:W3CDTF">2026-04-17T15:54:41Z</dcterms:modified>
</cp:coreProperties>
</file>