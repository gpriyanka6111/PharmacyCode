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Data'!$A$3:$BN$209</definedName>
    <definedName name="_xlnm.Print_Titles" localSheetId="0">'Processed Data'!$1:$2</definedName>
    <definedName name="_xlnm._FilterDatabase" localSheetId="1" hidden="1">'BIN to Processor'!$A$2:$B$25</definedName>
    <definedName name="_xlnm.Print_Titles" localSheetId="1">'BIN to Processor'!$1:$2</definedName>
    <definedName name="_xlnm._FilterDatabase" localSheetId="2" hidden="1">'Needs to be ordered - All'!$A$2:$P$101</definedName>
    <definedName name="_xlnm.Print_Titles" localSheetId="2">'Needs to be ordered - All'!$1:$2</definedName>
    <definedName name="_xlnm.Print_Area" localSheetId="2">'Needs to be ordered - All'!$A$2:$P$103</definedName>
    <definedName name="_xlnm._FilterDatabase" localSheetId="3" hidden="1">'Do Not Order - ALL'!$A$2:$N$57</definedName>
    <definedName name="_xlnm.Print_Titles" localSheetId="3">'Do Not Order - ALL'!$1:$2</definedName>
    <definedName name="_xlnm._FilterDatabase" localSheetId="4" hidden="1">'Never Ordered - Check'!$A$2:$E$46</definedName>
    <definedName name="_xlnm.Print_Titles" localSheetId="4">'Never Ordered - Check'!$1:$2</definedName>
    <definedName name="_xlnm._FilterDatabase" localSheetId="5" hidden="1">'RX Comparison - All'!$A$2:$Q$1877</definedName>
    <definedName name="_xlnm.Print_Titles" localSheetId="5">'RX Comparison - All'!$1:$2</definedName>
    <definedName name="_xlnm._FilterDatabase" localSheetId="6" hidden="1">'RX Comparison +ve'!$A$2:$Q$561</definedName>
    <definedName name="_xlnm.Print_Titles" localSheetId="6">'RX Comparison +ve'!$1:$2</definedName>
    <definedName name="_xlnm._FilterDatabase" localSheetId="7" hidden="1">'MFP Drugs - RX'!$A$2:$T$158</definedName>
    <definedName name="_xlnm.Print_Titles" localSheetId="7">'MFP Drugs - RX'!$1:$2</definedName>
    <definedName name="_xlnm._FilterDatabase" localSheetId="8" hidden="1">'Summary'!$A$3:$K$7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09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Hil (hh)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2</v>
      </c>
      <c r="E4" s="16" t="n">
        <v>2</v>
      </c>
      <c r="F4" s="16" t="n">
        <v>563</v>
      </c>
      <c r="G4" s="16" t="n">
        <v>120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120</v>
      </c>
      <c r="N4" s="17" t="n">
        <v>0</v>
      </c>
      <c r="O4" s="17" t="n">
        <v>0</v>
      </c>
      <c r="P4" s="18" t="n">
        <v>0</v>
      </c>
      <c r="Q4" s="16" t="n">
        <v>4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4</v>
      </c>
      <c r="X4" s="17" t="n">
        <v>0</v>
      </c>
      <c r="Y4" s="17" t="n">
        <v>0</v>
      </c>
      <c r="Z4" s="18" t="n">
        <v>0</v>
      </c>
      <c r="AA4" s="16" t="n">
        <v>-2</v>
      </c>
      <c r="AB4" s="17" t="n">
        <v>2</v>
      </c>
      <c r="AC4" s="17" t="n">
        <v>2</v>
      </c>
      <c r="AD4" s="17" t="n">
        <v>2</v>
      </c>
      <c r="AE4" s="17" t="n">
        <v>2</v>
      </c>
      <c r="AF4" s="17" t="n">
        <v>2</v>
      </c>
      <c r="AG4" s="17" t="n">
        <v>-2</v>
      </c>
      <c r="AH4" s="17" t="n">
        <v>2</v>
      </c>
      <c r="AI4" s="17" t="n">
        <v>2</v>
      </c>
      <c r="AJ4" s="18" t="n">
        <v>2</v>
      </c>
      <c r="AK4" s="16" t="n">
        <v>2278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2278</v>
      </c>
      <c r="AR4" s="17" t="n">
        <v>0</v>
      </c>
      <c r="AS4" s="17" t="n">
        <v>0</v>
      </c>
      <c r="AT4" s="18" t="n">
        <v>0</v>
      </c>
      <c r="AU4" s="16" t="n">
        <v>2252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2252</v>
      </c>
      <c r="BB4" s="17" t="n">
        <v>0</v>
      </c>
      <c r="BC4" s="17" t="n">
        <v>0</v>
      </c>
      <c r="BD4" s="18" t="n">
        <v>0</v>
      </c>
      <c r="BE4" s="16" t="n">
        <v>26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26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22</v>
      </c>
      <c r="E5" s="16" t="n">
        <v>22</v>
      </c>
      <c r="F5" s="16" t="n">
        <v>20</v>
      </c>
      <c r="G5" s="16" t="n">
        <v>2100</v>
      </c>
      <c r="H5" s="17" t="n">
        <v>200</v>
      </c>
      <c r="I5" s="17" t="n">
        <v>700</v>
      </c>
      <c r="J5" s="17" t="n">
        <v>1100</v>
      </c>
      <c r="K5" s="17" t="n">
        <v>0</v>
      </c>
      <c r="L5" s="17" t="n">
        <v>0</v>
      </c>
      <c r="M5" s="17" t="n">
        <v>0</v>
      </c>
      <c r="N5" s="17" t="n">
        <v>100</v>
      </c>
      <c r="O5" s="17" t="n">
        <v>0</v>
      </c>
      <c r="P5" s="18" t="n">
        <v>0</v>
      </c>
      <c r="Q5" s="16" t="n">
        <v>42</v>
      </c>
      <c r="R5" s="17" t="n">
        <v>4</v>
      </c>
      <c r="S5" s="17" t="n">
        <v>14</v>
      </c>
      <c r="T5" s="17" t="n">
        <v>22</v>
      </c>
      <c r="U5" s="17" t="n">
        <v>0</v>
      </c>
      <c r="V5" s="17" t="n">
        <v>0</v>
      </c>
      <c r="W5" s="17" t="n">
        <v>0</v>
      </c>
      <c r="X5" s="17" t="n">
        <v>2</v>
      </c>
      <c r="Y5" s="17" t="n">
        <v>0</v>
      </c>
      <c r="Z5" s="18" t="n">
        <v>0</v>
      </c>
      <c r="AA5" s="16" t="n">
        <v>-20</v>
      </c>
      <c r="AB5" s="17" t="n">
        <v>18</v>
      </c>
      <c r="AC5" s="17" t="n">
        <v>8</v>
      </c>
      <c r="AD5" s="17" t="n">
        <v>0</v>
      </c>
      <c r="AE5" s="17" t="n">
        <v>22</v>
      </c>
      <c r="AF5" s="17" t="n">
        <v>22</v>
      </c>
      <c r="AG5" s="17" t="n">
        <v>22</v>
      </c>
      <c r="AH5" s="17" t="n">
        <v>20</v>
      </c>
      <c r="AI5" s="17" t="n">
        <v>22</v>
      </c>
      <c r="AJ5" s="18" t="n">
        <v>22</v>
      </c>
      <c r="AK5" s="16" t="n">
        <v>785</v>
      </c>
      <c r="AL5" s="17" t="n">
        <v>68</v>
      </c>
      <c r="AM5" s="17" t="n">
        <v>247</v>
      </c>
      <c r="AN5" s="17" t="n">
        <v>364</v>
      </c>
      <c r="AO5" s="17" t="n">
        <v>0</v>
      </c>
      <c r="AP5" s="17" t="n">
        <v>0</v>
      </c>
      <c r="AQ5" s="17" t="n">
        <v>0</v>
      </c>
      <c r="AR5" s="17" t="n">
        <v>41</v>
      </c>
      <c r="AS5" s="17" t="n">
        <v>0</v>
      </c>
      <c r="AT5" s="18" t="n">
        <v>0</v>
      </c>
      <c r="AU5" s="16" t="n">
        <v>840</v>
      </c>
      <c r="AV5" s="17" t="n">
        <v>80</v>
      </c>
      <c r="AW5" s="17" t="n">
        <v>280</v>
      </c>
      <c r="AX5" s="17" t="n">
        <v>440</v>
      </c>
      <c r="AY5" s="17" t="n">
        <v>0</v>
      </c>
      <c r="AZ5" s="17" t="n">
        <v>0</v>
      </c>
      <c r="BA5" s="17" t="n">
        <v>0</v>
      </c>
      <c r="BB5" s="17" t="n">
        <v>40</v>
      </c>
      <c r="BC5" s="17" t="n">
        <v>0</v>
      </c>
      <c r="BD5" s="18" t="n">
        <v>0</v>
      </c>
      <c r="BE5" s="16" t="n">
        <v>-55</v>
      </c>
      <c r="BF5" s="17" t="n">
        <v>-12</v>
      </c>
      <c r="BG5" s="17" t="n">
        <v>-33</v>
      </c>
      <c r="BH5" s="17" t="n">
        <v>-76</v>
      </c>
      <c r="BI5" s="17" t="n">
        <v>0</v>
      </c>
      <c r="BJ5" s="17" t="n">
        <v>0</v>
      </c>
      <c r="BK5" s="17" t="n">
        <v>0</v>
      </c>
      <c r="BL5" s="17" t="n">
        <v>1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1</v>
      </c>
      <c r="H6" s="17" t="n">
        <v>0</v>
      </c>
      <c r="I6" s="17" t="n">
        <v>0</v>
      </c>
      <c r="J6" s="17" t="n">
        <v>1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1</v>
      </c>
      <c r="R6" s="17" t="n">
        <v>0</v>
      </c>
      <c r="S6" s="17" t="n">
        <v>0</v>
      </c>
      <c r="T6" s="17" t="n">
        <v>1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2</v>
      </c>
      <c r="AB6" s="17" t="n">
        <v>3</v>
      </c>
      <c r="AC6" s="17" t="n">
        <v>3</v>
      </c>
      <c r="AD6" s="17" t="n">
        <v>2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21</v>
      </c>
      <c r="AL6" s="17" t="n">
        <v>0</v>
      </c>
      <c r="AM6" s="17" t="n">
        <v>0</v>
      </c>
      <c r="AN6" s="17" t="n">
        <v>21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26</v>
      </c>
      <c r="AV6" s="17" t="n">
        <v>0</v>
      </c>
      <c r="AW6" s="17" t="n">
        <v>0</v>
      </c>
      <c r="AX6" s="17" t="n">
        <v>26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-5</v>
      </c>
      <c r="BF6" s="17" t="n">
        <v>0</v>
      </c>
      <c r="BG6" s="17" t="n">
        <v>0</v>
      </c>
      <c r="BH6" s="17" t="n">
        <v>-5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6</v>
      </c>
      <c r="E7" s="16" t="n">
        <v>6</v>
      </c>
      <c r="F7" s="16" t="n">
        <v>1145</v>
      </c>
      <c r="G7" s="16" t="n">
        <v>5.4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5.4</v>
      </c>
      <c r="N7" s="17" t="n">
        <v>0</v>
      </c>
      <c r="O7" s="17" t="n">
        <v>0</v>
      </c>
      <c r="P7" s="18" t="n">
        <v>0</v>
      </c>
      <c r="Q7" s="16" t="n">
        <v>6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6</v>
      </c>
      <c r="X7" s="17" t="n">
        <v>0</v>
      </c>
      <c r="Y7" s="17" t="n">
        <v>0</v>
      </c>
      <c r="Z7" s="18" t="n">
        <v>0</v>
      </c>
      <c r="AA7" s="16" t="n">
        <v>0</v>
      </c>
      <c r="AB7" s="17" t="n">
        <v>6</v>
      </c>
      <c r="AC7" s="17" t="n">
        <v>6</v>
      </c>
      <c r="AD7" s="17" t="n">
        <v>6</v>
      </c>
      <c r="AE7" s="17" t="n">
        <v>6</v>
      </c>
      <c r="AF7" s="17" t="n">
        <v>6</v>
      </c>
      <c r="AG7" s="17" t="n">
        <v>0</v>
      </c>
      <c r="AH7" s="17" t="n">
        <v>6</v>
      </c>
      <c r="AI7" s="17" t="n">
        <v>6</v>
      </c>
      <c r="AJ7" s="18" t="n">
        <v>6</v>
      </c>
      <c r="AK7" s="16" t="n">
        <v>6927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6927</v>
      </c>
      <c r="AR7" s="17" t="n">
        <v>0</v>
      </c>
      <c r="AS7" s="17" t="n">
        <v>0</v>
      </c>
      <c r="AT7" s="18" t="n">
        <v>0</v>
      </c>
      <c r="AU7" s="16" t="n">
        <v>6870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6870</v>
      </c>
      <c r="BB7" s="17" t="n">
        <v>0</v>
      </c>
      <c r="BC7" s="17" t="n">
        <v>0</v>
      </c>
      <c r="BD7" s="18" t="n">
        <v>0</v>
      </c>
      <c r="BE7" s="16" t="n">
        <v>57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57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3</v>
      </c>
      <c r="E8" s="16" t="n">
        <v>3</v>
      </c>
      <c r="F8" s="16" t="n">
        <v>190</v>
      </c>
      <c r="G8" s="16" t="n">
        <v>180</v>
      </c>
      <c r="H8" s="17" t="n">
        <v>0</v>
      </c>
      <c r="I8" s="17" t="n">
        <v>180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8" t="n">
        <v>0</v>
      </c>
      <c r="Q8" s="16" t="n">
        <v>3</v>
      </c>
      <c r="R8" s="17" t="n">
        <v>0</v>
      </c>
      <c r="S8" s="17" t="n">
        <v>3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8" t="n">
        <v>0</v>
      </c>
      <c r="AA8" s="16" t="n">
        <v>0</v>
      </c>
      <c r="AB8" s="17" t="n">
        <v>3</v>
      </c>
      <c r="AC8" s="17" t="n">
        <v>0</v>
      </c>
      <c r="AD8" s="17" t="n">
        <v>3</v>
      </c>
      <c r="AE8" s="17" t="n">
        <v>3</v>
      </c>
      <c r="AF8" s="17" t="n">
        <v>3</v>
      </c>
      <c r="AG8" s="17" t="n">
        <v>3</v>
      </c>
      <c r="AH8" s="17" t="n">
        <v>3</v>
      </c>
      <c r="AI8" s="17" t="n">
        <v>3</v>
      </c>
      <c r="AJ8" s="18" t="n">
        <v>3</v>
      </c>
      <c r="AK8" s="16" t="n">
        <v>535</v>
      </c>
      <c r="AL8" s="17" t="n">
        <v>0</v>
      </c>
      <c r="AM8" s="17" t="n">
        <v>535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8" t="n">
        <v>0</v>
      </c>
      <c r="AU8" s="16" t="n">
        <v>570</v>
      </c>
      <c r="AV8" s="17" t="n">
        <v>0</v>
      </c>
      <c r="AW8" s="17" t="n">
        <v>570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8" t="n">
        <v>0</v>
      </c>
      <c r="BE8" s="16" t="n">
        <v>-35</v>
      </c>
      <c r="BF8" s="17" t="n">
        <v>0</v>
      </c>
      <c r="BG8" s="17" t="n">
        <v>-35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3</v>
      </c>
      <c r="E9" s="16" t="n">
        <v>3</v>
      </c>
      <c r="F9" s="16" t="n">
        <v>428</v>
      </c>
      <c r="G9" s="16" t="n">
        <v>36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36</v>
      </c>
      <c r="N9" s="17" t="n">
        <v>0</v>
      </c>
      <c r="O9" s="17" t="n">
        <v>0</v>
      </c>
      <c r="P9" s="18" t="n">
        <v>0</v>
      </c>
      <c r="Q9" s="16" t="n">
        <v>3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3</v>
      </c>
      <c r="X9" s="17" t="n">
        <v>0</v>
      </c>
      <c r="Y9" s="17" t="n">
        <v>0</v>
      </c>
      <c r="Z9" s="18" t="n">
        <v>0</v>
      </c>
      <c r="AA9" s="16" t="n">
        <v>0</v>
      </c>
      <c r="AB9" s="17" t="n">
        <v>3</v>
      </c>
      <c r="AC9" s="17" t="n">
        <v>3</v>
      </c>
      <c r="AD9" s="17" t="n">
        <v>3</v>
      </c>
      <c r="AE9" s="17" t="n">
        <v>3</v>
      </c>
      <c r="AF9" s="17" t="n">
        <v>3</v>
      </c>
      <c r="AG9" s="17" t="n">
        <v>0</v>
      </c>
      <c r="AH9" s="17" t="n">
        <v>3</v>
      </c>
      <c r="AI9" s="17" t="n">
        <v>3</v>
      </c>
      <c r="AJ9" s="18" t="n">
        <v>3</v>
      </c>
      <c r="AK9" s="16" t="n">
        <v>1293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1293</v>
      </c>
      <c r="AR9" s="17" t="n">
        <v>0</v>
      </c>
      <c r="AS9" s="17" t="n">
        <v>0</v>
      </c>
      <c r="AT9" s="18" t="n">
        <v>0</v>
      </c>
      <c r="AU9" s="16" t="n">
        <v>1284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1284</v>
      </c>
      <c r="BB9" s="17" t="n">
        <v>0</v>
      </c>
      <c r="BC9" s="17" t="n">
        <v>0</v>
      </c>
      <c r="BD9" s="18" t="n">
        <v>0</v>
      </c>
      <c r="BE9" s="16" t="n">
        <v>9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9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0</v>
      </c>
      <c r="E10" s="16" t="n">
        <v>0</v>
      </c>
      <c r="F10" s="16" t="n">
        <v>0</v>
      </c>
      <c r="G10" s="16" t="n">
        <v>1.5</v>
      </c>
      <c r="H10" s="17" t="n">
        <v>0</v>
      </c>
      <c r="I10" s="17" t="n">
        <v>1.5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0.3</v>
      </c>
      <c r="R10" s="17" t="n">
        <v>0</v>
      </c>
      <c r="S10" s="17" t="n">
        <v>0.3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-0.3</v>
      </c>
      <c r="AB10" s="17" t="n">
        <v>0</v>
      </c>
      <c r="AC10" s="17" t="n">
        <v>-0.3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18" t="n">
        <v>0</v>
      </c>
      <c r="AK10" s="16" t="n">
        <v>63</v>
      </c>
      <c r="AL10" s="17" t="n">
        <v>0</v>
      </c>
      <c r="AM10" s="17" t="n">
        <v>63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63</v>
      </c>
      <c r="BF10" s="17" t="n">
        <v>0</v>
      </c>
      <c r="BG10" s="17" t="n">
        <v>63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4</v>
      </c>
      <c r="E11" s="16" t="n">
        <v>4</v>
      </c>
      <c r="F11" s="16" t="n">
        <v>490</v>
      </c>
      <c r="G11" s="16" t="n">
        <v>74.90000000000001</v>
      </c>
      <c r="H11" s="17" t="n">
        <v>0</v>
      </c>
      <c r="I11" s="17" t="n">
        <v>32.1</v>
      </c>
      <c r="J11" s="17" t="n">
        <v>10.7</v>
      </c>
      <c r="K11" s="17" t="n">
        <v>0</v>
      </c>
      <c r="L11" s="17" t="n">
        <v>0</v>
      </c>
      <c r="M11" s="17" t="n">
        <v>32.1</v>
      </c>
      <c r="N11" s="17" t="n">
        <v>0</v>
      </c>
      <c r="O11" s="17" t="n">
        <v>0</v>
      </c>
      <c r="P11" s="18" t="n">
        <v>0</v>
      </c>
      <c r="Q11" s="16" t="n">
        <v>7</v>
      </c>
      <c r="R11" s="17" t="n">
        <v>0</v>
      </c>
      <c r="S11" s="17" t="n">
        <v>3</v>
      </c>
      <c r="T11" s="17" t="n">
        <v>1</v>
      </c>
      <c r="U11" s="17" t="n">
        <v>0</v>
      </c>
      <c r="V11" s="17" t="n">
        <v>0</v>
      </c>
      <c r="W11" s="17" t="n">
        <v>3</v>
      </c>
      <c r="X11" s="17" t="n">
        <v>0</v>
      </c>
      <c r="Y11" s="17" t="n">
        <v>0</v>
      </c>
      <c r="Z11" s="18" t="n">
        <v>0</v>
      </c>
      <c r="AA11" s="16" t="n">
        <v>-3</v>
      </c>
      <c r="AB11" s="17" t="n">
        <v>4</v>
      </c>
      <c r="AC11" s="17" t="n">
        <v>1</v>
      </c>
      <c r="AD11" s="17" t="n">
        <v>3</v>
      </c>
      <c r="AE11" s="17" t="n">
        <v>4</v>
      </c>
      <c r="AF11" s="17" t="n">
        <v>4</v>
      </c>
      <c r="AG11" s="17" t="n">
        <v>1</v>
      </c>
      <c r="AH11" s="17" t="n">
        <v>4</v>
      </c>
      <c r="AI11" s="17" t="n">
        <v>4</v>
      </c>
      <c r="AJ11" s="18" t="n">
        <v>4</v>
      </c>
      <c r="AK11" s="16" t="n">
        <v>3357</v>
      </c>
      <c r="AL11" s="17" t="n">
        <v>0</v>
      </c>
      <c r="AM11" s="17" t="n">
        <v>1428</v>
      </c>
      <c r="AN11" s="17" t="n">
        <v>437</v>
      </c>
      <c r="AO11" s="17" t="n">
        <v>0</v>
      </c>
      <c r="AP11" s="17" t="n">
        <v>0</v>
      </c>
      <c r="AQ11" s="17" t="n">
        <v>1452</v>
      </c>
      <c r="AR11" s="17" t="n">
        <v>0</v>
      </c>
      <c r="AS11" s="17" t="n">
        <v>0</v>
      </c>
      <c r="AT11" s="18" t="n">
        <v>0</v>
      </c>
      <c r="AU11" s="16" t="n">
        <v>3430</v>
      </c>
      <c r="AV11" s="17" t="n">
        <v>0</v>
      </c>
      <c r="AW11" s="17" t="n">
        <v>1470</v>
      </c>
      <c r="AX11" s="17" t="n">
        <v>490</v>
      </c>
      <c r="AY11" s="17" t="n">
        <v>0</v>
      </c>
      <c r="AZ11" s="17" t="n">
        <v>0</v>
      </c>
      <c r="BA11" s="17" t="n">
        <v>1470</v>
      </c>
      <c r="BB11" s="17" t="n">
        <v>0</v>
      </c>
      <c r="BC11" s="17" t="n">
        <v>0</v>
      </c>
      <c r="BD11" s="18" t="n">
        <v>0</v>
      </c>
      <c r="BE11" s="16" t="n">
        <v>-73</v>
      </c>
      <c r="BF11" s="17" t="n">
        <v>0</v>
      </c>
      <c r="BG11" s="17" t="n">
        <v>-42</v>
      </c>
      <c r="BH11" s="17" t="n">
        <v>-53</v>
      </c>
      <c r="BI11" s="17" t="n">
        <v>0</v>
      </c>
      <c r="BJ11" s="17" t="n">
        <v>0</v>
      </c>
      <c r="BK11" s="17" t="n">
        <v>-18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15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15</v>
      </c>
      <c r="N12" s="17" t="n">
        <v>0</v>
      </c>
      <c r="O12" s="17" t="n">
        <v>0</v>
      </c>
      <c r="P12" s="18" t="n">
        <v>0</v>
      </c>
      <c r="Q12" s="16" t="n">
        <v>1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1</v>
      </c>
      <c r="X12" s="17" t="n">
        <v>0</v>
      </c>
      <c r="Y12" s="17" t="n">
        <v>0</v>
      </c>
      <c r="Z12" s="18" t="n">
        <v>0</v>
      </c>
      <c r="AA12" s="16" t="n">
        <v>-1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-1</v>
      </c>
      <c r="AH12" s="17" t="n">
        <v>0</v>
      </c>
      <c r="AI12" s="17" t="n">
        <v>0</v>
      </c>
      <c r="AJ12" s="18" t="n">
        <v>0</v>
      </c>
      <c r="AK12" s="16" t="n">
        <v>608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608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608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608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3</v>
      </c>
      <c r="E13" s="16" t="n">
        <v>3</v>
      </c>
      <c r="F13" s="16" t="n">
        <v>471</v>
      </c>
      <c r="G13" s="16" t="n">
        <v>120</v>
      </c>
      <c r="H13" s="17" t="n">
        <v>0</v>
      </c>
      <c r="I13" s="17" t="n">
        <v>120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2</v>
      </c>
      <c r="R13" s="17" t="n">
        <v>0</v>
      </c>
      <c r="S13" s="17" t="n">
        <v>2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1</v>
      </c>
      <c r="AB13" s="17" t="n">
        <v>3</v>
      </c>
      <c r="AC13" s="17" t="n">
        <v>1</v>
      </c>
      <c r="AD13" s="17" t="n">
        <v>3</v>
      </c>
      <c r="AE13" s="17" t="n">
        <v>3</v>
      </c>
      <c r="AF13" s="17" t="n">
        <v>3</v>
      </c>
      <c r="AG13" s="17" t="n">
        <v>3</v>
      </c>
      <c r="AH13" s="17" t="n">
        <v>3</v>
      </c>
      <c r="AI13" s="17" t="n">
        <v>3</v>
      </c>
      <c r="AJ13" s="18" t="n">
        <v>3</v>
      </c>
      <c r="AK13" s="16" t="n">
        <v>930</v>
      </c>
      <c r="AL13" s="17" t="n">
        <v>0</v>
      </c>
      <c r="AM13" s="17" t="n">
        <v>930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942</v>
      </c>
      <c r="AV13" s="17" t="n">
        <v>0</v>
      </c>
      <c r="AW13" s="17" t="n">
        <v>942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-12</v>
      </c>
      <c r="BF13" s="17" t="n">
        <v>0</v>
      </c>
      <c r="BG13" s="17" t="n">
        <v>-12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2</v>
      </c>
      <c r="E15" s="16" t="n">
        <v>2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-1</v>
      </c>
      <c r="AB15" s="17" t="n">
        <v>2</v>
      </c>
      <c r="AC15" s="17" t="n">
        <v>-1</v>
      </c>
      <c r="AD15" s="17" t="n">
        <v>2</v>
      </c>
      <c r="AE15" s="17" t="n">
        <v>2</v>
      </c>
      <c r="AF15" s="17" t="n">
        <v>2</v>
      </c>
      <c r="AG15" s="17" t="n">
        <v>2</v>
      </c>
      <c r="AH15" s="17" t="n">
        <v>2</v>
      </c>
      <c r="AI15" s="17" t="n">
        <v>2</v>
      </c>
      <c r="AJ15" s="18" t="n">
        <v>2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00002771559</t>
        </is>
      </c>
      <c r="B17" s="15" t="inlineStr">
        <is>
          <t>BASAGLAR KWIKPEN 100UNIT/ML INJECTION</t>
        </is>
      </c>
      <c r="C17" s="16" t="n">
        <v>15</v>
      </c>
      <c r="D17" s="16" t="n">
        <v>45</v>
      </c>
      <c r="E17" s="16" t="n">
        <v>45</v>
      </c>
      <c r="F17" s="16" t="n">
        <v>317</v>
      </c>
      <c r="G17" s="16" t="n">
        <v>579</v>
      </c>
      <c r="H17" s="17" t="n">
        <v>0</v>
      </c>
      <c r="I17" s="17" t="n">
        <v>534</v>
      </c>
      <c r="J17" s="17" t="n">
        <v>27</v>
      </c>
      <c r="K17" s="17" t="n">
        <v>0</v>
      </c>
      <c r="L17" s="17" t="n">
        <v>0</v>
      </c>
      <c r="M17" s="17" t="n">
        <v>18</v>
      </c>
      <c r="N17" s="17" t="n">
        <v>0</v>
      </c>
      <c r="O17" s="17" t="n">
        <v>0</v>
      </c>
      <c r="P17" s="18" t="n">
        <v>0</v>
      </c>
      <c r="Q17" s="16" t="n">
        <v>38.6</v>
      </c>
      <c r="R17" s="17" t="n">
        <v>0</v>
      </c>
      <c r="S17" s="17" t="n">
        <v>35.6</v>
      </c>
      <c r="T17" s="17" t="n">
        <v>1.8</v>
      </c>
      <c r="U17" s="17" t="n">
        <v>0</v>
      </c>
      <c r="V17" s="17" t="n">
        <v>0</v>
      </c>
      <c r="W17" s="17" t="n">
        <v>1.2</v>
      </c>
      <c r="X17" s="17" t="n">
        <v>0</v>
      </c>
      <c r="Y17" s="17" t="n">
        <v>0</v>
      </c>
      <c r="Z17" s="18" t="n">
        <v>0</v>
      </c>
      <c r="AA17" s="16" t="n">
        <v>6.4</v>
      </c>
      <c r="AB17" s="17" t="n">
        <v>45</v>
      </c>
      <c r="AC17" s="17" t="n">
        <v>9.4</v>
      </c>
      <c r="AD17" s="17" t="n">
        <v>43.2</v>
      </c>
      <c r="AE17" s="17" t="n">
        <v>45</v>
      </c>
      <c r="AF17" s="17" t="n">
        <v>45</v>
      </c>
      <c r="AG17" s="17" t="n">
        <v>43.8</v>
      </c>
      <c r="AH17" s="17" t="n">
        <v>45</v>
      </c>
      <c r="AI17" s="17" t="n">
        <v>45</v>
      </c>
      <c r="AJ17" s="18" t="n">
        <v>45</v>
      </c>
      <c r="AK17" s="16" t="n">
        <v>11828</v>
      </c>
      <c r="AL17" s="17" t="n">
        <v>0</v>
      </c>
      <c r="AM17" s="17" t="n">
        <v>10692</v>
      </c>
      <c r="AN17" s="17" t="n">
        <v>534</v>
      </c>
      <c r="AO17" s="17" t="n">
        <v>0</v>
      </c>
      <c r="AP17" s="17" t="n">
        <v>0</v>
      </c>
      <c r="AQ17" s="17" t="n">
        <v>417</v>
      </c>
      <c r="AR17" s="17" t="n">
        <v>0</v>
      </c>
      <c r="AS17" s="17" t="n">
        <v>0</v>
      </c>
      <c r="AT17" s="18" t="n">
        <v>0</v>
      </c>
      <c r="AU17" s="16" t="n">
        <v>12236</v>
      </c>
      <c r="AV17" s="17" t="n">
        <v>0</v>
      </c>
      <c r="AW17" s="17" t="n">
        <v>11285</v>
      </c>
      <c r="AX17" s="17" t="n">
        <v>571</v>
      </c>
      <c r="AY17" s="17" t="n">
        <v>0</v>
      </c>
      <c r="AZ17" s="17" t="n">
        <v>0</v>
      </c>
      <c r="BA17" s="17" t="n">
        <v>380</v>
      </c>
      <c r="BB17" s="17" t="n">
        <v>0</v>
      </c>
      <c r="BC17" s="17" t="n">
        <v>0</v>
      </c>
      <c r="BD17" s="18" t="n">
        <v>0</v>
      </c>
      <c r="BE17" s="16" t="n">
        <v>-409</v>
      </c>
      <c r="BF17" s="17" t="n">
        <v>0</v>
      </c>
      <c r="BG17" s="17" t="n">
        <v>-593</v>
      </c>
      <c r="BH17" s="17" t="n">
        <v>-37</v>
      </c>
      <c r="BI17" s="17" t="n">
        <v>0</v>
      </c>
      <c r="BJ17" s="17" t="n">
        <v>0</v>
      </c>
      <c r="BK17" s="17" t="n">
        <v>37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61958250101</t>
        </is>
      </c>
      <c r="B18" s="15" t="inlineStr">
        <is>
          <t>BIKTARVY 50-200-25MG TABLET</t>
        </is>
      </c>
      <c r="C18" s="16" t="n">
        <v>30</v>
      </c>
      <c r="D18" s="16" t="n">
        <v>7</v>
      </c>
      <c r="E18" s="16" t="n">
        <v>7</v>
      </c>
      <c r="F18" s="16" t="n">
        <v>4111</v>
      </c>
      <c r="G18" s="16" t="n">
        <v>300</v>
      </c>
      <c r="H18" s="17" t="n">
        <v>0</v>
      </c>
      <c r="I18" s="17" t="n">
        <v>0</v>
      </c>
      <c r="J18" s="17" t="n">
        <v>30</v>
      </c>
      <c r="K18" s="17" t="n">
        <v>0</v>
      </c>
      <c r="L18" s="17" t="n">
        <v>60</v>
      </c>
      <c r="M18" s="17" t="n">
        <v>120</v>
      </c>
      <c r="N18" s="17" t="n">
        <v>0</v>
      </c>
      <c r="O18" s="17" t="n">
        <v>0</v>
      </c>
      <c r="P18" s="18" t="n">
        <v>90</v>
      </c>
      <c r="Q18" s="16" t="n">
        <v>10</v>
      </c>
      <c r="R18" s="17" t="n">
        <v>0</v>
      </c>
      <c r="S18" s="17" t="n">
        <v>0</v>
      </c>
      <c r="T18" s="17" t="n">
        <v>1</v>
      </c>
      <c r="U18" s="17" t="n">
        <v>0</v>
      </c>
      <c r="V18" s="17" t="n">
        <v>2</v>
      </c>
      <c r="W18" s="17" t="n">
        <v>4</v>
      </c>
      <c r="X18" s="17" t="n">
        <v>0</v>
      </c>
      <c r="Y18" s="17" t="n">
        <v>0</v>
      </c>
      <c r="Z18" s="18" t="n">
        <v>3</v>
      </c>
      <c r="AA18" s="16" t="n">
        <v>-3</v>
      </c>
      <c r="AB18" s="17" t="n">
        <v>7</v>
      </c>
      <c r="AC18" s="17" t="n">
        <v>7</v>
      </c>
      <c r="AD18" s="17" t="n">
        <v>6</v>
      </c>
      <c r="AE18" s="17" t="n">
        <v>7</v>
      </c>
      <c r="AF18" s="17" t="n">
        <v>5</v>
      </c>
      <c r="AG18" s="17" t="n">
        <v>3</v>
      </c>
      <c r="AH18" s="17" t="n">
        <v>7</v>
      </c>
      <c r="AI18" s="17" t="n">
        <v>7</v>
      </c>
      <c r="AJ18" s="18" t="n">
        <v>4</v>
      </c>
      <c r="AK18" s="16" t="n">
        <v>40816</v>
      </c>
      <c r="AL18" s="17" t="n">
        <v>0</v>
      </c>
      <c r="AM18" s="17" t="n">
        <v>0</v>
      </c>
      <c r="AN18" s="17" t="n">
        <v>3769</v>
      </c>
      <c r="AO18" s="17" t="n">
        <v>0</v>
      </c>
      <c r="AP18" s="17" t="n">
        <v>7984</v>
      </c>
      <c r="AQ18" s="17" t="n">
        <v>16445</v>
      </c>
      <c r="AR18" s="17" t="n">
        <v>0</v>
      </c>
      <c r="AS18" s="17" t="n">
        <v>0</v>
      </c>
      <c r="AT18" s="18" t="n">
        <v>12608</v>
      </c>
      <c r="AU18" s="16" t="n">
        <v>41110</v>
      </c>
      <c r="AV18" s="17" t="n">
        <v>0</v>
      </c>
      <c r="AW18" s="17" t="n">
        <v>0</v>
      </c>
      <c r="AX18" s="17" t="n">
        <v>4111</v>
      </c>
      <c r="AY18" s="17" t="n">
        <v>0</v>
      </c>
      <c r="AZ18" s="17" t="n">
        <v>8222</v>
      </c>
      <c r="BA18" s="17" t="n">
        <v>16444</v>
      </c>
      <c r="BB18" s="17" t="n">
        <v>0</v>
      </c>
      <c r="BC18" s="17" t="n">
        <v>0</v>
      </c>
      <c r="BD18" s="18" t="n">
        <v>12333</v>
      </c>
      <c r="BE18" s="16" t="n">
        <v>-294</v>
      </c>
      <c r="BF18" s="17" t="n">
        <v>0</v>
      </c>
      <c r="BG18" s="17" t="n">
        <v>0</v>
      </c>
      <c r="BH18" s="17" t="n">
        <v>-342</v>
      </c>
      <c r="BI18" s="17" t="n">
        <v>0</v>
      </c>
      <c r="BJ18" s="17" t="n">
        <v>-238</v>
      </c>
      <c r="BK18" s="17" t="n">
        <v>1</v>
      </c>
      <c r="BL18" s="17" t="n">
        <v>0</v>
      </c>
      <c r="BM18" s="17" t="n">
        <v>0</v>
      </c>
      <c r="BN18" s="18" t="n">
        <v>275</v>
      </c>
    </row>
    <row r="19" ht="20" customHeight="1">
      <c r="A19" s="15" t="inlineStr">
        <is>
          <t>00173085910</t>
        </is>
      </c>
      <c r="B19" s="15" t="inlineStr">
        <is>
          <t>BREO ELLIPTA 100-25 MCG/ACT INH AEROSOL</t>
        </is>
      </c>
      <c r="C19" s="16" t="n">
        <v>60</v>
      </c>
      <c r="D19" s="16" t="n">
        <v>9</v>
      </c>
      <c r="E19" s="16" t="n">
        <v>9</v>
      </c>
      <c r="F19" s="16" t="n">
        <v>393</v>
      </c>
      <c r="G19" s="16" t="n">
        <v>900</v>
      </c>
      <c r="H19" s="17" t="n">
        <v>60</v>
      </c>
      <c r="I19" s="17" t="n">
        <v>780</v>
      </c>
      <c r="J19" s="17" t="n">
        <v>60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8" t="n">
        <v>0</v>
      </c>
      <c r="Q19" s="16" t="n">
        <v>15</v>
      </c>
      <c r="R19" s="17" t="n">
        <v>1</v>
      </c>
      <c r="S19" s="17" t="n">
        <v>13</v>
      </c>
      <c r="T19" s="17" t="n">
        <v>1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8" t="n">
        <v>0</v>
      </c>
      <c r="AA19" s="16" t="n">
        <v>-6</v>
      </c>
      <c r="AB19" s="17" t="n">
        <v>8</v>
      </c>
      <c r="AC19" s="17" t="n">
        <v>-4</v>
      </c>
      <c r="AD19" s="17" t="n">
        <v>8</v>
      </c>
      <c r="AE19" s="17" t="n">
        <v>9</v>
      </c>
      <c r="AF19" s="17" t="n">
        <v>9</v>
      </c>
      <c r="AG19" s="17" t="n">
        <v>9</v>
      </c>
      <c r="AH19" s="17" t="n">
        <v>9</v>
      </c>
      <c r="AI19" s="17" t="n">
        <v>9</v>
      </c>
      <c r="AJ19" s="18" t="n">
        <v>9</v>
      </c>
      <c r="AK19" s="16" t="n">
        <v>5688</v>
      </c>
      <c r="AL19" s="17" t="n">
        <v>383</v>
      </c>
      <c r="AM19" s="17" t="n">
        <v>4945</v>
      </c>
      <c r="AN19" s="17" t="n">
        <v>360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8" t="n">
        <v>0</v>
      </c>
      <c r="AU19" s="16" t="n">
        <v>5895</v>
      </c>
      <c r="AV19" s="17" t="n">
        <v>393</v>
      </c>
      <c r="AW19" s="17" t="n">
        <v>5109</v>
      </c>
      <c r="AX19" s="17" t="n">
        <v>393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8" t="n">
        <v>0</v>
      </c>
      <c r="BE19" s="16" t="n">
        <v>-207</v>
      </c>
      <c r="BF19" s="17" t="n">
        <v>-10</v>
      </c>
      <c r="BG19" s="17" t="n">
        <v>-164</v>
      </c>
      <c r="BH19" s="17" t="n">
        <v>-33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8" t="n">
        <v>0</v>
      </c>
    </row>
    <row r="20" ht="20" customHeight="1">
      <c r="A20" s="15" t="inlineStr">
        <is>
          <t>00173088210</t>
        </is>
      </c>
      <c r="B20" s="15" t="inlineStr">
        <is>
          <t>BREO ELLIPTA 200-25MCG/INH AEROSOL 60EA</t>
        </is>
      </c>
      <c r="C20" s="16" t="n">
        <v>60</v>
      </c>
      <c r="D20" s="16" t="n">
        <v>10</v>
      </c>
      <c r="E20" s="16" t="n">
        <v>10</v>
      </c>
      <c r="F20" s="16" t="n">
        <v>392</v>
      </c>
      <c r="G20" s="16" t="n">
        <v>120</v>
      </c>
      <c r="H20" s="17" t="n">
        <v>0</v>
      </c>
      <c r="I20" s="17" t="n">
        <v>120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2</v>
      </c>
      <c r="R20" s="17" t="n">
        <v>0</v>
      </c>
      <c r="S20" s="17" t="n">
        <v>2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8</v>
      </c>
      <c r="AB20" s="17" t="n">
        <v>10</v>
      </c>
      <c r="AC20" s="17" t="n">
        <v>8</v>
      </c>
      <c r="AD20" s="17" t="n">
        <v>10</v>
      </c>
      <c r="AE20" s="17" t="n">
        <v>10</v>
      </c>
      <c r="AF20" s="17" t="n">
        <v>10</v>
      </c>
      <c r="AG20" s="17" t="n">
        <v>10</v>
      </c>
      <c r="AH20" s="17" t="n">
        <v>10</v>
      </c>
      <c r="AI20" s="17" t="n">
        <v>10</v>
      </c>
      <c r="AJ20" s="18" t="n">
        <v>10</v>
      </c>
      <c r="AK20" s="16" t="n">
        <v>771</v>
      </c>
      <c r="AL20" s="17" t="n">
        <v>0</v>
      </c>
      <c r="AM20" s="17" t="n">
        <v>771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784</v>
      </c>
      <c r="AV20" s="17" t="n">
        <v>0</v>
      </c>
      <c r="AW20" s="17" t="n">
        <v>784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-13</v>
      </c>
      <c r="BF20" s="17" t="n">
        <v>0</v>
      </c>
      <c r="BG20" s="17" t="n">
        <v>-13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00310461612</t>
        </is>
      </c>
      <c r="B21" s="15" t="inlineStr">
        <is>
          <t>BREZTRI AEROSPHERE 160-9-4.8 MCG/ACT INHALATION AEROSOL</t>
        </is>
      </c>
      <c r="C21" s="16" t="n">
        <v>10.7</v>
      </c>
      <c r="D21" s="16" t="n">
        <v>8</v>
      </c>
      <c r="E21" s="16" t="n">
        <v>8</v>
      </c>
      <c r="F21" s="16" t="n">
        <v>666</v>
      </c>
      <c r="G21" s="16" t="n">
        <v>181.9</v>
      </c>
      <c r="H21" s="17" t="n">
        <v>0</v>
      </c>
      <c r="I21" s="17" t="n">
        <v>74.90000000000001</v>
      </c>
      <c r="J21" s="17" t="n">
        <v>32.1</v>
      </c>
      <c r="K21" s="17" t="n">
        <v>0</v>
      </c>
      <c r="L21" s="17" t="n">
        <v>10.7</v>
      </c>
      <c r="M21" s="17" t="n">
        <v>32.1</v>
      </c>
      <c r="N21" s="17" t="n">
        <v>32.1</v>
      </c>
      <c r="O21" s="17" t="n">
        <v>0</v>
      </c>
      <c r="P21" s="18" t="n">
        <v>0</v>
      </c>
      <c r="Q21" s="16" t="n">
        <v>17</v>
      </c>
      <c r="R21" s="17" t="n">
        <v>0</v>
      </c>
      <c r="S21" s="17" t="n">
        <v>7</v>
      </c>
      <c r="T21" s="17" t="n">
        <v>3</v>
      </c>
      <c r="U21" s="17" t="n">
        <v>0</v>
      </c>
      <c r="V21" s="17" t="n">
        <v>1</v>
      </c>
      <c r="W21" s="17" t="n">
        <v>3</v>
      </c>
      <c r="X21" s="17" t="n">
        <v>3</v>
      </c>
      <c r="Y21" s="17" t="n">
        <v>0</v>
      </c>
      <c r="Z21" s="18" t="n">
        <v>0</v>
      </c>
      <c r="AA21" s="16" t="n">
        <v>-9</v>
      </c>
      <c r="AB21" s="17" t="n">
        <v>8</v>
      </c>
      <c r="AC21" s="17" t="n">
        <v>1</v>
      </c>
      <c r="AD21" s="17" t="n">
        <v>5</v>
      </c>
      <c r="AE21" s="17" t="n">
        <v>8</v>
      </c>
      <c r="AF21" s="17" t="n">
        <v>7</v>
      </c>
      <c r="AG21" s="17" t="n">
        <v>5</v>
      </c>
      <c r="AH21" s="17" t="n">
        <v>5</v>
      </c>
      <c r="AI21" s="17" t="n">
        <v>8</v>
      </c>
      <c r="AJ21" s="18" t="n">
        <v>8</v>
      </c>
      <c r="AK21" s="16" t="n">
        <v>11011</v>
      </c>
      <c r="AL21" s="17" t="n">
        <v>0</v>
      </c>
      <c r="AM21" s="17" t="n">
        <v>4484</v>
      </c>
      <c r="AN21" s="17" t="n">
        <v>1811</v>
      </c>
      <c r="AO21" s="17" t="n">
        <v>0</v>
      </c>
      <c r="AP21" s="17" t="n">
        <v>649</v>
      </c>
      <c r="AQ21" s="17" t="n">
        <v>1978</v>
      </c>
      <c r="AR21" s="17" t="n">
        <v>1999</v>
      </c>
      <c r="AS21" s="17" t="n">
        <v>0</v>
      </c>
      <c r="AT21" s="18" t="n">
        <v>0</v>
      </c>
      <c r="AU21" s="16" t="n">
        <v>11322</v>
      </c>
      <c r="AV21" s="17" t="n">
        <v>0</v>
      </c>
      <c r="AW21" s="17" t="n">
        <v>4662</v>
      </c>
      <c r="AX21" s="17" t="n">
        <v>1998</v>
      </c>
      <c r="AY21" s="17" t="n">
        <v>0</v>
      </c>
      <c r="AZ21" s="17" t="n">
        <v>666</v>
      </c>
      <c r="BA21" s="17" t="n">
        <v>1998</v>
      </c>
      <c r="BB21" s="17" t="n">
        <v>1998</v>
      </c>
      <c r="BC21" s="17" t="n">
        <v>0</v>
      </c>
      <c r="BD21" s="18" t="n">
        <v>0</v>
      </c>
      <c r="BE21" s="16" t="n">
        <v>-311</v>
      </c>
      <c r="BF21" s="17" t="n">
        <v>0</v>
      </c>
      <c r="BG21" s="17" t="n">
        <v>-178</v>
      </c>
      <c r="BH21" s="17" t="n">
        <v>-187</v>
      </c>
      <c r="BI21" s="17" t="n">
        <v>0</v>
      </c>
      <c r="BJ21" s="17" t="n">
        <v>-17</v>
      </c>
      <c r="BK21" s="17" t="n">
        <v>-20</v>
      </c>
      <c r="BL21" s="17" t="n">
        <v>1</v>
      </c>
      <c r="BM21" s="17" t="n">
        <v>0</v>
      </c>
      <c r="BN21" s="18" t="n">
        <v>0</v>
      </c>
    </row>
    <row r="22" ht="20" customHeight="1">
      <c r="A22" s="15" t="inlineStr">
        <is>
          <t>00310737220</t>
        </is>
      </c>
      <c r="B22" s="15" t="inlineStr">
        <is>
          <t>BUDESONIDE-FORMOTEROL FUMARATE 80-4.5MCG/ACT AEROSOL</t>
        </is>
      </c>
      <c r="C22" s="16" t="n">
        <v>10.2</v>
      </c>
      <c r="D22" s="16" t="n">
        <v>9</v>
      </c>
      <c r="E22" s="16" t="n">
        <v>9</v>
      </c>
      <c r="F22" s="16" t="n">
        <v>139</v>
      </c>
      <c r="G22" s="16" t="n">
        <v>244.8</v>
      </c>
      <c r="H22" s="17" t="n">
        <v>0</v>
      </c>
      <c r="I22" s="17" t="n">
        <v>183.6</v>
      </c>
      <c r="J22" s="17" t="n">
        <v>30.6</v>
      </c>
      <c r="K22" s="17" t="n">
        <v>0</v>
      </c>
      <c r="L22" s="17" t="n">
        <v>30.6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24</v>
      </c>
      <c r="R22" s="17" t="n">
        <v>0</v>
      </c>
      <c r="S22" s="17" t="n">
        <v>18</v>
      </c>
      <c r="T22" s="17" t="n">
        <v>3</v>
      </c>
      <c r="U22" s="17" t="n">
        <v>0</v>
      </c>
      <c r="V22" s="17" t="n">
        <v>3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-15</v>
      </c>
      <c r="AB22" s="17" t="n">
        <v>9</v>
      </c>
      <c r="AC22" s="17" t="n">
        <v>-9</v>
      </c>
      <c r="AD22" s="17" t="n">
        <v>6</v>
      </c>
      <c r="AE22" s="17" t="n">
        <v>9</v>
      </c>
      <c r="AF22" s="17" t="n">
        <v>6</v>
      </c>
      <c r="AG22" s="17" t="n">
        <v>9</v>
      </c>
      <c r="AH22" s="17" t="n">
        <v>9</v>
      </c>
      <c r="AI22" s="17" t="n">
        <v>9</v>
      </c>
      <c r="AJ22" s="18" t="n">
        <v>9</v>
      </c>
      <c r="AK22" s="16" t="n">
        <v>2929</v>
      </c>
      <c r="AL22" s="17" t="n">
        <v>0</v>
      </c>
      <c r="AM22" s="17" t="n">
        <v>1937</v>
      </c>
      <c r="AN22" s="17" t="n">
        <v>453</v>
      </c>
      <c r="AO22" s="17" t="n">
        <v>0</v>
      </c>
      <c r="AP22" s="17" t="n">
        <v>465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3336</v>
      </c>
      <c r="AV22" s="17" t="n">
        <v>0</v>
      </c>
      <c r="AW22" s="17" t="n">
        <v>2502</v>
      </c>
      <c r="AX22" s="17" t="n">
        <v>417</v>
      </c>
      <c r="AY22" s="17" t="n">
        <v>0</v>
      </c>
      <c r="AZ22" s="17" t="n">
        <v>417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-407</v>
      </c>
      <c r="BF22" s="17" t="n">
        <v>0</v>
      </c>
      <c r="BG22" s="17" t="n">
        <v>-565</v>
      </c>
      <c r="BH22" s="17" t="n">
        <v>36</v>
      </c>
      <c r="BI22" s="17" t="n">
        <v>0</v>
      </c>
      <c r="BJ22" s="17" t="n">
        <v>48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00310737020</t>
        </is>
      </c>
      <c r="B23" s="15" t="inlineStr">
        <is>
          <t>BUDESONIDE/FORMOTEROL 160 /4.5 MCG (SYMBICORT)</t>
        </is>
      </c>
      <c r="C23" s="16" t="n">
        <v>10.2</v>
      </c>
      <c r="D23" s="16" t="n">
        <v>19</v>
      </c>
      <c r="E23" s="16" t="n">
        <v>19</v>
      </c>
      <c r="F23" s="16" t="n">
        <v>180</v>
      </c>
      <c r="G23" s="16" t="n">
        <v>336.6</v>
      </c>
      <c r="H23" s="17" t="n">
        <v>0</v>
      </c>
      <c r="I23" s="17" t="n">
        <v>224.4</v>
      </c>
      <c r="J23" s="17" t="n">
        <v>81.59999999999999</v>
      </c>
      <c r="K23" s="17" t="n">
        <v>0</v>
      </c>
      <c r="L23" s="17" t="n">
        <v>30.6</v>
      </c>
      <c r="M23" s="17" t="n">
        <v>0</v>
      </c>
      <c r="N23" s="17" t="n">
        <v>0</v>
      </c>
      <c r="O23" s="17" t="n">
        <v>0</v>
      </c>
      <c r="P23" s="18" t="n">
        <v>0</v>
      </c>
      <c r="Q23" s="16" t="n">
        <v>33</v>
      </c>
      <c r="R23" s="17" t="n">
        <v>0</v>
      </c>
      <c r="S23" s="17" t="n">
        <v>22</v>
      </c>
      <c r="T23" s="17" t="n">
        <v>8</v>
      </c>
      <c r="U23" s="17" t="n">
        <v>0</v>
      </c>
      <c r="V23" s="17" t="n">
        <v>3</v>
      </c>
      <c r="W23" s="17" t="n">
        <v>0</v>
      </c>
      <c r="X23" s="17" t="n">
        <v>0</v>
      </c>
      <c r="Y23" s="17" t="n">
        <v>0</v>
      </c>
      <c r="Z23" s="18" t="n">
        <v>0</v>
      </c>
      <c r="AA23" s="16" t="n">
        <v>-14</v>
      </c>
      <c r="AB23" s="17" t="n">
        <v>19</v>
      </c>
      <c r="AC23" s="17" t="n">
        <v>-3</v>
      </c>
      <c r="AD23" s="17" t="n">
        <v>11</v>
      </c>
      <c r="AE23" s="17" t="n">
        <v>19</v>
      </c>
      <c r="AF23" s="17" t="n">
        <v>16</v>
      </c>
      <c r="AG23" s="17" t="n">
        <v>19</v>
      </c>
      <c r="AH23" s="17" t="n">
        <v>19</v>
      </c>
      <c r="AI23" s="17" t="n">
        <v>19</v>
      </c>
      <c r="AJ23" s="18" t="n">
        <v>19</v>
      </c>
      <c r="AK23" s="16" t="n">
        <v>5506</v>
      </c>
      <c r="AL23" s="17" t="n">
        <v>0</v>
      </c>
      <c r="AM23" s="17" t="n">
        <v>3375</v>
      </c>
      <c r="AN23" s="17" t="n">
        <v>1455</v>
      </c>
      <c r="AO23" s="17" t="n">
        <v>0</v>
      </c>
      <c r="AP23" s="17" t="n">
        <v>592</v>
      </c>
      <c r="AQ23" s="17" t="n">
        <v>0</v>
      </c>
      <c r="AR23" s="17" t="n">
        <v>0</v>
      </c>
      <c r="AS23" s="17" t="n">
        <v>0</v>
      </c>
      <c r="AT23" s="18" t="n">
        <v>0</v>
      </c>
      <c r="AU23" s="16" t="n">
        <v>5940</v>
      </c>
      <c r="AV23" s="17" t="n">
        <v>0</v>
      </c>
      <c r="AW23" s="17" t="n">
        <v>3960</v>
      </c>
      <c r="AX23" s="17" t="n">
        <v>1440</v>
      </c>
      <c r="AY23" s="17" t="n">
        <v>0</v>
      </c>
      <c r="AZ23" s="17" t="n">
        <v>540</v>
      </c>
      <c r="BA23" s="17" t="n">
        <v>0</v>
      </c>
      <c r="BB23" s="17" t="n">
        <v>0</v>
      </c>
      <c r="BC23" s="17" t="n">
        <v>0</v>
      </c>
      <c r="BD23" s="18" t="n">
        <v>0</v>
      </c>
      <c r="BE23" s="16" t="n">
        <v>-434</v>
      </c>
      <c r="BF23" s="17" t="n">
        <v>0</v>
      </c>
      <c r="BG23" s="17" t="n">
        <v>-585</v>
      </c>
      <c r="BH23" s="17" t="n">
        <v>15</v>
      </c>
      <c r="BI23" s="17" t="n">
        <v>0</v>
      </c>
      <c r="BJ23" s="17" t="n">
        <v>52</v>
      </c>
      <c r="BK23" s="17" t="n">
        <v>0</v>
      </c>
      <c r="BL23" s="17" t="n">
        <v>0</v>
      </c>
      <c r="BM23" s="17" t="n">
        <v>0</v>
      </c>
      <c r="BN23" s="18" t="n">
        <v>0</v>
      </c>
    </row>
    <row r="24" ht="20" customHeight="1">
      <c r="A24" s="15" t="inlineStr">
        <is>
          <t>47335050696</t>
        </is>
      </c>
      <c r="B24" s="15" t="inlineStr">
        <is>
          <t>CEQUA 0.09% SOLUTION</t>
        </is>
      </c>
      <c r="C24" s="16" t="n">
        <v>60</v>
      </c>
      <c r="D24" s="16" t="n">
        <v>5</v>
      </c>
      <c r="E24" s="16" t="n">
        <v>5</v>
      </c>
      <c r="F24" s="16" t="n">
        <v>633</v>
      </c>
      <c r="G24" s="16" t="n">
        <v>360</v>
      </c>
      <c r="H24" s="17" t="n">
        <v>0</v>
      </c>
      <c r="I24" s="17" t="n">
        <v>360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8" t="n">
        <v>0</v>
      </c>
      <c r="Q24" s="16" t="n">
        <v>6</v>
      </c>
      <c r="R24" s="17" t="n">
        <v>0</v>
      </c>
      <c r="S24" s="17" t="n">
        <v>6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8" t="n">
        <v>0</v>
      </c>
      <c r="AA24" s="16" t="n">
        <v>-1</v>
      </c>
      <c r="AB24" s="17" t="n">
        <v>5</v>
      </c>
      <c r="AC24" s="17" t="n">
        <v>-1</v>
      </c>
      <c r="AD24" s="17" t="n">
        <v>5</v>
      </c>
      <c r="AE24" s="17" t="n">
        <v>5</v>
      </c>
      <c r="AF24" s="17" t="n">
        <v>5</v>
      </c>
      <c r="AG24" s="17" t="n">
        <v>5</v>
      </c>
      <c r="AH24" s="17" t="n">
        <v>5</v>
      </c>
      <c r="AI24" s="17" t="n">
        <v>5</v>
      </c>
      <c r="AJ24" s="18" t="n">
        <v>5</v>
      </c>
      <c r="AK24" s="16" t="n">
        <v>3643</v>
      </c>
      <c r="AL24" s="17" t="n">
        <v>0</v>
      </c>
      <c r="AM24" s="17" t="n">
        <v>3638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8" t="n">
        <v>0</v>
      </c>
      <c r="AU24" s="16" t="n">
        <v>3798</v>
      </c>
      <c r="AV24" s="17" t="n">
        <v>0</v>
      </c>
      <c r="AW24" s="17" t="n">
        <v>3798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8" t="n">
        <v>0</v>
      </c>
      <c r="BE24" s="16" t="n">
        <v>-155</v>
      </c>
      <c r="BF24" s="17" t="n">
        <v>0</v>
      </c>
      <c r="BG24" s="17" t="n">
        <v>-160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8" t="n">
        <v>0</v>
      </c>
    </row>
    <row r="25" ht="20" customHeight="1">
      <c r="A25" s="15" t="inlineStr">
        <is>
          <t>68382052960</t>
        </is>
      </c>
      <c r="B25" s="15" t="inlineStr">
        <is>
          <t>CHOLESTYRAMINE LIGHT 4GM PACK</t>
        </is>
      </c>
      <c r="C25" s="16" t="n">
        <v>60</v>
      </c>
      <c r="D25" s="16" t="n">
        <v>0</v>
      </c>
      <c r="E25" s="16" t="n">
        <v>0</v>
      </c>
      <c r="F25" s="16" t="n">
        <v>0</v>
      </c>
      <c r="G25" s="16" t="n">
        <v>60</v>
      </c>
      <c r="H25" s="17" t="n">
        <v>0</v>
      </c>
      <c r="I25" s="17" t="n">
        <v>60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1</v>
      </c>
      <c r="R25" s="17" t="n">
        <v>0</v>
      </c>
      <c r="S25" s="17" t="n">
        <v>1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-1</v>
      </c>
      <c r="AB25" s="17" t="n">
        <v>0</v>
      </c>
      <c r="AC25" s="17" t="n">
        <v>-1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8" t="n">
        <v>0</v>
      </c>
      <c r="AK25" s="16" t="n">
        <v>90</v>
      </c>
      <c r="AL25" s="17" t="n">
        <v>0</v>
      </c>
      <c r="AM25" s="17" t="n">
        <v>89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90</v>
      </c>
      <c r="BF25" s="17" t="n">
        <v>0</v>
      </c>
      <c r="BG25" s="17" t="n">
        <v>89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00023921110</t>
        </is>
      </c>
      <c r="B26" s="15" t="inlineStr">
        <is>
          <t>COMBIGAN 0.2-0.5% OPTH SOLUTION 10ML</t>
        </is>
      </c>
      <c r="C26" s="16" t="n">
        <v>10</v>
      </c>
      <c r="D26" s="16" t="n">
        <v>0</v>
      </c>
      <c r="E26" s="16" t="n">
        <v>0</v>
      </c>
      <c r="F26" s="16" t="n">
        <v>0</v>
      </c>
      <c r="G26" s="16" t="n">
        <v>40</v>
      </c>
      <c r="H26" s="17" t="n">
        <v>0</v>
      </c>
      <c r="I26" s="17" t="n">
        <v>40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4</v>
      </c>
      <c r="R26" s="17" t="n">
        <v>0</v>
      </c>
      <c r="S26" s="17" t="n">
        <v>4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-4</v>
      </c>
      <c r="AB26" s="17" t="n">
        <v>0</v>
      </c>
      <c r="AC26" s="17" t="n">
        <v>-4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8" t="n">
        <v>0</v>
      </c>
      <c r="AK26" s="16" t="n">
        <v>1543</v>
      </c>
      <c r="AL26" s="17" t="n">
        <v>0</v>
      </c>
      <c r="AM26" s="17" t="n">
        <v>1543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1543</v>
      </c>
      <c r="BF26" s="17" t="n">
        <v>0</v>
      </c>
      <c r="BG26" s="17" t="n">
        <v>1543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00023921115</t>
        </is>
      </c>
      <c r="B27" s="15" t="inlineStr">
        <is>
          <t>COMBIGAN 0.2-0.5% OPTH SOLUTION 15ML</t>
        </is>
      </c>
      <c r="C27" s="16" t="n">
        <v>15</v>
      </c>
      <c r="D27" s="16" t="n">
        <v>0</v>
      </c>
      <c r="E27" s="16" t="n">
        <v>0</v>
      </c>
      <c r="F27" s="16" t="n">
        <v>0</v>
      </c>
      <c r="G27" s="16" t="n">
        <v>90</v>
      </c>
      <c r="H27" s="17" t="n">
        <v>0</v>
      </c>
      <c r="I27" s="17" t="n">
        <v>90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6</v>
      </c>
      <c r="R27" s="17" t="n">
        <v>0</v>
      </c>
      <c r="S27" s="17" t="n">
        <v>6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-6</v>
      </c>
      <c r="AB27" s="17" t="n">
        <v>0</v>
      </c>
      <c r="AC27" s="17" t="n">
        <v>-6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</v>
      </c>
      <c r="AJ27" s="18" t="n">
        <v>0</v>
      </c>
      <c r="AK27" s="16" t="n">
        <v>3485</v>
      </c>
      <c r="AL27" s="17" t="n">
        <v>0</v>
      </c>
      <c r="AM27" s="17" t="n">
        <v>3483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3485</v>
      </c>
      <c r="BF27" s="17" t="n">
        <v>0</v>
      </c>
      <c r="BG27" s="17" t="n">
        <v>3483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00193730850</t>
        </is>
      </c>
      <c r="B28" s="15" t="inlineStr">
        <is>
          <t>CONTOUR NEXT STRIP DME</t>
        </is>
      </c>
      <c r="C28" s="16" t="n">
        <v>50</v>
      </c>
      <c r="D28" s="16" t="n">
        <v>0</v>
      </c>
      <c r="E28" s="16" t="n">
        <v>0</v>
      </c>
      <c r="F28" s="16" t="n">
        <v>0</v>
      </c>
      <c r="G28" s="16" t="n">
        <v>100</v>
      </c>
      <c r="H28" s="17" t="n">
        <v>0</v>
      </c>
      <c r="I28" s="17" t="n">
        <v>0</v>
      </c>
      <c r="J28" s="17" t="n">
        <v>0</v>
      </c>
      <c r="K28" s="17" t="n">
        <v>100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2</v>
      </c>
      <c r="R28" s="17" t="n">
        <v>0</v>
      </c>
      <c r="S28" s="17" t="n">
        <v>0</v>
      </c>
      <c r="T28" s="17" t="n">
        <v>0</v>
      </c>
      <c r="U28" s="17" t="n">
        <v>2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-2</v>
      </c>
      <c r="AB28" s="17" t="n">
        <v>0</v>
      </c>
      <c r="AC28" s="17" t="n">
        <v>0</v>
      </c>
      <c r="AD28" s="17" t="n">
        <v>0</v>
      </c>
      <c r="AE28" s="17" t="n">
        <v>-2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13</v>
      </c>
      <c r="AL28" s="17" t="n">
        <v>0</v>
      </c>
      <c r="AM28" s="17" t="n">
        <v>0</v>
      </c>
      <c r="AN28" s="17" t="n">
        <v>0</v>
      </c>
      <c r="AO28" s="17" t="n">
        <v>13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13</v>
      </c>
      <c r="BF28" s="17" t="n">
        <v>0</v>
      </c>
      <c r="BG28" s="17" t="n">
        <v>0</v>
      </c>
      <c r="BH28" s="17" t="n">
        <v>0</v>
      </c>
      <c r="BI28" s="17" t="n">
        <v>13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00193731150</t>
        </is>
      </c>
      <c r="B29" s="15" t="inlineStr">
        <is>
          <t>CONTOUR NEXT TEST  STRIPS</t>
        </is>
      </c>
      <c r="C29" s="16" t="n">
        <v>50</v>
      </c>
      <c r="D29" s="16" t="n">
        <v>0</v>
      </c>
      <c r="E29" s="16" t="n">
        <v>0</v>
      </c>
      <c r="F29" s="16" t="n">
        <v>0</v>
      </c>
      <c r="G29" s="16" t="n">
        <v>21550</v>
      </c>
      <c r="H29" s="17" t="n">
        <v>0</v>
      </c>
      <c r="I29" s="17" t="n">
        <v>15650</v>
      </c>
      <c r="J29" s="17" t="n">
        <v>0</v>
      </c>
      <c r="K29" s="17" t="n">
        <v>300</v>
      </c>
      <c r="L29" s="17" t="n">
        <v>1400</v>
      </c>
      <c r="M29" s="17" t="n">
        <v>3000</v>
      </c>
      <c r="N29" s="17" t="n">
        <v>600</v>
      </c>
      <c r="O29" s="17" t="n">
        <v>0</v>
      </c>
      <c r="P29" s="18" t="n">
        <v>0</v>
      </c>
      <c r="Q29" s="16" t="n">
        <v>431</v>
      </c>
      <c r="R29" s="17" t="n">
        <v>0</v>
      </c>
      <c r="S29" s="17" t="n">
        <v>313</v>
      </c>
      <c r="T29" s="17" t="n">
        <v>0</v>
      </c>
      <c r="U29" s="17" t="n">
        <v>6</v>
      </c>
      <c r="V29" s="17" t="n">
        <v>28</v>
      </c>
      <c r="W29" s="17" t="n">
        <v>60</v>
      </c>
      <c r="X29" s="17" t="n">
        <v>12</v>
      </c>
      <c r="Y29" s="17" t="n">
        <v>0</v>
      </c>
      <c r="Z29" s="18" t="n">
        <v>0</v>
      </c>
      <c r="AA29" s="16" t="n">
        <v>-431</v>
      </c>
      <c r="AB29" s="17" t="n">
        <v>0</v>
      </c>
      <c r="AC29" s="17" t="n">
        <v>-313</v>
      </c>
      <c r="AD29" s="17" t="n">
        <v>0</v>
      </c>
      <c r="AE29" s="17" t="n">
        <v>-6</v>
      </c>
      <c r="AF29" s="17" t="n">
        <v>-28</v>
      </c>
      <c r="AG29" s="17" t="n">
        <v>-60</v>
      </c>
      <c r="AH29" s="17" t="n">
        <v>-12</v>
      </c>
      <c r="AI29" s="17" t="n">
        <v>0</v>
      </c>
      <c r="AJ29" s="18" t="n">
        <v>0</v>
      </c>
      <c r="AK29" s="16" t="n">
        <v>22379</v>
      </c>
      <c r="AL29" s="17" t="n">
        <v>0</v>
      </c>
      <c r="AM29" s="17" t="n">
        <v>16008</v>
      </c>
      <c r="AN29" s="17" t="n">
        <v>0</v>
      </c>
      <c r="AO29" s="17" t="n">
        <v>40</v>
      </c>
      <c r="AP29" s="17" t="n">
        <v>1414</v>
      </c>
      <c r="AQ29" s="17" t="n">
        <v>3299</v>
      </c>
      <c r="AR29" s="17" t="n">
        <v>654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22379</v>
      </c>
      <c r="BF29" s="17" t="n">
        <v>0</v>
      </c>
      <c r="BG29" s="17" t="n">
        <v>16008</v>
      </c>
      <c r="BH29" s="17" t="n">
        <v>0</v>
      </c>
      <c r="BI29" s="17" t="n">
        <v>40</v>
      </c>
      <c r="BJ29" s="17" t="n">
        <v>1414</v>
      </c>
      <c r="BK29" s="17" t="n">
        <v>3299</v>
      </c>
      <c r="BL29" s="17" t="n">
        <v>654</v>
      </c>
      <c r="BM29" s="17" t="n">
        <v>0</v>
      </c>
      <c r="BN29" s="18" t="n">
        <v>0</v>
      </c>
    </row>
    <row r="30" ht="20" customHeight="1">
      <c r="A30" s="15" t="inlineStr">
        <is>
          <t>00032263601</t>
        </is>
      </c>
      <c r="B30" s="15" t="inlineStr">
        <is>
          <t>CREON 24000-76000 UNIT CAPSULE DR</t>
        </is>
      </c>
      <c r="C30" s="16" t="n">
        <v>100</v>
      </c>
      <c r="D30" s="16" t="n">
        <v>3</v>
      </c>
      <c r="E30" s="16" t="n">
        <v>3</v>
      </c>
      <c r="F30" s="16" t="n">
        <v>849</v>
      </c>
      <c r="G30" s="16" t="n">
        <v>270</v>
      </c>
      <c r="H30" s="17" t="n">
        <v>0</v>
      </c>
      <c r="I30" s="17" t="n">
        <v>270</v>
      </c>
      <c r="J30" s="17" t="n">
        <v>0</v>
      </c>
      <c r="K30" s="17" t="n">
        <v>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2.7</v>
      </c>
      <c r="R30" s="17" t="n">
        <v>0</v>
      </c>
      <c r="S30" s="17" t="n">
        <v>2.7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0.3</v>
      </c>
      <c r="AB30" s="17" t="n">
        <v>3</v>
      </c>
      <c r="AC30" s="17" t="n">
        <v>0.3</v>
      </c>
      <c r="AD30" s="17" t="n">
        <v>3</v>
      </c>
      <c r="AE30" s="17" t="n">
        <v>3</v>
      </c>
      <c r="AF30" s="17" t="n">
        <v>3</v>
      </c>
      <c r="AG30" s="17" t="n">
        <v>3</v>
      </c>
      <c r="AH30" s="17" t="n">
        <v>3</v>
      </c>
      <c r="AI30" s="17" t="n">
        <v>3</v>
      </c>
      <c r="AJ30" s="18" t="n">
        <v>3</v>
      </c>
      <c r="AK30" s="16" t="n">
        <v>2216</v>
      </c>
      <c r="AL30" s="17" t="n">
        <v>0</v>
      </c>
      <c r="AM30" s="17" t="n">
        <v>2190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2292</v>
      </c>
      <c r="AV30" s="17" t="n">
        <v>0</v>
      </c>
      <c r="AW30" s="17" t="n">
        <v>2292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-77</v>
      </c>
      <c r="BF30" s="17" t="n">
        <v>0</v>
      </c>
      <c r="BG30" s="17" t="n">
        <v>-102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00032301613</t>
        </is>
      </c>
      <c r="B31" s="15" t="inlineStr">
        <is>
          <t>CREON 36000UNIT CAPSULE</t>
        </is>
      </c>
      <c r="C31" s="16" t="n">
        <v>100</v>
      </c>
      <c r="D31" s="16" t="n">
        <v>3</v>
      </c>
      <c r="E31" s="16" t="n">
        <v>3</v>
      </c>
      <c r="F31" s="16" t="n">
        <v>1243</v>
      </c>
      <c r="G31" s="16" t="n">
        <v>270</v>
      </c>
      <c r="H31" s="17" t="n">
        <v>0</v>
      </c>
      <c r="I31" s="17" t="n">
        <v>270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8" t="n">
        <v>0</v>
      </c>
      <c r="Q31" s="16" t="n">
        <v>2.7</v>
      </c>
      <c r="R31" s="17" t="n">
        <v>0</v>
      </c>
      <c r="S31" s="17" t="n">
        <v>2.7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0</v>
      </c>
      <c r="Z31" s="18" t="n">
        <v>0</v>
      </c>
      <c r="AA31" s="16" t="n">
        <v>0.3</v>
      </c>
      <c r="AB31" s="17" t="n">
        <v>3</v>
      </c>
      <c r="AC31" s="17" t="n">
        <v>0.3</v>
      </c>
      <c r="AD31" s="17" t="n">
        <v>3</v>
      </c>
      <c r="AE31" s="17" t="n">
        <v>3</v>
      </c>
      <c r="AF31" s="17" t="n">
        <v>3</v>
      </c>
      <c r="AG31" s="17" t="n">
        <v>3</v>
      </c>
      <c r="AH31" s="17" t="n">
        <v>3</v>
      </c>
      <c r="AI31" s="17" t="n">
        <v>3</v>
      </c>
      <c r="AJ31" s="18" t="n">
        <v>3</v>
      </c>
      <c r="AK31" s="16" t="n">
        <v>3242</v>
      </c>
      <c r="AL31" s="17" t="n">
        <v>0</v>
      </c>
      <c r="AM31" s="17" t="n">
        <v>3242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8" t="n">
        <v>0</v>
      </c>
      <c r="AU31" s="16" t="n">
        <v>3356</v>
      </c>
      <c r="AV31" s="17" t="n">
        <v>0</v>
      </c>
      <c r="AW31" s="17" t="n">
        <v>3356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-114</v>
      </c>
      <c r="BF31" s="17" t="n">
        <v>0</v>
      </c>
      <c r="BG31" s="17" t="n">
        <v>-114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8" t="n">
        <v>0</v>
      </c>
    </row>
    <row r="32" ht="20" customHeight="1">
      <c r="A32" s="15" t="inlineStr">
        <is>
          <t>00032004670</t>
        </is>
      </c>
      <c r="B32" s="15" t="inlineStr">
        <is>
          <t>CREON 6000-19000 UNIT ORAL CAPSULE DELAYED RELEASE PARTICLES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180</v>
      </c>
      <c r="H32" s="17" t="n">
        <v>0</v>
      </c>
      <c r="I32" s="17" t="n">
        <v>180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1.8</v>
      </c>
      <c r="R32" s="17" t="n">
        <v>0</v>
      </c>
      <c r="S32" s="17" t="n">
        <v>1.8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-1.8</v>
      </c>
      <c r="AB32" s="17" t="n">
        <v>0</v>
      </c>
      <c r="AC32" s="17" t="n">
        <v>-1.8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8" t="n">
        <v>0</v>
      </c>
      <c r="AK32" s="16" t="n">
        <v>361</v>
      </c>
      <c r="AL32" s="17" t="n">
        <v>0</v>
      </c>
      <c r="AM32" s="17" t="n">
        <v>316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361</v>
      </c>
      <c r="BF32" s="17" t="n">
        <v>0</v>
      </c>
      <c r="BG32" s="17" t="n">
        <v>316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00310756090</t>
        </is>
      </c>
      <c r="B33" s="15" t="inlineStr">
        <is>
          <t>CRESTOR 5MG TABLET</t>
        </is>
      </c>
      <c r="C33" s="16" t="n">
        <v>90</v>
      </c>
      <c r="D33" s="16" t="n">
        <v>1</v>
      </c>
      <c r="E33" s="16" t="n">
        <v>1</v>
      </c>
      <c r="F33" s="16" t="n">
        <v>801</v>
      </c>
      <c r="G33" s="16" t="n">
        <v>90</v>
      </c>
      <c r="H33" s="17" t="n">
        <v>0</v>
      </c>
      <c r="I33" s="17" t="n">
        <v>90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1</v>
      </c>
      <c r="R33" s="17" t="n">
        <v>0</v>
      </c>
      <c r="S33" s="17" t="n">
        <v>1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</v>
      </c>
      <c r="AB33" s="17" t="n">
        <v>1</v>
      </c>
      <c r="AC33" s="17" t="n">
        <v>0</v>
      </c>
      <c r="AD33" s="17" t="n">
        <v>1</v>
      </c>
      <c r="AE33" s="17" t="n">
        <v>1</v>
      </c>
      <c r="AF33" s="17" t="n">
        <v>1</v>
      </c>
      <c r="AG33" s="17" t="n">
        <v>1</v>
      </c>
      <c r="AH33" s="17" t="n">
        <v>1</v>
      </c>
      <c r="AI33" s="17" t="n">
        <v>1</v>
      </c>
      <c r="AJ33" s="18" t="n">
        <v>1</v>
      </c>
      <c r="AK33" s="16" t="n">
        <v>776</v>
      </c>
      <c r="AL33" s="17" t="n">
        <v>0</v>
      </c>
      <c r="AM33" s="17" t="n">
        <v>771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801</v>
      </c>
      <c r="AV33" s="17" t="n">
        <v>0</v>
      </c>
      <c r="AW33" s="17" t="n">
        <v>801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-25</v>
      </c>
      <c r="BF33" s="17" t="n">
        <v>0</v>
      </c>
      <c r="BG33" s="17" t="n">
        <v>-30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62856040530</t>
        </is>
      </c>
      <c r="B34" s="15" t="inlineStr">
        <is>
          <t>DAYVIGO 5 MG ORAL TABLET</t>
        </is>
      </c>
      <c r="C34" s="16" t="n">
        <v>30</v>
      </c>
      <c r="D34" s="16" t="n">
        <v>3</v>
      </c>
      <c r="E34" s="16" t="n">
        <v>3</v>
      </c>
      <c r="F34" s="16" t="n">
        <v>353</v>
      </c>
      <c r="G34" s="16" t="n">
        <v>90</v>
      </c>
      <c r="H34" s="17" t="n">
        <v>0</v>
      </c>
      <c r="I34" s="17" t="n">
        <v>90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3</v>
      </c>
      <c r="R34" s="17" t="n">
        <v>0</v>
      </c>
      <c r="S34" s="17" t="n">
        <v>3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0</v>
      </c>
      <c r="AB34" s="17" t="n">
        <v>3</v>
      </c>
      <c r="AC34" s="17" t="n">
        <v>0</v>
      </c>
      <c r="AD34" s="17" t="n">
        <v>3</v>
      </c>
      <c r="AE34" s="17" t="n">
        <v>3</v>
      </c>
      <c r="AF34" s="17" t="n">
        <v>3</v>
      </c>
      <c r="AG34" s="17" t="n">
        <v>3</v>
      </c>
      <c r="AH34" s="17" t="n">
        <v>3</v>
      </c>
      <c r="AI34" s="17" t="n">
        <v>3</v>
      </c>
      <c r="AJ34" s="18" t="n">
        <v>3</v>
      </c>
      <c r="AK34" s="16" t="n">
        <v>1023</v>
      </c>
      <c r="AL34" s="17" t="n">
        <v>0</v>
      </c>
      <c r="AM34" s="17" t="n">
        <v>1023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1059</v>
      </c>
      <c r="AV34" s="17" t="n">
        <v>0</v>
      </c>
      <c r="AW34" s="17" t="n">
        <v>1059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-36</v>
      </c>
      <c r="BF34" s="17" t="n">
        <v>0</v>
      </c>
      <c r="BG34" s="17" t="n">
        <v>-36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42023011101</t>
        </is>
      </c>
      <c r="B35" s="15" t="inlineStr">
        <is>
          <t>DELESTROGEN 20 MG/ML INTRAMUSCULAR OIL</t>
        </is>
      </c>
      <c r="C35" s="16" t="n">
        <v>5</v>
      </c>
      <c r="D35" s="16" t="n">
        <v>0</v>
      </c>
      <c r="E35" s="16" t="n">
        <v>0</v>
      </c>
      <c r="F35" s="16" t="n">
        <v>0</v>
      </c>
      <c r="G35" s="16" t="n">
        <v>5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5</v>
      </c>
      <c r="N35" s="17" t="n">
        <v>0</v>
      </c>
      <c r="O35" s="17" t="n">
        <v>0</v>
      </c>
      <c r="P35" s="18" t="n">
        <v>0</v>
      </c>
      <c r="Q35" s="16" t="n">
        <v>1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1</v>
      </c>
      <c r="X35" s="17" t="n">
        <v>0</v>
      </c>
      <c r="Y35" s="17" t="n">
        <v>0</v>
      </c>
      <c r="Z35" s="18" t="n">
        <v>0</v>
      </c>
      <c r="AA35" s="16" t="n">
        <v>-1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-1</v>
      </c>
      <c r="AH35" s="17" t="n">
        <v>0</v>
      </c>
      <c r="AI35" s="17" t="n">
        <v>0</v>
      </c>
      <c r="AJ35" s="18" t="n">
        <v>0</v>
      </c>
      <c r="AK35" s="16" t="n">
        <v>190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187</v>
      </c>
      <c r="AR35" s="17" t="n">
        <v>0</v>
      </c>
      <c r="AS35" s="17" t="n">
        <v>0</v>
      </c>
      <c r="AT35" s="18" t="n">
        <v>0</v>
      </c>
      <c r="AU35" s="16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190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187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00074732713</t>
        </is>
      </c>
      <c r="B36" s="15" t="inlineStr">
        <is>
          <t>DEPAKOTE 500MG TABLET DELAYED RELEASE</t>
        </is>
      </c>
      <c r="C36" s="16" t="n">
        <v>100</v>
      </c>
      <c r="D36" s="16" t="n">
        <v>2</v>
      </c>
      <c r="E36" s="16" t="n">
        <v>2</v>
      </c>
      <c r="F36" s="16" t="n">
        <v>717</v>
      </c>
      <c r="G36" s="16" t="n">
        <v>180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180</v>
      </c>
      <c r="N36" s="17" t="n">
        <v>0</v>
      </c>
      <c r="O36" s="17" t="n">
        <v>0</v>
      </c>
      <c r="P36" s="18" t="n">
        <v>0</v>
      </c>
      <c r="Q36" s="16" t="n">
        <v>1.8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1.8</v>
      </c>
      <c r="X36" s="17" t="n">
        <v>0</v>
      </c>
      <c r="Y36" s="17" t="n">
        <v>0</v>
      </c>
      <c r="Z36" s="18" t="n">
        <v>0</v>
      </c>
      <c r="AA36" s="16" t="n">
        <v>0.2</v>
      </c>
      <c r="AB36" s="17" t="n">
        <v>2</v>
      </c>
      <c r="AC36" s="17" t="n">
        <v>2</v>
      </c>
      <c r="AD36" s="17" t="n">
        <v>2</v>
      </c>
      <c r="AE36" s="17" t="n">
        <v>2</v>
      </c>
      <c r="AF36" s="17" t="n">
        <v>2</v>
      </c>
      <c r="AG36" s="17" t="n">
        <v>0.2</v>
      </c>
      <c r="AH36" s="17" t="n">
        <v>2</v>
      </c>
      <c r="AI36" s="17" t="n">
        <v>2</v>
      </c>
      <c r="AJ36" s="18" t="n">
        <v>2</v>
      </c>
      <c r="AK36" s="16" t="n">
        <v>1353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1353</v>
      </c>
      <c r="AR36" s="17" t="n">
        <v>0</v>
      </c>
      <c r="AS36" s="17" t="n">
        <v>0</v>
      </c>
      <c r="AT36" s="18" t="n">
        <v>0</v>
      </c>
      <c r="AU36" s="16" t="n">
        <v>1291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1291</v>
      </c>
      <c r="BB36" s="17" t="n">
        <v>0</v>
      </c>
      <c r="BC36" s="17" t="n">
        <v>0</v>
      </c>
      <c r="BD36" s="18" t="n">
        <v>0</v>
      </c>
      <c r="BE36" s="16" t="n">
        <v>63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63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00074740113</t>
        </is>
      </c>
      <c r="B37" s="15" t="inlineStr">
        <is>
          <t>DEPAKOTE ER 250 MG TABLET</t>
        </is>
      </c>
      <c r="C37" s="16" t="n">
        <v>100</v>
      </c>
      <c r="D37" s="16" t="n">
        <v>2</v>
      </c>
      <c r="E37" s="16" t="n">
        <v>2</v>
      </c>
      <c r="F37" s="16" t="n">
        <v>353</v>
      </c>
      <c r="G37" s="16" t="n">
        <v>90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90</v>
      </c>
      <c r="N37" s="17" t="n">
        <v>0</v>
      </c>
      <c r="O37" s="17" t="n">
        <v>0</v>
      </c>
      <c r="P37" s="18" t="n">
        <v>0</v>
      </c>
      <c r="Q37" s="16" t="n">
        <v>0.9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0.9</v>
      </c>
      <c r="X37" s="17" t="n">
        <v>0</v>
      </c>
      <c r="Y37" s="17" t="n">
        <v>0</v>
      </c>
      <c r="Z37" s="18" t="n">
        <v>0</v>
      </c>
      <c r="AA37" s="16" t="n">
        <v>1.1</v>
      </c>
      <c r="AB37" s="17" t="n">
        <v>2</v>
      </c>
      <c r="AC37" s="17" t="n">
        <v>2</v>
      </c>
      <c r="AD37" s="17" t="n">
        <v>2</v>
      </c>
      <c r="AE37" s="17" t="n">
        <v>2</v>
      </c>
      <c r="AF37" s="17" t="n">
        <v>2</v>
      </c>
      <c r="AG37" s="17" t="n">
        <v>1.1</v>
      </c>
      <c r="AH37" s="17" t="n">
        <v>2</v>
      </c>
      <c r="AI37" s="17" t="n">
        <v>2</v>
      </c>
      <c r="AJ37" s="18" t="n">
        <v>2</v>
      </c>
      <c r="AK37" s="16" t="n">
        <v>357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357</v>
      </c>
      <c r="AR37" s="17" t="n">
        <v>0</v>
      </c>
      <c r="AS37" s="17" t="n">
        <v>0</v>
      </c>
      <c r="AT37" s="18" t="n">
        <v>0</v>
      </c>
      <c r="AU37" s="16" t="n">
        <v>318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318</v>
      </c>
      <c r="BB37" s="17" t="n">
        <v>0</v>
      </c>
      <c r="BC37" s="17" t="n">
        <v>0</v>
      </c>
      <c r="BD37" s="18" t="n">
        <v>0</v>
      </c>
      <c r="BE37" s="16" t="n">
        <v>39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39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08627007801</t>
        </is>
      </c>
      <c r="B38" s="15" t="inlineStr">
        <is>
          <t>DEXCOM G7 RECEIVER DEVICE</t>
        </is>
      </c>
      <c r="C38" s="16" t="n">
        <v>1</v>
      </c>
      <c r="D38" s="16" t="n">
        <v>1</v>
      </c>
      <c r="E38" s="16" t="n">
        <v>1</v>
      </c>
      <c r="F38" s="16" t="n">
        <v>302</v>
      </c>
      <c r="G38" s="16" t="n">
        <v>1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  <c r="N38" s="17" t="n">
        <v>1</v>
      </c>
      <c r="O38" s="17" t="n">
        <v>0</v>
      </c>
      <c r="P38" s="18" t="n">
        <v>0</v>
      </c>
      <c r="Q38" s="16" t="n">
        <v>1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1</v>
      </c>
      <c r="Y38" s="17" t="n">
        <v>0</v>
      </c>
      <c r="Z38" s="18" t="n">
        <v>0</v>
      </c>
      <c r="AA38" s="16" t="n">
        <v>0</v>
      </c>
      <c r="AB38" s="17" t="n">
        <v>1</v>
      </c>
      <c r="AC38" s="17" t="n">
        <v>1</v>
      </c>
      <c r="AD38" s="17" t="n">
        <v>1</v>
      </c>
      <c r="AE38" s="17" t="n">
        <v>1</v>
      </c>
      <c r="AF38" s="17" t="n">
        <v>1</v>
      </c>
      <c r="AG38" s="17" t="n">
        <v>1</v>
      </c>
      <c r="AH38" s="17" t="n">
        <v>0</v>
      </c>
      <c r="AI38" s="17" t="n">
        <v>1</v>
      </c>
      <c r="AJ38" s="18" t="n">
        <v>1</v>
      </c>
      <c r="AK38" s="16" t="n">
        <v>302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272</v>
      </c>
      <c r="AS38" s="17" t="n">
        <v>0</v>
      </c>
      <c r="AT38" s="18" t="n">
        <v>0</v>
      </c>
      <c r="AU38" s="16" t="n">
        <v>302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302</v>
      </c>
      <c r="BC38" s="17" t="n">
        <v>0</v>
      </c>
      <c r="BD38" s="18" t="n">
        <v>0</v>
      </c>
      <c r="BE38" s="16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-30</v>
      </c>
      <c r="BM38" s="17" t="n">
        <v>0</v>
      </c>
      <c r="BN38" s="18" t="n">
        <v>0</v>
      </c>
    </row>
    <row r="39" ht="20" customHeight="1">
      <c r="A39" s="15" t="inlineStr">
        <is>
          <t>08627007701</t>
        </is>
      </c>
      <c r="B39" s="15" t="inlineStr">
        <is>
          <t>DEXCOM G7 SENSOR</t>
        </is>
      </c>
      <c r="C39" s="16" t="n">
        <v>1</v>
      </c>
      <c r="D39" s="16" t="n">
        <v>32</v>
      </c>
      <c r="E39" s="16" t="n">
        <v>32</v>
      </c>
      <c r="F39" s="16" t="n">
        <v>129</v>
      </c>
      <c r="G39" s="16" t="n">
        <v>45</v>
      </c>
      <c r="H39" s="17" t="n">
        <v>0</v>
      </c>
      <c r="I39" s="17" t="n">
        <v>9</v>
      </c>
      <c r="J39" s="17" t="n">
        <v>9</v>
      </c>
      <c r="K39" s="17" t="n">
        <v>0</v>
      </c>
      <c r="L39" s="17" t="n">
        <v>0</v>
      </c>
      <c r="M39" s="17" t="n">
        <v>18</v>
      </c>
      <c r="N39" s="17" t="n">
        <v>9</v>
      </c>
      <c r="O39" s="17" t="n">
        <v>0</v>
      </c>
      <c r="P39" s="18" t="n">
        <v>0</v>
      </c>
      <c r="Q39" s="16" t="n">
        <v>45</v>
      </c>
      <c r="R39" s="17" t="n">
        <v>0</v>
      </c>
      <c r="S39" s="17" t="n">
        <v>9</v>
      </c>
      <c r="T39" s="17" t="n">
        <v>9</v>
      </c>
      <c r="U39" s="17" t="n">
        <v>0</v>
      </c>
      <c r="V39" s="17" t="n">
        <v>0</v>
      </c>
      <c r="W39" s="17" t="n">
        <v>18</v>
      </c>
      <c r="X39" s="17" t="n">
        <v>9</v>
      </c>
      <c r="Y39" s="17" t="n">
        <v>0</v>
      </c>
      <c r="Z39" s="18" t="n">
        <v>0</v>
      </c>
      <c r="AA39" s="16" t="n">
        <v>-13</v>
      </c>
      <c r="AB39" s="17" t="n">
        <v>32</v>
      </c>
      <c r="AC39" s="17" t="n">
        <v>23</v>
      </c>
      <c r="AD39" s="17" t="n">
        <v>23</v>
      </c>
      <c r="AE39" s="17" t="n">
        <v>32</v>
      </c>
      <c r="AF39" s="17" t="n">
        <v>32</v>
      </c>
      <c r="AG39" s="17" t="n">
        <v>14</v>
      </c>
      <c r="AH39" s="17" t="n">
        <v>23</v>
      </c>
      <c r="AI39" s="17" t="n">
        <v>32</v>
      </c>
      <c r="AJ39" s="18" t="n">
        <v>32</v>
      </c>
      <c r="AK39" s="16" t="n">
        <v>5665</v>
      </c>
      <c r="AL39" s="17" t="n">
        <v>0</v>
      </c>
      <c r="AM39" s="17" t="n">
        <v>1150</v>
      </c>
      <c r="AN39" s="17" t="n">
        <v>1065</v>
      </c>
      <c r="AO39" s="17" t="n">
        <v>0</v>
      </c>
      <c r="AP39" s="17" t="n">
        <v>0</v>
      </c>
      <c r="AQ39" s="17" t="n">
        <v>2305</v>
      </c>
      <c r="AR39" s="17" t="n">
        <v>1056</v>
      </c>
      <c r="AS39" s="17" t="n">
        <v>0</v>
      </c>
      <c r="AT39" s="18" t="n">
        <v>0</v>
      </c>
      <c r="AU39" s="16" t="n">
        <v>5805</v>
      </c>
      <c r="AV39" s="17" t="n">
        <v>0</v>
      </c>
      <c r="AW39" s="17" t="n">
        <v>1161</v>
      </c>
      <c r="AX39" s="17" t="n">
        <v>1161</v>
      </c>
      <c r="AY39" s="17" t="n">
        <v>0</v>
      </c>
      <c r="AZ39" s="17" t="n">
        <v>0</v>
      </c>
      <c r="BA39" s="17" t="n">
        <v>2322</v>
      </c>
      <c r="BB39" s="17" t="n">
        <v>1161</v>
      </c>
      <c r="BC39" s="17" t="n">
        <v>0</v>
      </c>
      <c r="BD39" s="18" t="n">
        <v>0</v>
      </c>
      <c r="BE39" s="16" t="n">
        <v>-140</v>
      </c>
      <c r="BF39" s="17" t="n">
        <v>0</v>
      </c>
      <c r="BG39" s="17" t="n">
        <v>-11</v>
      </c>
      <c r="BH39" s="17" t="n">
        <v>-96</v>
      </c>
      <c r="BI39" s="17" t="n">
        <v>0</v>
      </c>
      <c r="BJ39" s="17" t="n">
        <v>0</v>
      </c>
      <c r="BK39" s="17" t="n">
        <v>-17</v>
      </c>
      <c r="BL39" s="17" t="n">
        <v>-105</v>
      </c>
      <c r="BM39" s="17" t="n">
        <v>0</v>
      </c>
      <c r="BN39" s="18" t="n">
        <v>0</v>
      </c>
    </row>
    <row r="40" ht="20" customHeight="1">
      <c r="A40" s="15" t="inlineStr">
        <is>
          <t>64764017530</t>
        </is>
      </c>
      <c r="B40" s="15" t="inlineStr">
        <is>
          <t xml:space="preserve">DEXILANT 60MG CAP </t>
        </is>
      </c>
      <c r="C40" s="16" t="n">
        <v>30</v>
      </c>
      <c r="D40" s="16" t="n">
        <v>1</v>
      </c>
      <c r="E40" s="16" t="n">
        <v>1</v>
      </c>
      <c r="F40" s="16" t="n">
        <v>297</v>
      </c>
      <c r="G40" s="16" t="n">
        <v>90</v>
      </c>
      <c r="H40" s="17" t="n">
        <v>0</v>
      </c>
      <c r="I40" s="17" t="n">
        <v>90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8" t="n">
        <v>0</v>
      </c>
      <c r="Q40" s="16" t="n">
        <v>3</v>
      </c>
      <c r="R40" s="17" t="n">
        <v>0</v>
      </c>
      <c r="S40" s="17" t="n">
        <v>3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8" t="n">
        <v>0</v>
      </c>
      <c r="AA40" s="16" t="n">
        <v>-2</v>
      </c>
      <c r="AB40" s="17" t="n">
        <v>1</v>
      </c>
      <c r="AC40" s="17" t="n">
        <v>-2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1</v>
      </c>
      <c r="AI40" s="17" t="n">
        <v>1</v>
      </c>
      <c r="AJ40" s="18" t="n">
        <v>1</v>
      </c>
      <c r="AK40" s="16" t="n">
        <v>877</v>
      </c>
      <c r="AL40" s="17" t="n">
        <v>0</v>
      </c>
      <c r="AM40" s="17" t="n">
        <v>867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8" t="n">
        <v>0</v>
      </c>
      <c r="AU40" s="16" t="n">
        <v>891</v>
      </c>
      <c r="AV40" s="17" t="n">
        <v>0</v>
      </c>
      <c r="AW40" s="17" t="n">
        <v>891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8" t="n">
        <v>0</v>
      </c>
      <c r="BE40" s="16" t="n">
        <v>-14</v>
      </c>
      <c r="BF40" s="17" t="n">
        <v>0</v>
      </c>
      <c r="BG40" s="17" t="n">
        <v>-24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8" t="n">
        <v>0</v>
      </c>
    </row>
    <row r="41" ht="20" customHeight="1">
      <c r="A41" s="15" t="inlineStr">
        <is>
          <t>65162099708</t>
        </is>
      </c>
      <c r="B41" s="15" t="inlineStr">
        <is>
          <t>DOTTI 0.1 MG/24HR TRANSDERMAL PATCH TWICE WEEKLY</t>
        </is>
      </c>
      <c r="C41" s="16" t="n">
        <v>8</v>
      </c>
      <c r="D41" s="16" t="n">
        <v>2</v>
      </c>
      <c r="E41" s="16" t="n">
        <v>2</v>
      </c>
      <c r="F41" s="16" t="n">
        <v>49</v>
      </c>
      <c r="G41" s="16" t="n">
        <v>24</v>
      </c>
      <c r="H41" s="17" t="n">
        <v>0</v>
      </c>
      <c r="I41" s="17" t="n">
        <v>16</v>
      </c>
      <c r="J41" s="17" t="n">
        <v>0</v>
      </c>
      <c r="K41" s="17" t="n">
        <v>0</v>
      </c>
      <c r="L41" s="17" t="n">
        <v>0</v>
      </c>
      <c r="M41" s="17" t="n">
        <v>8</v>
      </c>
      <c r="N41" s="17" t="n">
        <v>0</v>
      </c>
      <c r="O41" s="17" t="n">
        <v>0</v>
      </c>
      <c r="P41" s="18" t="n">
        <v>0</v>
      </c>
      <c r="Q41" s="16" t="n">
        <v>3</v>
      </c>
      <c r="R41" s="17" t="n">
        <v>0</v>
      </c>
      <c r="S41" s="17" t="n">
        <v>2</v>
      </c>
      <c r="T41" s="17" t="n">
        <v>0</v>
      </c>
      <c r="U41" s="17" t="n">
        <v>0</v>
      </c>
      <c r="V41" s="17" t="n">
        <v>0</v>
      </c>
      <c r="W41" s="17" t="n">
        <v>1</v>
      </c>
      <c r="X41" s="17" t="n">
        <v>0</v>
      </c>
      <c r="Y41" s="17" t="n">
        <v>0</v>
      </c>
      <c r="Z41" s="18" t="n">
        <v>0</v>
      </c>
      <c r="AA41" s="16" t="n">
        <v>-1</v>
      </c>
      <c r="AB41" s="17" t="n">
        <v>2</v>
      </c>
      <c r="AC41" s="17" t="n">
        <v>0</v>
      </c>
      <c r="AD41" s="17" t="n">
        <v>2</v>
      </c>
      <c r="AE41" s="17" t="n">
        <v>2</v>
      </c>
      <c r="AF41" s="17" t="n">
        <v>2</v>
      </c>
      <c r="AG41" s="17" t="n">
        <v>1</v>
      </c>
      <c r="AH41" s="17" t="n">
        <v>2</v>
      </c>
      <c r="AI41" s="17" t="n">
        <v>2</v>
      </c>
      <c r="AJ41" s="18" t="n">
        <v>2</v>
      </c>
      <c r="AK41" s="16" t="n">
        <v>156</v>
      </c>
      <c r="AL41" s="17" t="n">
        <v>0</v>
      </c>
      <c r="AM41" s="17" t="n">
        <v>80</v>
      </c>
      <c r="AN41" s="17" t="n">
        <v>0</v>
      </c>
      <c r="AO41" s="17" t="n">
        <v>0</v>
      </c>
      <c r="AP41" s="17" t="n">
        <v>0</v>
      </c>
      <c r="AQ41" s="17" t="n">
        <v>63</v>
      </c>
      <c r="AR41" s="17" t="n">
        <v>0</v>
      </c>
      <c r="AS41" s="17" t="n">
        <v>0</v>
      </c>
      <c r="AT41" s="18" t="n">
        <v>0</v>
      </c>
      <c r="AU41" s="16" t="n">
        <v>147</v>
      </c>
      <c r="AV41" s="17" t="n">
        <v>0</v>
      </c>
      <c r="AW41" s="17" t="n">
        <v>98</v>
      </c>
      <c r="AX41" s="17" t="n">
        <v>0</v>
      </c>
      <c r="AY41" s="17" t="n">
        <v>0</v>
      </c>
      <c r="AZ41" s="17" t="n">
        <v>0</v>
      </c>
      <c r="BA41" s="17" t="n">
        <v>49</v>
      </c>
      <c r="BB41" s="17" t="n">
        <v>0</v>
      </c>
      <c r="BC41" s="17" t="n">
        <v>0</v>
      </c>
      <c r="BD41" s="18" t="n">
        <v>0</v>
      </c>
      <c r="BE41" s="16" t="n">
        <v>9</v>
      </c>
      <c r="BF41" s="17" t="n">
        <v>0</v>
      </c>
      <c r="BG41" s="17" t="n">
        <v>-18</v>
      </c>
      <c r="BH41" s="17" t="n">
        <v>0</v>
      </c>
      <c r="BI41" s="17" t="n">
        <v>0</v>
      </c>
      <c r="BJ41" s="17" t="n">
        <v>0</v>
      </c>
      <c r="BK41" s="17" t="n">
        <v>14</v>
      </c>
      <c r="BL41" s="17" t="n">
        <v>0</v>
      </c>
      <c r="BM41" s="17" t="n">
        <v>0</v>
      </c>
      <c r="BN41" s="18" t="n">
        <v>0</v>
      </c>
    </row>
    <row r="42" ht="20" customHeight="1">
      <c r="A42" s="15" t="inlineStr">
        <is>
          <t>49702024613</t>
        </is>
      </c>
      <c r="B42" s="15" t="inlineStr">
        <is>
          <t>DOVATO 50-300 MG ORAL TABLET</t>
        </is>
      </c>
      <c r="C42" s="16" t="n">
        <v>30</v>
      </c>
      <c r="D42" s="16" t="n">
        <v>3</v>
      </c>
      <c r="E42" s="16" t="n">
        <v>3</v>
      </c>
      <c r="F42" s="16" t="n">
        <v>3018</v>
      </c>
      <c r="G42" s="16" t="n">
        <v>90</v>
      </c>
      <c r="H42" s="17" t="n">
        <v>0</v>
      </c>
      <c r="I42" s="17" t="n">
        <v>60</v>
      </c>
      <c r="J42" s="17" t="n">
        <v>0</v>
      </c>
      <c r="K42" s="17" t="n">
        <v>0</v>
      </c>
      <c r="L42" s="17" t="n">
        <v>30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3</v>
      </c>
      <c r="R42" s="17" t="n">
        <v>0</v>
      </c>
      <c r="S42" s="17" t="n">
        <v>2</v>
      </c>
      <c r="T42" s="17" t="n">
        <v>0</v>
      </c>
      <c r="U42" s="17" t="n">
        <v>0</v>
      </c>
      <c r="V42" s="17" t="n">
        <v>1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0</v>
      </c>
      <c r="AB42" s="17" t="n">
        <v>3</v>
      </c>
      <c r="AC42" s="17" t="n">
        <v>1</v>
      </c>
      <c r="AD42" s="17" t="n">
        <v>3</v>
      </c>
      <c r="AE42" s="17" t="n">
        <v>3</v>
      </c>
      <c r="AF42" s="17" t="n">
        <v>2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9094</v>
      </c>
      <c r="AL42" s="17" t="n">
        <v>0</v>
      </c>
      <c r="AM42" s="17" t="n">
        <v>6013</v>
      </c>
      <c r="AN42" s="17" t="n">
        <v>0</v>
      </c>
      <c r="AO42" s="17" t="n">
        <v>0</v>
      </c>
      <c r="AP42" s="17" t="n">
        <v>3082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9054</v>
      </c>
      <c r="AV42" s="17" t="n">
        <v>0</v>
      </c>
      <c r="AW42" s="17" t="n">
        <v>6036</v>
      </c>
      <c r="AX42" s="17" t="n">
        <v>0</v>
      </c>
      <c r="AY42" s="17" t="n">
        <v>0</v>
      </c>
      <c r="AZ42" s="17" t="n">
        <v>3018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40</v>
      </c>
      <c r="BF42" s="17" t="n">
        <v>0</v>
      </c>
      <c r="BG42" s="17" t="n">
        <v>-23</v>
      </c>
      <c r="BH42" s="17" t="n">
        <v>0</v>
      </c>
      <c r="BI42" s="17" t="n">
        <v>0</v>
      </c>
      <c r="BJ42" s="17" t="n">
        <v>64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78206012601</t>
        </is>
      </c>
      <c r="B43" s="15" t="inlineStr">
        <is>
          <t>DULERA 200-5 MCG/ACT INH AEROSOL 13GM</t>
        </is>
      </c>
      <c r="C43" s="16" t="n">
        <v>13</v>
      </c>
      <c r="D43" s="16" t="n">
        <v>2</v>
      </c>
      <c r="E43" s="16" t="n">
        <v>2</v>
      </c>
      <c r="F43" s="16" t="n">
        <v>331</v>
      </c>
      <c r="G43" s="16" t="n">
        <v>39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39</v>
      </c>
      <c r="N43" s="17" t="n">
        <v>0</v>
      </c>
      <c r="O43" s="17" t="n">
        <v>0</v>
      </c>
      <c r="P43" s="18" t="n">
        <v>0</v>
      </c>
      <c r="Q43" s="16" t="n">
        <v>3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3</v>
      </c>
      <c r="X43" s="17" t="n">
        <v>0</v>
      </c>
      <c r="Y43" s="17" t="n">
        <v>0</v>
      </c>
      <c r="Z43" s="18" t="n">
        <v>0</v>
      </c>
      <c r="AA43" s="16" t="n">
        <v>-1</v>
      </c>
      <c r="AB43" s="17" t="n">
        <v>2</v>
      </c>
      <c r="AC43" s="17" t="n">
        <v>2</v>
      </c>
      <c r="AD43" s="17" t="n">
        <v>2</v>
      </c>
      <c r="AE43" s="17" t="n">
        <v>2</v>
      </c>
      <c r="AF43" s="17" t="n">
        <v>2</v>
      </c>
      <c r="AG43" s="17" t="n">
        <v>-1</v>
      </c>
      <c r="AH43" s="17" t="n">
        <v>2</v>
      </c>
      <c r="AI43" s="17" t="n">
        <v>2</v>
      </c>
      <c r="AJ43" s="18" t="n">
        <v>2</v>
      </c>
      <c r="AK43" s="16" t="n">
        <v>995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995</v>
      </c>
      <c r="AR43" s="17" t="n">
        <v>0</v>
      </c>
      <c r="AS43" s="17" t="n">
        <v>0</v>
      </c>
      <c r="AT43" s="18" t="n">
        <v>0</v>
      </c>
      <c r="AU43" s="16" t="n">
        <v>993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993</v>
      </c>
      <c r="BB43" s="17" t="n">
        <v>0</v>
      </c>
      <c r="BC43" s="17" t="n">
        <v>0</v>
      </c>
      <c r="BD43" s="18" t="n">
        <v>0</v>
      </c>
      <c r="BE43" s="16" t="n">
        <v>2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2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00003089321</t>
        </is>
      </c>
      <c r="B44" s="15" t="inlineStr">
        <is>
          <t xml:space="preserve">ELIQUIS 2.5MG TAB </t>
        </is>
      </c>
      <c r="C44" s="16" t="n">
        <v>60</v>
      </c>
      <c r="D44" s="16" t="n">
        <v>30</v>
      </c>
      <c r="E44" s="16" t="n">
        <v>30</v>
      </c>
      <c r="F44" s="16" t="n">
        <v>336</v>
      </c>
      <c r="G44" s="16" t="n">
        <v>1320</v>
      </c>
      <c r="H44" s="17" t="n">
        <v>0</v>
      </c>
      <c r="I44" s="17" t="n">
        <v>960</v>
      </c>
      <c r="J44" s="17" t="n">
        <v>0</v>
      </c>
      <c r="K44" s="17" t="n">
        <v>0</v>
      </c>
      <c r="L44" s="17" t="n">
        <v>0</v>
      </c>
      <c r="M44" s="17" t="n">
        <v>360</v>
      </c>
      <c r="N44" s="17" t="n">
        <v>0</v>
      </c>
      <c r="O44" s="17" t="n">
        <v>0</v>
      </c>
      <c r="P44" s="18" t="n">
        <v>0</v>
      </c>
      <c r="Q44" s="16" t="n">
        <v>22</v>
      </c>
      <c r="R44" s="17" t="n">
        <v>0</v>
      </c>
      <c r="S44" s="17" t="n">
        <v>16</v>
      </c>
      <c r="T44" s="17" t="n">
        <v>0</v>
      </c>
      <c r="U44" s="17" t="n">
        <v>0</v>
      </c>
      <c r="V44" s="17" t="n">
        <v>0</v>
      </c>
      <c r="W44" s="17" t="n">
        <v>6</v>
      </c>
      <c r="X44" s="17" t="n">
        <v>0</v>
      </c>
      <c r="Y44" s="17" t="n">
        <v>0</v>
      </c>
      <c r="Z44" s="18" t="n">
        <v>0</v>
      </c>
      <c r="AA44" s="16" t="n">
        <v>8</v>
      </c>
      <c r="AB44" s="17" t="n">
        <v>30</v>
      </c>
      <c r="AC44" s="17" t="n">
        <v>14</v>
      </c>
      <c r="AD44" s="17" t="n">
        <v>30</v>
      </c>
      <c r="AE44" s="17" t="n">
        <v>30</v>
      </c>
      <c r="AF44" s="17" t="n">
        <v>30</v>
      </c>
      <c r="AG44" s="17" t="n">
        <v>24</v>
      </c>
      <c r="AH44" s="17" t="n">
        <v>30</v>
      </c>
      <c r="AI44" s="17" t="n">
        <v>30</v>
      </c>
      <c r="AJ44" s="18" t="n">
        <v>30</v>
      </c>
      <c r="AK44" s="16" t="n">
        <v>8856</v>
      </c>
      <c r="AL44" s="17" t="n">
        <v>0</v>
      </c>
      <c r="AM44" s="17" t="n">
        <v>5562</v>
      </c>
      <c r="AN44" s="17" t="n">
        <v>0</v>
      </c>
      <c r="AO44" s="17" t="n">
        <v>0</v>
      </c>
      <c r="AP44" s="17" t="n">
        <v>0</v>
      </c>
      <c r="AQ44" s="17" t="n">
        <v>3279</v>
      </c>
      <c r="AR44" s="17" t="n">
        <v>0</v>
      </c>
      <c r="AS44" s="17" t="n">
        <v>0</v>
      </c>
      <c r="AT44" s="18" t="n">
        <v>0</v>
      </c>
      <c r="AU44" s="16" t="n">
        <v>7392</v>
      </c>
      <c r="AV44" s="17" t="n">
        <v>0</v>
      </c>
      <c r="AW44" s="17" t="n">
        <v>5376</v>
      </c>
      <c r="AX44" s="17" t="n">
        <v>0</v>
      </c>
      <c r="AY44" s="17" t="n">
        <v>0</v>
      </c>
      <c r="AZ44" s="17" t="n">
        <v>0</v>
      </c>
      <c r="BA44" s="17" t="n">
        <v>2016</v>
      </c>
      <c r="BB44" s="17" t="n">
        <v>0</v>
      </c>
      <c r="BC44" s="17" t="n">
        <v>0</v>
      </c>
      <c r="BD44" s="18" t="n">
        <v>0</v>
      </c>
      <c r="BE44" s="16" t="n">
        <v>1464</v>
      </c>
      <c r="BF44" s="17" t="n">
        <v>0</v>
      </c>
      <c r="BG44" s="17" t="n">
        <v>186</v>
      </c>
      <c r="BH44" s="17" t="n">
        <v>0</v>
      </c>
      <c r="BI44" s="17" t="n">
        <v>0</v>
      </c>
      <c r="BJ44" s="17" t="n">
        <v>0</v>
      </c>
      <c r="BK44" s="17" t="n">
        <v>1263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00003089421</t>
        </is>
      </c>
      <c r="B45" s="15" t="inlineStr">
        <is>
          <t xml:space="preserve">ELIQUIS 5MG TAB </t>
        </is>
      </c>
      <c r="C45" s="16" t="n">
        <v>60</v>
      </c>
      <c r="D45" s="16" t="n">
        <v>83</v>
      </c>
      <c r="E45" s="16" t="n">
        <v>83</v>
      </c>
      <c r="F45" s="16" t="n">
        <v>336</v>
      </c>
      <c r="G45" s="16" t="n">
        <v>6660</v>
      </c>
      <c r="H45" s="17" t="n">
        <v>0</v>
      </c>
      <c r="I45" s="17" t="n">
        <v>5280</v>
      </c>
      <c r="J45" s="17" t="n">
        <v>420</v>
      </c>
      <c r="K45" s="17" t="n">
        <v>0</v>
      </c>
      <c r="L45" s="17" t="n">
        <v>420</v>
      </c>
      <c r="M45" s="17" t="n">
        <v>540</v>
      </c>
      <c r="N45" s="17" t="n">
        <v>0</v>
      </c>
      <c r="O45" s="17" t="n">
        <v>0</v>
      </c>
      <c r="P45" s="18" t="n">
        <v>0</v>
      </c>
      <c r="Q45" s="16" t="n">
        <v>111</v>
      </c>
      <c r="R45" s="17" t="n">
        <v>0</v>
      </c>
      <c r="S45" s="17" t="n">
        <v>88</v>
      </c>
      <c r="T45" s="17" t="n">
        <v>7</v>
      </c>
      <c r="U45" s="17" t="n">
        <v>0</v>
      </c>
      <c r="V45" s="17" t="n">
        <v>7</v>
      </c>
      <c r="W45" s="17" t="n">
        <v>9</v>
      </c>
      <c r="X45" s="17" t="n">
        <v>0</v>
      </c>
      <c r="Y45" s="17" t="n">
        <v>0</v>
      </c>
      <c r="Z45" s="18" t="n">
        <v>0</v>
      </c>
      <c r="AA45" s="16" t="n">
        <v>-28</v>
      </c>
      <c r="AB45" s="17" t="n">
        <v>83</v>
      </c>
      <c r="AC45" s="17" t="n">
        <v>-5</v>
      </c>
      <c r="AD45" s="17" t="n">
        <v>76</v>
      </c>
      <c r="AE45" s="17" t="n">
        <v>83</v>
      </c>
      <c r="AF45" s="17" t="n">
        <v>76</v>
      </c>
      <c r="AG45" s="17" t="n">
        <v>74</v>
      </c>
      <c r="AH45" s="17" t="n">
        <v>83</v>
      </c>
      <c r="AI45" s="17" t="n">
        <v>83</v>
      </c>
      <c r="AJ45" s="18" t="n">
        <v>83</v>
      </c>
      <c r="AK45" s="16" t="n">
        <v>42651</v>
      </c>
      <c r="AL45" s="17" t="n">
        <v>0</v>
      </c>
      <c r="AM45" s="17" t="n">
        <v>32772</v>
      </c>
      <c r="AN45" s="17" t="n">
        <v>2765</v>
      </c>
      <c r="AO45" s="17" t="n">
        <v>0</v>
      </c>
      <c r="AP45" s="17" t="n">
        <v>1745</v>
      </c>
      <c r="AQ45" s="17" t="n">
        <v>3534</v>
      </c>
      <c r="AR45" s="17" t="n">
        <v>0</v>
      </c>
      <c r="AS45" s="17" t="n">
        <v>0</v>
      </c>
      <c r="AT45" s="18" t="n">
        <v>0</v>
      </c>
      <c r="AU45" s="16" t="n">
        <v>37296</v>
      </c>
      <c r="AV45" s="17" t="n">
        <v>0</v>
      </c>
      <c r="AW45" s="17" t="n">
        <v>29568</v>
      </c>
      <c r="AX45" s="17" t="n">
        <v>2352</v>
      </c>
      <c r="AY45" s="17" t="n">
        <v>0</v>
      </c>
      <c r="AZ45" s="17" t="n">
        <v>2352</v>
      </c>
      <c r="BA45" s="17" t="n">
        <v>3024</v>
      </c>
      <c r="BB45" s="17" t="n">
        <v>0</v>
      </c>
      <c r="BC45" s="17" t="n">
        <v>0</v>
      </c>
      <c r="BD45" s="18" t="n">
        <v>0</v>
      </c>
      <c r="BE45" s="16" t="n">
        <v>5355</v>
      </c>
      <c r="BF45" s="17" t="n">
        <v>0</v>
      </c>
      <c r="BG45" s="17" t="n">
        <v>3204</v>
      </c>
      <c r="BH45" s="17" t="n">
        <v>413</v>
      </c>
      <c r="BI45" s="17" t="n">
        <v>0</v>
      </c>
      <c r="BJ45" s="17" t="n">
        <v>-607</v>
      </c>
      <c r="BK45" s="17" t="n">
        <v>510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73302045601</t>
        </is>
      </c>
      <c r="B46" s="15" t="inlineStr">
        <is>
          <t>ELLA 30 MG ORAL TABLET</t>
        </is>
      </c>
      <c r="C46" s="16" t="n">
        <v>1</v>
      </c>
      <c r="D46" s="16" t="n">
        <v>0</v>
      </c>
      <c r="E46" s="16" t="n">
        <v>0</v>
      </c>
      <c r="F46" s="16" t="n">
        <v>0</v>
      </c>
      <c r="G46" s="16" t="n">
        <v>1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1</v>
      </c>
      <c r="O46" s="17" t="n">
        <v>0</v>
      </c>
      <c r="P46" s="18" t="n">
        <v>0</v>
      </c>
      <c r="Q46" s="16" t="n">
        <v>1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1</v>
      </c>
      <c r="Y46" s="17" t="n">
        <v>0</v>
      </c>
      <c r="Z46" s="18" t="n">
        <v>0</v>
      </c>
      <c r="AA46" s="16" t="n">
        <v>-1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-1</v>
      </c>
      <c r="AI46" s="17" t="n">
        <v>0</v>
      </c>
      <c r="AJ46" s="18" t="n">
        <v>0</v>
      </c>
      <c r="AK46" s="16" t="n">
        <v>38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38</v>
      </c>
      <c r="AS46" s="17" t="n">
        <v>0</v>
      </c>
      <c r="AT46" s="18" t="n">
        <v>0</v>
      </c>
      <c r="AU46" s="16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8" t="n">
        <v>0</v>
      </c>
      <c r="BE46" s="16" t="n">
        <v>38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38</v>
      </c>
      <c r="BM46" s="17" t="n">
        <v>0</v>
      </c>
      <c r="BN46" s="18" t="n">
        <v>0</v>
      </c>
    </row>
    <row r="47" ht="20" customHeight="1">
      <c r="A47" s="15" t="inlineStr">
        <is>
          <t>49502010102</t>
        </is>
      </c>
      <c r="B47" s="15" t="inlineStr">
        <is>
          <t>EPINEPHRINE (JR) 0.15MG/0.3ML INJECTION 2ML</t>
        </is>
      </c>
      <c r="C47" s="16" t="n">
        <v>2</v>
      </c>
      <c r="D47" s="16" t="n">
        <v>0</v>
      </c>
      <c r="E47" s="16" t="n">
        <v>0</v>
      </c>
      <c r="F47" s="16" t="n">
        <v>0</v>
      </c>
      <c r="G47" s="16" t="n">
        <v>4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4</v>
      </c>
      <c r="N47" s="17" t="n">
        <v>0</v>
      </c>
      <c r="O47" s="17" t="n">
        <v>0</v>
      </c>
      <c r="P47" s="18" t="n">
        <v>0</v>
      </c>
      <c r="Q47" s="16" t="n">
        <v>2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2</v>
      </c>
      <c r="X47" s="17" t="n">
        <v>0</v>
      </c>
      <c r="Y47" s="17" t="n">
        <v>0</v>
      </c>
      <c r="Z47" s="18" t="n">
        <v>0</v>
      </c>
      <c r="AA47" s="16" t="n">
        <v>-2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-2</v>
      </c>
      <c r="AH47" s="17" t="n">
        <v>0</v>
      </c>
      <c r="AI47" s="17" t="n">
        <v>0</v>
      </c>
      <c r="AJ47" s="18" t="n">
        <v>0</v>
      </c>
      <c r="AK47" s="16" t="n">
        <v>590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590</v>
      </c>
      <c r="AR47" s="17" t="n">
        <v>0</v>
      </c>
      <c r="AS47" s="17" t="n">
        <v>0</v>
      </c>
      <c r="AT47" s="18" t="n">
        <v>0</v>
      </c>
      <c r="AU47" s="16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8" t="n">
        <v>0</v>
      </c>
      <c r="BE47" s="16" t="n">
        <v>590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590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55724021121</t>
        </is>
      </c>
      <c r="B48" s="15" t="inlineStr">
        <is>
          <t>EUCRISA 2% OINTMENT</t>
        </is>
      </c>
      <c r="C48" s="16" t="n">
        <v>60</v>
      </c>
      <c r="D48" s="16" t="n">
        <v>0</v>
      </c>
      <c r="E48" s="16" t="n">
        <v>0</v>
      </c>
      <c r="F48" s="16" t="n">
        <v>0</v>
      </c>
      <c r="G48" s="16" t="n">
        <v>120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120</v>
      </c>
      <c r="N48" s="17" t="n">
        <v>0</v>
      </c>
      <c r="O48" s="17" t="n">
        <v>0</v>
      </c>
      <c r="P48" s="18" t="n">
        <v>0</v>
      </c>
      <c r="Q48" s="16" t="n">
        <v>2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2</v>
      </c>
      <c r="X48" s="17" t="n">
        <v>0</v>
      </c>
      <c r="Y48" s="17" t="n">
        <v>0</v>
      </c>
      <c r="Z48" s="18" t="n">
        <v>0</v>
      </c>
      <c r="AA48" s="16" t="n">
        <v>-2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-2</v>
      </c>
      <c r="AH48" s="17" t="n">
        <v>0</v>
      </c>
      <c r="AI48" s="17" t="n">
        <v>0</v>
      </c>
      <c r="AJ48" s="18" t="n">
        <v>0</v>
      </c>
      <c r="AK48" s="16" t="n">
        <v>1538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1536</v>
      </c>
      <c r="AR48" s="17" t="n">
        <v>0</v>
      </c>
      <c r="AS48" s="17" t="n">
        <v>0</v>
      </c>
      <c r="AT48" s="18" t="n">
        <v>0</v>
      </c>
      <c r="AU48" s="16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8" t="n">
        <v>0</v>
      </c>
      <c r="BE48" s="16" t="n">
        <v>1538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1536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71571033383</t>
        </is>
      </c>
      <c r="B49" s="15" t="inlineStr">
        <is>
          <t>EYSUVIS 0.25 % OPHTHALMIC SUSPENSION</t>
        </is>
      </c>
      <c r="C49" s="16" t="n">
        <v>8.300000000000001</v>
      </c>
      <c r="D49" s="16" t="n">
        <v>1</v>
      </c>
      <c r="E49" s="16" t="n">
        <v>1</v>
      </c>
      <c r="F49" s="16" t="n">
        <v>515</v>
      </c>
      <c r="G49" s="16" t="n">
        <v>33.2</v>
      </c>
      <c r="H49" s="17" t="n">
        <v>0</v>
      </c>
      <c r="I49" s="17" t="n">
        <v>33.2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8" t="n">
        <v>0</v>
      </c>
      <c r="Q49" s="16" t="n">
        <v>4</v>
      </c>
      <c r="R49" s="17" t="n">
        <v>0</v>
      </c>
      <c r="S49" s="17" t="n">
        <v>4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8" t="n">
        <v>0</v>
      </c>
      <c r="AA49" s="16" t="n">
        <v>-3</v>
      </c>
      <c r="AB49" s="17" t="n">
        <v>1</v>
      </c>
      <c r="AC49" s="17" t="n">
        <v>-3</v>
      </c>
      <c r="AD49" s="17" t="n">
        <v>1</v>
      </c>
      <c r="AE49" s="17" t="n">
        <v>1</v>
      </c>
      <c r="AF49" s="17" t="n">
        <v>1</v>
      </c>
      <c r="AG49" s="17" t="n">
        <v>1</v>
      </c>
      <c r="AH49" s="17" t="n">
        <v>1</v>
      </c>
      <c r="AI49" s="17" t="n">
        <v>1</v>
      </c>
      <c r="AJ49" s="18" t="n">
        <v>1</v>
      </c>
      <c r="AK49" s="16" t="n">
        <v>1992</v>
      </c>
      <c r="AL49" s="17" t="n">
        <v>0</v>
      </c>
      <c r="AM49" s="17" t="n">
        <v>1992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8" t="n">
        <v>0</v>
      </c>
      <c r="AU49" s="16" t="n">
        <v>2060</v>
      </c>
      <c r="AV49" s="17" t="n">
        <v>0</v>
      </c>
      <c r="AW49" s="17" t="n">
        <v>2060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-68</v>
      </c>
      <c r="BF49" s="17" t="n">
        <v>0</v>
      </c>
      <c r="BG49" s="17" t="n">
        <v>-68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8" t="n">
        <v>0</v>
      </c>
    </row>
    <row r="50" ht="20" customHeight="1">
      <c r="A50" s="15" t="inlineStr">
        <is>
          <t>00310621030</t>
        </is>
      </c>
      <c r="B50" s="15" t="inlineStr">
        <is>
          <t>FARXIGA 10MG TABLET</t>
        </is>
      </c>
      <c r="C50" s="16" t="n">
        <v>30</v>
      </c>
      <c r="D50" s="16" t="n">
        <v>50</v>
      </c>
      <c r="E50" s="16" t="n">
        <v>50</v>
      </c>
      <c r="F50" s="16" t="n">
        <v>367</v>
      </c>
      <c r="G50" s="16" t="n">
        <v>2010</v>
      </c>
      <c r="H50" s="17" t="n">
        <v>0</v>
      </c>
      <c r="I50" s="17" t="n">
        <v>1200</v>
      </c>
      <c r="J50" s="17" t="n">
        <v>210</v>
      </c>
      <c r="K50" s="17" t="n">
        <v>0</v>
      </c>
      <c r="L50" s="17" t="n">
        <v>360</v>
      </c>
      <c r="M50" s="17" t="n">
        <v>180</v>
      </c>
      <c r="N50" s="17" t="n">
        <v>60</v>
      </c>
      <c r="O50" s="17" t="n">
        <v>0</v>
      </c>
      <c r="P50" s="18" t="n">
        <v>0</v>
      </c>
      <c r="Q50" s="16" t="n">
        <v>67</v>
      </c>
      <c r="R50" s="17" t="n">
        <v>0</v>
      </c>
      <c r="S50" s="17" t="n">
        <v>40</v>
      </c>
      <c r="T50" s="17" t="n">
        <v>7</v>
      </c>
      <c r="U50" s="17" t="n">
        <v>0</v>
      </c>
      <c r="V50" s="17" t="n">
        <v>12</v>
      </c>
      <c r="W50" s="17" t="n">
        <v>6</v>
      </c>
      <c r="X50" s="17" t="n">
        <v>2</v>
      </c>
      <c r="Y50" s="17" t="n">
        <v>0</v>
      </c>
      <c r="Z50" s="18" t="n">
        <v>0</v>
      </c>
      <c r="AA50" s="16" t="n">
        <v>-17</v>
      </c>
      <c r="AB50" s="17" t="n">
        <v>50</v>
      </c>
      <c r="AC50" s="17" t="n">
        <v>10</v>
      </c>
      <c r="AD50" s="17" t="n">
        <v>43</v>
      </c>
      <c r="AE50" s="17" t="n">
        <v>50</v>
      </c>
      <c r="AF50" s="17" t="n">
        <v>38</v>
      </c>
      <c r="AG50" s="17" t="n">
        <v>44</v>
      </c>
      <c r="AH50" s="17" t="n">
        <v>48</v>
      </c>
      <c r="AI50" s="17" t="n">
        <v>50</v>
      </c>
      <c r="AJ50" s="18" t="n">
        <v>50</v>
      </c>
      <c r="AK50" s="16" t="n">
        <v>25878</v>
      </c>
      <c r="AL50" s="17" t="n">
        <v>0</v>
      </c>
      <c r="AM50" s="17" t="n">
        <v>15421</v>
      </c>
      <c r="AN50" s="17" t="n">
        <v>2680</v>
      </c>
      <c r="AO50" s="17" t="n">
        <v>0</v>
      </c>
      <c r="AP50" s="17" t="n">
        <v>3636</v>
      </c>
      <c r="AQ50" s="17" t="n">
        <v>3279</v>
      </c>
      <c r="AR50" s="17" t="n">
        <v>662</v>
      </c>
      <c r="AS50" s="17" t="n">
        <v>0</v>
      </c>
      <c r="AT50" s="18" t="n">
        <v>0</v>
      </c>
      <c r="AU50" s="16" t="n">
        <v>24589</v>
      </c>
      <c r="AV50" s="17" t="n">
        <v>0</v>
      </c>
      <c r="AW50" s="17" t="n">
        <v>14680</v>
      </c>
      <c r="AX50" s="17" t="n">
        <v>2569</v>
      </c>
      <c r="AY50" s="17" t="n">
        <v>0</v>
      </c>
      <c r="AZ50" s="17" t="n">
        <v>4404</v>
      </c>
      <c r="BA50" s="17" t="n">
        <v>2202</v>
      </c>
      <c r="BB50" s="17" t="n">
        <v>734</v>
      </c>
      <c r="BC50" s="17" t="n">
        <v>0</v>
      </c>
      <c r="BD50" s="18" t="n">
        <v>0</v>
      </c>
      <c r="BE50" s="16" t="n">
        <v>1289</v>
      </c>
      <c r="BF50" s="17" t="n">
        <v>0</v>
      </c>
      <c r="BG50" s="17" t="n">
        <v>741</v>
      </c>
      <c r="BH50" s="17" t="n">
        <v>111</v>
      </c>
      <c r="BI50" s="17" t="n">
        <v>0</v>
      </c>
      <c r="BJ50" s="17" t="n">
        <v>-768</v>
      </c>
      <c r="BK50" s="17" t="n">
        <v>1077</v>
      </c>
      <c r="BL50" s="17" t="n">
        <v>-72</v>
      </c>
      <c r="BM50" s="17" t="n">
        <v>0</v>
      </c>
      <c r="BN50" s="18" t="n">
        <v>0</v>
      </c>
    </row>
    <row r="51" ht="20" customHeight="1">
      <c r="A51" s="15" t="inlineStr">
        <is>
          <t>00310620530</t>
        </is>
      </c>
      <c r="B51" s="15" t="inlineStr">
        <is>
          <t>FARXIGA 5MG TABLET</t>
        </is>
      </c>
      <c r="C51" s="16" t="n">
        <v>30</v>
      </c>
      <c r="D51" s="16" t="n">
        <v>13</v>
      </c>
      <c r="E51" s="16" t="n">
        <v>13</v>
      </c>
      <c r="F51" s="16" t="n">
        <v>367</v>
      </c>
      <c r="G51" s="16" t="n">
        <v>330</v>
      </c>
      <c r="H51" s="17" t="n">
        <v>0</v>
      </c>
      <c r="I51" s="17" t="n">
        <v>330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8" t="n">
        <v>0</v>
      </c>
      <c r="Q51" s="16" t="n">
        <v>11</v>
      </c>
      <c r="R51" s="17" t="n">
        <v>0</v>
      </c>
      <c r="S51" s="17" t="n">
        <v>11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8" t="n">
        <v>0</v>
      </c>
      <c r="AA51" s="16" t="n">
        <v>2</v>
      </c>
      <c r="AB51" s="17" t="n">
        <v>13</v>
      </c>
      <c r="AC51" s="17" t="n">
        <v>2</v>
      </c>
      <c r="AD51" s="17" t="n">
        <v>13</v>
      </c>
      <c r="AE51" s="17" t="n">
        <v>13</v>
      </c>
      <c r="AF51" s="17" t="n">
        <v>13</v>
      </c>
      <c r="AG51" s="17" t="n">
        <v>13</v>
      </c>
      <c r="AH51" s="17" t="n">
        <v>13</v>
      </c>
      <c r="AI51" s="17" t="n">
        <v>13</v>
      </c>
      <c r="AJ51" s="18" t="n">
        <v>13</v>
      </c>
      <c r="AK51" s="16" t="n">
        <v>4620</v>
      </c>
      <c r="AL51" s="17" t="n">
        <v>0</v>
      </c>
      <c r="AM51" s="17" t="n">
        <v>4620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8" t="n">
        <v>0</v>
      </c>
      <c r="AU51" s="16" t="n">
        <v>4037</v>
      </c>
      <c r="AV51" s="17" t="n">
        <v>0</v>
      </c>
      <c r="AW51" s="17" t="n">
        <v>4037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583</v>
      </c>
      <c r="BF51" s="17" t="n">
        <v>0</v>
      </c>
      <c r="BG51" s="17" t="n">
        <v>583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00054032756</t>
        </is>
      </c>
      <c r="B52" s="15" t="inlineStr">
        <is>
          <t>FLUTICASONE-SALMETEROL 250-50 MCG/ACT INH AEROSOL</t>
        </is>
      </c>
      <c r="C52" s="16" t="n">
        <v>60</v>
      </c>
      <c r="D52" s="16" t="n">
        <v>8</v>
      </c>
      <c r="E52" s="16" t="n">
        <v>8</v>
      </c>
      <c r="F52" s="16" t="n">
        <v>69</v>
      </c>
      <c r="G52" s="16" t="n">
        <v>1500</v>
      </c>
      <c r="H52" s="17" t="n">
        <v>0</v>
      </c>
      <c r="I52" s="17" t="n">
        <v>1140</v>
      </c>
      <c r="J52" s="17" t="n">
        <v>180</v>
      </c>
      <c r="K52" s="17" t="n">
        <v>0</v>
      </c>
      <c r="L52" s="17" t="n">
        <v>180</v>
      </c>
      <c r="M52" s="17" t="n">
        <v>0</v>
      </c>
      <c r="N52" s="17" t="n">
        <v>0</v>
      </c>
      <c r="O52" s="17" t="n">
        <v>0</v>
      </c>
      <c r="P52" s="18" t="n">
        <v>0</v>
      </c>
      <c r="Q52" s="16" t="n">
        <v>25</v>
      </c>
      <c r="R52" s="17" t="n">
        <v>0</v>
      </c>
      <c r="S52" s="17" t="n">
        <v>19</v>
      </c>
      <c r="T52" s="17" t="n">
        <v>3</v>
      </c>
      <c r="U52" s="17" t="n">
        <v>0</v>
      </c>
      <c r="V52" s="17" t="n">
        <v>3</v>
      </c>
      <c r="W52" s="17" t="n">
        <v>0</v>
      </c>
      <c r="X52" s="17" t="n">
        <v>0</v>
      </c>
      <c r="Y52" s="17" t="n">
        <v>0</v>
      </c>
      <c r="Z52" s="18" t="n">
        <v>0</v>
      </c>
      <c r="AA52" s="16" t="n">
        <v>-17</v>
      </c>
      <c r="AB52" s="17" t="n">
        <v>8</v>
      </c>
      <c r="AC52" s="17" t="n">
        <v>-11</v>
      </c>
      <c r="AD52" s="17" t="n">
        <v>5</v>
      </c>
      <c r="AE52" s="17" t="n">
        <v>8</v>
      </c>
      <c r="AF52" s="17" t="n">
        <v>5</v>
      </c>
      <c r="AG52" s="17" t="n">
        <v>8</v>
      </c>
      <c r="AH52" s="17" t="n">
        <v>8</v>
      </c>
      <c r="AI52" s="17" t="n">
        <v>8</v>
      </c>
      <c r="AJ52" s="18" t="n">
        <v>8</v>
      </c>
      <c r="AK52" s="16" t="n">
        <v>1594</v>
      </c>
      <c r="AL52" s="17" t="n">
        <v>0</v>
      </c>
      <c r="AM52" s="17" t="n">
        <v>1021</v>
      </c>
      <c r="AN52" s="17" t="n">
        <v>313</v>
      </c>
      <c r="AO52" s="17" t="n">
        <v>0</v>
      </c>
      <c r="AP52" s="17" t="n">
        <v>231</v>
      </c>
      <c r="AQ52" s="17" t="n">
        <v>0</v>
      </c>
      <c r="AR52" s="17" t="n">
        <v>0</v>
      </c>
      <c r="AS52" s="17" t="n">
        <v>0</v>
      </c>
      <c r="AT52" s="18" t="n">
        <v>0</v>
      </c>
      <c r="AU52" s="16" t="n">
        <v>1725</v>
      </c>
      <c r="AV52" s="17" t="n">
        <v>0</v>
      </c>
      <c r="AW52" s="17" t="n">
        <v>1311</v>
      </c>
      <c r="AX52" s="17" t="n">
        <v>207</v>
      </c>
      <c r="AY52" s="17" t="n">
        <v>0</v>
      </c>
      <c r="AZ52" s="17" t="n">
        <v>207</v>
      </c>
      <c r="BA52" s="17" t="n">
        <v>0</v>
      </c>
      <c r="BB52" s="17" t="n">
        <v>0</v>
      </c>
      <c r="BC52" s="17" t="n">
        <v>0</v>
      </c>
      <c r="BD52" s="18" t="n">
        <v>0</v>
      </c>
      <c r="BE52" s="16" t="n">
        <v>-131</v>
      </c>
      <c r="BF52" s="17" t="n">
        <v>0</v>
      </c>
      <c r="BG52" s="17" t="n">
        <v>-290</v>
      </c>
      <c r="BH52" s="17" t="n">
        <v>106</v>
      </c>
      <c r="BI52" s="17" t="n">
        <v>0</v>
      </c>
      <c r="BJ52" s="17" t="n">
        <v>24</v>
      </c>
      <c r="BK52" s="17" t="n">
        <v>0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99073070914</t>
        </is>
      </c>
      <c r="B53" s="15" t="inlineStr">
        <is>
          <t>FREESTYLE FREEDOM LITE  KIT KINRAY</t>
        </is>
      </c>
      <c r="C53" s="16" t="n">
        <v>1</v>
      </c>
      <c r="D53" s="16" t="n">
        <v>0</v>
      </c>
      <c r="E53" s="16" t="n">
        <v>0</v>
      </c>
      <c r="F53" s="16" t="n">
        <v>0</v>
      </c>
      <c r="G53" s="16" t="n">
        <v>1</v>
      </c>
      <c r="H53" s="17" t="n">
        <v>0</v>
      </c>
      <c r="I53" s="17" t="n">
        <v>0</v>
      </c>
      <c r="J53" s="17" t="n">
        <v>1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8" t="n">
        <v>0</v>
      </c>
      <c r="Q53" s="16" t="n">
        <v>1</v>
      </c>
      <c r="R53" s="17" t="n">
        <v>0</v>
      </c>
      <c r="S53" s="17" t="n">
        <v>0</v>
      </c>
      <c r="T53" s="17" t="n">
        <v>1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8" t="n">
        <v>0</v>
      </c>
      <c r="AA53" s="16" t="n">
        <v>-1</v>
      </c>
      <c r="AB53" s="17" t="n">
        <v>0</v>
      </c>
      <c r="AC53" s="17" t="n">
        <v>0</v>
      </c>
      <c r="AD53" s="17" t="n">
        <v>-1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8" t="n">
        <v>0</v>
      </c>
      <c r="AK53" s="16" t="n">
        <v>14</v>
      </c>
      <c r="AL53" s="17" t="n">
        <v>0</v>
      </c>
      <c r="AM53" s="17" t="n">
        <v>0</v>
      </c>
      <c r="AN53" s="17" t="n">
        <v>14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8" t="n">
        <v>0</v>
      </c>
      <c r="AU53" s="16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8" t="n">
        <v>0</v>
      </c>
      <c r="BE53" s="16" t="n">
        <v>14</v>
      </c>
      <c r="BF53" s="17" t="n">
        <v>0</v>
      </c>
      <c r="BG53" s="17" t="n">
        <v>0</v>
      </c>
      <c r="BH53" s="17" t="n">
        <v>14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8" t="n">
        <v>0</v>
      </c>
    </row>
    <row r="54" ht="20" customHeight="1">
      <c r="A54" s="15" t="inlineStr">
        <is>
          <t>57599084400</t>
        </is>
      </c>
      <c r="B54" s="15" t="inlineStr">
        <is>
          <t>FREESTYLE LIBRE 3 PLUS SENSOR</t>
        </is>
      </c>
      <c r="C54" s="16" t="n">
        <v>1</v>
      </c>
      <c r="D54" s="16" t="n">
        <v>0</v>
      </c>
      <c r="E54" s="16" t="n">
        <v>0</v>
      </c>
      <c r="F54" s="16" t="n">
        <v>0</v>
      </c>
      <c r="G54" s="16" t="n">
        <v>8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8</v>
      </c>
      <c r="N54" s="17" t="n">
        <v>0</v>
      </c>
      <c r="O54" s="17" t="n">
        <v>0</v>
      </c>
      <c r="P54" s="18" t="n">
        <v>0</v>
      </c>
      <c r="Q54" s="16" t="n">
        <v>8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8</v>
      </c>
      <c r="X54" s="17" t="n">
        <v>0</v>
      </c>
      <c r="Y54" s="17" t="n">
        <v>0</v>
      </c>
      <c r="Z54" s="18" t="n">
        <v>0</v>
      </c>
      <c r="AA54" s="16" t="n">
        <v>-8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-8</v>
      </c>
      <c r="AH54" s="17" t="n">
        <v>0</v>
      </c>
      <c r="AI54" s="17" t="n">
        <v>0</v>
      </c>
      <c r="AJ54" s="18" t="n">
        <v>0</v>
      </c>
      <c r="AK54" s="16" t="n">
        <v>628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628</v>
      </c>
      <c r="AR54" s="17" t="n">
        <v>0</v>
      </c>
      <c r="AS54" s="17" t="n">
        <v>0</v>
      </c>
      <c r="AT54" s="18" t="n">
        <v>0</v>
      </c>
      <c r="AU54" s="16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628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628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57599082000</t>
        </is>
      </c>
      <c r="B55" s="15" t="inlineStr">
        <is>
          <t>FREESTYLE LIBRE 3 READER DEVICE</t>
        </is>
      </c>
      <c r="C55" s="16" t="n">
        <v>1</v>
      </c>
      <c r="D55" s="16" t="n">
        <v>1</v>
      </c>
      <c r="E55" s="16" t="n">
        <v>1</v>
      </c>
      <c r="F55" s="16" t="n">
        <v>71</v>
      </c>
      <c r="G55" s="16" t="n">
        <v>1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1</v>
      </c>
      <c r="N55" s="17" t="n">
        <v>0</v>
      </c>
      <c r="O55" s="17" t="n">
        <v>0</v>
      </c>
      <c r="P55" s="18" t="n">
        <v>0</v>
      </c>
      <c r="Q55" s="16" t="n">
        <v>1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1</v>
      </c>
      <c r="X55" s="17" t="n">
        <v>0</v>
      </c>
      <c r="Y55" s="17" t="n">
        <v>0</v>
      </c>
      <c r="Z55" s="18" t="n">
        <v>0</v>
      </c>
      <c r="AA55" s="16" t="n">
        <v>0</v>
      </c>
      <c r="AB55" s="17" t="n">
        <v>1</v>
      </c>
      <c r="AC55" s="17" t="n">
        <v>1</v>
      </c>
      <c r="AD55" s="17" t="n">
        <v>1</v>
      </c>
      <c r="AE55" s="17" t="n">
        <v>1</v>
      </c>
      <c r="AF55" s="17" t="n">
        <v>1</v>
      </c>
      <c r="AG55" s="17" t="n">
        <v>0</v>
      </c>
      <c r="AH55" s="17" t="n">
        <v>1</v>
      </c>
      <c r="AI55" s="17" t="n">
        <v>1</v>
      </c>
      <c r="AJ55" s="18" t="n">
        <v>1</v>
      </c>
      <c r="AK55" s="16" t="n">
        <v>70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70</v>
      </c>
      <c r="AR55" s="17" t="n">
        <v>0</v>
      </c>
      <c r="AS55" s="17" t="n">
        <v>0</v>
      </c>
      <c r="AT55" s="18" t="n">
        <v>0</v>
      </c>
      <c r="AU55" s="16" t="n">
        <v>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71</v>
      </c>
      <c r="BB55" s="17" t="n">
        <v>0</v>
      </c>
      <c r="BC55" s="17" t="n">
        <v>0</v>
      </c>
      <c r="BD55" s="18" t="n">
        <v>0</v>
      </c>
      <c r="BE55" s="16" t="n">
        <v>-1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-1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57599081800</t>
        </is>
      </c>
      <c r="B56" s="15" t="inlineStr">
        <is>
          <t>FREESTYLE LIBRE 3 SENSOR</t>
        </is>
      </c>
      <c r="C56" s="16" t="n">
        <v>1</v>
      </c>
      <c r="D56" s="16" t="n">
        <v>16</v>
      </c>
      <c r="E56" s="16" t="n">
        <v>16</v>
      </c>
      <c r="F56" s="16" t="n">
        <v>72</v>
      </c>
      <c r="G56" s="16" t="n">
        <v>32</v>
      </c>
      <c r="H56" s="17" t="n">
        <v>0</v>
      </c>
      <c r="I56" s="17" t="n">
        <v>4</v>
      </c>
      <c r="J56" s="17" t="n">
        <v>2</v>
      </c>
      <c r="K56" s="17" t="n">
        <v>0</v>
      </c>
      <c r="L56" s="17" t="n">
        <v>0</v>
      </c>
      <c r="M56" s="17" t="n">
        <v>18</v>
      </c>
      <c r="N56" s="17" t="n">
        <v>0</v>
      </c>
      <c r="O56" s="17" t="n">
        <v>0</v>
      </c>
      <c r="P56" s="18" t="n">
        <v>0</v>
      </c>
      <c r="Q56" s="16" t="n">
        <v>32</v>
      </c>
      <c r="R56" s="17" t="n">
        <v>0</v>
      </c>
      <c r="S56" s="17" t="n">
        <v>4</v>
      </c>
      <c r="T56" s="17" t="n">
        <v>2</v>
      </c>
      <c r="U56" s="17" t="n">
        <v>0</v>
      </c>
      <c r="V56" s="17" t="n">
        <v>0</v>
      </c>
      <c r="W56" s="17" t="n">
        <v>18</v>
      </c>
      <c r="X56" s="17" t="n">
        <v>0</v>
      </c>
      <c r="Y56" s="17" t="n">
        <v>0</v>
      </c>
      <c r="Z56" s="18" t="n">
        <v>0</v>
      </c>
      <c r="AA56" s="16" t="n">
        <v>-16</v>
      </c>
      <c r="AB56" s="17" t="n">
        <v>16</v>
      </c>
      <c r="AC56" s="17" t="n">
        <v>12</v>
      </c>
      <c r="AD56" s="17" t="n">
        <v>14</v>
      </c>
      <c r="AE56" s="17" t="n">
        <v>16</v>
      </c>
      <c r="AF56" s="17" t="n">
        <v>16</v>
      </c>
      <c r="AG56" s="17" t="n">
        <v>-2</v>
      </c>
      <c r="AH56" s="17" t="n">
        <v>16</v>
      </c>
      <c r="AI56" s="17" t="n">
        <v>16</v>
      </c>
      <c r="AJ56" s="18" t="n">
        <v>16</v>
      </c>
      <c r="AK56" s="16" t="n">
        <v>2440</v>
      </c>
      <c r="AL56" s="17" t="n">
        <v>0</v>
      </c>
      <c r="AM56" s="17" t="n">
        <v>221</v>
      </c>
      <c r="AN56" s="17" t="n">
        <v>83</v>
      </c>
      <c r="AO56" s="17" t="n">
        <v>0</v>
      </c>
      <c r="AP56" s="17" t="n">
        <v>0</v>
      </c>
      <c r="AQ56" s="17" t="n">
        <v>1316</v>
      </c>
      <c r="AR56" s="17" t="n">
        <v>0</v>
      </c>
      <c r="AS56" s="17" t="n">
        <v>0</v>
      </c>
      <c r="AT56" s="18" t="n">
        <v>0</v>
      </c>
      <c r="AU56" s="16" t="n">
        <v>2304</v>
      </c>
      <c r="AV56" s="17" t="n">
        <v>0</v>
      </c>
      <c r="AW56" s="17" t="n">
        <v>288</v>
      </c>
      <c r="AX56" s="17" t="n">
        <v>144</v>
      </c>
      <c r="AY56" s="17" t="n">
        <v>0</v>
      </c>
      <c r="AZ56" s="17" t="n">
        <v>0</v>
      </c>
      <c r="BA56" s="17" t="n">
        <v>1296</v>
      </c>
      <c r="BB56" s="17" t="n">
        <v>0</v>
      </c>
      <c r="BC56" s="17" t="n">
        <v>0</v>
      </c>
      <c r="BD56" s="18" t="n">
        <v>0</v>
      </c>
      <c r="BE56" s="16" t="n">
        <v>136</v>
      </c>
      <c r="BF56" s="17" t="n">
        <v>0</v>
      </c>
      <c r="BG56" s="17" t="n">
        <v>-67</v>
      </c>
      <c r="BH56" s="17" t="n">
        <v>-61</v>
      </c>
      <c r="BI56" s="17" t="n">
        <v>0</v>
      </c>
      <c r="BJ56" s="17" t="n">
        <v>0</v>
      </c>
      <c r="BK56" s="17" t="n">
        <v>20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99073070822</t>
        </is>
      </c>
      <c r="B57" s="15" t="inlineStr">
        <is>
          <t>FREESTYLE LITE TEST  STRIP</t>
        </is>
      </c>
      <c r="C57" s="16" t="n">
        <v>50</v>
      </c>
      <c r="D57" s="16" t="n">
        <v>10</v>
      </c>
      <c r="E57" s="16" t="n">
        <v>10</v>
      </c>
      <c r="F57" s="16" t="n">
        <v>73</v>
      </c>
      <c r="G57" s="16" t="n">
        <v>900</v>
      </c>
      <c r="H57" s="17" t="n">
        <v>0</v>
      </c>
      <c r="I57" s="17" t="n">
        <v>300</v>
      </c>
      <c r="J57" s="17" t="n">
        <v>500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100</v>
      </c>
      <c r="P57" s="18" t="n">
        <v>0</v>
      </c>
      <c r="Q57" s="16" t="n">
        <v>18</v>
      </c>
      <c r="R57" s="17" t="n">
        <v>0</v>
      </c>
      <c r="S57" s="17" t="n">
        <v>6</v>
      </c>
      <c r="T57" s="17" t="n">
        <v>10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2</v>
      </c>
      <c r="Z57" s="18" t="n">
        <v>0</v>
      </c>
      <c r="AA57" s="16" t="n">
        <v>-8</v>
      </c>
      <c r="AB57" s="17" t="n">
        <v>10</v>
      </c>
      <c r="AC57" s="17" t="n">
        <v>4</v>
      </c>
      <c r="AD57" s="17" t="n">
        <v>0</v>
      </c>
      <c r="AE57" s="17" t="n">
        <v>10</v>
      </c>
      <c r="AF57" s="17" t="n">
        <v>10</v>
      </c>
      <c r="AG57" s="17" t="n">
        <v>10</v>
      </c>
      <c r="AH57" s="17" t="n">
        <v>10</v>
      </c>
      <c r="AI57" s="17" t="n">
        <v>8</v>
      </c>
      <c r="AJ57" s="18" t="n">
        <v>10</v>
      </c>
      <c r="AK57" s="16" t="n">
        <v>1190</v>
      </c>
      <c r="AL57" s="17" t="n">
        <v>0</v>
      </c>
      <c r="AM57" s="17" t="n">
        <v>402</v>
      </c>
      <c r="AN57" s="17" t="n">
        <v>650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134</v>
      </c>
      <c r="AT57" s="18" t="n">
        <v>0</v>
      </c>
      <c r="AU57" s="16" t="n">
        <v>1314</v>
      </c>
      <c r="AV57" s="17" t="n">
        <v>0</v>
      </c>
      <c r="AW57" s="17" t="n">
        <v>438</v>
      </c>
      <c r="AX57" s="17" t="n">
        <v>730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146</v>
      </c>
      <c r="BD57" s="18" t="n">
        <v>0</v>
      </c>
      <c r="BE57" s="16" t="n">
        <v>-124</v>
      </c>
      <c r="BF57" s="17" t="n">
        <v>0</v>
      </c>
      <c r="BG57" s="17" t="n">
        <v>-36</v>
      </c>
      <c r="BH57" s="17" t="n">
        <v>-80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-12</v>
      </c>
      <c r="BN57" s="18" t="n">
        <v>0</v>
      </c>
    </row>
    <row r="58" ht="20" customHeight="1">
      <c r="A58" s="15" t="inlineStr">
        <is>
          <t>00006412102</t>
        </is>
      </c>
      <c r="B58" s="15" t="inlineStr">
        <is>
          <t>GARDASIL 9 INTRAMUSCULAR SUSPENSION PREFILLED SYRINGE</t>
        </is>
      </c>
      <c r="C58" s="16" t="n">
        <v>5</v>
      </c>
      <c r="D58" s="16" t="n">
        <v>0</v>
      </c>
      <c r="E58" s="16" t="n">
        <v>0</v>
      </c>
      <c r="F58" s="16" t="n">
        <v>0</v>
      </c>
      <c r="G58" s="16" t="n">
        <v>1</v>
      </c>
      <c r="H58" s="17" t="n">
        <v>0</v>
      </c>
      <c r="I58" s="17" t="n">
        <v>1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8" t="n">
        <v>0</v>
      </c>
      <c r="Q58" s="16" t="n">
        <v>0.2</v>
      </c>
      <c r="R58" s="17" t="n">
        <v>0</v>
      </c>
      <c r="S58" s="17" t="n">
        <v>0.2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8" t="n">
        <v>0</v>
      </c>
      <c r="AA58" s="16" t="n">
        <v>-0.2</v>
      </c>
      <c r="AB58" s="17" t="n">
        <v>0</v>
      </c>
      <c r="AC58" s="17" t="n">
        <v>-0.2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8" t="n">
        <v>0</v>
      </c>
      <c r="AK58" s="16" t="n">
        <v>666</v>
      </c>
      <c r="AL58" s="17" t="n">
        <v>0</v>
      </c>
      <c r="AM58" s="17" t="n">
        <v>666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8" t="n">
        <v>0</v>
      </c>
      <c r="AU58" s="16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8" t="n">
        <v>0</v>
      </c>
      <c r="BE58" s="16" t="n">
        <v>666</v>
      </c>
      <c r="BF58" s="17" t="n">
        <v>0</v>
      </c>
      <c r="BG58" s="17" t="n">
        <v>666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73336007530</t>
        </is>
      </c>
      <c r="B59" s="15" t="inlineStr">
        <is>
          <t>GEMTESA 75MG TABLET</t>
        </is>
      </c>
      <c r="C59" s="16" t="n">
        <v>30</v>
      </c>
      <c r="D59" s="16" t="n">
        <v>18</v>
      </c>
      <c r="E59" s="16" t="n">
        <v>18</v>
      </c>
      <c r="F59" s="16" t="n">
        <v>502</v>
      </c>
      <c r="G59" s="16" t="n">
        <v>630</v>
      </c>
      <c r="H59" s="17" t="n">
        <v>0</v>
      </c>
      <c r="I59" s="17" t="n">
        <v>600</v>
      </c>
      <c r="J59" s="17" t="n">
        <v>0</v>
      </c>
      <c r="K59" s="17" t="n">
        <v>0</v>
      </c>
      <c r="L59" s="17" t="n">
        <v>30</v>
      </c>
      <c r="M59" s="17" t="n">
        <v>0</v>
      </c>
      <c r="N59" s="17" t="n">
        <v>0</v>
      </c>
      <c r="O59" s="17" t="n">
        <v>0</v>
      </c>
      <c r="P59" s="18" t="n">
        <v>0</v>
      </c>
      <c r="Q59" s="16" t="n">
        <v>21</v>
      </c>
      <c r="R59" s="17" t="n">
        <v>0</v>
      </c>
      <c r="S59" s="17" t="n">
        <v>20</v>
      </c>
      <c r="T59" s="17" t="n">
        <v>0</v>
      </c>
      <c r="U59" s="17" t="n">
        <v>0</v>
      </c>
      <c r="V59" s="17" t="n">
        <v>1</v>
      </c>
      <c r="W59" s="17" t="n">
        <v>0</v>
      </c>
      <c r="X59" s="17" t="n">
        <v>0</v>
      </c>
      <c r="Y59" s="17" t="n">
        <v>0</v>
      </c>
      <c r="Z59" s="18" t="n">
        <v>0</v>
      </c>
      <c r="AA59" s="16" t="n">
        <v>-3</v>
      </c>
      <c r="AB59" s="17" t="n">
        <v>18</v>
      </c>
      <c r="AC59" s="17" t="n">
        <v>-2</v>
      </c>
      <c r="AD59" s="17" t="n">
        <v>18</v>
      </c>
      <c r="AE59" s="17" t="n">
        <v>18</v>
      </c>
      <c r="AF59" s="17" t="n">
        <v>17</v>
      </c>
      <c r="AG59" s="17" t="n">
        <v>18</v>
      </c>
      <c r="AH59" s="17" t="n">
        <v>18</v>
      </c>
      <c r="AI59" s="17" t="n">
        <v>18</v>
      </c>
      <c r="AJ59" s="18" t="n">
        <v>18</v>
      </c>
      <c r="AK59" s="16" t="n">
        <v>10134</v>
      </c>
      <c r="AL59" s="17" t="n">
        <v>0</v>
      </c>
      <c r="AM59" s="17" t="n">
        <v>9615</v>
      </c>
      <c r="AN59" s="17" t="n">
        <v>0</v>
      </c>
      <c r="AO59" s="17" t="n">
        <v>0</v>
      </c>
      <c r="AP59" s="17" t="n">
        <v>489</v>
      </c>
      <c r="AQ59" s="17" t="n">
        <v>0</v>
      </c>
      <c r="AR59" s="17" t="n">
        <v>0</v>
      </c>
      <c r="AS59" s="17" t="n">
        <v>0</v>
      </c>
      <c r="AT59" s="18" t="n">
        <v>0</v>
      </c>
      <c r="AU59" s="16" t="n">
        <v>10542</v>
      </c>
      <c r="AV59" s="17" t="n">
        <v>0</v>
      </c>
      <c r="AW59" s="17" t="n">
        <v>10040</v>
      </c>
      <c r="AX59" s="17" t="n">
        <v>0</v>
      </c>
      <c r="AY59" s="17" t="n">
        <v>0</v>
      </c>
      <c r="AZ59" s="17" t="n">
        <v>502</v>
      </c>
      <c r="BA59" s="17" t="n">
        <v>0</v>
      </c>
      <c r="BB59" s="17" t="n">
        <v>0</v>
      </c>
      <c r="BC59" s="17" t="n">
        <v>0</v>
      </c>
      <c r="BD59" s="18" t="n">
        <v>0</v>
      </c>
      <c r="BE59" s="16" t="n">
        <v>-408</v>
      </c>
      <c r="BF59" s="17" t="n">
        <v>0</v>
      </c>
      <c r="BG59" s="17" t="n">
        <v>-425</v>
      </c>
      <c r="BH59" s="17" t="n">
        <v>0</v>
      </c>
      <c r="BI59" s="17" t="n">
        <v>0</v>
      </c>
      <c r="BJ59" s="17" t="n">
        <v>-13</v>
      </c>
      <c r="BK59" s="17" t="n">
        <v>0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00002882427</t>
        </is>
      </c>
      <c r="B60" s="15" t="inlineStr">
        <is>
          <t>HUMULIN R U-500 KWIKPEN 500UNIT/ML INJECTION</t>
        </is>
      </c>
      <c r="C60" s="16" t="n">
        <v>6</v>
      </c>
      <c r="D60" s="16" t="n">
        <v>1</v>
      </c>
      <c r="E60" s="16" t="n">
        <v>1</v>
      </c>
      <c r="F60" s="16" t="n">
        <v>553</v>
      </c>
      <c r="G60" s="16" t="n">
        <v>6</v>
      </c>
      <c r="H60" s="17" t="n">
        <v>0</v>
      </c>
      <c r="I60" s="17" t="n">
        <v>6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8" t="n">
        <v>0</v>
      </c>
      <c r="Q60" s="16" t="n">
        <v>1</v>
      </c>
      <c r="R60" s="17" t="n">
        <v>0</v>
      </c>
      <c r="S60" s="17" t="n">
        <v>1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7" t="n">
        <v>0</v>
      </c>
      <c r="Z60" s="18" t="n">
        <v>0</v>
      </c>
      <c r="AA60" s="16" t="n">
        <v>0</v>
      </c>
      <c r="AB60" s="17" t="n">
        <v>1</v>
      </c>
      <c r="AC60" s="17" t="n">
        <v>0</v>
      </c>
      <c r="AD60" s="17" t="n">
        <v>1</v>
      </c>
      <c r="AE60" s="17" t="n">
        <v>1</v>
      </c>
      <c r="AF60" s="17" t="n">
        <v>1</v>
      </c>
      <c r="AG60" s="17" t="n">
        <v>1</v>
      </c>
      <c r="AH60" s="17" t="n">
        <v>1</v>
      </c>
      <c r="AI60" s="17" t="n">
        <v>1</v>
      </c>
      <c r="AJ60" s="18" t="n">
        <v>1</v>
      </c>
      <c r="AK60" s="16" t="n">
        <v>546</v>
      </c>
      <c r="AL60" s="17" t="n">
        <v>0</v>
      </c>
      <c r="AM60" s="17" t="n">
        <v>541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8" t="n">
        <v>0</v>
      </c>
      <c r="AU60" s="16" t="n">
        <v>553</v>
      </c>
      <c r="AV60" s="17" t="n">
        <v>0</v>
      </c>
      <c r="AW60" s="17" t="n">
        <v>553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8" t="n">
        <v>0</v>
      </c>
      <c r="BE60" s="16" t="n">
        <v>-7</v>
      </c>
      <c r="BF60" s="17" t="n">
        <v>0</v>
      </c>
      <c r="BG60" s="17" t="n">
        <v>-12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8" t="n">
        <v>0</v>
      </c>
    </row>
    <row r="61" ht="20" customHeight="1">
      <c r="A61" s="15" t="inlineStr">
        <is>
          <t>73154005060</t>
        </is>
      </c>
      <c r="B61" s="15" t="inlineStr">
        <is>
          <t>IBSRELA 50 MG ORAL TABLET</t>
        </is>
      </c>
      <c r="C61" s="16" t="n">
        <v>60</v>
      </c>
      <c r="D61" s="16" t="n">
        <v>0</v>
      </c>
      <c r="E61" s="16" t="n">
        <v>0</v>
      </c>
      <c r="F61" s="16" t="n">
        <v>0</v>
      </c>
      <c r="G61" s="16" t="n">
        <v>60</v>
      </c>
      <c r="H61" s="17" t="n">
        <v>0</v>
      </c>
      <c r="I61" s="17" t="n">
        <v>0</v>
      </c>
      <c r="J61" s="17" t="n">
        <v>0</v>
      </c>
      <c r="K61" s="17" t="n">
        <v>0</v>
      </c>
      <c r="L61" s="17" t="n">
        <v>0</v>
      </c>
      <c r="M61" s="17" t="n">
        <v>60</v>
      </c>
      <c r="N61" s="17" t="n">
        <v>0</v>
      </c>
      <c r="O61" s="17" t="n">
        <v>0</v>
      </c>
      <c r="P61" s="18" t="n">
        <v>0</v>
      </c>
      <c r="Q61" s="16" t="n">
        <v>1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1</v>
      </c>
      <c r="X61" s="17" t="n">
        <v>0</v>
      </c>
      <c r="Y61" s="17" t="n">
        <v>0</v>
      </c>
      <c r="Z61" s="18" t="n">
        <v>0</v>
      </c>
      <c r="AA61" s="16" t="n">
        <v>-1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-1</v>
      </c>
      <c r="AH61" s="17" t="n">
        <v>0</v>
      </c>
      <c r="AI61" s="17" t="n">
        <v>0</v>
      </c>
      <c r="AJ61" s="18" t="n">
        <v>0</v>
      </c>
      <c r="AK61" s="16" t="n">
        <v>1965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1965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1965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1965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00173087310</t>
        </is>
      </c>
      <c r="B62" s="15" t="inlineStr">
        <is>
          <t>INCRUSE ELLIPTA 62.5MCG/INH AEROSOL</t>
        </is>
      </c>
      <c r="C62" s="16" t="n">
        <v>30</v>
      </c>
      <c r="D62" s="16" t="n">
        <v>3</v>
      </c>
      <c r="E62" s="16" t="n">
        <v>3</v>
      </c>
      <c r="F62" s="16" t="n">
        <v>341</v>
      </c>
      <c r="G62" s="16" t="n">
        <v>300</v>
      </c>
      <c r="H62" s="17" t="n">
        <v>0</v>
      </c>
      <c r="I62" s="17" t="n">
        <v>120</v>
      </c>
      <c r="J62" s="17" t="n">
        <v>90</v>
      </c>
      <c r="K62" s="17" t="n">
        <v>0</v>
      </c>
      <c r="L62" s="17" t="n">
        <v>0</v>
      </c>
      <c r="M62" s="17" t="n">
        <v>90</v>
      </c>
      <c r="N62" s="17" t="n">
        <v>0</v>
      </c>
      <c r="O62" s="17" t="n">
        <v>0</v>
      </c>
      <c r="P62" s="18" t="n">
        <v>0</v>
      </c>
      <c r="Q62" s="16" t="n">
        <v>10</v>
      </c>
      <c r="R62" s="17" t="n">
        <v>0</v>
      </c>
      <c r="S62" s="17" t="n">
        <v>4</v>
      </c>
      <c r="T62" s="17" t="n">
        <v>3</v>
      </c>
      <c r="U62" s="17" t="n">
        <v>0</v>
      </c>
      <c r="V62" s="17" t="n">
        <v>0</v>
      </c>
      <c r="W62" s="17" t="n">
        <v>3</v>
      </c>
      <c r="X62" s="17" t="n">
        <v>0</v>
      </c>
      <c r="Y62" s="17" t="n">
        <v>0</v>
      </c>
      <c r="Z62" s="18" t="n">
        <v>0</v>
      </c>
      <c r="AA62" s="16" t="n">
        <v>-7</v>
      </c>
      <c r="AB62" s="17" t="n">
        <v>3</v>
      </c>
      <c r="AC62" s="17" t="n">
        <v>-1</v>
      </c>
      <c r="AD62" s="17" t="n">
        <v>0</v>
      </c>
      <c r="AE62" s="17" t="n">
        <v>3</v>
      </c>
      <c r="AF62" s="17" t="n">
        <v>3</v>
      </c>
      <c r="AG62" s="17" t="n">
        <v>0</v>
      </c>
      <c r="AH62" s="17" t="n">
        <v>3</v>
      </c>
      <c r="AI62" s="17" t="n">
        <v>3</v>
      </c>
      <c r="AJ62" s="18" t="n">
        <v>3</v>
      </c>
      <c r="AK62" s="16" t="n">
        <v>3352</v>
      </c>
      <c r="AL62" s="17" t="n">
        <v>0</v>
      </c>
      <c r="AM62" s="17" t="n">
        <v>1341</v>
      </c>
      <c r="AN62" s="17" t="n">
        <v>758</v>
      </c>
      <c r="AO62" s="17" t="n">
        <v>0</v>
      </c>
      <c r="AP62" s="17" t="n">
        <v>0</v>
      </c>
      <c r="AQ62" s="17" t="n">
        <v>1028</v>
      </c>
      <c r="AR62" s="17" t="n">
        <v>0</v>
      </c>
      <c r="AS62" s="17" t="n">
        <v>0</v>
      </c>
      <c r="AT62" s="18" t="n">
        <v>0</v>
      </c>
      <c r="AU62" s="16" t="n">
        <v>3410</v>
      </c>
      <c r="AV62" s="17" t="n">
        <v>0</v>
      </c>
      <c r="AW62" s="17" t="n">
        <v>1364</v>
      </c>
      <c r="AX62" s="17" t="n">
        <v>1023</v>
      </c>
      <c r="AY62" s="17" t="n">
        <v>0</v>
      </c>
      <c r="AZ62" s="17" t="n">
        <v>0</v>
      </c>
      <c r="BA62" s="17" t="n">
        <v>1023</v>
      </c>
      <c r="BB62" s="17" t="n">
        <v>0</v>
      </c>
      <c r="BC62" s="17" t="n">
        <v>0</v>
      </c>
      <c r="BD62" s="18" t="n">
        <v>0</v>
      </c>
      <c r="BE62" s="16" t="n">
        <v>-58</v>
      </c>
      <c r="BF62" s="17" t="n">
        <v>0</v>
      </c>
      <c r="BG62" s="17" t="n">
        <v>-23</v>
      </c>
      <c r="BH62" s="17" t="n">
        <v>-265</v>
      </c>
      <c r="BI62" s="17" t="n">
        <v>0</v>
      </c>
      <c r="BJ62" s="17" t="n">
        <v>0</v>
      </c>
      <c r="BK62" s="17" t="n">
        <v>5</v>
      </c>
      <c r="BL62" s="17" t="n">
        <v>0</v>
      </c>
      <c r="BM62" s="17" t="n">
        <v>0</v>
      </c>
      <c r="BN62" s="18" t="n">
        <v>0</v>
      </c>
    </row>
    <row r="63" ht="20" customHeight="1">
      <c r="A63" s="15" t="inlineStr">
        <is>
          <t>72495040128</t>
        </is>
      </c>
      <c r="B63" s="15" t="inlineStr">
        <is>
          <t>INTRAROSA 6.5 MG VAGINAL INSERT</t>
        </is>
      </c>
      <c r="C63" s="16" t="n">
        <v>28</v>
      </c>
      <c r="D63" s="16" t="n">
        <v>0</v>
      </c>
      <c r="E63" s="16" t="n">
        <v>0</v>
      </c>
      <c r="F63" s="16" t="n">
        <v>0</v>
      </c>
      <c r="G63" s="16" t="n">
        <v>28</v>
      </c>
      <c r="H63" s="17" t="n">
        <v>0</v>
      </c>
      <c r="I63" s="17" t="n">
        <v>28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1</v>
      </c>
      <c r="R63" s="17" t="n">
        <v>0</v>
      </c>
      <c r="S63" s="17" t="n">
        <v>1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0</v>
      </c>
      <c r="AC63" s="17" t="n">
        <v>-1</v>
      </c>
      <c r="AD63" s="17" t="n">
        <v>0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8" t="n">
        <v>0</v>
      </c>
      <c r="AK63" s="16" t="n">
        <v>348</v>
      </c>
      <c r="AL63" s="17" t="n">
        <v>0</v>
      </c>
      <c r="AM63" s="17" t="n">
        <v>263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348</v>
      </c>
      <c r="BF63" s="17" t="n">
        <v>0</v>
      </c>
      <c r="BG63" s="17" t="n">
        <v>263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82584000330</t>
        </is>
      </c>
      <c r="B64" s="15" t="inlineStr">
        <is>
          <t>IYUZEH 0.005 % OPHTHALMIC SOLUTION</t>
        </is>
      </c>
      <c r="C64" s="16" t="n">
        <v>30</v>
      </c>
      <c r="D64" s="16" t="n">
        <v>1</v>
      </c>
      <c r="E64" s="16" t="n">
        <v>1</v>
      </c>
      <c r="F64" s="16" t="n">
        <v>308</v>
      </c>
      <c r="G64" s="16" t="n">
        <v>150</v>
      </c>
      <c r="H64" s="17" t="n">
        <v>0</v>
      </c>
      <c r="I64" s="17" t="n">
        <v>150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8" t="n">
        <v>0</v>
      </c>
      <c r="Q64" s="16" t="n">
        <v>5</v>
      </c>
      <c r="R64" s="17" t="n">
        <v>0</v>
      </c>
      <c r="S64" s="17" t="n">
        <v>5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8" t="n">
        <v>0</v>
      </c>
      <c r="AA64" s="16" t="n">
        <v>-4</v>
      </c>
      <c r="AB64" s="17" t="n">
        <v>1</v>
      </c>
      <c r="AC64" s="17" t="n">
        <v>-4</v>
      </c>
      <c r="AD64" s="17" t="n">
        <v>1</v>
      </c>
      <c r="AE64" s="17" t="n">
        <v>1</v>
      </c>
      <c r="AF64" s="17" t="n">
        <v>1</v>
      </c>
      <c r="AG64" s="17" t="n">
        <v>1</v>
      </c>
      <c r="AH64" s="17" t="n">
        <v>1</v>
      </c>
      <c r="AI64" s="17" t="n">
        <v>1</v>
      </c>
      <c r="AJ64" s="18" t="n">
        <v>1</v>
      </c>
      <c r="AK64" s="16" t="n">
        <v>1504</v>
      </c>
      <c r="AL64" s="17" t="n">
        <v>0</v>
      </c>
      <c r="AM64" s="17" t="n">
        <v>1485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8" t="n">
        <v>0</v>
      </c>
      <c r="AU64" s="16" t="n">
        <v>1540</v>
      </c>
      <c r="AV64" s="17" t="n">
        <v>0</v>
      </c>
      <c r="AW64" s="17" t="n">
        <v>1540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-36</v>
      </c>
      <c r="BF64" s="17" t="n">
        <v>0</v>
      </c>
      <c r="BG64" s="17" t="n">
        <v>-55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00006057761</t>
        </is>
      </c>
      <c r="B65" s="15" t="inlineStr">
        <is>
          <t>JANUMET 50-1000MG TABLET</t>
        </is>
      </c>
      <c r="C65" s="16" t="n">
        <v>60</v>
      </c>
      <c r="D65" s="16" t="n">
        <v>61</v>
      </c>
      <c r="E65" s="16" t="n">
        <v>61</v>
      </c>
      <c r="F65" s="16" t="n">
        <v>321</v>
      </c>
      <c r="G65" s="16" t="n">
        <v>3000</v>
      </c>
      <c r="H65" s="17" t="n">
        <v>0</v>
      </c>
      <c r="I65" s="17" t="n">
        <v>2880</v>
      </c>
      <c r="J65" s="17" t="n">
        <v>120</v>
      </c>
      <c r="K65" s="17" t="n">
        <v>0</v>
      </c>
      <c r="L65" s="17" t="n">
        <v>0</v>
      </c>
      <c r="M65" s="17" t="n">
        <v>0</v>
      </c>
      <c r="N65" s="17" t="n">
        <v>0</v>
      </c>
      <c r="O65" s="17" t="n">
        <v>0</v>
      </c>
      <c r="P65" s="18" t="n">
        <v>0</v>
      </c>
      <c r="Q65" s="16" t="n">
        <v>50</v>
      </c>
      <c r="R65" s="17" t="n">
        <v>0</v>
      </c>
      <c r="S65" s="17" t="n">
        <v>48</v>
      </c>
      <c r="T65" s="17" t="n">
        <v>2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8" t="n">
        <v>0</v>
      </c>
      <c r="AA65" s="16" t="n">
        <v>11</v>
      </c>
      <c r="AB65" s="17" t="n">
        <v>61</v>
      </c>
      <c r="AC65" s="17" t="n">
        <v>13</v>
      </c>
      <c r="AD65" s="17" t="n">
        <v>59</v>
      </c>
      <c r="AE65" s="17" t="n">
        <v>61</v>
      </c>
      <c r="AF65" s="17" t="n">
        <v>61</v>
      </c>
      <c r="AG65" s="17" t="n">
        <v>61</v>
      </c>
      <c r="AH65" s="17" t="n">
        <v>61</v>
      </c>
      <c r="AI65" s="17" t="n">
        <v>61</v>
      </c>
      <c r="AJ65" s="18" t="n">
        <v>61</v>
      </c>
      <c r="AK65" s="16" t="n">
        <v>15422</v>
      </c>
      <c r="AL65" s="17" t="n">
        <v>0</v>
      </c>
      <c r="AM65" s="17" t="n">
        <v>14254</v>
      </c>
      <c r="AN65" s="17" t="n">
        <v>580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8" t="n">
        <v>0</v>
      </c>
      <c r="AU65" s="16" t="n">
        <v>16050</v>
      </c>
      <c r="AV65" s="17" t="n">
        <v>0</v>
      </c>
      <c r="AW65" s="17" t="n">
        <v>15408</v>
      </c>
      <c r="AX65" s="17" t="n">
        <v>642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8" t="n">
        <v>0</v>
      </c>
      <c r="BE65" s="16" t="n">
        <v>-628</v>
      </c>
      <c r="BF65" s="17" t="n">
        <v>0</v>
      </c>
      <c r="BG65" s="17" t="n">
        <v>-1154</v>
      </c>
      <c r="BH65" s="17" t="n">
        <v>-62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00006057561</t>
        </is>
      </c>
      <c r="B66" s="15" t="inlineStr">
        <is>
          <t>JANUMET 50-500 MG ORAL TABLET</t>
        </is>
      </c>
      <c r="C66" s="16" t="n">
        <v>60</v>
      </c>
      <c r="D66" s="16" t="n">
        <v>3</v>
      </c>
      <c r="E66" s="16" t="n">
        <v>3</v>
      </c>
      <c r="F66" s="16" t="n">
        <v>318</v>
      </c>
      <c r="G66" s="16" t="n">
        <v>720</v>
      </c>
      <c r="H66" s="17" t="n">
        <v>0</v>
      </c>
      <c r="I66" s="17" t="n">
        <v>360</v>
      </c>
      <c r="J66" s="17" t="n">
        <v>0</v>
      </c>
      <c r="K66" s="17" t="n">
        <v>0</v>
      </c>
      <c r="L66" s="17" t="n">
        <v>180</v>
      </c>
      <c r="M66" s="17" t="n">
        <v>180</v>
      </c>
      <c r="N66" s="17" t="n">
        <v>0</v>
      </c>
      <c r="O66" s="17" t="n">
        <v>0</v>
      </c>
      <c r="P66" s="18" t="n">
        <v>0</v>
      </c>
      <c r="Q66" s="16" t="n">
        <v>12</v>
      </c>
      <c r="R66" s="17" t="n">
        <v>0</v>
      </c>
      <c r="S66" s="17" t="n">
        <v>6</v>
      </c>
      <c r="T66" s="17" t="n">
        <v>0</v>
      </c>
      <c r="U66" s="17" t="n">
        <v>0</v>
      </c>
      <c r="V66" s="17" t="n">
        <v>3</v>
      </c>
      <c r="W66" s="17" t="n">
        <v>3</v>
      </c>
      <c r="X66" s="17" t="n">
        <v>0</v>
      </c>
      <c r="Y66" s="17" t="n">
        <v>0</v>
      </c>
      <c r="Z66" s="18" t="n">
        <v>0</v>
      </c>
      <c r="AA66" s="16" t="n">
        <v>-9</v>
      </c>
      <c r="AB66" s="17" t="n">
        <v>3</v>
      </c>
      <c r="AC66" s="17" t="n">
        <v>-3</v>
      </c>
      <c r="AD66" s="17" t="n">
        <v>3</v>
      </c>
      <c r="AE66" s="17" t="n">
        <v>3</v>
      </c>
      <c r="AF66" s="17" t="n">
        <v>0</v>
      </c>
      <c r="AG66" s="17" t="n">
        <v>0</v>
      </c>
      <c r="AH66" s="17" t="n">
        <v>3</v>
      </c>
      <c r="AI66" s="17" t="n">
        <v>3</v>
      </c>
      <c r="AJ66" s="18" t="n">
        <v>3</v>
      </c>
      <c r="AK66" s="16" t="n">
        <v>3730</v>
      </c>
      <c r="AL66" s="17" t="n">
        <v>0</v>
      </c>
      <c r="AM66" s="17" t="n">
        <v>1824</v>
      </c>
      <c r="AN66" s="17" t="n">
        <v>0</v>
      </c>
      <c r="AO66" s="17" t="n">
        <v>0</v>
      </c>
      <c r="AP66" s="17" t="n">
        <v>930</v>
      </c>
      <c r="AQ66" s="17" t="n">
        <v>961</v>
      </c>
      <c r="AR66" s="17" t="n">
        <v>0</v>
      </c>
      <c r="AS66" s="17" t="n">
        <v>0</v>
      </c>
      <c r="AT66" s="18" t="n">
        <v>0</v>
      </c>
      <c r="AU66" s="16" t="n">
        <v>3816</v>
      </c>
      <c r="AV66" s="17" t="n">
        <v>0</v>
      </c>
      <c r="AW66" s="17" t="n">
        <v>1908</v>
      </c>
      <c r="AX66" s="17" t="n">
        <v>0</v>
      </c>
      <c r="AY66" s="17" t="n">
        <v>0</v>
      </c>
      <c r="AZ66" s="17" t="n">
        <v>954</v>
      </c>
      <c r="BA66" s="17" t="n">
        <v>954</v>
      </c>
      <c r="BB66" s="17" t="n">
        <v>0</v>
      </c>
      <c r="BC66" s="17" t="n">
        <v>0</v>
      </c>
      <c r="BD66" s="18" t="n">
        <v>0</v>
      </c>
      <c r="BE66" s="16" t="n">
        <v>-86</v>
      </c>
      <c r="BF66" s="17" t="n">
        <v>0</v>
      </c>
      <c r="BG66" s="17" t="n">
        <v>-84</v>
      </c>
      <c r="BH66" s="17" t="n">
        <v>0</v>
      </c>
      <c r="BI66" s="17" t="n">
        <v>0</v>
      </c>
      <c r="BJ66" s="17" t="n">
        <v>-24</v>
      </c>
      <c r="BK66" s="17" t="n">
        <v>7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00006008131</t>
        </is>
      </c>
      <c r="B67" s="15" t="inlineStr">
        <is>
          <t>JANUMET XR 100-1000MG TABLET</t>
        </is>
      </c>
      <c r="C67" s="16" t="n">
        <v>30</v>
      </c>
      <c r="D67" s="16" t="n">
        <v>8</v>
      </c>
      <c r="E67" s="16" t="n">
        <v>8</v>
      </c>
      <c r="F67" s="16" t="n">
        <v>318</v>
      </c>
      <c r="G67" s="16" t="n">
        <v>270</v>
      </c>
      <c r="H67" s="17" t="n">
        <v>0</v>
      </c>
      <c r="I67" s="17" t="n">
        <v>180</v>
      </c>
      <c r="J67" s="17" t="n">
        <v>0</v>
      </c>
      <c r="K67" s="17" t="n">
        <v>0</v>
      </c>
      <c r="L67" s="17" t="n">
        <v>90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9</v>
      </c>
      <c r="R67" s="17" t="n">
        <v>0</v>
      </c>
      <c r="S67" s="17" t="n">
        <v>6</v>
      </c>
      <c r="T67" s="17" t="n">
        <v>0</v>
      </c>
      <c r="U67" s="17" t="n">
        <v>0</v>
      </c>
      <c r="V67" s="17" t="n">
        <v>3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-1</v>
      </c>
      <c r="AB67" s="17" t="n">
        <v>8</v>
      </c>
      <c r="AC67" s="17" t="n">
        <v>2</v>
      </c>
      <c r="AD67" s="17" t="n">
        <v>8</v>
      </c>
      <c r="AE67" s="17" t="n">
        <v>8</v>
      </c>
      <c r="AF67" s="17" t="n">
        <v>5</v>
      </c>
      <c r="AG67" s="17" t="n">
        <v>8</v>
      </c>
      <c r="AH67" s="17" t="n">
        <v>8</v>
      </c>
      <c r="AI67" s="17" t="n">
        <v>8</v>
      </c>
      <c r="AJ67" s="18" t="n">
        <v>8</v>
      </c>
      <c r="AK67" s="16" t="n">
        <v>2762</v>
      </c>
      <c r="AL67" s="17" t="n">
        <v>0</v>
      </c>
      <c r="AM67" s="17" t="n">
        <v>1876</v>
      </c>
      <c r="AN67" s="17" t="n">
        <v>0</v>
      </c>
      <c r="AO67" s="17" t="n">
        <v>0</v>
      </c>
      <c r="AP67" s="17" t="n">
        <v>885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2862</v>
      </c>
      <c r="AV67" s="17" t="n">
        <v>0</v>
      </c>
      <c r="AW67" s="17" t="n">
        <v>1908</v>
      </c>
      <c r="AX67" s="17" t="n">
        <v>0</v>
      </c>
      <c r="AY67" s="17" t="n">
        <v>0</v>
      </c>
      <c r="AZ67" s="17" t="n">
        <v>954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-100</v>
      </c>
      <c r="BF67" s="17" t="n">
        <v>0</v>
      </c>
      <c r="BG67" s="17" t="n">
        <v>-32</v>
      </c>
      <c r="BH67" s="17" t="n">
        <v>0</v>
      </c>
      <c r="BI67" s="17" t="n">
        <v>0</v>
      </c>
      <c r="BJ67" s="17" t="n">
        <v>-69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00006008061</t>
        </is>
      </c>
      <c r="B68" s="15" t="inlineStr">
        <is>
          <t>JANUMET XR 50-1000MG TABLET</t>
        </is>
      </c>
      <c r="C68" s="16" t="n">
        <v>60</v>
      </c>
      <c r="D68" s="16" t="n">
        <v>0</v>
      </c>
      <c r="E68" s="16" t="n">
        <v>0</v>
      </c>
      <c r="F68" s="16" t="n">
        <v>0</v>
      </c>
      <c r="G68" s="16" t="n">
        <v>60</v>
      </c>
      <c r="H68" s="17" t="n">
        <v>0</v>
      </c>
      <c r="I68" s="17" t="n">
        <v>60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7" t="n">
        <v>0</v>
      </c>
      <c r="P68" s="18" t="n">
        <v>0</v>
      </c>
      <c r="Q68" s="16" t="n">
        <v>1</v>
      </c>
      <c r="R68" s="17" t="n">
        <v>0</v>
      </c>
      <c r="S68" s="17" t="n">
        <v>1</v>
      </c>
      <c r="T68" s="17" t="n">
        <v>0</v>
      </c>
      <c r="U68" s="17" t="n">
        <v>0</v>
      </c>
      <c r="V68" s="17" t="n">
        <v>0</v>
      </c>
      <c r="W68" s="17" t="n">
        <v>0</v>
      </c>
      <c r="X68" s="17" t="n">
        <v>0</v>
      </c>
      <c r="Y68" s="17" t="n">
        <v>0</v>
      </c>
      <c r="Z68" s="18" t="n">
        <v>0</v>
      </c>
      <c r="AA68" s="16" t="n">
        <v>-1</v>
      </c>
      <c r="AB68" s="17" t="n">
        <v>0</v>
      </c>
      <c r="AC68" s="17" t="n">
        <v>-1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18" t="n">
        <v>0</v>
      </c>
      <c r="AK68" s="16" t="n">
        <v>314</v>
      </c>
      <c r="AL68" s="17" t="n">
        <v>0</v>
      </c>
      <c r="AM68" s="17" t="n">
        <v>309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8" t="n">
        <v>0</v>
      </c>
      <c r="AU68" s="16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8" t="n">
        <v>0</v>
      </c>
      <c r="BE68" s="16" t="n">
        <v>314</v>
      </c>
      <c r="BF68" s="17" t="n">
        <v>0</v>
      </c>
      <c r="BG68" s="17" t="n">
        <v>309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00006027731</t>
        </is>
      </c>
      <c r="B69" s="15" t="inlineStr">
        <is>
          <t>JANUVIA 100MG TAB</t>
        </is>
      </c>
      <c r="C69" s="16" t="n">
        <v>30</v>
      </c>
      <c r="D69" s="16" t="n">
        <v>63</v>
      </c>
      <c r="E69" s="16" t="n">
        <v>63</v>
      </c>
      <c r="F69" s="16" t="n">
        <v>321</v>
      </c>
      <c r="G69" s="16" t="n">
        <v>2520</v>
      </c>
      <c r="H69" s="17" t="n">
        <v>0</v>
      </c>
      <c r="I69" s="17" t="n">
        <v>1770</v>
      </c>
      <c r="J69" s="17" t="n">
        <v>300</v>
      </c>
      <c r="K69" s="17" t="n">
        <v>0</v>
      </c>
      <c r="L69" s="17" t="n">
        <v>270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84</v>
      </c>
      <c r="R69" s="17" t="n">
        <v>0</v>
      </c>
      <c r="S69" s="17" t="n">
        <v>59</v>
      </c>
      <c r="T69" s="17" t="n">
        <v>10</v>
      </c>
      <c r="U69" s="17" t="n">
        <v>0</v>
      </c>
      <c r="V69" s="17" t="n">
        <v>9</v>
      </c>
      <c r="W69" s="17" t="n">
        <v>6</v>
      </c>
      <c r="X69" s="17" t="n">
        <v>0</v>
      </c>
      <c r="Y69" s="17" t="n">
        <v>0</v>
      </c>
      <c r="Z69" s="18" t="n">
        <v>0</v>
      </c>
      <c r="AA69" s="16" t="n">
        <v>-21</v>
      </c>
      <c r="AB69" s="17" t="n">
        <v>63</v>
      </c>
      <c r="AC69" s="17" t="n">
        <v>4</v>
      </c>
      <c r="AD69" s="17" t="n">
        <v>53</v>
      </c>
      <c r="AE69" s="17" t="n">
        <v>63</v>
      </c>
      <c r="AF69" s="17" t="n">
        <v>54</v>
      </c>
      <c r="AG69" s="17" t="n">
        <v>57</v>
      </c>
      <c r="AH69" s="17" t="n">
        <v>63</v>
      </c>
      <c r="AI69" s="17" t="n">
        <v>63</v>
      </c>
      <c r="AJ69" s="18" t="n">
        <v>63</v>
      </c>
      <c r="AK69" s="16" t="n">
        <v>16852</v>
      </c>
      <c r="AL69" s="17" t="n">
        <v>0</v>
      </c>
      <c r="AM69" s="17" t="n">
        <v>12015</v>
      </c>
      <c r="AN69" s="17" t="n">
        <v>1813</v>
      </c>
      <c r="AO69" s="17" t="n">
        <v>0</v>
      </c>
      <c r="AP69" s="17" t="n">
        <v>1052</v>
      </c>
      <c r="AQ69" s="17" t="n">
        <v>1920</v>
      </c>
      <c r="AR69" s="17" t="n">
        <v>0</v>
      </c>
      <c r="AS69" s="17" t="n">
        <v>0</v>
      </c>
      <c r="AT69" s="18" t="n">
        <v>0</v>
      </c>
      <c r="AU69" s="16" t="n">
        <v>26964</v>
      </c>
      <c r="AV69" s="17" t="n">
        <v>0</v>
      </c>
      <c r="AW69" s="17" t="n">
        <v>18939</v>
      </c>
      <c r="AX69" s="17" t="n">
        <v>3210</v>
      </c>
      <c r="AY69" s="17" t="n">
        <v>0</v>
      </c>
      <c r="AZ69" s="17" t="n">
        <v>2889</v>
      </c>
      <c r="BA69" s="17" t="n">
        <v>1926</v>
      </c>
      <c r="BB69" s="17" t="n">
        <v>0</v>
      </c>
      <c r="BC69" s="17" t="n">
        <v>0</v>
      </c>
      <c r="BD69" s="18" t="n">
        <v>0</v>
      </c>
      <c r="BE69" s="16" t="n">
        <v>-10112</v>
      </c>
      <c r="BF69" s="17" t="n">
        <v>0</v>
      </c>
      <c r="BG69" s="17" t="n">
        <v>-6924</v>
      </c>
      <c r="BH69" s="17" t="n">
        <v>-1397</v>
      </c>
      <c r="BI69" s="17" t="n">
        <v>0</v>
      </c>
      <c r="BJ69" s="17" t="n">
        <v>-1837</v>
      </c>
      <c r="BK69" s="17" t="n">
        <v>-6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00006022131</t>
        </is>
      </c>
      <c r="B70" s="15" t="inlineStr">
        <is>
          <t>JANUVIA 25MG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240</v>
      </c>
      <c r="H70" s="17" t="n">
        <v>0</v>
      </c>
      <c r="I70" s="17" t="n">
        <v>120</v>
      </c>
      <c r="J70" s="17" t="n">
        <v>120</v>
      </c>
      <c r="K70" s="17" t="n">
        <v>0</v>
      </c>
      <c r="L70" s="17" t="n">
        <v>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8</v>
      </c>
      <c r="R70" s="17" t="n">
        <v>0</v>
      </c>
      <c r="S70" s="17" t="n">
        <v>4</v>
      </c>
      <c r="T70" s="17" t="n">
        <v>4</v>
      </c>
      <c r="U70" s="17" t="n">
        <v>0</v>
      </c>
      <c r="V70" s="17" t="n">
        <v>0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3</v>
      </c>
      <c r="AB70" s="17" t="n">
        <v>11</v>
      </c>
      <c r="AC70" s="17" t="n">
        <v>7</v>
      </c>
      <c r="AD70" s="17" t="n">
        <v>7</v>
      </c>
      <c r="AE70" s="17" t="n">
        <v>11</v>
      </c>
      <c r="AF70" s="17" t="n">
        <v>11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2071</v>
      </c>
      <c r="AL70" s="17" t="n">
        <v>0</v>
      </c>
      <c r="AM70" s="17" t="n">
        <v>1231</v>
      </c>
      <c r="AN70" s="17" t="n">
        <v>839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2544</v>
      </c>
      <c r="AV70" s="17" t="n">
        <v>0</v>
      </c>
      <c r="AW70" s="17" t="n">
        <v>1272</v>
      </c>
      <c r="AX70" s="17" t="n">
        <v>1272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-473</v>
      </c>
      <c r="BF70" s="17" t="n">
        <v>0</v>
      </c>
      <c r="BG70" s="17" t="n">
        <v>-41</v>
      </c>
      <c r="BH70" s="17" t="n">
        <v>-433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00006011231</t>
        </is>
      </c>
      <c r="B71" s="15" t="inlineStr">
        <is>
          <t>JANUVIA 50MG TABLET</t>
        </is>
      </c>
      <c r="C71" s="16" t="n">
        <v>30</v>
      </c>
      <c r="D71" s="16" t="n">
        <v>35</v>
      </c>
      <c r="E71" s="16" t="n">
        <v>35</v>
      </c>
      <c r="F71" s="16" t="n">
        <v>321</v>
      </c>
      <c r="G71" s="16" t="n">
        <v>1260</v>
      </c>
      <c r="H71" s="17" t="n">
        <v>60</v>
      </c>
      <c r="I71" s="17" t="n">
        <v>720</v>
      </c>
      <c r="J71" s="17" t="n">
        <v>240</v>
      </c>
      <c r="K71" s="17" t="n">
        <v>0</v>
      </c>
      <c r="L71" s="17" t="n">
        <v>90</v>
      </c>
      <c r="M71" s="17" t="n">
        <v>60</v>
      </c>
      <c r="N71" s="17" t="n">
        <v>0</v>
      </c>
      <c r="O71" s="17" t="n">
        <v>90</v>
      </c>
      <c r="P71" s="18" t="n">
        <v>0</v>
      </c>
      <c r="Q71" s="16" t="n">
        <v>42</v>
      </c>
      <c r="R71" s="17" t="n">
        <v>2</v>
      </c>
      <c r="S71" s="17" t="n">
        <v>24</v>
      </c>
      <c r="T71" s="17" t="n">
        <v>8</v>
      </c>
      <c r="U71" s="17" t="n">
        <v>0</v>
      </c>
      <c r="V71" s="17" t="n">
        <v>3</v>
      </c>
      <c r="W71" s="17" t="n">
        <v>2</v>
      </c>
      <c r="X71" s="17" t="n">
        <v>0</v>
      </c>
      <c r="Y71" s="17" t="n">
        <v>3</v>
      </c>
      <c r="Z71" s="18" t="n">
        <v>0</v>
      </c>
      <c r="AA71" s="16" t="n">
        <v>-7</v>
      </c>
      <c r="AB71" s="17" t="n">
        <v>33</v>
      </c>
      <c r="AC71" s="17" t="n">
        <v>11</v>
      </c>
      <c r="AD71" s="17" t="n">
        <v>27</v>
      </c>
      <c r="AE71" s="17" t="n">
        <v>35</v>
      </c>
      <c r="AF71" s="17" t="n">
        <v>32</v>
      </c>
      <c r="AG71" s="17" t="n">
        <v>33</v>
      </c>
      <c r="AH71" s="17" t="n">
        <v>35</v>
      </c>
      <c r="AI71" s="17" t="n">
        <v>32</v>
      </c>
      <c r="AJ71" s="18" t="n">
        <v>35</v>
      </c>
      <c r="AK71" s="16" t="n">
        <v>8066</v>
      </c>
      <c r="AL71" s="17" t="n">
        <v>235</v>
      </c>
      <c r="AM71" s="17" t="n">
        <v>3925</v>
      </c>
      <c r="AN71" s="17" t="n">
        <v>1981</v>
      </c>
      <c r="AO71" s="17" t="n">
        <v>0</v>
      </c>
      <c r="AP71" s="17" t="n">
        <v>885</v>
      </c>
      <c r="AQ71" s="17" t="n">
        <v>654</v>
      </c>
      <c r="AR71" s="17" t="n">
        <v>0</v>
      </c>
      <c r="AS71" s="17" t="n">
        <v>317</v>
      </c>
      <c r="AT71" s="18" t="n">
        <v>0</v>
      </c>
      <c r="AU71" s="16" t="n">
        <v>13482</v>
      </c>
      <c r="AV71" s="17" t="n">
        <v>642</v>
      </c>
      <c r="AW71" s="17" t="n">
        <v>7704</v>
      </c>
      <c r="AX71" s="17" t="n">
        <v>2568</v>
      </c>
      <c r="AY71" s="17" t="n">
        <v>0</v>
      </c>
      <c r="AZ71" s="17" t="n">
        <v>963</v>
      </c>
      <c r="BA71" s="17" t="n">
        <v>642</v>
      </c>
      <c r="BB71" s="17" t="n">
        <v>0</v>
      </c>
      <c r="BC71" s="17" t="n">
        <v>963</v>
      </c>
      <c r="BD71" s="18" t="n">
        <v>0</v>
      </c>
      <c r="BE71" s="16" t="n">
        <v>-5416</v>
      </c>
      <c r="BF71" s="17" t="n">
        <v>-407</v>
      </c>
      <c r="BG71" s="17" t="n">
        <v>-3779</v>
      </c>
      <c r="BH71" s="17" t="n">
        <v>-587</v>
      </c>
      <c r="BI71" s="17" t="n">
        <v>0</v>
      </c>
      <c r="BJ71" s="17" t="n">
        <v>-78</v>
      </c>
      <c r="BK71" s="17" t="n">
        <v>12</v>
      </c>
      <c r="BL71" s="17" t="n">
        <v>0</v>
      </c>
      <c r="BM71" s="17" t="n">
        <v>-646</v>
      </c>
      <c r="BN71" s="18" t="n">
        <v>0</v>
      </c>
    </row>
    <row r="72" ht="20" customHeight="1">
      <c r="A72" s="15" t="inlineStr">
        <is>
          <t>00597015230</t>
        </is>
      </c>
      <c r="B72" s="15" t="inlineStr">
        <is>
          <t xml:space="preserve">JARDIANCE 10MG TAB </t>
        </is>
      </c>
      <c r="C72" s="16" t="n">
        <v>30</v>
      </c>
      <c r="D72" s="16" t="n">
        <v>98</v>
      </c>
      <c r="E72" s="16" t="n">
        <v>98</v>
      </c>
      <c r="F72" s="16" t="n">
        <v>340</v>
      </c>
      <c r="G72" s="16" t="n">
        <v>4740</v>
      </c>
      <c r="H72" s="17" t="n">
        <v>0</v>
      </c>
      <c r="I72" s="17" t="n">
        <v>2820</v>
      </c>
      <c r="J72" s="17" t="n">
        <v>600</v>
      </c>
      <c r="K72" s="17" t="n">
        <v>0</v>
      </c>
      <c r="L72" s="17" t="n">
        <v>180</v>
      </c>
      <c r="M72" s="17" t="n">
        <v>960</v>
      </c>
      <c r="N72" s="17" t="n">
        <v>90</v>
      </c>
      <c r="O72" s="17" t="n">
        <v>90</v>
      </c>
      <c r="P72" s="18" t="n">
        <v>0</v>
      </c>
      <c r="Q72" s="16" t="n">
        <v>158</v>
      </c>
      <c r="R72" s="17" t="n">
        <v>0</v>
      </c>
      <c r="S72" s="17" t="n">
        <v>94</v>
      </c>
      <c r="T72" s="17" t="n">
        <v>20</v>
      </c>
      <c r="U72" s="17" t="n">
        <v>0</v>
      </c>
      <c r="V72" s="17" t="n">
        <v>6</v>
      </c>
      <c r="W72" s="17" t="n">
        <v>32</v>
      </c>
      <c r="X72" s="17" t="n">
        <v>3</v>
      </c>
      <c r="Y72" s="17" t="n">
        <v>3</v>
      </c>
      <c r="Z72" s="18" t="n">
        <v>0</v>
      </c>
      <c r="AA72" s="16" t="n">
        <v>-60</v>
      </c>
      <c r="AB72" s="17" t="n">
        <v>98</v>
      </c>
      <c r="AC72" s="17" t="n">
        <v>4</v>
      </c>
      <c r="AD72" s="17" t="n">
        <v>78</v>
      </c>
      <c r="AE72" s="17" t="n">
        <v>98</v>
      </c>
      <c r="AF72" s="17" t="n">
        <v>92</v>
      </c>
      <c r="AG72" s="17" t="n">
        <v>66</v>
      </c>
      <c r="AH72" s="17" t="n">
        <v>95</v>
      </c>
      <c r="AI72" s="17" t="n">
        <v>95</v>
      </c>
      <c r="AJ72" s="18" t="n">
        <v>98</v>
      </c>
      <c r="AK72" s="16" t="n">
        <v>60718</v>
      </c>
      <c r="AL72" s="17" t="n">
        <v>0</v>
      </c>
      <c r="AM72" s="17" t="n">
        <v>31668</v>
      </c>
      <c r="AN72" s="17" t="n">
        <v>7964</v>
      </c>
      <c r="AO72" s="17" t="n">
        <v>0</v>
      </c>
      <c r="AP72" s="17" t="n">
        <v>2694</v>
      </c>
      <c r="AQ72" s="17" t="n">
        <v>14676</v>
      </c>
      <c r="AR72" s="17" t="n">
        <v>1894</v>
      </c>
      <c r="AS72" s="17" t="n">
        <v>913</v>
      </c>
      <c r="AT72" s="18" t="n">
        <v>0</v>
      </c>
      <c r="AU72" s="16" t="n">
        <v>53720</v>
      </c>
      <c r="AV72" s="17" t="n">
        <v>0</v>
      </c>
      <c r="AW72" s="17" t="n">
        <v>31960</v>
      </c>
      <c r="AX72" s="17" t="n">
        <v>6800</v>
      </c>
      <c r="AY72" s="17" t="n">
        <v>0</v>
      </c>
      <c r="AZ72" s="17" t="n">
        <v>2040</v>
      </c>
      <c r="BA72" s="17" t="n">
        <v>10880</v>
      </c>
      <c r="BB72" s="17" t="n">
        <v>1020</v>
      </c>
      <c r="BC72" s="17" t="n">
        <v>1020</v>
      </c>
      <c r="BD72" s="18" t="n">
        <v>0</v>
      </c>
      <c r="BE72" s="16" t="n">
        <v>6998</v>
      </c>
      <c r="BF72" s="17" t="n">
        <v>0</v>
      </c>
      <c r="BG72" s="17" t="n">
        <v>-292</v>
      </c>
      <c r="BH72" s="17" t="n">
        <v>1164</v>
      </c>
      <c r="BI72" s="17" t="n">
        <v>0</v>
      </c>
      <c r="BJ72" s="17" t="n">
        <v>654</v>
      </c>
      <c r="BK72" s="17" t="n">
        <v>3796</v>
      </c>
      <c r="BL72" s="17" t="n">
        <v>874</v>
      </c>
      <c r="BM72" s="17" t="n">
        <v>-107</v>
      </c>
      <c r="BN72" s="18" t="n">
        <v>0</v>
      </c>
    </row>
    <row r="73" ht="20" customHeight="1">
      <c r="A73" s="15" t="inlineStr">
        <is>
          <t>00597015330</t>
        </is>
      </c>
      <c r="B73" s="15" t="inlineStr">
        <is>
          <t xml:space="preserve">JARDIANCE 25MG TAB </t>
        </is>
      </c>
      <c r="C73" s="16" t="n">
        <v>30</v>
      </c>
      <c r="D73" s="16" t="n">
        <v>139</v>
      </c>
      <c r="E73" s="16" t="n">
        <v>139</v>
      </c>
      <c r="F73" s="16" t="n">
        <v>340</v>
      </c>
      <c r="G73" s="16" t="n">
        <v>5760</v>
      </c>
      <c r="H73" s="17" t="n">
        <v>0</v>
      </c>
      <c r="I73" s="17" t="n">
        <v>3960</v>
      </c>
      <c r="J73" s="17" t="n">
        <v>450</v>
      </c>
      <c r="K73" s="17" t="n">
        <v>0</v>
      </c>
      <c r="L73" s="17" t="n">
        <v>450</v>
      </c>
      <c r="M73" s="17" t="n">
        <v>810</v>
      </c>
      <c r="N73" s="17" t="n">
        <v>90</v>
      </c>
      <c r="O73" s="17" t="n">
        <v>0</v>
      </c>
      <c r="P73" s="18" t="n">
        <v>0</v>
      </c>
      <c r="Q73" s="16" t="n">
        <v>192</v>
      </c>
      <c r="R73" s="17" t="n">
        <v>0</v>
      </c>
      <c r="S73" s="17" t="n">
        <v>132</v>
      </c>
      <c r="T73" s="17" t="n">
        <v>15</v>
      </c>
      <c r="U73" s="17" t="n">
        <v>0</v>
      </c>
      <c r="V73" s="17" t="n">
        <v>15</v>
      </c>
      <c r="W73" s="17" t="n">
        <v>27</v>
      </c>
      <c r="X73" s="17" t="n">
        <v>3</v>
      </c>
      <c r="Y73" s="17" t="n">
        <v>0</v>
      </c>
      <c r="Z73" s="18" t="n">
        <v>0</v>
      </c>
      <c r="AA73" s="16" t="n">
        <v>-53</v>
      </c>
      <c r="AB73" s="17" t="n">
        <v>139</v>
      </c>
      <c r="AC73" s="17" t="n">
        <v>7</v>
      </c>
      <c r="AD73" s="17" t="n">
        <v>124</v>
      </c>
      <c r="AE73" s="17" t="n">
        <v>139</v>
      </c>
      <c r="AF73" s="17" t="n">
        <v>124</v>
      </c>
      <c r="AG73" s="17" t="n">
        <v>112</v>
      </c>
      <c r="AH73" s="17" t="n">
        <v>136</v>
      </c>
      <c r="AI73" s="17" t="n">
        <v>139</v>
      </c>
      <c r="AJ73" s="18" t="n">
        <v>139</v>
      </c>
      <c r="AK73" s="16" t="n">
        <v>68186</v>
      </c>
      <c r="AL73" s="17" t="n">
        <v>0</v>
      </c>
      <c r="AM73" s="17" t="n">
        <v>41066</v>
      </c>
      <c r="AN73" s="17" t="n">
        <v>7111</v>
      </c>
      <c r="AO73" s="17" t="n">
        <v>0</v>
      </c>
      <c r="AP73" s="17" t="n">
        <v>3865</v>
      </c>
      <c r="AQ73" s="17" t="n">
        <v>13985</v>
      </c>
      <c r="AR73" s="17" t="n">
        <v>1894</v>
      </c>
      <c r="AS73" s="17" t="n">
        <v>0</v>
      </c>
      <c r="AT73" s="18" t="n">
        <v>0</v>
      </c>
      <c r="AU73" s="16" t="n">
        <v>65280</v>
      </c>
      <c r="AV73" s="17" t="n">
        <v>0</v>
      </c>
      <c r="AW73" s="17" t="n">
        <v>44880</v>
      </c>
      <c r="AX73" s="17" t="n">
        <v>5100</v>
      </c>
      <c r="AY73" s="17" t="n">
        <v>0</v>
      </c>
      <c r="AZ73" s="17" t="n">
        <v>5100</v>
      </c>
      <c r="BA73" s="17" t="n">
        <v>9180</v>
      </c>
      <c r="BB73" s="17" t="n">
        <v>1020</v>
      </c>
      <c r="BC73" s="17" t="n">
        <v>0</v>
      </c>
      <c r="BD73" s="18" t="n">
        <v>0</v>
      </c>
      <c r="BE73" s="16" t="n">
        <v>2906</v>
      </c>
      <c r="BF73" s="17" t="n">
        <v>0</v>
      </c>
      <c r="BG73" s="17" t="n">
        <v>-3814</v>
      </c>
      <c r="BH73" s="17" t="n">
        <v>2011</v>
      </c>
      <c r="BI73" s="17" t="n">
        <v>0</v>
      </c>
      <c r="BJ73" s="17" t="n">
        <v>-1235</v>
      </c>
      <c r="BK73" s="17" t="n">
        <v>4805</v>
      </c>
      <c r="BL73" s="17" t="n">
        <v>874</v>
      </c>
      <c r="BM73" s="17" t="n">
        <v>0</v>
      </c>
      <c r="BN73" s="18" t="n">
        <v>0</v>
      </c>
    </row>
    <row r="74" ht="20" customHeight="1">
      <c r="A74" s="15" t="inlineStr">
        <is>
          <t>00187540008</t>
        </is>
      </c>
      <c r="B74" s="15" t="inlineStr">
        <is>
          <t>JUBLIA 10 % EXTERNAL SOLUTION</t>
        </is>
      </c>
      <c r="C74" s="16" t="n">
        <v>8</v>
      </c>
      <c r="D74" s="16" t="n">
        <v>2</v>
      </c>
      <c r="E74" s="16" t="n">
        <v>2</v>
      </c>
      <c r="F74" s="16" t="n">
        <v>1590</v>
      </c>
      <c r="G74" s="16" t="n">
        <v>24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24</v>
      </c>
      <c r="O74" s="17" t="n">
        <v>0</v>
      </c>
      <c r="P74" s="18" t="n">
        <v>0</v>
      </c>
      <c r="Q74" s="16" t="n">
        <v>3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3</v>
      </c>
      <c r="Y74" s="17" t="n">
        <v>0</v>
      </c>
      <c r="Z74" s="18" t="n">
        <v>0</v>
      </c>
      <c r="AA74" s="16" t="n">
        <v>-1</v>
      </c>
      <c r="AB74" s="17" t="n">
        <v>2</v>
      </c>
      <c r="AC74" s="17" t="n">
        <v>2</v>
      </c>
      <c r="AD74" s="17" t="n">
        <v>2</v>
      </c>
      <c r="AE74" s="17" t="n">
        <v>2</v>
      </c>
      <c r="AF74" s="17" t="n">
        <v>2</v>
      </c>
      <c r="AG74" s="17" t="n">
        <v>2</v>
      </c>
      <c r="AH74" s="17" t="n">
        <v>-1</v>
      </c>
      <c r="AI74" s="17" t="n">
        <v>2</v>
      </c>
      <c r="AJ74" s="18" t="n">
        <v>2</v>
      </c>
      <c r="AK74" s="16" t="n">
        <v>4825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4825</v>
      </c>
      <c r="AS74" s="17" t="n">
        <v>0</v>
      </c>
      <c r="AT74" s="18" t="n">
        <v>0</v>
      </c>
      <c r="AU74" s="16" t="n">
        <v>4770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4770</v>
      </c>
      <c r="BC74" s="17" t="n">
        <v>0</v>
      </c>
      <c r="BD74" s="18" t="n">
        <v>0</v>
      </c>
      <c r="BE74" s="16" t="n">
        <v>55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55</v>
      </c>
      <c r="BM74" s="17" t="n">
        <v>0</v>
      </c>
      <c r="BN74" s="18" t="n">
        <v>0</v>
      </c>
    </row>
    <row r="75" ht="20" customHeight="1">
      <c r="A75" s="15" t="inlineStr">
        <is>
          <t>49702024213</t>
        </is>
      </c>
      <c r="B75" s="15" t="inlineStr">
        <is>
          <t>JULUCA 50-25MG TABLET</t>
        </is>
      </c>
      <c r="C75" s="16" t="n">
        <v>30</v>
      </c>
      <c r="D75" s="16" t="n">
        <v>4</v>
      </c>
      <c r="E75" s="16" t="n">
        <v>4</v>
      </c>
      <c r="F75" s="16" t="n">
        <v>3561</v>
      </c>
      <c r="G75" s="16" t="n">
        <v>180</v>
      </c>
      <c r="H75" s="17" t="n">
        <v>0</v>
      </c>
      <c r="I75" s="17" t="n">
        <v>90</v>
      </c>
      <c r="J75" s="17" t="n">
        <v>0</v>
      </c>
      <c r="K75" s="17" t="n">
        <v>0</v>
      </c>
      <c r="L75" s="17" t="n">
        <v>0</v>
      </c>
      <c r="M75" s="17" t="n">
        <v>90</v>
      </c>
      <c r="N75" s="17" t="n">
        <v>0</v>
      </c>
      <c r="O75" s="17" t="n">
        <v>0</v>
      </c>
      <c r="P75" s="18" t="n">
        <v>0</v>
      </c>
      <c r="Q75" s="16" t="n">
        <v>6</v>
      </c>
      <c r="R75" s="17" t="n">
        <v>0</v>
      </c>
      <c r="S75" s="17" t="n">
        <v>3</v>
      </c>
      <c r="T75" s="17" t="n">
        <v>0</v>
      </c>
      <c r="U75" s="17" t="n">
        <v>0</v>
      </c>
      <c r="V75" s="17" t="n">
        <v>0</v>
      </c>
      <c r="W75" s="17" t="n">
        <v>3</v>
      </c>
      <c r="X75" s="17" t="n">
        <v>0</v>
      </c>
      <c r="Y75" s="17" t="n">
        <v>0</v>
      </c>
      <c r="Z75" s="18" t="n">
        <v>0</v>
      </c>
      <c r="AA75" s="16" t="n">
        <v>-2</v>
      </c>
      <c r="AB75" s="17" t="n">
        <v>4</v>
      </c>
      <c r="AC75" s="17" t="n">
        <v>1</v>
      </c>
      <c r="AD75" s="17" t="n">
        <v>4</v>
      </c>
      <c r="AE75" s="17" t="n">
        <v>4</v>
      </c>
      <c r="AF75" s="17" t="n">
        <v>4</v>
      </c>
      <c r="AG75" s="17" t="n">
        <v>1</v>
      </c>
      <c r="AH75" s="17" t="n">
        <v>4</v>
      </c>
      <c r="AI75" s="17" t="n">
        <v>4</v>
      </c>
      <c r="AJ75" s="18" t="n">
        <v>4</v>
      </c>
      <c r="AK75" s="16" t="n">
        <v>21491</v>
      </c>
      <c r="AL75" s="17" t="n">
        <v>0</v>
      </c>
      <c r="AM75" s="17" t="n">
        <v>10689</v>
      </c>
      <c r="AN75" s="17" t="n">
        <v>0</v>
      </c>
      <c r="AO75" s="17" t="n">
        <v>0</v>
      </c>
      <c r="AP75" s="17" t="n">
        <v>0</v>
      </c>
      <c r="AQ75" s="17" t="n">
        <v>10790</v>
      </c>
      <c r="AR75" s="17" t="n">
        <v>0</v>
      </c>
      <c r="AS75" s="17" t="n">
        <v>0</v>
      </c>
      <c r="AT75" s="18" t="n">
        <v>0</v>
      </c>
      <c r="AU75" s="16" t="n">
        <v>21366</v>
      </c>
      <c r="AV75" s="17" t="n">
        <v>0</v>
      </c>
      <c r="AW75" s="17" t="n">
        <v>10683</v>
      </c>
      <c r="AX75" s="17" t="n">
        <v>0</v>
      </c>
      <c r="AY75" s="17" t="n">
        <v>0</v>
      </c>
      <c r="AZ75" s="17" t="n">
        <v>0</v>
      </c>
      <c r="BA75" s="17" t="n">
        <v>10683</v>
      </c>
      <c r="BB75" s="17" t="n">
        <v>0</v>
      </c>
      <c r="BC75" s="17" t="n">
        <v>0</v>
      </c>
      <c r="BD75" s="18" t="n">
        <v>0</v>
      </c>
      <c r="BE75" s="16" t="n">
        <v>125</v>
      </c>
      <c r="BF75" s="17" t="n">
        <v>0</v>
      </c>
      <c r="BG75" s="17" t="n">
        <v>6</v>
      </c>
      <c r="BH75" s="17" t="n">
        <v>0</v>
      </c>
      <c r="BI75" s="17" t="n">
        <v>0</v>
      </c>
      <c r="BJ75" s="17" t="n">
        <v>0</v>
      </c>
      <c r="BK75" s="17" t="n">
        <v>107</v>
      </c>
      <c r="BL75" s="17" t="n">
        <v>0</v>
      </c>
      <c r="BM75" s="17" t="n">
        <v>0</v>
      </c>
      <c r="BN75" s="18" t="n">
        <v>0</v>
      </c>
    </row>
    <row r="76" ht="20" customHeight="1">
      <c r="A76" s="15" t="inlineStr">
        <is>
          <t>50419054001</t>
        </is>
      </c>
      <c r="B76" s="15" t="inlineStr">
        <is>
          <t>KERENDIA 10 MG TABLET</t>
        </is>
      </c>
      <c r="C76" s="16" t="n">
        <v>30</v>
      </c>
      <c r="D76" s="16" t="n">
        <v>31</v>
      </c>
      <c r="E76" s="16" t="n">
        <v>31</v>
      </c>
      <c r="F76" s="16" t="n">
        <v>696</v>
      </c>
      <c r="G76" s="16" t="n">
        <v>900</v>
      </c>
      <c r="H76" s="17" t="n">
        <v>0</v>
      </c>
      <c r="I76" s="17" t="n">
        <v>810</v>
      </c>
      <c r="J76" s="17" t="n">
        <v>0</v>
      </c>
      <c r="K76" s="17" t="n">
        <v>0</v>
      </c>
      <c r="L76" s="17" t="n">
        <v>0</v>
      </c>
      <c r="M76" s="17" t="n">
        <v>90</v>
      </c>
      <c r="N76" s="17" t="n">
        <v>0</v>
      </c>
      <c r="O76" s="17" t="n">
        <v>0</v>
      </c>
      <c r="P76" s="18" t="n">
        <v>0</v>
      </c>
      <c r="Q76" s="16" t="n">
        <v>30</v>
      </c>
      <c r="R76" s="17" t="n">
        <v>0</v>
      </c>
      <c r="S76" s="17" t="n">
        <v>27</v>
      </c>
      <c r="T76" s="17" t="n">
        <v>0</v>
      </c>
      <c r="U76" s="17" t="n">
        <v>0</v>
      </c>
      <c r="V76" s="17" t="n">
        <v>0</v>
      </c>
      <c r="W76" s="17" t="n">
        <v>3</v>
      </c>
      <c r="X76" s="17" t="n">
        <v>0</v>
      </c>
      <c r="Y76" s="17" t="n">
        <v>0</v>
      </c>
      <c r="Z76" s="18" t="n">
        <v>0</v>
      </c>
      <c r="AA76" s="16" t="n">
        <v>1</v>
      </c>
      <c r="AB76" s="17" t="n">
        <v>31</v>
      </c>
      <c r="AC76" s="17" t="n">
        <v>4</v>
      </c>
      <c r="AD76" s="17" t="n">
        <v>31</v>
      </c>
      <c r="AE76" s="17" t="n">
        <v>31</v>
      </c>
      <c r="AF76" s="17" t="n">
        <v>31</v>
      </c>
      <c r="AG76" s="17" t="n">
        <v>28</v>
      </c>
      <c r="AH76" s="17" t="n">
        <v>31</v>
      </c>
      <c r="AI76" s="17" t="n">
        <v>31</v>
      </c>
      <c r="AJ76" s="18" t="n">
        <v>31</v>
      </c>
      <c r="AK76" s="16" t="n">
        <v>19904</v>
      </c>
      <c r="AL76" s="17" t="n">
        <v>0</v>
      </c>
      <c r="AM76" s="17" t="n">
        <v>17904</v>
      </c>
      <c r="AN76" s="17" t="n">
        <v>0</v>
      </c>
      <c r="AO76" s="17" t="n">
        <v>0</v>
      </c>
      <c r="AP76" s="17" t="n">
        <v>0</v>
      </c>
      <c r="AQ76" s="17" t="n">
        <v>1983</v>
      </c>
      <c r="AR76" s="17" t="n">
        <v>0</v>
      </c>
      <c r="AS76" s="17" t="n">
        <v>0</v>
      </c>
      <c r="AT76" s="18" t="n">
        <v>0</v>
      </c>
      <c r="AU76" s="16" t="n">
        <v>20880</v>
      </c>
      <c r="AV76" s="17" t="n">
        <v>0</v>
      </c>
      <c r="AW76" s="17" t="n">
        <v>18792</v>
      </c>
      <c r="AX76" s="17" t="n">
        <v>0</v>
      </c>
      <c r="AY76" s="17" t="n">
        <v>0</v>
      </c>
      <c r="AZ76" s="17" t="n">
        <v>0</v>
      </c>
      <c r="BA76" s="17" t="n">
        <v>2088</v>
      </c>
      <c r="BB76" s="17" t="n">
        <v>0</v>
      </c>
      <c r="BC76" s="17" t="n">
        <v>0</v>
      </c>
      <c r="BD76" s="18" t="n">
        <v>0</v>
      </c>
      <c r="BE76" s="16" t="n">
        <v>-976</v>
      </c>
      <c r="BF76" s="17" t="n">
        <v>0</v>
      </c>
      <c r="BG76" s="17" t="n">
        <v>-888</v>
      </c>
      <c r="BH76" s="17" t="n">
        <v>0</v>
      </c>
      <c r="BI76" s="17" t="n">
        <v>0</v>
      </c>
      <c r="BJ76" s="17" t="n">
        <v>0</v>
      </c>
      <c r="BK76" s="17" t="n">
        <v>-105</v>
      </c>
      <c r="BL76" s="17" t="n">
        <v>0</v>
      </c>
      <c r="BM76" s="17" t="n">
        <v>0</v>
      </c>
      <c r="BN76" s="18" t="n">
        <v>0</v>
      </c>
    </row>
    <row r="77" ht="20" customHeight="1">
      <c r="A77" s="15" t="inlineStr">
        <is>
          <t>50419054101</t>
        </is>
      </c>
      <c r="B77" s="15" t="inlineStr">
        <is>
          <t>KERENDIA 20MG TABLET</t>
        </is>
      </c>
      <c r="C77" s="16" t="n">
        <v>30</v>
      </c>
      <c r="D77" s="16" t="n">
        <v>6</v>
      </c>
      <c r="E77" s="16" t="n">
        <v>6</v>
      </c>
      <c r="F77" s="16" t="n">
        <v>696</v>
      </c>
      <c r="G77" s="16" t="n">
        <v>180</v>
      </c>
      <c r="H77" s="17" t="n">
        <v>0</v>
      </c>
      <c r="I77" s="17" t="n">
        <v>0</v>
      </c>
      <c r="J77" s="17" t="n">
        <v>90</v>
      </c>
      <c r="K77" s="17" t="n">
        <v>0</v>
      </c>
      <c r="L77" s="17" t="n">
        <v>0</v>
      </c>
      <c r="M77" s="17" t="n">
        <v>90</v>
      </c>
      <c r="N77" s="17" t="n">
        <v>0</v>
      </c>
      <c r="O77" s="17" t="n">
        <v>0</v>
      </c>
      <c r="P77" s="18" t="n">
        <v>0</v>
      </c>
      <c r="Q77" s="16" t="n">
        <v>6</v>
      </c>
      <c r="R77" s="17" t="n">
        <v>0</v>
      </c>
      <c r="S77" s="17" t="n">
        <v>0</v>
      </c>
      <c r="T77" s="17" t="n">
        <v>3</v>
      </c>
      <c r="U77" s="17" t="n">
        <v>0</v>
      </c>
      <c r="V77" s="17" t="n">
        <v>0</v>
      </c>
      <c r="W77" s="17" t="n">
        <v>3</v>
      </c>
      <c r="X77" s="17" t="n">
        <v>0</v>
      </c>
      <c r="Y77" s="17" t="n">
        <v>0</v>
      </c>
      <c r="Z77" s="18" t="n">
        <v>0</v>
      </c>
      <c r="AA77" s="16" t="n">
        <v>0</v>
      </c>
      <c r="AB77" s="17" t="n">
        <v>6</v>
      </c>
      <c r="AC77" s="17" t="n">
        <v>6</v>
      </c>
      <c r="AD77" s="17" t="n">
        <v>3</v>
      </c>
      <c r="AE77" s="17" t="n">
        <v>6</v>
      </c>
      <c r="AF77" s="17" t="n">
        <v>6</v>
      </c>
      <c r="AG77" s="17" t="n">
        <v>3</v>
      </c>
      <c r="AH77" s="17" t="n">
        <v>6</v>
      </c>
      <c r="AI77" s="17" t="n">
        <v>6</v>
      </c>
      <c r="AJ77" s="18" t="n">
        <v>6</v>
      </c>
      <c r="AK77" s="16" t="n">
        <v>3826</v>
      </c>
      <c r="AL77" s="17" t="n">
        <v>0</v>
      </c>
      <c r="AM77" s="17" t="n">
        <v>0</v>
      </c>
      <c r="AN77" s="17" t="n">
        <v>1842</v>
      </c>
      <c r="AO77" s="17" t="n">
        <v>0</v>
      </c>
      <c r="AP77" s="17" t="n">
        <v>0</v>
      </c>
      <c r="AQ77" s="17" t="n">
        <v>1985</v>
      </c>
      <c r="AR77" s="17" t="n">
        <v>0</v>
      </c>
      <c r="AS77" s="17" t="n">
        <v>0</v>
      </c>
      <c r="AT77" s="18" t="n">
        <v>0</v>
      </c>
      <c r="AU77" s="16" t="n">
        <v>4176</v>
      </c>
      <c r="AV77" s="17" t="n">
        <v>0</v>
      </c>
      <c r="AW77" s="17" t="n">
        <v>0</v>
      </c>
      <c r="AX77" s="17" t="n">
        <v>2088</v>
      </c>
      <c r="AY77" s="17" t="n">
        <v>0</v>
      </c>
      <c r="AZ77" s="17" t="n">
        <v>0</v>
      </c>
      <c r="BA77" s="17" t="n">
        <v>2088</v>
      </c>
      <c r="BB77" s="17" t="n">
        <v>0</v>
      </c>
      <c r="BC77" s="17" t="n">
        <v>0</v>
      </c>
      <c r="BD77" s="18" t="n">
        <v>0</v>
      </c>
      <c r="BE77" s="16" t="n">
        <v>-350</v>
      </c>
      <c r="BF77" s="17" t="n">
        <v>0</v>
      </c>
      <c r="BG77" s="17" t="n">
        <v>0</v>
      </c>
      <c r="BH77" s="17" t="n">
        <v>-246</v>
      </c>
      <c r="BI77" s="17" t="n">
        <v>0</v>
      </c>
      <c r="BJ77" s="17" t="n">
        <v>0</v>
      </c>
      <c r="BK77" s="17" t="n">
        <v>-103</v>
      </c>
      <c r="BL77" s="17" t="n">
        <v>0</v>
      </c>
      <c r="BM77" s="17" t="n">
        <v>0</v>
      </c>
      <c r="BN77" s="18" t="n">
        <v>0</v>
      </c>
    </row>
    <row r="78" ht="20" customHeight="1">
      <c r="A78" s="15" t="inlineStr">
        <is>
          <t>59467067901</t>
        </is>
      </c>
      <c r="B78" s="15" t="inlineStr">
        <is>
          <t>KLOXXADO 8 MG/0.1ML NASAL LIQUID</t>
        </is>
      </c>
      <c r="C78" s="16" t="n">
        <v>2</v>
      </c>
      <c r="D78" s="16" t="n">
        <v>8</v>
      </c>
      <c r="E78" s="16" t="n">
        <v>8</v>
      </c>
      <c r="F78" s="16" t="n">
        <v>122</v>
      </c>
      <c r="G78" s="16" t="n">
        <v>30</v>
      </c>
      <c r="H78" s="17" t="n">
        <v>0</v>
      </c>
      <c r="I78" s="17" t="n">
        <v>8</v>
      </c>
      <c r="J78" s="17" t="n">
        <v>2</v>
      </c>
      <c r="K78" s="17" t="n">
        <v>0</v>
      </c>
      <c r="L78" s="17" t="n">
        <v>6</v>
      </c>
      <c r="M78" s="17" t="n">
        <v>12</v>
      </c>
      <c r="N78" s="17" t="n">
        <v>2</v>
      </c>
      <c r="O78" s="17" t="n">
        <v>0</v>
      </c>
      <c r="P78" s="18" t="n">
        <v>0</v>
      </c>
      <c r="Q78" s="16" t="n">
        <v>15</v>
      </c>
      <c r="R78" s="17" t="n">
        <v>0</v>
      </c>
      <c r="S78" s="17" t="n">
        <v>4</v>
      </c>
      <c r="T78" s="17" t="n">
        <v>1</v>
      </c>
      <c r="U78" s="17" t="n">
        <v>0</v>
      </c>
      <c r="V78" s="17" t="n">
        <v>3</v>
      </c>
      <c r="W78" s="17" t="n">
        <v>6</v>
      </c>
      <c r="X78" s="17" t="n">
        <v>1</v>
      </c>
      <c r="Y78" s="17" t="n">
        <v>0</v>
      </c>
      <c r="Z78" s="18" t="n">
        <v>0</v>
      </c>
      <c r="AA78" s="16" t="n">
        <v>-7</v>
      </c>
      <c r="AB78" s="17" t="n">
        <v>8</v>
      </c>
      <c r="AC78" s="17" t="n">
        <v>4</v>
      </c>
      <c r="AD78" s="17" t="n">
        <v>7</v>
      </c>
      <c r="AE78" s="17" t="n">
        <v>8</v>
      </c>
      <c r="AF78" s="17" t="n">
        <v>5</v>
      </c>
      <c r="AG78" s="17" t="n">
        <v>2</v>
      </c>
      <c r="AH78" s="17" t="n">
        <v>7</v>
      </c>
      <c r="AI78" s="17" t="n">
        <v>8</v>
      </c>
      <c r="AJ78" s="18" t="n">
        <v>8</v>
      </c>
      <c r="AK78" s="16" t="n">
        <v>1850</v>
      </c>
      <c r="AL78" s="17" t="n">
        <v>0</v>
      </c>
      <c r="AM78" s="17" t="n">
        <v>458</v>
      </c>
      <c r="AN78" s="17" t="n">
        <v>106</v>
      </c>
      <c r="AO78" s="17" t="n">
        <v>0</v>
      </c>
      <c r="AP78" s="17" t="n">
        <v>356</v>
      </c>
      <c r="AQ78" s="17" t="n">
        <v>777</v>
      </c>
      <c r="AR78" s="17" t="n">
        <v>126</v>
      </c>
      <c r="AS78" s="17" t="n">
        <v>0</v>
      </c>
      <c r="AT78" s="18" t="n">
        <v>0</v>
      </c>
      <c r="AU78" s="16" t="n">
        <v>1830</v>
      </c>
      <c r="AV78" s="17" t="n">
        <v>0</v>
      </c>
      <c r="AW78" s="17" t="n">
        <v>488</v>
      </c>
      <c r="AX78" s="17" t="n">
        <v>122</v>
      </c>
      <c r="AY78" s="17" t="n">
        <v>0</v>
      </c>
      <c r="AZ78" s="17" t="n">
        <v>366</v>
      </c>
      <c r="BA78" s="17" t="n">
        <v>732</v>
      </c>
      <c r="BB78" s="17" t="n">
        <v>122</v>
      </c>
      <c r="BC78" s="17" t="n">
        <v>0</v>
      </c>
      <c r="BD78" s="18" t="n">
        <v>0</v>
      </c>
      <c r="BE78" s="16" t="n">
        <v>20</v>
      </c>
      <c r="BF78" s="17" t="n">
        <v>0</v>
      </c>
      <c r="BG78" s="17" t="n">
        <v>-30</v>
      </c>
      <c r="BH78" s="17" t="n">
        <v>-16</v>
      </c>
      <c r="BI78" s="17" t="n">
        <v>0</v>
      </c>
      <c r="BJ78" s="17" t="n">
        <v>-10</v>
      </c>
      <c r="BK78" s="17" t="n">
        <v>45</v>
      </c>
      <c r="BL78" s="17" t="n">
        <v>4</v>
      </c>
      <c r="BM78" s="17" t="n">
        <v>0</v>
      </c>
      <c r="BN78" s="18" t="n">
        <v>0</v>
      </c>
    </row>
    <row r="79" ht="20" customHeight="1">
      <c r="A79" s="15" t="inlineStr">
        <is>
          <t>00088221905</t>
        </is>
      </c>
      <c r="B79" s="15" t="inlineStr">
        <is>
          <t>LANTUS SOLOSTAR 100UNIT/ML INJECTION</t>
        </is>
      </c>
      <c r="C79" s="16" t="n">
        <v>15</v>
      </c>
      <c r="D79" s="16" t="n">
        <v>46</v>
      </c>
      <c r="E79" s="16" t="n">
        <v>46</v>
      </c>
      <c r="F79" s="16" t="n">
        <v>94</v>
      </c>
      <c r="G79" s="16" t="n">
        <v>1017</v>
      </c>
      <c r="H79" s="17" t="n">
        <v>0</v>
      </c>
      <c r="I79" s="17" t="n">
        <v>738</v>
      </c>
      <c r="J79" s="17" t="n">
        <v>0</v>
      </c>
      <c r="K79" s="17" t="n">
        <v>0</v>
      </c>
      <c r="L79" s="17" t="n">
        <v>18</v>
      </c>
      <c r="M79" s="17" t="n">
        <v>261</v>
      </c>
      <c r="N79" s="17" t="n">
        <v>0</v>
      </c>
      <c r="O79" s="17" t="n">
        <v>0</v>
      </c>
      <c r="P79" s="18" t="n">
        <v>0</v>
      </c>
      <c r="Q79" s="16" t="n">
        <v>67.8</v>
      </c>
      <c r="R79" s="17" t="n">
        <v>0</v>
      </c>
      <c r="S79" s="17" t="n">
        <v>49.2</v>
      </c>
      <c r="T79" s="17" t="n">
        <v>0</v>
      </c>
      <c r="U79" s="17" t="n">
        <v>0</v>
      </c>
      <c r="V79" s="17" t="n">
        <v>1.2</v>
      </c>
      <c r="W79" s="17" t="n">
        <v>17.4</v>
      </c>
      <c r="X79" s="17" t="n">
        <v>0</v>
      </c>
      <c r="Y79" s="17" t="n">
        <v>0</v>
      </c>
      <c r="Z79" s="18" t="n">
        <v>0</v>
      </c>
      <c r="AA79" s="16" t="n">
        <v>-21.8</v>
      </c>
      <c r="AB79" s="17" t="n">
        <v>46</v>
      </c>
      <c r="AC79" s="17" t="n">
        <v>-3.2</v>
      </c>
      <c r="AD79" s="17" t="n">
        <v>46</v>
      </c>
      <c r="AE79" s="17" t="n">
        <v>46</v>
      </c>
      <c r="AF79" s="17" t="n">
        <v>44.8</v>
      </c>
      <c r="AG79" s="17" t="n">
        <v>28.6</v>
      </c>
      <c r="AH79" s="17" t="n">
        <v>46</v>
      </c>
      <c r="AI79" s="17" t="n">
        <v>46</v>
      </c>
      <c r="AJ79" s="18" t="n">
        <v>46</v>
      </c>
      <c r="AK79" s="16" t="n">
        <v>6301</v>
      </c>
      <c r="AL79" s="17" t="n">
        <v>0</v>
      </c>
      <c r="AM79" s="17" t="n">
        <v>4348</v>
      </c>
      <c r="AN79" s="17" t="n">
        <v>0</v>
      </c>
      <c r="AO79" s="17" t="n">
        <v>0</v>
      </c>
      <c r="AP79" s="17" t="n">
        <v>106</v>
      </c>
      <c r="AQ79" s="17" t="n">
        <v>1748</v>
      </c>
      <c r="AR79" s="17" t="n">
        <v>0</v>
      </c>
      <c r="AS79" s="17" t="n">
        <v>0</v>
      </c>
      <c r="AT79" s="18" t="n">
        <v>0</v>
      </c>
      <c r="AU79" s="16" t="n">
        <v>6373</v>
      </c>
      <c r="AV79" s="17" t="n">
        <v>0</v>
      </c>
      <c r="AW79" s="17" t="n">
        <v>4625</v>
      </c>
      <c r="AX79" s="17" t="n">
        <v>0</v>
      </c>
      <c r="AY79" s="17" t="n">
        <v>0</v>
      </c>
      <c r="AZ79" s="17" t="n">
        <v>113</v>
      </c>
      <c r="BA79" s="17" t="n">
        <v>1636</v>
      </c>
      <c r="BB79" s="17" t="n">
        <v>0</v>
      </c>
      <c r="BC79" s="17" t="n">
        <v>0</v>
      </c>
      <c r="BD79" s="18" t="n">
        <v>0</v>
      </c>
      <c r="BE79" s="16" t="n">
        <v>-73</v>
      </c>
      <c r="BF79" s="17" t="n">
        <v>0</v>
      </c>
      <c r="BG79" s="17" t="n">
        <v>-277</v>
      </c>
      <c r="BH79" s="17" t="n">
        <v>0</v>
      </c>
      <c r="BI79" s="17" t="n">
        <v>0</v>
      </c>
      <c r="BJ79" s="17" t="n">
        <v>-7</v>
      </c>
      <c r="BK79" s="17" t="n">
        <v>113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00456120130</t>
        </is>
      </c>
      <c r="B80" s="15" t="inlineStr">
        <is>
          <t>LINZESS 145MCG CAPSULE</t>
        </is>
      </c>
      <c r="C80" s="16" t="n">
        <v>30</v>
      </c>
      <c r="D80" s="16" t="n">
        <v>30</v>
      </c>
      <c r="E80" s="16" t="n">
        <v>30</v>
      </c>
      <c r="F80" s="16" t="n">
        <v>275</v>
      </c>
      <c r="G80" s="16" t="n">
        <v>1500</v>
      </c>
      <c r="H80" s="17" t="n">
        <v>0</v>
      </c>
      <c r="I80" s="17" t="n">
        <v>1050</v>
      </c>
      <c r="J80" s="17" t="n">
        <v>120</v>
      </c>
      <c r="K80" s="17" t="n">
        <v>0</v>
      </c>
      <c r="L80" s="17" t="n">
        <v>180</v>
      </c>
      <c r="M80" s="17" t="n">
        <v>90</v>
      </c>
      <c r="N80" s="17" t="n">
        <v>60</v>
      </c>
      <c r="O80" s="17" t="n">
        <v>0</v>
      </c>
      <c r="P80" s="18" t="n">
        <v>0</v>
      </c>
      <c r="Q80" s="16" t="n">
        <v>50</v>
      </c>
      <c r="R80" s="17" t="n">
        <v>0</v>
      </c>
      <c r="S80" s="17" t="n">
        <v>35</v>
      </c>
      <c r="T80" s="17" t="n">
        <v>4</v>
      </c>
      <c r="U80" s="17" t="n">
        <v>0</v>
      </c>
      <c r="V80" s="17" t="n">
        <v>6</v>
      </c>
      <c r="W80" s="17" t="n">
        <v>3</v>
      </c>
      <c r="X80" s="17" t="n">
        <v>2</v>
      </c>
      <c r="Y80" s="17" t="n">
        <v>0</v>
      </c>
      <c r="Z80" s="18" t="n">
        <v>0</v>
      </c>
      <c r="AA80" s="16" t="n">
        <v>-20</v>
      </c>
      <c r="AB80" s="17" t="n">
        <v>30</v>
      </c>
      <c r="AC80" s="17" t="n">
        <v>-5</v>
      </c>
      <c r="AD80" s="17" t="n">
        <v>26</v>
      </c>
      <c r="AE80" s="17" t="n">
        <v>30</v>
      </c>
      <c r="AF80" s="17" t="n">
        <v>24</v>
      </c>
      <c r="AG80" s="17" t="n">
        <v>27</v>
      </c>
      <c r="AH80" s="17" t="n">
        <v>28</v>
      </c>
      <c r="AI80" s="17" t="n">
        <v>30</v>
      </c>
      <c r="AJ80" s="18" t="n">
        <v>30</v>
      </c>
      <c r="AK80" s="16" t="n">
        <v>17575</v>
      </c>
      <c r="AL80" s="17" t="n">
        <v>0</v>
      </c>
      <c r="AM80" s="17" t="n">
        <v>12238</v>
      </c>
      <c r="AN80" s="17" t="n">
        <v>1272</v>
      </c>
      <c r="AO80" s="17" t="n">
        <v>0</v>
      </c>
      <c r="AP80" s="17" t="n">
        <v>1503</v>
      </c>
      <c r="AQ80" s="17" t="n">
        <v>1117</v>
      </c>
      <c r="AR80" s="17" t="n">
        <v>849</v>
      </c>
      <c r="AS80" s="17" t="n">
        <v>0</v>
      </c>
      <c r="AT80" s="18" t="n">
        <v>0</v>
      </c>
      <c r="AU80" s="16" t="n">
        <v>13750</v>
      </c>
      <c r="AV80" s="17" t="n">
        <v>0</v>
      </c>
      <c r="AW80" s="17" t="n">
        <v>9625</v>
      </c>
      <c r="AX80" s="17" t="n">
        <v>1100</v>
      </c>
      <c r="AY80" s="17" t="n">
        <v>0</v>
      </c>
      <c r="AZ80" s="17" t="n">
        <v>1650</v>
      </c>
      <c r="BA80" s="17" t="n">
        <v>825</v>
      </c>
      <c r="BB80" s="17" t="n">
        <v>550</v>
      </c>
      <c r="BC80" s="17" t="n">
        <v>0</v>
      </c>
      <c r="BD80" s="18" t="n">
        <v>0</v>
      </c>
      <c r="BE80" s="16" t="n">
        <v>3825</v>
      </c>
      <c r="BF80" s="17" t="n">
        <v>0</v>
      </c>
      <c r="BG80" s="17" t="n">
        <v>2613</v>
      </c>
      <c r="BH80" s="17" t="n">
        <v>172</v>
      </c>
      <c r="BI80" s="17" t="n">
        <v>0</v>
      </c>
      <c r="BJ80" s="17" t="n">
        <v>-147</v>
      </c>
      <c r="BK80" s="17" t="n">
        <v>292</v>
      </c>
      <c r="BL80" s="17" t="n">
        <v>299</v>
      </c>
      <c r="BM80" s="17" t="n">
        <v>0</v>
      </c>
      <c r="BN80" s="18" t="n">
        <v>0</v>
      </c>
    </row>
    <row r="81" ht="20" customHeight="1">
      <c r="A81" s="15" t="inlineStr">
        <is>
          <t>00456120230</t>
        </is>
      </c>
      <c r="B81" s="15" t="inlineStr">
        <is>
          <t xml:space="preserve">LINZESS 290MCG CAP </t>
        </is>
      </c>
      <c r="C81" s="16" t="n">
        <v>30</v>
      </c>
      <c r="D81" s="16" t="n">
        <v>28</v>
      </c>
      <c r="E81" s="16" t="n">
        <v>28</v>
      </c>
      <c r="F81" s="16" t="n">
        <v>275</v>
      </c>
      <c r="G81" s="16" t="n">
        <v>1380</v>
      </c>
      <c r="H81" s="17" t="n">
        <v>0</v>
      </c>
      <c r="I81" s="17" t="n">
        <v>780</v>
      </c>
      <c r="J81" s="17" t="n">
        <v>210</v>
      </c>
      <c r="K81" s="17" t="n">
        <v>0</v>
      </c>
      <c r="L81" s="17" t="n">
        <v>60</v>
      </c>
      <c r="M81" s="17" t="n">
        <v>330</v>
      </c>
      <c r="N81" s="17" t="n">
        <v>0</v>
      </c>
      <c r="O81" s="17" t="n">
        <v>0</v>
      </c>
      <c r="P81" s="18" t="n">
        <v>0</v>
      </c>
      <c r="Q81" s="16" t="n">
        <v>46</v>
      </c>
      <c r="R81" s="17" t="n">
        <v>0</v>
      </c>
      <c r="S81" s="17" t="n">
        <v>26</v>
      </c>
      <c r="T81" s="17" t="n">
        <v>7</v>
      </c>
      <c r="U81" s="17" t="n">
        <v>0</v>
      </c>
      <c r="V81" s="17" t="n">
        <v>2</v>
      </c>
      <c r="W81" s="17" t="n">
        <v>11</v>
      </c>
      <c r="X81" s="17" t="n">
        <v>0</v>
      </c>
      <c r="Y81" s="17" t="n">
        <v>0</v>
      </c>
      <c r="Z81" s="18" t="n">
        <v>0</v>
      </c>
      <c r="AA81" s="16" t="n">
        <v>-18</v>
      </c>
      <c r="AB81" s="17" t="n">
        <v>28</v>
      </c>
      <c r="AC81" s="17" t="n">
        <v>2</v>
      </c>
      <c r="AD81" s="17" t="n">
        <v>21</v>
      </c>
      <c r="AE81" s="17" t="n">
        <v>28</v>
      </c>
      <c r="AF81" s="17" t="n">
        <v>26</v>
      </c>
      <c r="AG81" s="17" t="n">
        <v>17</v>
      </c>
      <c r="AH81" s="17" t="n">
        <v>28</v>
      </c>
      <c r="AI81" s="17" t="n">
        <v>28</v>
      </c>
      <c r="AJ81" s="18" t="n">
        <v>28</v>
      </c>
      <c r="AK81" s="16" t="n">
        <v>18869</v>
      </c>
      <c r="AL81" s="17" t="n">
        <v>0</v>
      </c>
      <c r="AM81" s="17" t="n">
        <v>11104</v>
      </c>
      <c r="AN81" s="17" t="n">
        <v>2491</v>
      </c>
      <c r="AO81" s="17" t="n">
        <v>0</v>
      </c>
      <c r="AP81" s="17" t="n">
        <v>536</v>
      </c>
      <c r="AQ81" s="17" t="n">
        <v>4665</v>
      </c>
      <c r="AR81" s="17" t="n">
        <v>0</v>
      </c>
      <c r="AS81" s="17" t="n">
        <v>0</v>
      </c>
      <c r="AT81" s="18" t="n">
        <v>0</v>
      </c>
      <c r="AU81" s="16" t="n">
        <v>12650</v>
      </c>
      <c r="AV81" s="17" t="n">
        <v>0</v>
      </c>
      <c r="AW81" s="17" t="n">
        <v>7150</v>
      </c>
      <c r="AX81" s="17" t="n">
        <v>1925</v>
      </c>
      <c r="AY81" s="17" t="n">
        <v>0</v>
      </c>
      <c r="AZ81" s="17" t="n">
        <v>550</v>
      </c>
      <c r="BA81" s="17" t="n">
        <v>3025</v>
      </c>
      <c r="BB81" s="17" t="n">
        <v>0</v>
      </c>
      <c r="BC81" s="17" t="n">
        <v>0</v>
      </c>
      <c r="BD81" s="18" t="n">
        <v>0</v>
      </c>
      <c r="BE81" s="16" t="n">
        <v>6219</v>
      </c>
      <c r="BF81" s="17" t="n">
        <v>0</v>
      </c>
      <c r="BG81" s="17" t="n">
        <v>3954</v>
      </c>
      <c r="BH81" s="17" t="n">
        <v>566</v>
      </c>
      <c r="BI81" s="17" t="n">
        <v>0</v>
      </c>
      <c r="BJ81" s="17" t="n">
        <v>-14</v>
      </c>
      <c r="BK81" s="17" t="n">
        <v>1640</v>
      </c>
      <c r="BL81" s="17" t="n">
        <v>0</v>
      </c>
      <c r="BM81" s="17" t="n">
        <v>0</v>
      </c>
      <c r="BN81" s="18" t="n">
        <v>0</v>
      </c>
    </row>
    <row r="82" ht="20" customHeight="1">
      <c r="A82" s="15" t="inlineStr">
        <is>
          <t>00456120330</t>
        </is>
      </c>
      <c r="B82" s="15" t="inlineStr">
        <is>
          <t>LINZESS 72 MCG ORAL CAPSULE</t>
        </is>
      </c>
      <c r="C82" s="16" t="n">
        <v>30</v>
      </c>
      <c r="D82" s="16" t="n">
        <v>14</v>
      </c>
      <c r="E82" s="16" t="n">
        <v>14</v>
      </c>
      <c r="F82" s="16" t="n">
        <v>273</v>
      </c>
      <c r="G82" s="16" t="n">
        <v>810</v>
      </c>
      <c r="H82" s="17" t="n">
        <v>0</v>
      </c>
      <c r="I82" s="17" t="n">
        <v>390</v>
      </c>
      <c r="J82" s="17" t="n">
        <v>0</v>
      </c>
      <c r="K82" s="17" t="n">
        <v>0</v>
      </c>
      <c r="L82" s="17" t="n">
        <v>30</v>
      </c>
      <c r="M82" s="17" t="n">
        <v>390</v>
      </c>
      <c r="N82" s="17" t="n">
        <v>0</v>
      </c>
      <c r="O82" s="17" t="n">
        <v>0</v>
      </c>
      <c r="P82" s="18" t="n">
        <v>0</v>
      </c>
      <c r="Q82" s="16" t="n">
        <v>27</v>
      </c>
      <c r="R82" s="17" t="n">
        <v>0</v>
      </c>
      <c r="S82" s="17" t="n">
        <v>13</v>
      </c>
      <c r="T82" s="17" t="n">
        <v>0</v>
      </c>
      <c r="U82" s="17" t="n">
        <v>0</v>
      </c>
      <c r="V82" s="17" t="n">
        <v>1</v>
      </c>
      <c r="W82" s="17" t="n">
        <v>13</v>
      </c>
      <c r="X82" s="17" t="n">
        <v>0</v>
      </c>
      <c r="Y82" s="17" t="n">
        <v>0</v>
      </c>
      <c r="Z82" s="18" t="n">
        <v>0</v>
      </c>
      <c r="AA82" s="16" t="n">
        <v>-13</v>
      </c>
      <c r="AB82" s="17" t="n">
        <v>14</v>
      </c>
      <c r="AC82" s="17" t="n">
        <v>1</v>
      </c>
      <c r="AD82" s="17" t="n">
        <v>14</v>
      </c>
      <c r="AE82" s="17" t="n">
        <v>14</v>
      </c>
      <c r="AF82" s="17" t="n">
        <v>13</v>
      </c>
      <c r="AG82" s="17" t="n">
        <v>1</v>
      </c>
      <c r="AH82" s="17" t="n">
        <v>14</v>
      </c>
      <c r="AI82" s="17" t="n">
        <v>14</v>
      </c>
      <c r="AJ82" s="18" t="n">
        <v>14</v>
      </c>
      <c r="AK82" s="16" t="n">
        <v>10337</v>
      </c>
      <c r="AL82" s="17" t="n">
        <v>0</v>
      </c>
      <c r="AM82" s="17" t="n">
        <v>3436</v>
      </c>
      <c r="AN82" s="17" t="n">
        <v>0</v>
      </c>
      <c r="AO82" s="17" t="n">
        <v>0</v>
      </c>
      <c r="AP82" s="17" t="n">
        <v>493</v>
      </c>
      <c r="AQ82" s="17" t="n">
        <v>6069</v>
      </c>
      <c r="AR82" s="17" t="n">
        <v>0</v>
      </c>
      <c r="AS82" s="17" t="n">
        <v>0</v>
      </c>
      <c r="AT82" s="18" t="n">
        <v>0</v>
      </c>
      <c r="AU82" s="16" t="n">
        <v>7371</v>
      </c>
      <c r="AV82" s="17" t="n">
        <v>0</v>
      </c>
      <c r="AW82" s="17" t="n">
        <v>3549</v>
      </c>
      <c r="AX82" s="17" t="n">
        <v>0</v>
      </c>
      <c r="AY82" s="17" t="n">
        <v>0</v>
      </c>
      <c r="AZ82" s="17" t="n">
        <v>273</v>
      </c>
      <c r="BA82" s="17" t="n">
        <v>3549</v>
      </c>
      <c r="BB82" s="17" t="n">
        <v>0</v>
      </c>
      <c r="BC82" s="17" t="n">
        <v>0</v>
      </c>
      <c r="BD82" s="18" t="n">
        <v>0</v>
      </c>
      <c r="BE82" s="16" t="n">
        <v>2966</v>
      </c>
      <c r="BF82" s="17" t="n">
        <v>0</v>
      </c>
      <c r="BG82" s="17" t="n">
        <v>-113</v>
      </c>
      <c r="BH82" s="17" t="n">
        <v>0</v>
      </c>
      <c r="BI82" s="17" t="n">
        <v>0</v>
      </c>
      <c r="BJ82" s="17" t="n">
        <v>220</v>
      </c>
      <c r="BK82" s="17" t="n">
        <v>2520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00430042014</t>
        </is>
      </c>
      <c r="B83" s="15" t="inlineStr">
        <is>
          <t>LO LOESTRIN FE 1 MG-10 MCG / 10 MCG ORAL TABLET</t>
        </is>
      </c>
      <c r="C83" s="16" t="n">
        <v>140</v>
      </c>
      <c r="D83" s="16" t="n">
        <v>1</v>
      </c>
      <c r="E83" s="16" t="n">
        <v>1</v>
      </c>
      <c r="F83" s="16" t="n">
        <v>908</v>
      </c>
      <c r="G83" s="16" t="n">
        <v>252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252</v>
      </c>
      <c r="N83" s="17" t="n">
        <v>0</v>
      </c>
      <c r="O83" s="17" t="n">
        <v>0</v>
      </c>
      <c r="P83" s="18" t="n">
        <v>0</v>
      </c>
      <c r="Q83" s="16" t="n">
        <v>1.8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1.8</v>
      </c>
      <c r="X83" s="17" t="n">
        <v>0</v>
      </c>
      <c r="Y83" s="17" t="n">
        <v>0</v>
      </c>
      <c r="Z83" s="18" t="n">
        <v>0</v>
      </c>
      <c r="AA83" s="16" t="n">
        <v>-0.8</v>
      </c>
      <c r="AB83" s="17" t="n">
        <v>1</v>
      </c>
      <c r="AC83" s="17" t="n">
        <v>1</v>
      </c>
      <c r="AD83" s="17" t="n">
        <v>1</v>
      </c>
      <c r="AE83" s="17" t="n">
        <v>1</v>
      </c>
      <c r="AF83" s="17" t="n">
        <v>1</v>
      </c>
      <c r="AG83" s="17" t="n">
        <v>-0.8</v>
      </c>
      <c r="AH83" s="17" t="n">
        <v>1</v>
      </c>
      <c r="AI83" s="17" t="n">
        <v>1</v>
      </c>
      <c r="AJ83" s="18" t="n">
        <v>1</v>
      </c>
      <c r="AK83" s="16" t="n">
        <v>1683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1683</v>
      </c>
      <c r="AR83" s="17" t="n">
        <v>0</v>
      </c>
      <c r="AS83" s="17" t="n">
        <v>0</v>
      </c>
      <c r="AT83" s="18" t="n">
        <v>0</v>
      </c>
      <c r="AU83" s="16" t="n">
        <v>1634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1634</v>
      </c>
      <c r="BB83" s="17" t="n">
        <v>0</v>
      </c>
      <c r="BC83" s="17" t="n">
        <v>0</v>
      </c>
      <c r="BD83" s="18" t="n">
        <v>0</v>
      </c>
      <c r="BE83" s="16" t="n">
        <v>49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49</v>
      </c>
      <c r="BL83" s="17" t="n">
        <v>0</v>
      </c>
      <c r="BM83" s="17" t="n">
        <v>0</v>
      </c>
      <c r="BN83" s="18" t="n">
        <v>0</v>
      </c>
    </row>
    <row r="84" ht="20" customHeight="1">
      <c r="A84" s="15" t="inlineStr">
        <is>
          <t>00310111030</t>
        </is>
      </c>
      <c r="B84" s="15" t="inlineStr">
        <is>
          <t>LOKELMA 10GM PACK</t>
        </is>
      </c>
      <c r="C84" s="16" t="n">
        <v>30</v>
      </c>
      <c r="D84" s="16" t="n">
        <v>12</v>
      </c>
      <c r="E84" s="16" t="n">
        <v>12</v>
      </c>
      <c r="F84" s="16" t="n">
        <v>863</v>
      </c>
      <c r="G84" s="16" t="n">
        <v>570</v>
      </c>
      <c r="H84" s="17" t="n">
        <v>0</v>
      </c>
      <c r="I84" s="17" t="n">
        <v>450</v>
      </c>
      <c r="J84" s="17" t="n">
        <v>30</v>
      </c>
      <c r="K84" s="17" t="n">
        <v>0</v>
      </c>
      <c r="L84" s="17" t="n">
        <v>0</v>
      </c>
      <c r="M84" s="17" t="n">
        <v>0</v>
      </c>
      <c r="N84" s="17" t="n">
        <v>90</v>
      </c>
      <c r="O84" s="17" t="n">
        <v>0</v>
      </c>
      <c r="P84" s="18" t="n">
        <v>0</v>
      </c>
      <c r="Q84" s="16" t="n">
        <v>19</v>
      </c>
      <c r="R84" s="17" t="n">
        <v>0</v>
      </c>
      <c r="S84" s="17" t="n">
        <v>15</v>
      </c>
      <c r="T84" s="17" t="n">
        <v>1</v>
      </c>
      <c r="U84" s="17" t="n">
        <v>0</v>
      </c>
      <c r="V84" s="17" t="n">
        <v>0</v>
      </c>
      <c r="W84" s="17" t="n">
        <v>0</v>
      </c>
      <c r="X84" s="17" t="n">
        <v>3</v>
      </c>
      <c r="Y84" s="17" t="n">
        <v>0</v>
      </c>
      <c r="Z84" s="18" t="n">
        <v>0</v>
      </c>
      <c r="AA84" s="16" t="n">
        <v>-7</v>
      </c>
      <c r="AB84" s="17" t="n">
        <v>12</v>
      </c>
      <c r="AC84" s="17" t="n">
        <v>-3</v>
      </c>
      <c r="AD84" s="17" t="n">
        <v>11</v>
      </c>
      <c r="AE84" s="17" t="n">
        <v>12</v>
      </c>
      <c r="AF84" s="17" t="n">
        <v>12</v>
      </c>
      <c r="AG84" s="17" t="n">
        <v>12</v>
      </c>
      <c r="AH84" s="17" t="n">
        <v>9</v>
      </c>
      <c r="AI84" s="17" t="n">
        <v>12</v>
      </c>
      <c r="AJ84" s="18" t="n">
        <v>12</v>
      </c>
      <c r="AK84" s="16" t="n">
        <v>15936</v>
      </c>
      <c r="AL84" s="17" t="n">
        <v>0</v>
      </c>
      <c r="AM84" s="17" t="n">
        <v>12497</v>
      </c>
      <c r="AN84" s="17" t="n">
        <v>770</v>
      </c>
      <c r="AO84" s="17" t="n">
        <v>0</v>
      </c>
      <c r="AP84" s="17" t="n">
        <v>0</v>
      </c>
      <c r="AQ84" s="17" t="n">
        <v>0</v>
      </c>
      <c r="AR84" s="17" t="n">
        <v>2639</v>
      </c>
      <c r="AS84" s="17" t="n">
        <v>0</v>
      </c>
      <c r="AT84" s="18" t="n">
        <v>0</v>
      </c>
      <c r="AU84" s="16" t="n">
        <v>16397</v>
      </c>
      <c r="AV84" s="17" t="n">
        <v>0</v>
      </c>
      <c r="AW84" s="17" t="n">
        <v>12945</v>
      </c>
      <c r="AX84" s="17" t="n">
        <v>863</v>
      </c>
      <c r="AY84" s="17" t="n">
        <v>0</v>
      </c>
      <c r="AZ84" s="17" t="n">
        <v>0</v>
      </c>
      <c r="BA84" s="17" t="n">
        <v>0</v>
      </c>
      <c r="BB84" s="17" t="n">
        <v>2589</v>
      </c>
      <c r="BC84" s="17" t="n">
        <v>0</v>
      </c>
      <c r="BD84" s="18" t="n">
        <v>0</v>
      </c>
      <c r="BE84" s="16" t="n">
        <v>-461</v>
      </c>
      <c r="BF84" s="17" t="n">
        <v>0</v>
      </c>
      <c r="BG84" s="17" t="n">
        <v>-448</v>
      </c>
      <c r="BH84" s="17" t="n">
        <v>-93</v>
      </c>
      <c r="BI84" s="17" t="n">
        <v>0</v>
      </c>
      <c r="BJ84" s="17" t="n">
        <v>0</v>
      </c>
      <c r="BK84" s="17" t="n">
        <v>0</v>
      </c>
      <c r="BL84" s="17" t="n">
        <v>50</v>
      </c>
      <c r="BM84" s="17" t="n">
        <v>0</v>
      </c>
      <c r="BN84" s="18" t="n">
        <v>0</v>
      </c>
    </row>
    <row r="85" ht="20" customHeight="1">
      <c r="A85" s="15" t="inlineStr">
        <is>
          <t>00310110530</t>
        </is>
      </c>
      <c r="B85" s="15" t="inlineStr">
        <is>
          <t>LOKELMA 5GM PACK</t>
        </is>
      </c>
      <c r="C85" s="16" t="n">
        <v>30</v>
      </c>
      <c r="D85" s="16" t="n">
        <v>7</v>
      </c>
      <c r="E85" s="16" t="n">
        <v>7</v>
      </c>
      <c r="F85" s="16" t="n">
        <v>863</v>
      </c>
      <c r="G85" s="16" t="n">
        <v>300</v>
      </c>
      <c r="H85" s="17" t="n">
        <v>0</v>
      </c>
      <c r="I85" s="17" t="n">
        <v>300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0</v>
      </c>
      <c r="O85" s="17" t="n">
        <v>0</v>
      </c>
      <c r="P85" s="18" t="n">
        <v>0</v>
      </c>
      <c r="Q85" s="16" t="n">
        <v>10</v>
      </c>
      <c r="R85" s="17" t="n">
        <v>0</v>
      </c>
      <c r="S85" s="17" t="n">
        <v>10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8" t="n">
        <v>0</v>
      </c>
      <c r="AA85" s="16" t="n">
        <v>-3</v>
      </c>
      <c r="AB85" s="17" t="n">
        <v>7</v>
      </c>
      <c r="AC85" s="17" t="n">
        <v>-3</v>
      </c>
      <c r="AD85" s="17" t="n">
        <v>7</v>
      </c>
      <c r="AE85" s="17" t="n">
        <v>7</v>
      </c>
      <c r="AF85" s="17" t="n">
        <v>7</v>
      </c>
      <c r="AG85" s="17" t="n">
        <v>7</v>
      </c>
      <c r="AH85" s="17" t="n">
        <v>7</v>
      </c>
      <c r="AI85" s="17" t="n">
        <v>7</v>
      </c>
      <c r="AJ85" s="18" t="n">
        <v>7</v>
      </c>
      <c r="AK85" s="16" t="n">
        <v>8305</v>
      </c>
      <c r="AL85" s="17" t="n">
        <v>0</v>
      </c>
      <c r="AM85" s="17" t="n">
        <v>8281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8" t="n">
        <v>0</v>
      </c>
      <c r="AU85" s="16" t="n">
        <v>8630</v>
      </c>
      <c r="AV85" s="17" t="n">
        <v>0</v>
      </c>
      <c r="AW85" s="17" t="n">
        <v>8630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8" t="n">
        <v>0</v>
      </c>
      <c r="BE85" s="16" t="n">
        <v>-325</v>
      </c>
      <c r="BF85" s="17" t="n">
        <v>0</v>
      </c>
      <c r="BG85" s="17" t="n">
        <v>-349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00023320505</t>
        </is>
      </c>
      <c r="B86" s="15" t="inlineStr">
        <is>
          <t>LUMIGAN 0.01 % OPHTHALMIC SOLUTION</t>
        </is>
      </c>
      <c r="C86" s="16" t="n">
        <v>5</v>
      </c>
      <c r="D86" s="16" t="n">
        <v>1</v>
      </c>
      <c r="E86" s="16" t="n">
        <v>1</v>
      </c>
      <c r="F86" s="16" t="n">
        <v>524</v>
      </c>
      <c r="G86" s="16" t="n">
        <v>15</v>
      </c>
      <c r="H86" s="17" t="n">
        <v>0</v>
      </c>
      <c r="I86" s="17" t="n">
        <v>15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0</v>
      </c>
      <c r="P86" s="18" t="n">
        <v>0</v>
      </c>
      <c r="Q86" s="16" t="n">
        <v>3</v>
      </c>
      <c r="R86" s="17" t="n">
        <v>0</v>
      </c>
      <c r="S86" s="17" t="n">
        <v>3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8" t="n">
        <v>0</v>
      </c>
      <c r="AA86" s="16" t="n">
        <v>-2</v>
      </c>
      <c r="AB86" s="17" t="n">
        <v>1</v>
      </c>
      <c r="AC86" s="17" t="n">
        <v>-2</v>
      </c>
      <c r="AD86" s="17" t="n">
        <v>1</v>
      </c>
      <c r="AE86" s="17" t="n">
        <v>1</v>
      </c>
      <c r="AF86" s="17" t="n">
        <v>1</v>
      </c>
      <c r="AG86" s="17" t="n">
        <v>1</v>
      </c>
      <c r="AH86" s="17" t="n">
        <v>1</v>
      </c>
      <c r="AI86" s="17" t="n">
        <v>1</v>
      </c>
      <c r="AJ86" s="18" t="n">
        <v>1</v>
      </c>
      <c r="AK86" s="16" t="n">
        <v>1522</v>
      </c>
      <c r="AL86" s="17" t="n">
        <v>0</v>
      </c>
      <c r="AM86" s="17" t="n">
        <v>1518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8" t="n">
        <v>0</v>
      </c>
      <c r="AU86" s="16" t="n">
        <v>1572</v>
      </c>
      <c r="AV86" s="17" t="n">
        <v>0</v>
      </c>
      <c r="AW86" s="17" t="n">
        <v>1572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8" t="n">
        <v>0</v>
      </c>
      <c r="BE86" s="16" t="n">
        <v>-50</v>
      </c>
      <c r="BF86" s="17" t="n">
        <v>0</v>
      </c>
      <c r="BG86" s="17" t="n">
        <v>-54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00023320508</t>
        </is>
      </c>
      <c r="B87" s="15" t="inlineStr">
        <is>
          <t>LUMIGAN 0.01% SOLUTION</t>
        </is>
      </c>
      <c r="C87" s="16" t="n">
        <v>7.5</v>
      </c>
      <c r="D87" s="16" t="n">
        <v>10</v>
      </c>
      <c r="E87" s="16" t="n">
        <v>10</v>
      </c>
      <c r="F87" s="16" t="n">
        <v>786</v>
      </c>
      <c r="G87" s="16" t="n">
        <v>120</v>
      </c>
      <c r="H87" s="17" t="n">
        <v>0</v>
      </c>
      <c r="I87" s="17" t="n">
        <v>90</v>
      </c>
      <c r="J87" s="17" t="n">
        <v>0</v>
      </c>
      <c r="K87" s="17" t="n">
        <v>0</v>
      </c>
      <c r="L87" s="17" t="n">
        <v>7.5</v>
      </c>
      <c r="M87" s="17" t="n">
        <v>15</v>
      </c>
      <c r="N87" s="17" t="n">
        <v>7.5</v>
      </c>
      <c r="O87" s="17" t="n">
        <v>0</v>
      </c>
      <c r="P87" s="18" t="n">
        <v>0</v>
      </c>
      <c r="Q87" s="16" t="n">
        <v>16</v>
      </c>
      <c r="R87" s="17" t="n">
        <v>0</v>
      </c>
      <c r="S87" s="17" t="n">
        <v>12</v>
      </c>
      <c r="T87" s="17" t="n">
        <v>0</v>
      </c>
      <c r="U87" s="17" t="n">
        <v>0</v>
      </c>
      <c r="V87" s="17" t="n">
        <v>1</v>
      </c>
      <c r="W87" s="17" t="n">
        <v>2</v>
      </c>
      <c r="X87" s="17" t="n">
        <v>1</v>
      </c>
      <c r="Y87" s="17" t="n">
        <v>0</v>
      </c>
      <c r="Z87" s="18" t="n">
        <v>0</v>
      </c>
      <c r="AA87" s="16" t="n">
        <v>-6</v>
      </c>
      <c r="AB87" s="17" t="n">
        <v>10</v>
      </c>
      <c r="AC87" s="17" t="n">
        <v>-2</v>
      </c>
      <c r="AD87" s="17" t="n">
        <v>10</v>
      </c>
      <c r="AE87" s="17" t="n">
        <v>10</v>
      </c>
      <c r="AF87" s="17" t="n">
        <v>9</v>
      </c>
      <c r="AG87" s="17" t="n">
        <v>8</v>
      </c>
      <c r="AH87" s="17" t="n">
        <v>9</v>
      </c>
      <c r="AI87" s="17" t="n">
        <v>10</v>
      </c>
      <c r="AJ87" s="18" t="n">
        <v>10</v>
      </c>
      <c r="AK87" s="16" t="n">
        <v>12180</v>
      </c>
      <c r="AL87" s="17" t="n">
        <v>0</v>
      </c>
      <c r="AM87" s="17" t="n">
        <v>9077</v>
      </c>
      <c r="AN87" s="17" t="n">
        <v>0</v>
      </c>
      <c r="AO87" s="17" t="n">
        <v>0</v>
      </c>
      <c r="AP87" s="17" t="n">
        <v>746</v>
      </c>
      <c r="AQ87" s="17" t="n">
        <v>1554</v>
      </c>
      <c r="AR87" s="17" t="n">
        <v>794</v>
      </c>
      <c r="AS87" s="17" t="n">
        <v>0</v>
      </c>
      <c r="AT87" s="18" t="n">
        <v>0</v>
      </c>
      <c r="AU87" s="16" t="n">
        <v>12576</v>
      </c>
      <c r="AV87" s="17" t="n">
        <v>0</v>
      </c>
      <c r="AW87" s="17" t="n">
        <v>9432</v>
      </c>
      <c r="AX87" s="17" t="n">
        <v>0</v>
      </c>
      <c r="AY87" s="17" t="n">
        <v>0</v>
      </c>
      <c r="AZ87" s="17" t="n">
        <v>786</v>
      </c>
      <c r="BA87" s="17" t="n">
        <v>1572</v>
      </c>
      <c r="BB87" s="17" t="n">
        <v>786</v>
      </c>
      <c r="BC87" s="17" t="n">
        <v>0</v>
      </c>
      <c r="BD87" s="18" t="n">
        <v>0</v>
      </c>
      <c r="BE87" s="16" t="n">
        <v>-396</v>
      </c>
      <c r="BF87" s="17" t="n">
        <v>0</v>
      </c>
      <c r="BG87" s="17" t="n">
        <v>-355</v>
      </c>
      <c r="BH87" s="17" t="n">
        <v>0</v>
      </c>
      <c r="BI87" s="17" t="n">
        <v>0</v>
      </c>
      <c r="BJ87" s="17" t="n">
        <v>-40</v>
      </c>
      <c r="BK87" s="17" t="n">
        <v>-18</v>
      </c>
      <c r="BL87" s="17" t="n">
        <v>8</v>
      </c>
      <c r="BM87" s="17" t="n">
        <v>0</v>
      </c>
      <c r="BN87" s="18" t="n">
        <v>0</v>
      </c>
    </row>
    <row r="88" ht="20" customHeight="1">
      <c r="A88" s="15" t="inlineStr">
        <is>
          <t>00023320503</t>
        </is>
      </c>
      <c r="B88" s="15" t="inlineStr">
        <is>
          <t>LUMIGAN 0.01% SOLUTION</t>
        </is>
      </c>
      <c r="C88" s="16" t="n">
        <v>2.5</v>
      </c>
      <c r="D88" s="16" t="n">
        <v>0</v>
      </c>
      <c r="E88" s="16" t="n">
        <v>0</v>
      </c>
      <c r="F88" s="16" t="n">
        <v>0</v>
      </c>
      <c r="G88" s="16" t="n">
        <v>2.5</v>
      </c>
      <c r="H88" s="17" t="n">
        <v>0</v>
      </c>
      <c r="I88" s="17" t="n">
        <v>2.5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</v>
      </c>
      <c r="R88" s="17" t="n">
        <v>0</v>
      </c>
      <c r="S88" s="17" t="n">
        <v>1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-1</v>
      </c>
      <c r="AB88" s="17" t="n">
        <v>0</v>
      </c>
      <c r="AC88" s="17" t="n">
        <v>-1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8" t="n">
        <v>0</v>
      </c>
      <c r="AK88" s="16" t="n">
        <v>247</v>
      </c>
      <c r="AL88" s="17" t="n">
        <v>0</v>
      </c>
      <c r="AM88" s="17" t="n">
        <v>244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247</v>
      </c>
      <c r="BF88" s="17" t="n">
        <v>0</v>
      </c>
      <c r="BG88" s="17" t="n">
        <v>244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68382045219</t>
        </is>
      </c>
      <c r="B89" s="15" t="inlineStr">
        <is>
          <t>MESALAMINE ER 0.375GCAPSULE</t>
        </is>
      </c>
      <c r="C89" s="16" t="n">
        <v>120</v>
      </c>
      <c r="D89" s="16" t="n">
        <v>1</v>
      </c>
      <c r="E89" s="16" t="n">
        <v>1</v>
      </c>
      <c r="F89" s="16" t="n">
        <v>68</v>
      </c>
      <c r="G89" s="16" t="n">
        <v>360</v>
      </c>
      <c r="H89" s="17" t="n">
        <v>0</v>
      </c>
      <c r="I89" s="17" t="n">
        <v>360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3</v>
      </c>
      <c r="R89" s="17" t="n">
        <v>0</v>
      </c>
      <c r="S89" s="17" t="n">
        <v>3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-2</v>
      </c>
      <c r="AB89" s="17" t="n">
        <v>1</v>
      </c>
      <c r="AC89" s="17" t="n">
        <v>-2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108</v>
      </c>
      <c r="AL89" s="17" t="n">
        <v>0</v>
      </c>
      <c r="AM89" s="17" t="n">
        <v>108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204</v>
      </c>
      <c r="AV89" s="17" t="n">
        <v>0</v>
      </c>
      <c r="AW89" s="17" t="n">
        <v>204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-96</v>
      </c>
      <c r="BF89" s="17" t="n">
        <v>0</v>
      </c>
      <c r="BG89" s="17" t="n">
        <v>-96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59630075050</t>
        </is>
      </c>
      <c r="B90" s="15" t="inlineStr">
        <is>
          <t>METHYLIN 5 MG/5ML ORAL SOLUTION</t>
        </is>
      </c>
      <c r="C90" s="16" t="n">
        <v>500</v>
      </c>
      <c r="D90" s="16" t="n">
        <v>2</v>
      </c>
      <c r="E90" s="16" t="n">
        <v>2</v>
      </c>
      <c r="F90" s="16" t="n">
        <v>82</v>
      </c>
      <c r="G90" s="16" t="n">
        <v>600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0</v>
      </c>
      <c r="M90" s="17" t="n">
        <v>600</v>
      </c>
      <c r="N90" s="17" t="n">
        <v>0</v>
      </c>
      <c r="O90" s="17" t="n">
        <v>0</v>
      </c>
      <c r="P90" s="18" t="n">
        <v>0</v>
      </c>
      <c r="Q90" s="16" t="n">
        <v>1.2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1.2</v>
      </c>
      <c r="X90" s="17" t="n">
        <v>0</v>
      </c>
      <c r="Y90" s="17" t="n">
        <v>0</v>
      </c>
      <c r="Z90" s="18" t="n">
        <v>0</v>
      </c>
      <c r="AA90" s="16" t="n">
        <v>0.8</v>
      </c>
      <c r="AB90" s="17" t="n">
        <v>2</v>
      </c>
      <c r="AC90" s="17" t="n">
        <v>2</v>
      </c>
      <c r="AD90" s="17" t="n">
        <v>2</v>
      </c>
      <c r="AE90" s="17" t="n">
        <v>2</v>
      </c>
      <c r="AF90" s="17" t="n">
        <v>2</v>
      </c>
      <c r="AG90" s="17" t="n">
        <v>0.8</v>
      </c>
      <c r="AH90" s="17" t="n">
        <v>2</v>
      </c>
      <c r="AI90" s="17" t="n">
        <v>2</v>
      </c>
      <c r="AJ90" s="18" t="n">
        <v>2</v>
      </c>
      <c r="AK90" s="16" t="n">
        <v>67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67</v>
      </c>
      <c r="AR90" s="17" t="n">
        <v>0</v>
      </c>
      <c r="AS90" s="17" t="n">
        <v>0</v>
      </c>
      <c r="AT90" s="18" t="n">
        <v>0</v>
      </c>
      <c r="AU90" s="16" t="n">
        <v>98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98</v>
      </c>
      <c r="BB90" s="17" t="n">
        <v>0</v>
      </c>
      <c r="BC90" s="17" t="n">
        <v>0</v>
      </c>
      <c r="BD90" s="18" t="n">
        <v>0</v>
      </c>
      <c r="BE90" s="16" t="n">
        <v>-31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-31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24208037705</t>
        </is>
      </c>
      <c r="B91" s="15" t="inlineStr">
        <is>
          <t>MIEBO 1.338 GM/ML OPHTHALMIC SOLUTION</t>
        </is>
      </c>
      <c r="C91" s="16" t="n">
        <v>3</v>
      </c>
      <c r="D91" s="16" t="n">
        <v>35</v>
      </c>
      <c r="E91" s="16" t="n">
        <v>35</v>
      </c>
      <c r="F91" s="16" t="n">
        <v>803</v>
      </c>
      <c r="G91" s="16" t="n">
        <v>165</v>
      </c>
      <c r="H91" s="17" t="n">
        <v>0</v>
      </c>
      <c r="I91" s="17" t="n">
        <v>135</v>
      </c>
      <c r="J91" s="17" t="n">
        <v>6</v>
      </c>
      <c r="K91" s="17" t="n">
        <v>0</v>
      </c>
      <c r="L91" s="17" t="n">
        <v>0</v>
      </c>
      <c r="M91" s="17" t="n">
        <v>24</v>
      </c>
      <c r="N91" s="17" t="n">
        <v>0</v>
      </c>
      <c r="O91" s="17" t="n">
        <v>0</v>
      </c>
      <c r="P91" s="18" t="n">
        <v>0</v>
      </c>
      <c r="Q91" s="16" t="n">
        <v>55</v>
      </c>
      <c r="R91" s="17" t="n">
        <v>0</v>
      </c>
      <c r="S91" s="17" t="n">
        <v>45</v>
      </c>
      <c r="T91" s="17" t="n">
        <v>2</v>
      </c>
      <c r="U91" s="17" t="n">
        <v>0</v>
      </c>
      <c r="V91" s="17" t="n">
        <v>0</v>
      </c>
      <c r="W91" s="17" t="n">
        <v>8</v>
      </c>
      <c r="X91" s="17" t="n">
        <v>0</v>
      </c>
      <c r="Y91" s="17" t="n">
        <v>0</v>
      </c>
      <c r="Z91" s="18" t="n">
        <v>0</v>
      </c>
      <c r="AA91" s="16" t="n">
        <v>-20</v>
      </c>
      <c r="AB91" s="17" t="n">
        <v>35</v>
      </c>
      <c r="AC91" s="17" t="n">
        <v>-10</v>
      </c>
      <c r="AD91" s="17" t="n">
        <v>33</v>
      </c>
      <c r="AE91" s="17" t="n">
        <v>35</v>
      </c>
      <c r="AF91" s="17" t="n">
        <v>35</v>
      </c>
      <c r="AG91" s="17" t="n">
        <v>27</v>
      </c>
      <c r="AH91" s="17" t="n">
        <v>35</v>
      </c>
      <c r="AI91" s="17" t="n">
        <v>35</v>
      </c>
      <c r="AJ91" s="18" t="n">
        <v>35</v>
      </c>
      <c r="AK91" s="16" t="n">
        <v>42496</v>
      </c>
      <c r="AL91" s="17" t="n">
        <v>0</v>
      </c>
      <c r="AM91" s="17" t="n">
        <v>33163</v>
      </c>
      <c r="AN91" s="17" t="n">
        <v>1435</v>
      </c>
      <c r="AO91" s="17" t="n">
        <v>0</v>
      </c>
      <c r="AP91" s="17" t="n">
        <v>0</v>
      </c>
      <c r="AQ91" s="17" t="n">
        <v>6274</v>
      </c>
      <c r="AR91" s="17" t="n">
        <v>0</v>
      </c>
      <c r="AS91" s="17" t="n">
        <v>0</v>
      </c>
      <c r="AT91" s="18" t="n">
        <v>0</v>
      </c>
      <c r="AU91" s="16" t="n">
        <v>44165</v>
      </c>
      <c r="AV91" s="17" t="n">
        <v>0</v>
      </c>
      <c r="AW91" s="17" t="n">
        <v>36135</v>
      </c>
      <c r="AX91" s="17" t="n">
        <v>1606</v>
      </c>
      <c r="AY91" s="17" t="n">
        <v>0</v>
      </c>
      <c r="AZ91" s="17" t="n">
        <v>0</v>
      </c>
      <c r="BA91" s="17" t="n">
        <v>6424</v>
      </c>
      <c r="BB91" s="17" t="n">
        <v>0</v>
      </c>
      <c r="BC91" s="17" t="n">
        <v>0</v>
      </c>
      <c r="BD91" s="18" t="n">
        <v>0</v>
      </c>
      <c r="BE91" s="16" t="n">
        <v>-1669</v>
      </c>
      <c r="BF91" s="17" t="n">
        <v>0</v>
      </c>
      <c r="BG91" s="17" t="n">
        <v>-2972</v>
      </c>
      <c r="BH91" s="17" t="n">
        <v>-171</v>
      </c>
      <c r="BI91" s="17" t="n">
        <v>0</v>
      </c>
      <c r="BJ91" s="17" t="n">
        <v>0</v>
      </c>
      <c r="BK91" s="17" t="n">
        <v>-150</v>
      </c>
      <c r="BL91" s="17" t="n">
        <v>0</v>
      </c>
      <c r="BM91" s="17" t="n">
        <v>0</v>
      </c>
      <c r="BN91" s="18" t="n">
        <v>0</v>
      </c>
    </row>
    <row r="92" ht="20" customHeight="1">
      <c r="A92" s="15" t="inlineStr">
        <is>
          <t>00002147180</t>
        </is>
      </c>
      <c r="B92" s="15" t="inlineStr">
        <is>
          <t>MOUNJARO 10 MG/0.5ML PEN-INJECTOR</t>
        </is>
      </c>
      <c r="C92" s="16" t="n">
        <v>2</v>
      </c>
      <c r="D92" s="16" t="n">
        <v>10</v>
      </c>
      <c r="E92" s="16" t="n">
        <v>10</v>
      </c>
      <c r="F92" s="16" t="n">
        <v>1082</v>
      </c>
      <c r="G92" s="16" t="n">
        <v>34</v>
      </c>
      <c r="H92" s="17" t="n">
        <v>0</v>
      </c>
      <c r="I92" s="17" t="n">
        <v>26</v>
      </c>
      <c r="J92" s="17" t="n">
        <v>0</v>
      </c>
      <c r="K92" s="17" t="n">
        <v>0</v>
      </c>
      <c r="L92" s="17" t="n">
        <v>0</v>
      </c>
      <c r="M92" s="17" t="n">
        <v>8</v>
      </c>
      <c r="N92" s="17" t="n">
        <v>0</v>
      </c>
      <c r="O92" s="17" t="n">
        <v>0</v>
      </c>
      <c r="P92" s="18" t="n">
        <v>0</v>
      </c>
      <c r="Q92" s="16" t="n">
        <v>17</v>
      </c>
      <c r="R92" s="17" t="n">
        <v>0</v>
      </c>
      <c r="S92" s="17" t="n">
        <v>13</v>
      </c>
      <c r="T92" s="17" t="n">
        <v>0</v>
      </c>
      <c r="U92" s="17" t="n">
        <v>0</v>
      </c>
      <c r="V92" s="17" t="n">
        <v>0</v>
      </c>
      <c r="W92" s="17" t="n">
        <v>4</v>
      </c>
      <c r="X92" s="17" t="n">
        <v>0</v>
      </c>
      <c r="Y92" s="17" t="n">
        <v>0</v>
      </c>
      <c r="Z92" s="18" t="n">
        <v>0</v>
      </c>
      <c r="AA92" s="16" t="n">
        <v>-7</v>
      </c>
      <c r="AB92" s="17" t="n">
        <v>10</v>
      </c>
      <c r="AC92" s="17" t="n">
        <v>-3</v>
      </c>
      <c r="AD92" s="17" t="n">
        <v>10</v>
      </c>
      <c r="AE92" s="17" t="n">
        <v>10</v>
      </c>
      <c r="AF92" s="17" t="n">
        <v>10</v>
      </c>
      <c r="AG92" s="17" t="n">
        <v>6</v>
      </c>
      <c r="AH92" s="17" t="n">
        <v>10</v>
      </c>
      <c r="AI92" s="17" t="n">
        <v>10</v>
      </c>
      <c r="AJ92" s="18" t="n">
        <v>10</v>
      </c>
      <c r="AK92" s="16" t="n">
        <v>17711</v>
      </c>
      <c r="AL92" s="17" t="n">
        <v>0</v>
      </c>
      <c r="AM92" s="17" t="n">
        <v>12790</v>
      </c>
      <c r="AN92" s="17" t="n">
        <v>0</v>
      </c>
      <c r="AO92" s="17" t="n">
        <v>0</v>
      </c>
      <c r="AP92" s="17" t="n">
        <v>0</v>
      </c>
      <c r="AQ92" s="17" t="n">
        <v>4256</v>
      </c>
      <c r="AR92" s="17" t="n">
        <v>0</v>
      </c>
      <c r="AS92" s="17" t="n">
        <v>0</v>
      </c>
      <c r="AT92" s="18" t="n">
        <v>0</v>
      </c>
      <c r="AU92" s="16" t="n">
        <v>18394</v>
      </c>
      <c r="AV92" s="17" t="n">
        <v>0</v>
      </c>
      <c r="AW92" s="17" t="n">
        <v>14066</v>
      </c>
      <c r="AX92" s="17" t="n">
        <v>0</v>
      </c>
      <c r="AY92" s="17" t="n">
        <v>0</v>
      </c>
      <c r="AZ92" s="17" t="n">
        <v>0</v>
      </c>
      <c r="BA92" s="17" t="n">
        <v>4328</v>
      </c>
      <c r="BB92" s="17" t="n">
        <v>0</v>
      </c>
      <c r="BC92" s="17" t="n">
        <v>0</v>
      </c>
      <c r="BD92" s="18" t="n">
        <v>0</v>
      </c>
      <c r="BE92" s="16" t="n">
        <v>-683</v>
      </c>
      <c r="BF92" s="17" t="n">
        <v>0</v>
      </c>
      <c r="BG92" s="17" t="n">
        <v>-1276</v>
      </c>
      <c r="BH92" s="17" t="n">
        <v>0</v>
      </c>
      <c r="BI92" s="17" t="n">
        <v>0</v>
      </c>
      <c r="BJ92" s="17" t="n">
        <v>0</v>
      </c>
      <c r="BK92" s="17" t="n">
        <v>-72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00002146080</t>
        </is>
      </c>
      <c r="B93" s="15" t="inlineStr">
        <is>
          <t>MOUNJARO 12.5 MG/0.5ML PEN-INJECTOR</t>
        </is>
      </c>
      <c r="C93" s="16" t="n">
        <v>2</v>
      </c>
      <c r="D93" s="16" t="n">
        <v>9</v>
      </c>
      <c r="E93" s="16" t="n">
        <v>9</v>
      </c>
      <c r="F93" s="16" t="n">
        <v>1082</v>
      </c>
      <c r="G93" s="16" t="n">
        <v>24</v>
      </c>
      <c r="H93" s="17" t="n">
        <v>0</v>
      </c>
      <c r="I93" s="17" t="n">
        <v>14</v>
      </c>
      <c r="J93" s="17" t="n">
        <v>6</v>
      </c>
      <c r="K93" s="17" t="n">
        <v>0</v>
      </c>
      <c r="L93" s="17" t="n">
        <v>0</v>
      </c>
      <c r="M93" s="17" t="n">
        <v>0</v>
      </c>
      <c r="N93" s="17" t="n">
        <v>4</v>
      </c>
      <c r="O93" s="17" t="n">
        <v>0</v>
      </c>
      <c r="P93" s="18" t="n">
        <v>0</v>
      </c>
      <c r="Q93" s="16" t="n">
        <v>12</v>
      </c>
      <c r="R93" s="17" t="n">
        <v>0</v>
      </c>
      <c r="S93" s="17" t="n">
        <v>7</v>
      </c>
      <c r="T93" s="17" t="n">
        <v>3</v>
      </c>
      <c r="U93" s="17" t="n">
        <v>0</v>
      </c>
      <c r="V93" s="17" t="n">
        <v>0</v>
      </c>
      <c r="W93" s="17" t="n">
        <v>0</v>
      </c>
      <c r="X93" s="17" t="n">
        <v>2</v>
      </c>
      <c r="Y93" s="17" t="n">
        <v>0</v>
      </c>
      <c r="Z93" s="18" t="n">
        <v>0</v>
      </c>
      <c r="AA93" s="16" t="n">
        <v>-3</v>
      </c>
      <c r="AB93" s="17" t="n">
        <v>9</v>
      </c>
      <c r="AC93" s="17" t="n">
        <v>2</v>
      </c>
      <c r="AD93" s="17" t="n">
        <v>6</v>
      </c>
      <c r="AE93" s="17" t="n">
        <v>9</v>
      </c>
      <c r="AF93" s="17" t="n">
        <v>9</v>
      </c>
      <c r="AG93" s="17" t="n">
        <v>9</v>
      </c>
      <c r="AH93" s="17" t="n">
        <v>7</v>
      </c>
      <c r="AI93" s="17" t="n">
        <v>9</v>
      </c>
      <c r="AJ93" s="18" t="n">
        <v>9</v>
      </c>
      <c r="AK93" s="16" t="n">
        <v>12401</v>
      </c>
      <c r="AL93" s="17" t="n">
        <v>0</v>
      </c>
      <c r="AM93" s="17" t="n">
        <v>7301</v>
      </c>
      <c r="AN93" s="17" t="n">
        <v>2923</v>
      </c>
      <c r="AO93" s="17" t="n">
        <v>0</v>
      </c>
      <c r="AP93" s="17" t="n">
        <v>0</v>
      </c>
      <c r="AQ93" s="17" t="n">
        <v>0</v>
      </c>
      <c r="AR93" s="17" t="n">
        <v>2167</v>
      </c>
      <c r="AS93" s="17" t="n">
        <v>0</v>
      </c>
      <c r="AT93" s="18" t="n">
        <v>0</v>
      </c>
      <c r="AU93" s="16" t="n">
        <v>12984</v>
      </c>
      <c r="AV93" s="17" t="n">
        <v>0</v>
      </c>
      <c r="AW93" s="17" t="n">
        <v>7574</v>
      </c>
      <c r="AX93" s="17" t="n">
        <v>3246</v>
      </c>
      <c r="AY93" s="17" t="n">
        <v>0</v>
      </c>
      <c r="AZ93" s="17" t="n">
        <v>0</v>
      </c>
      <c r="BA93" s="17" t="n">
        <v>0</v>
      </c>
      <c r="BB93" s="17" t="n">
        <v>2164</v>
      </c>
      <c r="BC93" s="17" t="n">
        <v>0</v>
      </c>
      <c r="BD93" s="18" t="n">
        <v>0</v>
      </c>
      <c r="BE93" s="16" t="n">
        <v>-583</v>
      </c>
      <c r="BF93" s="17" t="n">
        <v>0</v>
      </c>
      <c r="BG93" s="17" t="n">
        <v>-273</v>
      </c>
      <c r="BH93" s="17" t="n">
        <v>-323</v>
      </c>
      <c r="BI93" s="17" t="n">
        <v>0</v>
      </c>
      <c r="BJ93" s="17" t="n">
        <v>0</v>
      </c>
      <c r="BK93" s="17" t="n">
        <v>0</v>
      </c>
      <c r="BL93" s="17" t="n">
        <v>3</v>
      </c>
      <c r="BM93" s="17" t="n">
        <v>0</v>
      </c>
      <c r="BN93" s="18" t="n">
        <v>0</v>
      </c>
    </row>
    <row r="94" ht="20" customHeight="1">
      <c r="A94" s="15" t="inlineStr">
        <is>
          <t>00002145780</t>
        </is>
      </c>
      <c r="B94" s="15" t="inlineStr">
        <is>
          <t>MOUNJARO 15 MG/0.5ML PEN-INJECTOR</t>
        </is>
      </c>
      <c r="C94" s="16" t="n">
        <v>2</v>
      </c>
      <c r="D94" s="16" t="n">
        <v>8</v>
      </c>
      <c r="E94" s="16" t="n">
        <v>8</v>
      </c>
      <c r="F94" s="16" t="n">
        <v>1082</v>
      </c>
      <c r="G94" s="16" t="n">
        <v>18</v>
      </c>
      <c r="H94" s="17" t="n">
        <v>0</v>
      </c>
      <c r="I94" s="17" t="n">
        <v>12</v>
      </c>
      <c r="J94" s="17" t="n">
        <v>0</v>
      </c>
      <c r="K94" s="17" t="n">
        <v>0</v>
      </c>
      <c r="L94" s="17" t="n">
        <v>0</v>
      </c>
      <c r="M94" s="17" t="n">
        <v>6</v>
      </c>
      <c r="N94" s="17" t="n">
        <v>0</v>
      </c>
      <c r="O94" s="17" t="n">
        <v>0</v>
      </c>
      <c r="P94" s="18" t="n">
        <v>0</v>
      </c>
      <c r="Q94" s="16" t="n">
        <v>9</v>
      </c>
      <c r="R94" s="17" t="n">
        <v>0</v>
      </c>
      <c r="S94" s="17" t="n">
        <v>6</v>
      </c>
      <c r="T94" s="17" t="n">
        <v>0</v>
      </c>
      <c r="U94" s="17" t="n">
        <v>0</v>
      </c>
      <c r="V94" s="17" t="n">
        <v>0</v>
      </c>
      <c r="W94" s="17" t="n">
        <v>3</v>
      </c>
      <c r="X94" s="17" t="n">
        <v>0</v>
      </c>
      <c r="Y94" s="17" t="n">
        <v>0</v>
      </c>
      <c r="Z94" s="18" t="n">
        <v>0</v>
      </c>
      <c r="AA94" s="16" t="n">
        <v>-1</v>
      </c>
      <c r="AB94" s="17" t="n">
        <v>8</v>
      </c>
      <c r="AC94" s="17" t="n">
        <v>2</v>
      </c>
      <c r="AD94" s="17" t="n">
        <v>8</v>
      </c>
      <c r="AE94" s="17" t="n">
        <v>8</v>
      </c>
      <c r="AF94" s="17" t="n">
        <v>8</v>
      </c>
      <c r="AG94" s="17" t="n">
        <v>5</v>
      </c>
      <c r="AH94" s="17" t="n">
        <v>8</v>
      </c>
      <c r="AI94" s="17" t="n">
        <v>8</v>
      </c>
      <c r="AJ94" s="18" t="n">
        <v>8</v>
      </c>
      <c r="AK94" s="16" t="n">
        <v>9496</v>
      </c>
      <c r="AL94" s="17" t="n">
        <v>0</v>
      </c>
      <c r="AM94" s="17" t="n">
        <v>6282</v>
      </c>
      <c r="AN94" s="17" t="n">
        <v>0</v>
      </c>
      <c r="AO94" s="17" t="n">
        <v>0</v>
      </c>
      <c r="AP94" s="17" t="n">
        <v>0</v>
      </c>
      <c r="AQ94" s="17" t="n">
        <v>3200</v>
      </c>
      <c r="AR94" s="17" t="n">
        <v>0</v>
      </c>
      <c r="AS94" s="17" t="n">
        <v>0</v>
      </c>
      <c r="AT94" s="18" t="n">
        <v>0</v>
      </c>
      <c r="AU94" s="16" t="n">
        <v>9738</v>
      </c>
      <c r="AV94" s="17" t="n">
        <v>0</v>
      </c>
      <c r="AW94" s="17" t="n">
        <v>6492</v>
      </c>
      <c r="AX94" s="17" t="n">
        <v>0</v>
      </c>
      <c r="AY94" s="17" t="n">
        <v>0</v>
      </c>
      <c r="AZ94" s="17" t="n">
        <v>0</v>
      </c>
      <c r="BA94" s="17" t="n">
        <v>3246</v>
      </c>
      <c r="BB94" s="17" t="n">
        <v>0</v>
      </c>
      <c r="BC94" s="17" t="n">
        <v>0</v>
      </c>
      <c r="BD94" s="18" t="n">
        <v>0</v>
      </c>
      <c r="BE94" s="16" t="n">
        <v>-242</v>
      </c>
      <c r="BF94" s="17" t="n">
        <v>0</v>
      </c>
      <c r="BG94" s="17" t="n">
        <v>-210</v>
      </c>
      <c r="BH94" s="17" t="n">
        <v>0</v>
      </c>
      <c r="BI94" s="17" t="n">
        <v>0</v>
      </c>
      <c r="BJ94" s="17" t="n">
        <v>0</v>
      </c>
      <c r="BK94" s="17" t="n">
        <v>-46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00002150680</t>
        </is>
      </c>
      <c r="B95" s="15" t="inlineStr">
        <is>
          <t>MOUNJARO 2.5 MG/0.5ML PEN-INJECTOR</t>
        </is>
      </c>
      <c r="C95" s="16" t="n">
        <v>2</v>
      </c>
      <c r="D95" s="16" t="n">
        <v>4</v>
      </c>
      <c r="E95" s="16" t="n">
        <v>4</v>
      </c>
      <c r="F95" s="16" t="n">
        <v>1082</v>
      </c>
      <c r="G95" s="16" t="n">
        <v>14</v>
      </c>
      <c r="H95" s="17" t="n">
        <v>0</v>
      </c>
      <c r="I95" s="17" t="n">
        <v>10</v>
      </c>
      <c r="J95" s="17" t="n">
        <v>0</v>
      </c>
      <c r="K95" s="17" t="n">
        <v>0</v>
      </c>
      <c r="L95" s="17" t="n">
        <v>0</v>
      </c>
      <c r="M95" s="17" t="n">
        <v>2</v>
      </c>
      <c r="N95" s="17" t="n">
        <v>2</v>
      </c>
      <c r="O95" s="17" t="n">
        <v>0</v>
      </c>
      <c r="P95" s="18" t="n">
        <v>0</v>
      </c>
      <c r="Q95" s="16" t="n">
        <v>7</v>
      </c>
      <c r="R95" s="17" t="n">
        <v>0</v>
      </c>
      <c r="S95" s="17" t="n">
        <v>5</v>
      </c>
      <c r="T95" s="17" t="n">
        <v>0</v>
      </c>
      <c r="U95" s="17" t="n">
        <v>0</v>
      </c>
      <c r="V95" s="17" t="n">
        <v>0</v>
      </c>
      <c r="W95" s="17" t="n">
        <v>1</v>
      </c>
      <c r="X95" s="17" t="n">
        <v>1</v>
      </c>
      <c r="Y95" s="17" t="n">
        <v>0</v>
      </c>
      <c r="Z95" s="18" t="n">
        <v>0</v>
      </c>
      <c r="AA95" s="16" t="n">
        <v>-3</v>
      </c>
      <c r="AB95" s="17" t="n">
        <v>4</v>
      </c>
      <c r="AC95" s="17" t="n">
        <v>-1</v>
      </c>
      <c r="AD95" s="17" t="n">
        <v>4</v>
      </c>
      <c r="AE95" s="17" t="n">
        <v>4</v>
      </c>
      <c r="AF95" s="17" t="n">
        <v>4</v>
      </c>
      <c r="AG95" s="17" t="n">
        <v>3</v>
      </c>
      <c r="AH95" s="17" t="n">
        <v>3</v>
      </c>
      <c r="AI95" s="17" t="n">
        <v>4</v>
      </c>
      <c r="AJ95" s="18" t="n">
        <v>4</v>
      </c>
      <c r="AK95" s="16" t="n">
        <v>7464</v>
      </c>
      <c r="AL95" s="17" t="n">
        <v>0</v>
      </c>
      <c r="AM95" s="17" t="n">
        <v>5293</v>
      </c>
      <c r="AN95" s="17" t="n">
        <v>0</v>
      </c>
      <c r="AO95" s="17" t="n">
        <v>0</v>
      </c>
      <c r="AP95" s="17" t="n">
        <v>0</v>
      </c>
      <c r="AQ95" s="17" t="n">
        <v>1056</v>
      </c>
      <c r="AR95" s="17" t="n">
        <v>1115</v>
      </c>
      <c r="AS95" s="17" t="n">
        <v>0</v>
      </c>
      <c r="AT95" s="18" t="n">
        <v>0</v>
      </c>
      <c r="AU95" s="16" t="n">
        <v>7574</v>
      </c>
      <c r="AV95" s="17" t="n">
        <v>0</v>
      </c>
      <c r="AW95" s="17" t="n">
        <v>5410</v>
      </c>
      <c r="AX95" s="17" t="n">
        <v>0</v>
      </c>
      <c r="AY95" s="17" t="n">
        <v>0</v>
      </c>
      <c r="AZ95" s="17" t="n">
        <v>0</v>
      </c>
      <c r="BA95" s="17" t="n">
        <v>1082</v>
      </c>
      <c r="BB95" s="17" t="n">
        <v>1082</v>
      </c>
      <c r="BC95" s="17" t="n">
        <v>0</v>
      </c>
      <c r="BD95" s="18" t="n">
        <v>0</v>
      </c>
      <c r="BE95" s="16" t="n">
        <v>-110</v>
      </c>
      <c r="BF95" s="17" t="n">
        <v>0</v>
      </c>
      <c r="BG95" s="17" t="n">
        <v>-117</v>
      </c>
      <c r="BH95" s="17" t="n">
        <v>0</v>
      </c>
      <c r="BI95" s="17" t="n">
        <v>0</v>
      </c>
      <c r="BJ95" s="17" t="n">
        <v>0</v>
      </c>
      <c r="BK95" s="17" t="n">
        <v>-26</v>
      </c>
      <c r="BL95" s="17" t="n">
        <v>33</v>
      </c>
      <c r="BM95" s="17" t="n">
        <v>0</v>
      </c>
      <c r="BN95" s="18" t="n">
        <v>0</v>
      </c>
    </row>
    <row r="96" ht="20" customHeight="1">
      <c r="A96" s="15" t="inlineStr">
        <is>
          <t>00002149580</t>
        </is>
      </c>
      <c r="B96" s="15" t="inlineStr">
        <is>
          <t>MOUNJARO 5 MG/0.5ML PEN-INJECTOR</t>
        </is>
      </c>
      <c r="C96" s="16" t="n">
        <v>2</v>
      </c>
      <c r="D96" s="16" t="n">
        <v>24</v>
      </c>
      <c r="E96" s="16" t="n">
        <v>24</v>
      </c>
      <c r="F96" s="16" t="n">
        <v>1082</v>
      </c>
      <c r="G96" s="16" t="n">
        <v>80</v>
      </c>
      <c r="H96" s="17" t="n">
        <v>0</v>
      </c>
      <c r="I96" s="17" t="n">
        <v>44</v>
      </c>
      <c r="J96" s="17" t="n">
        <v>12</v>
      </c>
      <c r="K96" s="17" t="n">
        <v>0</v>
      </c>
      <c r="L96" s="17" t="n">
        <v>0</v>
      </c>
      <c r="M96" s="17" t="n">
        <v>24</v>
      </c>
      <c r="N96" s="17" t="n">
        <v>0</v>
      </c>
      <c r="O96" s="17" t="n">
        <v>0</v>
      </c>
      <c r="P96" s="18" t="n">
        <v>0</v>
      </c>
      <c r="Q96" s="16" t="n">
        <v>40</v>
      </c>
      <c r="R96" s="17" t="n">
        <v>0</v>
      </c>
      <c r="S96" s="17" t="n">
        <v>22</v>
      </c>
      <c r="T96" s="17" t="n">
        <v>6</v>
      </c>
      <c r="U96" s="17" t="n">
        <v>0</v>
      </c>
      <c r="V96" s="17" t="n">
        <v>0</v>
      </c>
      <c r="W96" s="17" t="n">
        <v>12</v>
      </c>
      <c r="X96" s="17" t="n">
        <v>0</v>
      </c>
      <c r="Y96" s="17" t="n">
        <v>0</v>
      </c>
      <c r="Z96" s="18" t="n">
        <v>0</v>
      </c>
      <c r="AA96" s="16" t="n">
        <v>-16</v>
      </c>
      <c r="AB96" s="17" t="n">
        <v>24</v>
      </c>
      <c r="AC96" s="17" t="n">
        <v>2</v>
      </c>
      <c r="AD96" s="17" t="n">
        <v>18</v>
      </c>
      <c r="AE96" s="17" t="n">
        <v>24</v>
      </c>
      <c r="AF96" s="17" t="n">
        <v>24</v>
      </c>
      <c r="AG96" s="17" t="n">
        <v>12</v>
      </c>
      <c r="AH96" s="17" t="n">
        <v>24</v>
      </c>
      <c r="AI96" s="17" t="n">
        <v>24</v>
      </c>
      <c r="AJ96" s="18" t="n">
        <v>24</v>
      </c>
      <c r="AK96" s="16" t="n">
        <v>41610</v>
      </c>
      <c r="AL96" s="17" t="n">
        <v>0</v>
      </c>
      <c r="AM96" s="17" t="n">
        <v>22813</v>
      </c>
      <c r="AN96" s="17" t="n">
        <v>5910</v>
      </c>
      <c r="AO96" s="17" t="n">
        <v>0</v>
      </c>
      <c r="AP96" s="17" t="n">
        <v>0</v>
      </c>
      <c r="AQ96" s="17" t="n">
        <v>12817</v>
      </c>
      <c r="AR96" s="17" t="n">
        <v>0</v>
      </c>
      <c r="AS96" s="17" t="n">
        <v>0</v>
      </c>
      <c r="AT96" s="18" t="n">
        <v>0</v>
      </c>
      <c r="AU96" s="16" t="n">
        <v>43280</v>
      </c>
      <c r="AV96" s="17" t="n">
        <v>0</v>
      </c>
      <c r="AW96" s="17" t="n">
        <v>23804</v>
      </c>
      <c r="AX96" s="17" t="n">
        <v>6492</v>
      </c>
      <c r="AY96" s="17" t="n">
        <v>0</v>
      </c>
      <c r="AZ96" s="17" t="n">
        <v>0</v>
      </c>
      <c r="BA96" s="17" t="n">
        <v>12984</v>
      </c>
      <c r="BB96" s="17" t="n">
        <v>0</v>
      </c>
      <c r="BC96" s="17" t="n">
        <v>0</v>
      </c>
      <c r="BD96" s="18" t="n">
        <v>0</v>
      </c>
      <c r="BE96" s="16" t="n">
        <v>-1670</v>
      </c>
      <c r="BF96" s="17" t="n">
        <v>0</v>
      </c>
      <c r="BG96" s="17" t="n">
        <v>-991</v>
      </c>
      <c r="BH96" s="17" t="n">
        <v>-582</v>
      </c>
      <c r="BI96" s="17" t="n">
        <v>0</v>
      </c>
      <c r="BJ96" s="17" t="n">
        <v>0</v>
      </c>
      <c r="BK96" s="17" t="n">
        <v>-167</v>
      </c>
      <c r="BL96" s="17" t="n">
        <v>0</v>
      </c>
      <c r="BM96" s="17" t="n">
        <v>0</v>
      </c>
      <c r="BN96" s="18" t="n">
        <v>0</v>
      </c>
    </row>
    <row r="97" ht="20" customHeight="1">
      <c r="A97" s="15" t="inlineStr">
        <is>
          <t>00002148480</t>
        </is>
      </c>
      <c r="B97" s="15" t="inlineStr">
        <is>
          <t>MOUNJARO 7.5 MG/0.5ML PEN-INJECTOR</t>
        </is>
      </c>
      <c r="C97" s="16" t="n">
        <v>2</v>
      </c>
      <c r="D97" s="16" t="n">
        <v>27</v>
      </c>
      <c r="E97" s="16" t="n">
        <v>27</v>
      </c>
      <c r="F97" s="16" t="n">
        <v>1082</v>
      </c>
      <c r="G97" s="16" t="n">
        <v>50</v>
      </c>
      <c r="H97" s="17" t="n">
        <v>0</v>
      </c>
      <c r="I97" s="17" t="n">
        <v>40</v>
      </c>
      <c r="J97" s="17" t="n">
        <v>0</v>
      </c>
      <c r="K97" s="17" t="n">
        <v>0</v>
      </c>
      <c r="L97" s="17" t="n">
        <v>6</v>
      </c>
      <c r="M97" s="17" t="n">
        <v>4</v>
      </c>
      <c r="N97" s="17" t="n">
        <v>0</v>
      </c>
      <c r="O97" s="17" t="n">
        <v>0</v>
      </c>
      <c r="P97" s="18" t="n">
        <v>0</v>
      </c>
      <c r="Q97" s="16" t="n">
        <v>25</v>
      </c>
      <c r="R97" s="17" t="n">
        <v>0</v>
      </c>
      <c r="S97" s="17" t="n">
        <v>20</v>
      </c>
      <c r="T97" s="17" t="n">
        <v>0</v>
      </c>
      <c r="U97" s="17" t="n">
        <v>0</v>
      </c>
      <c r="V97" s="17" t="n">
        <v>3</v>
      </c>
      <c r="W97" s="17" t="n">
        <v>2</v>
      </c>
      <c r="X97" s="17" t="n">
        <v>0</v>
      </c>
      <c r="Y97" s="17" t="n">
        <v>0</v>
      </c>
      <c r="Z97" s="18" t="n">
        <v>0</v>
      </c>
      <c r="AA97" s="16" t="n">
        <v>2</v>
      </c>
      <c r="AB97" s="17" t="n">
        <v>27</v>
      </c>
      <c r="AC97" s="17" t="n">
        <v>7</v>
      </c>
      <c r="AD97" s="17" t="n">
        <v>27</v>
      </c>
      <c r="AE97" s="17" t="n">
        <v>27</v>
      </c>
      <c r="AF97" s="17" t="n">
        <v>24</v>
      </c>
      <c r="AG97" s="17" t="n">
        <v>25</v>
      </c>
      <c r="AH97" s="17" t="n">
        <v>27</v>
      </c>
      <c r="AI97" s="17" t="n">
        <v>27</v>
      </c>
      <c r="AJ97" s="18" t="n">
        <v>27</v>
      </c>
      <c r="AK97" s="16" t="n">
        <v>25947</v>
      </c>
      <c r="AL97" s="17" t="n">
        <v>0</v>
      </c>
      <c r="AM97" s="17" t="n">
        <v>20662</v>
      </c>
      <c r="AN97" s="17" t="n">
        <v>0</v>
      </c>
      <c r="AO97" s="17" t="n">
        <v>0</v>
      </c>
      <c r="AP97" s="17" t="n">
        <v>3136</v>
      </c>
      <c r="AQ97" s="17" t="n">
        <v>2138</v>
      </c>
      <c r="AR97" s="17" t="n">
        <v>0</v>
      </c>
      <c r="AS97" s="17" t="n">
        <v>0</v>
      </c>
      <c r="AT97" s="18" t="n">
        <v>0</v>
      </c>
      <c r="AU97" s="16" t="n">
        <v>27050</v>
      </c>
      <c r="AV97" s="17" t="n">
        <v>0</v>
      </c>
      <c r="AW97" s="17" t="n">
        <v>21640</v>
      </c>
      <c r="AX97" s="17" t="n">
        <v>0</v>
      </c>
      <c r="AY97" s="17" t="n">
        <v>0</v>
      </c>
      <c r="AZ97" s="17" t="n">
        <v>3246</v>
      </c>
      <c r="BA97" s="17" t="n">
        <v>2164</v>
      </c>
      <c r="BB97" s="17" t="n">
        <v>0</v>
      </c>
      <c r="BC97" s="17" t="n">
        <v>0</v>
      </c>
      <c r="BD97" s="18" t="n">
        <v>0</v>
      </c>
      <c r="BE97" s="16" t="n">
        <v>-1103</v>
      </c>
      <c r="BF97" s="17" t="n">
        <v>0</v>
      </c>
      <c r="BG97" s="17" t="n">
        <v>-978</v>
      </c>
      <c r="BH97" s="17" t="n">
        <v>0</v>
      </c>
      <c r="BI97" s="17" t="n">
        <v>0</v>
      </c>
      <c r="BJ97" s="17" t="n">
        <v>-110</v>
      </c>
      <c r="BK97" s="17" t="n">
        <v>-26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00469260130</t>
        </is>
      </c>
      <c r="B98" s="15" t="inlineStr">
        <is>
          <t>MYRBETRIQ 25MG TABLET</t>
        </is>
      </c>
      <c r="C98" s="16" t="n">
        <v>30</v>
      </c>
      <c r="D98" s="16" t="n">
        <v>0</v>
      </c>
      <c r="E98" s="16" t="n">
        <v>0</v>
      </c>
      <c r="F98" s="16" t="n">
        <v>0</v>
      </c>
      <c r="G98" s="16" t="n">
        <v>90</v>
      </c>
      <c r="H98" s="17" t="n">
        <v>0</v>
      </c>
      <c r="I98" s="17" t="n">
        <v>60</v>
      </c>
      <c r="J98" s="17" t="n">
        <v>30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8" t="n">
        <v>0</v>
      </c>
      <c r="Q98" s="16" t="n">
        <v>3</v>
      </c>
      <c r="R98" s="17" t="n">
        <v>0</v>
      </c>
      <c r="S98" s="17" t="n">
        <v>2</v>
      </c>
      <c r="T98" s="17" t="n">
        <v>1</v>
      </c>
      <c r="U98" s="17" t="n">
        <v>0</v>
      </c>
      <c r="V98" s="17" t="n">
        <v>0</v>
      </c>
      <c r="W98" s="17" t="n">
        <v>0</v>
      </c>
      <c r="X98" s="17" t="n">
        <v>0</v>
      </c>
      <c r="Y98" s="17" t="n">
        <v>0</v>
      </c>
      <c r="Z98" s="18" t="n">
        <v>0</v>
      </c>
      <c r="AA98" s="16" t="n">
        <v>-3</v>
      </c>
      <c r="AB98" s="17" t="n">
        <v>0</v>
      </c>
      <c r="AC98" s="17" t="n">
        <v>-2</v>
      </c>
      <c r="AD98" s="17" t="n">
        <v>-1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</v>
      </c>
      <c r="AJ98" s="18" t="n">
        <v>0</v>
      </c>
      <c r="AK98" s="16" t="n">
        <v>1296</v>
      </c>
      <c r="AL98" s="17" t="n">
        <v>0</v>
      </c>
      <c r="AM98" s="17" t="n">
        <v>663</v>
      </c>
      <c r="AN98" s="17" t="n">
        <v>412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8" t="n">
        <v>0</v>
      </c>
      <c r="AU98" s="16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8" t="n">
        <v>0</v>
      </c>
      <c r="BE98" s="16" t="n">
        <v>1296</v>
      </c>
      <c r="BF98" s="17" t="n">
        <v>0</v>
      </c>
      <c r="BG98" s="17" t="n">
        <v>663</v>
      </c>
      <c r="BH98" s="17" t="n">
        <v>412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8" t="n">
        <v>0</v>
      </c>
    </row>
    <row r="99" ht="20" customHeight="1">
      <c r="A99" s="15" t="inlineStr">
        <is>
          <t>00469260230</t>
        </is>
      </c>
      <c r="B99" s="15" t="inlineStr">
        <is>
          <t>MYRBETRIQ 50MG TABLET</t>
        </is>
      </c>
      <c r="C99" s="16" t="n">
        <v>30</v>
      </c>
      <c r="D99" s="16" t="n">
        <v>9</v>
      </c>
      <c r="E99" s="16" t="n">
        <v>9</v>
      </c>
      <c r="F99" s="16" t="n">
        <v>448</v>
      </c>
      <c r="G99" s="16" t="n">
        <v>630</v>
      </c>
      <c r="H99" s="17" t="n">
        <v>0</v>
      </c>
      <c r="I99" s="17" t="n">
        <v>510</v>
      </c>
      <c r="J99" s="17" t="n">
        <v>0</v>
      </c>
      <c r="K99" s="17" t="n">
        <v>0</v>
      </c>
      <c r="L99" s="17" t="n">
        <v>0</v>
      </c>
      <c r="M99" s="17" t="n">
        <v>120</v>
      </c>
      <c r="N99" s="17" t="n">
        <v>0</v>
      </c>
      <c r="O99" s="17" t="n">
        <v>0</v>
      </c>
      <c r="P99" s="18" t="n">
        <v>0</v>
      </c>
      <c r="Q99" s="16" t="n">
        <v>21</v>
      </c>
      <c r="R99" s="17" t="n">
        <v>0</v>
      </c>
      <c r="S99" s="17" t="n">
        <v>17</v>
      </c>
      <c r="T99" s="17" t="n">
        <v>0</v>
      </c>
      <c r="U99" s="17" t="n">
        <v>0</v>
      </c>
      <c r="V99" s="17" t="n">
        <v>0</v>
      </c>
      <c r="W99" s="17" t="n">
        <v>4</v>
      </c>
      <c r="X99" s="17" t="n">
        <v>0</v>
      </c>
      <c r="Y99" s="17" t="n">
        <v>0</v>
      </c>
      <c r="Z99" s="18" t="n">
        <v>0</v>
      </c>
      <c r="AA99" s="16" t="n">
        <v>-12</v>
      </c>
      <c r="AB99" s="17" t="n">
        <v>9</v>
      </c>
      <c r="AC99" s="17" t="n">
        <v>-8</v>
      </c>
      <c r="AD99" s="17" t="n">
        <v>9</v>
      </c>
      <c r="AE99" s="17" t="n">
        <v>9</v>
      </c>
      <c r="AF99" s="17" t="n">
        <v>9</v>
      </c>
      <c r="AG99" s="17" t="n">
        <v>5</v>
      </c>
      <c r="AH99" s="17" t="n">
        <v>9</v>
      </c>
      <c r="AI99" s="17" t="n">
        <v>9</v>
      </c>
      <c r="AJ99" s="18" t="n">
        <v>9</v>
      </c>
      <c r="AK99" s="16" t="n">
        <v>9271</v>
      </c>
      <c r="AL99" s="17" t="n">
        <v>0</v>
      </c>
      <c r="AM99" s="17" t="n">
        <v>7215</v>
      </c>
      <c r="AN99" s="17" t="n">
        <v>0</v>
      </c>
      <c r="AO99" s="17" t="n">
        <v>0</v>
      </c>
      <c r="AP99" s="17" t="n">
        <v>0</v>
      </c>
      <c r="AQ99" s="17" t="n">
        <v>1784</v>
      </c>
      <c r="AR99" s="17" t="n">
        <v>0</v>
      </c>
      <c r="AS99" s="17" t="n">
        <v>0</v>
      </c>
      <c r="AT99" s="18" t="n">
        <v>0</v>
      </c>
      <c r="AU99" s="16" t="n">
        <v>9408</v>
      </c>
      <c r="AV99" s="17" t="n">
        <v>0</v>
      </c>
      <c r="AW99" s="17" t="n">
        <v>7616</v>
      </c>
      <c r="AX99" s="17" t="n">
        <v>0</v>
      </c>
      <c r="AY99" s="17" t="n">
        <v>0</v>
      </c>
      <c r="AZ99" s="17" t="n">
        <v>0</v>
      </c>
      <c r="BA99" s="17" t="n">
        <v>1792</v>
      </c>
      <c r="BB99" s="17" t="n">
        <v>0</v>
      </c>
      <c r="BC99" s="17" t="n">
        <v>0</v>
      </c>
      <c r="BD99" s="18" t="n">
        <v>0</v>
      </c>
      <c r="BE99" s="16" t="n">
        <v>-137</v>
      </c>
      <c r="BF99" s="17" t="n">
        <v>0</v>
      </c>
      <c r="BG99" s="17" t="n">
        <v>-401</v>
      </c>
      <c r="BH99" s="17" t="n">
        <v>0</v>
      </c>
      <c r="BI99" s="17" t="n">
        <v>0</v>
      </c>
      <c r="BJ99" s="17" t="n">
        <v>0</v>
      </c>
      <c r="BK99" s="17" t="n">
        <v>-8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58151028301</t>
        </is>
      </c>
      <c r="B100" s="15" t="inlineStr">
        <is>
          <t>NEURONTIN 400 MG ORAL CAPSULE</t>
        </is>
      </c>
      <c r="C100" s="16" t="n">
        <v>100</v>
      </c>
      <c r="D100" s="16" t="n">
        <v>2</v>
      </c>
      <c r="E100" s="16" t="n">
        <v>2</v>
      </c>
      <c r="F100" s="16" t="n">
        <v>852</v>
      </c>
      <c r="G100" s="16" t="n">
        <v>540</v>
      </c>
      <c r="H100" s="17" t="n">
        <v>0</v>
      </c>
      <c r="I100" s="17" t="n">
        <v>270</v>
      </c>
      <c r="J100" s="17" t="n">
        <v>270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0</v>
      </c>
      <c r="P100" s="18" t="n">
        <v>0</v>
      </c>
      <c r="Q100" s="16" t="n">
        <v>5.4</v>
      </c>
      <c r="R100" s="17" t="n">
        <v>0</v>
      </c>
      <c r="S100" s="17" t="n">
        <v>2.7</v>
      </c>
      <c r="T100" s="17" t="n">
        <v>2.7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8" t="n">
        <v>0</v>
      </c>
      <c r="AA100" s="16" t="n">
        <v>-3.4</v>
      </c>
      <c r="AB100" s="17" t="n">
        <v>2</v>
      </c>
      <c r="AC100" s="17" t="n">
        <v>-0.7</v>
      </c>
      <c r="AD100" s="17" t="n">
        <v>-0.7</v>
      </c>
      <c r="AE100" s="17" t="n">
        <v>2</v>
      </c>
      <c r="AF100" s="17" t="n">
        <v>2</v>
      </c>
      <c r="AG100" s="17" t="n">
        <v>2</v>
      </c>
      <c r="AH100" s="17" t="n">
        <v>2</v>
      </c>
      <c r="AI100" s="17" t="n">
        <v>2</v>
      </c>
      <c r="AJ100" s="18" t="n">
        <v>2</v>
      </c>
      <c r="AK100" s="16" t="n">
        <v>4320</v>
      </c>
      <c r="AL100" s="17" t="n">
        <v>0</v>
      </c>
      <c r="AM100" s="17" t="n">
        <v>2349</v>
      </c>
      <c r="AN100" s="17" t="n">
        <v>1971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8" t="n">
        <v>0</v>
      </c>
      <c r="AU100" s="16" t="n">
        <v>4601</v>
      </c>
      <c r="AV100" s="17" t="n">
        <v>0</v>
      </c>
      <c r="AW100" s="17" t="n">
        <v>2300</v>
      </c>
      <c r="AX100" s="17" t="n">
        <v>2300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8" t="n">
        <v>0</v>
      </c>
      <c r="BE100" s="16" t="n">
        <v>-280</v>
      </c>
      <c r="BF100" s="17" t="n">
        <v>0</v>
      </c>
      <c r="BG100" s="17" t="n">
        <v>49</v>
      </c>
      <c r="BH100" s="17" t="n">
        <v>-329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00186504031</t>
        </is>
      </c>
      <c r="B101" s="15" t="inlineStr">
        <is>
          <t>NEXIUM 40MG CAPSULE</t>
        </is>
      </c>
      <c r="C101" s="16" t="n">
        <v>30</v>
      </c>
      <c r="D101" s="16" t="n">
        <v>9</v>
      </c>
      <c r="E101" s="16" t="n">
        <v>9</v>
      </c>
      <c r="F101" s="16" t="n">
        <v>268</v>
      </c>
      <c r="G101" s="16" t="n">
        <v>360</v>
      </c>
      <c r="H101" s="17" t="n">
        <v>0</v>
      </c>
      <c r="I101" s="17" t="n">
        <v>360</v>
      </c>
      <c r="J101" s="17" t="n">
        <v>0</v>
      </c>
      <c r="K101" s="17" t="n">
        <v>0</v>
      </c>
      <c r="L101" s="17" t="n">
        <v>0</v>
      </c>
      <c r="M101" s="17" t="n">
        <v>0</v>
      </c>
      <c r="N101" s="17" t="n">
        <v>0</v>
      </c>
      <c r="O101" s="17" t="n">
        <v>0</v>
      </c>
      <c r="P101" s="18" t="n">
        <v>0</v>
      </c>
      <c r="Q101" s="16" t="n">
        <v>12</v>
      </c>
      <c r="R101" s="17" t="n">
        <v>0</v>
      </c>
      <c r="S101" s="17" t="n">
        <v>12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8" t="n">
        <v>0</v>
      </c>
      <c r="AA101" s="16" t="n">
        <v>-3</v>
      </c>
      <c r="AB101" s="17" t="n">
        <v>9</v>
      </c>
      <c r="AC101" s="17" t="n">
        <v>-3</v>
      </c>
      <c r="AD101" s="17" t="n">
        <v>9</v>
      </c>
      <c r="AE101" s="17" t="n">
        <v>9</v>
      </c>
      <c r="AF101" s="17" t="n">
        <v>9</v>
      </c>
      <c r="AG101" s="17" t="n">
        <v>9</v>
      </c>
      <c r="AH101" s="17" t="n">
        <v>9</v>
      </c>
      <c r="AI101" s="17" t="n">
        <v>9</v>
      </c>
      <c r="AJ101" s="18" t="n">
        <v>9</v>
      </c>
      <c r="AK101" s="16" t="n">
        <v>3112</v>
      </c>
      <c r="AL101" s="17" t="n">
        <v>0</v>
      </c>
      <c r="AM101" s="17" t="n">
        <v>3112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8" t="n">
        <v>0</v>
      </c>
      <c r="AU101" s="16" t="n">
        <v>3216</v>
      </c>
      <c r="AV101" s="17" t="n">
        <v>0</v>
      </c>
      <c r="AW101" s="17" t="n">
        <v>3216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-104</v>
      </c>
      <c r="BF101" s="17" t="n">
        <v>0</v>
      </c>
      <c r="BG101" s="17" t="n">
        <v>-104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72426011803</t>
        </is>
      </c>
      <c r="B102" s="15" t="inlineStr">
        <is>
          <t>NEXLETOL 180 MG ORAL TABLET</t>
        </is>
      </c>
      <c r="C102" s="16" t="n">
        <v>30</v>
      </c>
      <c r="D102" s="16" t="n">
        <v>3</v>
      </c>
      <c r="E102" s="16" t="n">
        <v>3</v>
      </c>
      <c r="F102" s="16" t="n">
        <v>421</v>
      </c>
      <c r="G102" s="16" t="n">
        <v>90</v>
      </c>
      <c r="H102" s="17" t="n">
        <v>0</v>
      </c>
      <c r="I102" s="17" t="n">
        <v>90</v>
      </c>
      <c r="J102" s="17" t="n">
        <v>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3</v>
      </c>
      <c r="R102" s="17" t="n">
        <v>0</v>
      </c>
      <c r="S102" s="17" t="n">
        <v>3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0</v>
      </c>
      <c r="AB102" s="17" t="n">
        <v>3</v>
      </c>
      <c r="AC102" s="17" t="n">
        <v>0</v>
      </c>
      <c r="AD102" s="17" t="n">
        <v>3</v>
      </c>
      <c r="AE102" s="17" t="n">
        <v>3</v>
      </c>
      <c r="AF102" s="17" t="n">
        <v>3</v>
      </c>
      <c r="AG102" s="17" t="n">
        <v>3</v>
      </c>
      <c r="AH102" s="17" t="n">
        <v>3</v>
      </c>
      <c r="AI102" s="17" t="n">
        <v>3</v>
      </c>
      <c r="AJ102" s="18" t="n">
        <v>3</v>
      </c>
      <c r="AK102" s="16" t="n">
        <v>1215</v>
      </c>
      <c r="AL102" s="17" t="n">
        <v>0</v>
      </c>
      <c r="AM102" s="17" t="n">
        <v>1210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1263</v>
      </c>
      <c r="AV102" s="17" t="n">
        <v>0</v>
      </c>
      <c r="AW102" s="17" t="n">
        <v>1263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-48</v>
      </c>
      <c r="BF102" s="17" t="n">
        <v>0</v>
      </c>
      <c r="BG102" s="17" t="n">
        <v>-53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72426081803</t>
        </is>
      </c>
      <c r="B103" s="15" t="inlineStr">
        <is>
          <t>NEXLIZET 180-10MG TABLET</t>
        </is>
      </c>
      <c r="C103" s="16" t="n">
        <v>30</v>
      </c>
      <c r="D103" s="16" t="n">
        <v>3</v>
      </c>
      <c r="E103" s="16" t="n">
        <v>3</v>
      </c>
      <c r="F103" s="16" t="n">
        <v>421</v>
      </c>
      <c r="G103" s="16" t="n">
        <v>90</v>
      </c>
      <c r="H103" s="17" t="n">
        <v>0</v>
      </c>
      <c r="I103" s="17" t="n">
        <v>90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0</v>
      </c>
      <c r="O103" s="17" t="n">
        <v>0</v>
      </c>
      <c r="P103" s="18" t="n">
        <v>0</v>
      </c>
      <c r="Q103" s="16" t="n">
        <v>3</v>
      </c>
      <c r="R103" s="17" t="n">
        <v>0</v>
      </c>
      <c r="S103" s="17" t="n">
        <v>3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8" t="n">
        <v>0</v>
      </c>
      <c r="AA103" s="16" t="n">
        <v>0</v>
      </c>
      <c r="AB103" s="17" t="n">
        <v>3</v>
      </c>
      <c r="AC103" s="17" t="n">
        <v>0</v>
      </c>
      <c r="AD103" s="17" t="n">
        <v>3</v>
      </c>
      <c r="AE103" s="17" t="n">
        <v>3</v>
      </c>
      <c r="AF103" s="17" t="n">
        <v>3</v>
      </c>
      <c r="AG103" s="17" t="n">
        <v>3</v>
      </c>
      <c r="AH103" s="17" t="n">
        <v>3</v>
      </c>
      <c r="AI103" s="17" t="n">
        <v>3</v>
      </c>
      <c r="AJ103" s="18" t="n">
        <v>3</v>
      </c>
      <c r="AK103" s="16" t="n">
        <v>1215</v>
      </c>
      <c r="AL103" s="17" t="n">
        <v>0</v>
      </c>
      <c r="AM103" s="17" t="n">
        <v>1210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8" t="n">
        <v>0</v>
      </c>
      <c r="AU103" s="16" t="n">
        <v>1263</v>
      </c>
      <c r="AV103" s="17" t="n">
        <v>0</v>
      </c>
      <c r="AW103" s="17" t="n">
        <v>1263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8" t="n">
        <v>0</v>
      </c>
      <c r="BE103" s="16" t="n">
        <v>-48</v>
      </c>
      <c r="BF103" s="17" t="n">
        <v>0</v>
      </c>
      <c r="BG103" s="17" t="n">
        <v>-53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00169183411</t>
        </is>
      </c>
      <c r="B104" s="15" t="inlineStr">
        <is>
          <t>NOVOLIN N 100UNIT/ML SUSPENSION</t>
        </is>
      </c>
      <c r="C104" s="16" t="n">
        <v>10</v>
      </c>
      <c r="D104" s="16" t="n">
        <v>5</v>
      </c>
      <c r="E104" s="16" t="n">
        <v>5</v>
      </c>
      <c r="F104" s="16" t="n">
        <v>48</v>
      </c>
      <c r="G104" s="16" t="n">
        <v>40</v>
      </c>
      <c r="H104" s="17" t="n">
        <v>0</v>
      </c>
      <c r="I104" s="17" t="n">
        <v>40</v>
      </c>
      <c r="J104" s="17" t="n">
        <v>0</v>
      </c>
      <c r="K104" s="17" t="n">
        <v>0</v>
      </c>
      <c r="L104" s="17" t="n">
        <v>0</v>
      </c>
      <c r="M104" s="17" t="n">
        <v>0</v>
      </c>
      <c r="N104" s="17" t="n">
        <v>0</v>
      </c>
      <c r="O104" s="17" t="n">
        <v>0</v>
      </c>
      <c r="P104" s="18" t="n">
        <v>0</v>
      </c>
      <c r="Q104" s="16" t="n">
        <v>4</v>
      </c>
      <c r="R104" s="17" t="n">
        <v>0</v>
      </c>
      <c r="S104" s="17" t="n">
        <v>4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8" t="n">
        <v>0</v>
      </c>
      <c r="AA104" s="16" t="n">
        <v>1</v>
      </c>
      <c r="AB104" s="17" t="n">
        <v>5</v>
      </c>
      <c r="AC104" s="17" t="n">
        <v>1</v>
      </c>
      <c r="AD104" s="17" t="n">
        <v>5</v>
      </c>
      <c r="AE104" s="17" t="n">
        <v>5</v>
      </c>
      <c r="AF104" s="17" t="n">
        <v>5</v>
      </c>
      <c r="AG104" s="17" t="n">
        <v>5</v>
      </c>
      <c r="AH104" s="17" t="n">
        <v>5</v>
      </c>
      <c r="AI104" s="17" t="n">
        <v>5</v>
      </c>
      <c r="AJ104" s="18" t="n">
        <v>5</v>
      </c>
      <c r="AK104" s="16" t="n">
        <v>183</v>
      </c>
      <c r="AL104" s="17" t="n">
        <v>0</v>
      </c>
      <c r="AM104" s="17" t="n">
        <v>183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8" t="n">
        <v>0</v>
      </c>
      <c r="AU104" s="16" t="n">
        <v>192</v>
      </c>
      <c r="AV104" s="17" t="n">
        <v>0</v>
      </c>
      <c r="AW104" s="17" t="n">
        <v>192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-9</v>
      </c>
      <c r="BF104" s="17" t="n">
        <v>0</v>
      </c>
      <c r="BG104" s="17" t="n">
        <v>-9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00169750111</t>
        </is>
      </c>
      <c r="B105" s="15" t="inlineStr">
        <is>
          <t>NOVOLOG 100UNIT/ML SOLUTION</t>
        </is>
      </c>
      <c r="C105" s="16" t="n">
        <v>10</v>
      </c>
      <c r="D105" s="16" t="n">
        <v>6</v>
      </c>
      <c r="E105" s="16" t="n">
        <v>6</v>
      </c>
      <c r="F105" s="16" t="n">
        <v>70</v>
      </c>
      <c r="G105" s="16" t="n">
        <v>60</v>
      </c>
      <c r="H105" s="17" t="n">
        <v>0</v>
      </c>
      <c r="I105" s="17" t="n">
        <v>60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6</v>
      </c>
      <c r="R105" s="17" t="n">
        <v>0</v>
      </c>
      <c r="S105" s="17" t="n">
        <v>6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0</v>
      </c>
      <c r="AB105" s="17" t="n">
        <v>6</v>
      </c>
      <c r="AC105" s="17" t="n">
        <v>0</v>
      </c>
      <c r="AD105" s="17" t="n">
        <v>6</v>
      </c>
      <c r="AE105" s="17" t="n">
        <v>6</v>
      </c>
      <c r="AF105" s="17" t="n">
        <v>6</v>
      </c>
      <c r="AG105" s="17" t="n">
        <v>6</v>
      </c>
      <c r="AH105" s="17" t="n">
        <v>6</v>
      </c>
      <c r="AI105" s="17" t="n">
        <v>6</v>
      </c>
      <c r="AJ105" s="18" t="n">
        <v>6</v>
      </c>
      <c r="AK105" s="16" t="n">
        <v>412</v>
      </c>
      <c r="AL105" s="17" t="n">
        <v>0</v>
      </c>
      <c r="AM105" s="17" t="n">
        <v>412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420</v>
      </c>
      <c r="AV105" s="17" t="n">
        <v>0</v>
      </c>
      <c r="AW105" s="17" t="n">
        <v>420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-8</v>
      </c>
      <c r="BF105" s="17" t="n">
        <v>0</v>
      </c>
      <c r="BG105" s="17" t="n">
        <v>-8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00169633910</t>
        </is>
      </c>
      <c r="B106" s="15" t="inlineStr">
        <is>
          <t>NOVOLOG FLEXPEN 100UNIT/ML INJECTION</t>
        </is>
      </c>
      <c r="C106" s="16" t="n">
        <v>15</v>
      </c>
      <c r="D106" s="16" t="n">
        <v>6</v>
      </c>
      <c r="E106" s="16" t="n">
        <v>6</v>
      </c>
      <c r="F106" s="16" t="n">
        <v>135</v>
      </c>
      <c r="G106" s="16" t="n">
        <v>237</v>
      </c>
      <c r="H106" s="17" t="n">
        <v>0</v>
      </c>
      <c r="I106" s="17" t="n">
        <v>237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15.8</v>
      </c>
      <c r="R106" s="17" t="n">
        <v>0</v>
      </c>
      <c r="S106" s="17" t="n">
        <v>15.8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-9.800000000000001</v>
      </c>
      <c r="AB106" s="17" t="n">
        <v>6</v>
      </c>
      <c r="AC106" s="17" t="n">
        <v>-9.800000000000001</v>
      </c>
      <c r="AD106" s="17" t="n">
        <v>6</v>
      </c>
      <c r="AE106" s="17" t="n">
        <v>6</v>
      </c>
      <c r="AF106" s="17" t="n">
        <v>6</v>
      </c>
      <c r="AG106" s="17" t="n">
        <v>6</v>
      </c>
      <c r="AH106" s="17" t="n">
        <v>6</v>
      </c>
      <c r="AI106" s="17" t="n">
        <v>6</v>
      </c>
      <c r="AJ106" s="18" t="n">
        <v>6</v>
      </c>
      <c r="AK106" s="16" t="n">
        <v>2068</v>
      </c>
      <c r="AL106" s="17" t="n">
        <v>0</v>
      </c>
      <c r="AM106" s="17" t="n">
        <v>2033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2133</v>
      </c>
      <c r="AV106" s="17" t="n">
        <v>0</v>
      </c>
      <c r="AW106" s="17" t="n">
        <v>2133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-65</v>
      </c>
      <c r="BF106" s="17" t="n">
        <v>0</v>
      </c>
      <c r="BG106" s="17" t="n">
        <v>-100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00169369619</t>
        </is>
      </c>
      <c r="B107" s="15" t="inlineStr">
        <is>
          <t>NOVOLOG MIX 70/30 FLEXPEN 100 UNIT/ML PEN-INJECTOR</t>
        </is>
      </c>
      <c r="C107" s="16" t="n">
        <v>15</v>
      </c>
      <c r="D107" s="16" t="n">
        <v>0</v>
      </c>
      <c r="E107" s="16" t="n">
        <v>0</v>
      </c>
      <c r="F107" s="16" t="n">
        <v>0</v>
      </c>
      <c r="G107" s="16" t="n">
        <v>12</v>
      </c>
      <c r="H107" s="17" t="n">
        <v>0</v>
      </c>
      <c r="I107" s="17" t="n">
        <v>12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0.8</v>
      </c>
      <c r="R107" s="17" t="n">
        <v>0</v>
      </c>
      <c r="S107" s="17" t="n">
        <v>0.8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-0.8</v>
      </c>
      <c r="AB107" s="17" t="n">
        <v>0</v>
      </c>
      <c r="AC107" s="17" t="n">
        <v>-0.8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8" t="n">
        <v>0</v>
      </c>
      <c r="AK107" s="16" t="n">
        <v>104</v>
      </c>
      <c r="AL107" s="17" t="n">
        <v>0</v>
      </c>
      <c r="AM107" s="17" t="n">
        <v>104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104</v>
      </c>
      <c r="BF107" s="17" t="n">
        <v>0</v>
      </c>
      <c r="BG107" s="17" t="n">
        <v>104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72618300002</t>
        </is>
      </c>
      <c r="B108" s="15" t="inlineStr">
        <is>
          <t>NURTEC 75MG TABLET DISINTEGRATING</t>
        </is>
      </c>
      <c r="C108" s="16" t="n">
        <v>8</v>
      </c>
      <c r="D108" s="16" t="n">
        <v>6</v>
      </c>
      <c r="E108" s="16" t="n">
        <v>6</v>
      </c>
      <c r="F108" s="16" t="n">
        <v>1046</v>
      </c>
      <c r="G108" s="16" t="n">
        <v>80</v>
      </c>
      <c r="H108" s="17" t="n">
        <v>0</v>
      </c>
      <c r="I108" s="17" t="n">
        <v>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10</v>
      </c>
      <c r="R108" s="17" t="n">
        <v>0</v>
      </c>
      <c r="S108" s="17" t="n">
        <v>10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-4</v>
      </c>
      <c r="AB108" s="17" t="n">
        <v>6</v>
      </c>
      <c r="AC108" s="17" t="n">
        <v>-4</v>
      </c>
      <c r="AD108" s="17" t="n">
        <v>6</v>
      </c>
      <c r="AE108" s="17" t="n">
        <v>6</v>
      </c>
      <c r="AF108" s="17" t="n">
        <v>6</v>
      </c>
      <c r="AG108" s="17" t="n">
        <v>6</v>
      </c>
      <c r="AH108" s="17" t="n">
        <v>6</v>
      </c>
      <c r="AI108" s="17" t="n">
        <v>6</v>
      </c>
      <c r="AJ108" s="18" t="n">
        <v>6</v>
      </c>
      <c r="AK108" s="16" t="n">
        <v>10126</v>
      </c>
      <c r="AL108" s="17" t="n">
        <v>0</v>
      </c>
      <c r="AM108" s="17" t="n">
        <v>10126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10460</v>
      </c>
      <c r="AV108" s="17" t="n">
        <v>0</v>
      </c>
      <c r="AW108" s="17" t="n">
        <v>10460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-334</v>
      </c>
      <c r="BF108" s="17" t="n">
        <v>0</v>
      </c>
      <c r="BG108" s="17" t="n">
        <v>-334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53885024450</t>
        </is>
      </c>
      <c r="B109" s="15" t="inlineStr">
        <is>
          <t>ONETOUCH ULTRA BLUE  STRIP</t>
        </is>
      </c>
      <c r="C109" s="16" t="n">
        <v>50</v>
      </c>
      <c r="D109" s="16" t="n">
        <v>24</v>
      </c>
      <c r="E109" s="16" t="n">
        <v>24</v>
      </c>
      <c r="F109" s="16" t="n">
        <v>81</v>
      </c>
      <c r="G109" s="16" t="n">
        <v>900</v>
      </c>
      <c r="H109" s="17" t="n">
        <v>0</v>
      </c>
      <c r="I109" s="17" t="n">
        <v>600</v>
      </c>
      <c r="J109" s="17" t="n">
        <v>300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18</v>
      </c>
      <c r="R109" s="17" t="n">
        <v>0</v>
      </c>
      <c r="S109" s="17" t="n">
        <v>12</v>
      </c>
      <c r="T109" s="17" t="n">
        <v>6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6</v>
      </c>
      <c r="AB109" s="17" t="n">
        <v>24</v>
      </c>
      <c r="AC109" s="17" t="n">
        <v>12</v>
      </c>
      <c r="AD109" s="17" t="n">
        <v>18</v>
      </c>
      <c r="AE109" s="17" t="n">
        <v>24</v>
      </c>
      <c r="AF109" s="17" t="n">
        <v>24</v>
      </c>
      <c r="AG109" s="17" t="n">
        <v>24</v>
      </c>
      <c r="AH109" s="17" t="n">
        <v>24</v>
      </c>
      <c r="AI109" s="17" t="n">
        <v>24</v>
      </c>
      <c r="AJ109" s="18" t="n">
        <v>24</v>
      </c>
      <c r="AK109" s="16" t="n">
        <v>1342</v>
      </c>
      <c r="AL109" s="17" t="n">
        <v>0</v>
      </c>
      <c r="AM109" s="17" t="n">
        <v>909</v>
      </c>
      <c r="AN109" s="17" t="n">
        <v>371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1458</v>
      </c>
      <c r="AV109" s="17" t="n">
        <v>0</v>
      </c>
      <c r="AW109" s="17" t="n">
        <v>972</v>
      </c>
      <c r="AX109" s="17" t="n">
        <v>486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-116</v>
      </c>
      <c r="BF109" s="17" t="n">
        <v>0</v>
      </c>
      <c r="BG109" s="17" t="n">
        <v>-63</v>
      </c>
      <c r="BH109" s="17" t="n">
        <v>-115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50881000705</t>
        </is>
      </c>
      <c r="B110" s="15" t="inlineStr">
        <is>
          <t>OPZELURA 1.5 % EXTERNAL CREAM</t>
        </is>
      </c>
      <c r="C110" s="16" t="n">
        <v>60</v>
      </c>
      <c r="D110" s="16" t="n">
        <v>2</v>
      </c>
      <c r="E110" s="16" t="n">
        <v>2</v>
      </c>
      <c r="F110" s="16" t="n">
        <v>2061</v>
      </c>
      <c r="G110" s="16" t="n">
        <v>180</v>
      </c>
      <c r="H110" s="17" t="n">
        <v>0</v>
      </c>
      <c r="I110" s="17" t="n">
        <v>180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3</v>
      </c>
      <c r="R110" s="17" t="n">
        <v>0</v>
      </c>
      <c r="S110" s="17" t="n">
        <v>3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-1</v>
      </c>
      <c r="AB110" s="17" t="n">
        <v>2</v>
      </c>
      <c r="AC110" s="17" t="n">
        <v>-1</v>
      </c>
      <c r="AD110" s="17" t="n">
        <v>2</v>
      </c>
      <c r="AE110" s="17" t="n">
        <v>2</v>
      </c>
      <c r="AF110" s="17" t="n">
        <v>2</v>
      </c>
      <c r="AG110" s="17" t="n">
        <v>2</v>
      </c>
      <c r="AH110" s="17" t="n">
        <v>2</v>
      </c>
      <c r="AI110" s="17" t="n">
        <v>2</v>
      </c>
      <c r="AJ110" s="18" t="n">
        <v>2</v>
      </c>
      <c r="AK110" s="16" t="n">
        <v>6047</v>
      </c>
      <c r="AL110" s="17" t="n">
        <v>0</v>
      </c>
      <c r="AM110" s="17" t="n">
        <v>5969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6183</v>
      </c>
      <c r="AV110" s="17" t="n">
        <v>0</v>
      </c>
      <c r="AW110" s="17" t="n">
        <v>6183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-136</v>
      </c>
      <c r="BF110" s="17" t="n">
        <v>0</v>
      </c>
      <c r="BG110" s="17" t="n">
        <v>-214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00169418113</t>
        </is>
      </c>
      <c r="B111" s="15" t="inlineStr">
        <is>
          <t>OZEMPIC (0.25 OR 0.5 MG/DOSE) 2 MG/3ML PEN-INJECTOR</t>
        </is>
      </c>
      <c r="C111" s="16" t="n">
        <v>3</v>
      </c>
      <c r="D111" s="16" t="n">
        <v>69</v>
      </c>
      <c r="E111" s="16" t="n">
        <v>69</v>
      </c>
      <c r="F111" s="16" t="n">
        <v>999</v>
      </c>
      <c r="G111" s="16" t="n">
        <v>309</v>
      </c>
      <c r="H111" s="17" t="n">
        <v>0</v>
      </c>
      <c r="I111" s="17" t="n">
        <v>210</v>
      </c>
      <c r="J111" s="17" t="n">
        <v>24</v>
      </c>
      <c r="K111" s="17" t="n">
        <v>0</v>
      </c>
      <c r="L111" s="17" t="n">
        <v>3</v>
      </c>
      <c r="M111" s="17" t="n">
        <v>69</v>
      </c>
      <c r="N111" s="17" t="n">
        <v>0</v>
      </c>
      <c r="O111" s="17" t="n">
        <v>3</v>
      </c>
      <c r="P111" s="18" t="n">
        <v>0</v>
      </c>
      <c r="Q111" s="16" t="n">
        <v>103</v>
      </c>
      <c r="R111" s="17" t="n">
        <v>0</v>
      </c>
      <c r="S111" s="17" t="n">
        <v>70</v>
      </c>
      <c r="T111" s="17" t="n">
        <v>8</v>
      </c>
      <c r="U111" s="17" t="n">
        <v>0</v>
      </c>
      <c r="V111" s="17" t="n">
        <v>1</v>
      </c>
      <c r="W111" s="17" t="n">
        <v>23</v>
      </c>
      <c r="X111" s="17" t="n">
        <v>0</v>
      </c>
      <c r="Y111" s="17" t="n">
        <v>1</v>
      </c>
      <c r="Z111" s="18" t="n">
        <v>0</v>
      </c>
      <c r="AA111" s="16" t="n">
        <v>-34</v>
      </c>
      <c r="AB111" s="17" t="n">
        <v>69</v>
      </c>
      <c r="AC111" s="17" t="n">
        <v>-1</v>
      </c>
      <c r="AD111" s="17" t="n">
        <v>61</v>
      </c>
      <c r="AE111" s="17" t="n">
        <v>69</v>
      </c>
      <c r="AF111" s="17" t="n">
        <v>68</v>
      </c>
      <c r="AG111" s="17" t="n">
        <v>46</v>
      </c>
      <c r="AH111" s="17" t="n">
        <v>69</v>
      </c>
      <c r="AI111" s="17" t="n">
        <v>68</v>
      </c>
      <c r="AJ111" s="18" t="n">
        <v>69</v>
      </c>
      <c r="AK111" s="16" t="n">
        <v>98834</v>
      </c>
      <c r="AL111" s="17" t="n">
        <v>0</v>
      </c>
      <c r="AM111" s="17" t="n">
        <v>66755</v>
      </c>
      <c r="AN111" s="17" t="n">
        <v>7232</v>
      </c>
      <c r="AO111" s="17" t="n">
        <v>0</v>
      </c>
      <c r="AP111" s="17" t="n">
        <v>974</v>
      </c>
      <c r="AQ111" s="17" t="n">
        <v>22802</v>
      </c>
      <c r="AR111" s="17" t="n">
        <v>0</v>
      </c>
      <c r="AS111" s="17" t="n">
        <v>904</v>
      </c>
      <c r="AT111" s="18" t="n">
        <v>0</v>
      </c>
      <c r="AU111" s="16" t="n">
        <v>102897</v>
      </c>
      <c r="AV111" s="17" t="n">
        <v>0</v>
      </c>
      <c r="AW111" s="17" t="n">
        <v>69930</v>
      </c>
      <c r="AX111" s="17" t="n">
        <v>7992</v>
      </c>
      <c r="AY111" s="17" t="n">
        <v>0</v>
      </c>
      <c r="AZ111" s="17" t="n">
        <v>999</v>
      </c>
      <c r="BA111" s="17" t="n">
        <v>22977</v>
      </c>
      <c r="BB111" s="17" t="n">
        <v>0</v>
      </c>
      <c r="BC111" s="17" t="n">
        <v>999</v>
      </c>
      <c r="BD111" s="18" t="n">
        <v>0</v>
      </c>
      <c r="BE111" s="16" t="n">
        <v>-4063</v>
      </c>
      <c r="BF111" s="17" t="n">
        <v>0</v>
      </c>
      <c r="BG111" s="17" t="n">
        <v>-3175</v>
      </c>
      <c r="BH111" s="17" t="n">
        <v>-760</v>
      </c>
      <c r="BI111" s="17" t="n">
        <v>0</v>
      </c>
      <c r="BJ111" s="17" t="n">
        <v>-25</v>
      </c>
      <c r="BK111" s="17" t="n">
        <v>-175</v>
      </c>
      <c r="BL111" s="17" t="n">
        <v>0</v>
      </c>
      <c r="BM111" s="17" t="n">
        <v>-95</v>
      </c>
      <c r="BN111" s="18" t="n">
        <v>0</v>
      </c>
    </row>
    <row r="112" ht="20" customHeight="1">
      <c r="A112" s="15" t="inlineStr">
        <is>
          <t>00169413013</t>
        </is>
      </c>
      <c r="B112" s="15" t="inlineStr">
        <is>
          <t>OZEMPIC (1 MG/DOSE) 4MG/3ML INJECTION</t>
        </is>
      </c>
      <c r="C112" s="16" t="n">
        <v>3</v>
      </c>
      <c r="D112" s="16" t="n">
        <v>47</v>
      </c>
      <c r="E112" s="16" t="n">
        <v>47</v>
      </c>
      <c r="F112" s="16" t="n">
        <v>999</v>
      </c>
      <c r="G112" s="16" t="n">
        <v>189</v>
      </c>
      <c r="H112" s="17" t="n">
        <v>0</v>
      </c>
      <c r="I112" s="17" t="n">
        <v>126</v>
      </c>
      <c r="J112" s="17" t="n">
        <v>0</v>
      </c>
      <c r="K112" s="17" t="n">
        <v>0</v>
      </c>
      <c r="L112" s="17" t="n">
        <v>18</v>
      </c>
      <c r="M112" s="17" t="n">
        <v>45</v>
      </c>
      <c r="N112" s="17" t="n">
        <v>0</v>
      </c>
      <c r="O112" s="17" t="n">
        <v>0</v>
      </c>
      <c r="P112" s="18" t="n">
        <v>0</v>
      </c>
      <c r="Q112" s="16" t="n">
        <v>63</v>
      </c>
      <c r="R112" s="17" t="n">
        <v>0</v>
      </c>
      <c r="S112" s="17" t="n">
        <v>42</v>
      </c>
      <c r="T112" s="17" t="n">
        <v>0</v>
      </c>
      <c r="U112" s="17" t="n">
        <v>0</v>
      </c>
      <c r="V112" s="17" t="n">
        <v>6</v>
      </c>
      <c r="W112" s="17" t="n">
        <v>15</v>
      </c>
      <c r="X112" s="17" t="n">
        <v>0</v>
      </c>
      <c r="Y112" s="17" t="n">
        <v>0</v>
      </c>
      <c r="Z112" s="18" t="n">
        <v>0</v>
      </c>
      <c r="AA112" s="16" t="n">
        <v>-16</v>
      </c>
      <c r="AB112" s="17" t="n">
        <v>47</v>
      </c>
      <c r="AC112" s="17" t="n">
        <v>5</v>
      </c>
      <c r="AD112" s="17" t="n">
        <v>47</v>
      </c>
      <c r="AE112" s="17" t="n">
        <v>47</v>
      </c>
      <c r="AF112" s="17" t="n">
        <v>41</v>
      </c>
      <c r="AG112" s="17" t="n">
        <v>32</v>
      </c>
      <c r="AH112" s="17" t="n">
        <v>47</v>
      </c>
      <c r="AI112" s="17" t="n">
        <v>47</v>
      </c>
      <c r="AJ112" s="18" t="n">
        <v>47</v>
      </c>
      <c r="AK112" s="16" t="n">
        <v>60529</v>
      </c>
      <c r="AL112" s="17" t="n">
        <v>0</v>
      </c>
      <c r="AM112" s="17" t="n">
        <v>40185</v>
      </c>
      <c r="AN112" s="17" t="n">
        <v>0</v>
      </c>
      <c r="AO112" s="17" t="n">
        <v>0</v>
      </c>
      <c r="AP112" s="17" t="n">
        <v>5512</v>
      </c>
      <c r="AQ112" s="17" t="n">
        <v>14691</v>
      </c>
      <c r="AR112" s="17" t="n">
        <v>0</v>
      </c>
      <c r="AS112" s="17" t="n">
        <v>0</v>
      </c>
      <c r="AT112" s="18" t="n">
        <v>0</v>
      </c>
      <c r="AU112" s="16" t="n">
        <v>62937</v>
      </c>
      <c r="AV112" s="17" t="n">
        <v>0</v>
      </c>
      <c r="AW112" s="17" t="n">
        <v>41958</v>
      </c>
      <c r="AX112" s="17" t="n">
        <v>0</v>
      </c>
      <c r="AY112" s="17" t="n">
        <v>0</v>
      </c>
      <c r="AZ112" s="17" t="n">
        <v>5994</v>
      </c>
      <c r="BA112" s="17" t="n">
        <v>14985</v>
      </c>
      <c r="BB112" s="17" t="n">
        <v>0</v>
      </c>
      <c r="BC112" s="17" t="n">
        <v>0</v>
      </c>
      <c r="BD112" s="18" t="n">
        <v>0</v>
      </c>
      <c r="BE112" s="16" t="n">
        <v>-2408</v>
      </c>
      <c r="BF112" s="17" t="n">
        <v>0</v>
      </c>
      <c r="BG112" s="17" t="n">
        <v>-1773</v>
      </c>
      <c r="BH112" s="17" t="n">
        <v>0</v>
      </c>
      <c r="BI112" s="17" t="n">
        <v>0</v>
      </c>
      <c r="BJ112" s="17" t="n">
        <v>-482</v>
      </c>
      <c r="BK112" s="17" t="n">
        <v>-294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00169477212</t>
        </is>
      </c>
      <c r="B113" s="15" t="inlineStr">
        <is>
          <t>OZEMPIC (2 MG/DOSE) 8 MG/3ML PEN-INJECTOR</t>
        </is>
      </c>
      <c r="C113" s="16" t="n">
        <v>3</v>
      </c>
      <c r="D113" s="16" t="n">
        <v>32</v>
      </c>
      <c r="E113" s="16" t="n">
        <v>32</v>
      </c>
      <c r="F113" s="16" t="n">
        <v>999</v>
      </c>
      <c r="G113" s="16" t="n">
        <v>141</v>
      </c>
      <c r="H113" s="17" t="n">
        <v>0</v>
      </c>
      <c r="I113" s="17" t="n">
        <v>69</v>
      </c>
      <c r="J113" s="17" t="n">
        <v>33</v>
      </c>
      <c r="K113" s="17" t="n">
        <v>0</v>
      </c>
      <c r="L113" s="17" t="n">
        <v>0</v>
      </c>
      <c r="M113" s="17" t="n">
        <v>39</v>
      </c>
      <c r="N113" s="17" t="n">
        <v>0</v>
      </c>
      <c r="O113" s="17" t="n">
        <v>0</v>
      </c>
      <c r="P113" s="18" t="n">
        <v>0</v>
      </c>
      <c r="Q113" s="16" t="n">
        <v>47</v>
      </c>
      <c r="R113" s="17" t="n">
        <v>0</v>
      </c>
      <c r="S113" s="17" t="n">
        <v>23</v>
      </c>
      <c r="T113" s="17" t="n">
        <v>11</v>
      </c>
      <c r="U113" s="17" t="n">
        <v>0</v>
      </c>
      <c r="V113" s="17" t="n">
        <v>0</v>
      </c>
      <c r="W113" s="17" t="n">
        <v>13</v>
      </c>
      <c r="X113" s="17" t="n">
        <v>0</v>
      </c>
      <c r="Y113" s="17" t="n">
        <v>0</v>
      </c>
      <c r="Z113" s="18" t="n">
        <v>0</v>
      </c>
      <c r="AA113" s="16" t="n">
        <v>-15</v>
      </c>
      <c r="AB113" s="17" t="n">
        <v>32</v>
      </c>
      <c r="AC113" s="17" t="n">
        <v>9</v>
      </c>
      <c r="AD113" s="17" t="n">
        <v>21</v>
      </c>
      <c r="AE113" s="17" t="n">
        <v>32</v>
      </c>
      <c r="AF113" s="17" t="n">
        <v>32</v>
      </c>
      <c r="AG113" s="17" t="n">
        <v>19</v>
      </c>
      <c r="AH113" s="17" t="n">
        <v>32</v>
      </c>
      <c r="AI113" s="17" t="n">
        <v>32</v>
      </c>
      <c r="AJ113" s="18" t="n">
        <v>32</v>
      </c>
      <c r="AK113" s="16" t="n">
        <v>44784</v>
      </c>
      <c r="AL113" s="17" t="n">
        <v>0</v>
      </c>
      <c r="AM113" s="17" t="n">
        <v>21731</v>
      </c>
      <c r="AN113" s="17" t="n">
        <v>9964</v>
      </c>
      <c r="AO113" s="17" t="n">
        <v>0</v>
      </c>
      <c r="AP113" s="17" t="n">
        <v>0</v>
      </c>
      <c r="AQ113" s="17" t="n">
        <v>12863</v>
      </c>
      <c r="AR113" s="17" t="n">
        <v>0</v>
      </c>
      <c r="AS113" s="17" t="n">
        <v>0</v>
      </c>
      <c r="AT113" s="18" t="n">
        <v>0</v>
      </c>
      <c r="AU113" s="16" t="n">
        <v>46953</v>
      </c>
      <c r="AV113" s="17" t="n">
        <v>0</v>
      </c>
      <c r="AW113" s="17" t="n">
        <v>22977</v>
      </c>
      <c r="AX113" s="17" t="n">
        <v>10989</v>
      </c>
      <c r="AY113" s="17" t="n">
        <v>0</v>
      </c>
      <c r="AZ113" s="17" t="n">
        <v>0</v>
      </c>
      <c r="BA113" s="17" t="n">
        <v>12987</v>
      </c>
      <c r="BB113" s="17" t="n">
        <v>0</v>
      </c>
      <c r="BC113" s="17" t="n">
        <v>0</v>
      </c>
      <c r="BD113" s="18" t="n">
        <v>0</v>
      </c>
      <c r="BE113" s="16" t="n">
        <v>-2169</v>
      </c>
      <c r="BF113" s="17" t="n">
        <v>0</v>
      </c>
      <c r="BG113" s="17" t="n">
        <v>-1246</v>
      </c>
      <c r="BH113" s="17" t="n">
        <v>-1025</v>
      </c>
      <c r="BI113" s="17" t="n">
        <v>0</v>
      </c>
      <c r="BJ113" s="17" t="n">
        <v>0</v>
      </c>
      <c r="BK113" s="17" t="n">
        <v>-124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60505451803</t>
        </is>
      </c>
      <c r="B114" s="15" t="inlineStr">
        <is>
          <t>PAXIL 20 MG ORAL TABLET</t>
        </is>
      </c>
      <c r="C114" s="16" t="n">
        <v>30</v>
      </c>
      <c r="D114" s="16" t="n">
        <v>4</v>
      </c>
      <c r="E114" s="16" t="n">
        <v>4</v>
      </c>
      <c r="F114" s="16" t="n">
        <v>326</v>
      </c>
      <c r="G114" s="16" t="n">
        <v>180</v>
      </c>
      <c r="H114" s="17" t="n">
        <v>0</v>
      </c>
      <c r="I114" s="17" t="n">
        <v>180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6</v>
      </c>
      <c r="R114" s="17" t="n">
        <v>0</v>
      </c>
      <c r="S114" s="17" t="n">
        <v>6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-2</v>
      </c>
      <c r="AB114" s="17" t="n">
        <v>4</v>
      </c>
      <c r="AC114" s="17" t="n">
        <v>-2</v>
      </c>
      <c r="AD114" s="17" t="n">
        <v>4</v>
      </c>
      <c r="AE114" s="17" t="n">
        <v>4</v>
      </c>
      <c r="AF114" s="17" t="n">
        <v>4</v>
      </c>
      <c r="AG114" s="17" t="n">
        <v>4</v>
      </c>
      <c r="AH114" s="17" t="n">
        <v>4</v>
      </c>
      <c r="AI114" s="17" t="n">
        <v>4</v>
      </c>
      <c r="AJ114" s="18" t="n">
        <v>4</v>
      </c>
      <c r="AK114" s="16" t="n">
        <v>1922</v>
      </c>
      <c r="AL114" s="17" t="n">
        <v>0</v>
      </c>
      <c r="AM114" s="17" t="n">
        <v>1922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1956</v>
      </c>
      <c r="AV114" s="17" t="n">
        <v>0</v>
      </c>
      <c r="AW114" s="17" t="n">
        <v>1956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-34</v>
      </c>
      <c r="BF114" s="17" t="n">
        <v>0</v>
      </c>
      <c r="BG114" s="17" t="n">
        <v>-34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00069504530</t>
        </is>
      </c>
      <c r="B115" s="15" t="inlineStr">
        <is>
          <t>PAXLOVID (300/100) 20 X 150 MG &amp; 10 X 100MG TABLET THERAPY PACK</t>
        </is>
      </c>
      <c r="C115" s="16" t="n">
        <v>30</v>
      </c>
      <c r="D115" s="16" t="n">
        <v>1</v>
      </c>
      <c r="E115" s="16" t="n">
        <v>1</v>
      </c>
      <c r="F115" s="16" t="n">
        <v>1440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1</v>
      </c>
      <c r="R115" s="17" t="n">
        <v>0</v>
      </c>
      <c r="S115" s="17" t="n">
        <v>1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1</v>
      </c>
      <c r="AC115" s="17" t="n">
        <v>0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8" t="n">
        <v>1</v>
      </c>
      <c r="AK115" s="16" t="n">
        <v>1400</v>
      </c>
      <c r="AL115" s="17" t="n">
        <v>0</v>
      </c>
      <c r="AM115" s="17" t="n">
        <v>1383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1440</v>
      </c>
      <c r="AV115" s="17" t="n">
        <v>0</v>
      </c>
      <c r="AW115" s="17" t="n">
        <v>1440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-40</v>
      </c>
      <c r="BF115" s="17" t="n">
        <v>0</v>
      </c>
      <c r="BG115" s="17" t="n">
        <v>-57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54092018981</t>
        </is>
      </c>
      <c r="B116" s="15" t="inlineStr">
        <is>
          <t>PENTASA 250 MG ORAL CAPSULE EXTENDED RELEASE</t>
        </is>
      </c>
      <c r="C116" s="16" t="n">
        <v>240</v>
      </c>
      <c r="D116" s="16" t="n">
        <v>0</v>
      </c>
      <c r="E116" s="16" t="n">
        <v>0</v>
      </c>
      <c r="F116" s="16" t="n">
        <v>0</v>
      </c>
      <c r="G116" s="16" t="n">
        <v>90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7" t="n">
        <v>90</v>
      </c>
      <c r="N116" s="17" t="n">
        <v>0</v>
      </c>
      <c r="O116" s="17" t="n">
        <v>0</v>
      </c>
      <c r="P116" s="18" t="n">
        <v>0</v>
      </c>
      <c r="Q116" s="16" t="n">
        <v>0.375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0.375</v>
      </c>
      <c r="X116" s="17" t="n">
        <v>0</v>
      </c>
      <c r="Y116" s="17" t="n">
        <v>0</v>
      </c>
      <c r="Z116" s="18" t="n">
        <v>0</v>
      </c>
      <c r="AA116" s="16" t="n">
        <v>-0.375</v>
      </c>
      <c r="AB116" s="17" t="n">
        <v>0</v>
      </c>
      <c r="AC116" s="17" t="n">
        <v>0</v>
      </c>
      <c r="AD116" s="17" t="n">
        <v>0</v>
      </c>
      <c r="AE116" s="17" t="n">
        <v>0</v>
      </c>
      <c r="AF116" s="17" t="n">
        <v>0</v>
      </c>
      <c r="AG116" s="17" t="n">
        <v>-0.375</v>
      </c>
      <c r="AH116" s="17" t="n">
        <v>0</v>
      </c>
      <c r="AI116" s="17" t="n">
        <v>0</v>
      </c>
      <c r="AJ116" s="18" t="n">
        <v>0</v>
      </c>
      <c r="AK116" s="16" t="n">
        <v>292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292</v>
      </c>
      <c r="AR116" s="17" t="n">
        <v>0</v>
      </c>
      <c r="AS116" s="17" t="n">
        <v>0</v>
      </c>
      <c r="AT116" s="18" t="n">
        <v>0</v>
      </c>
      <c r="AU116" s="16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292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292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00574062105</t>
        </is>
      </c>
      <c r="B117" s="15" t="inlineStr">
        <is>
          <t>PODOFILOX 0.5 % EXTERNAL GEL</t>
        </is>
      </c>
      <c r="C117" s="16" t="n">
        <v>3.5</v>
      </c>
      <c r="D117" s="16" t="n">
        <v>0</v>
      </c>
      <c r="E117" s="16" t="n">
        <v>0</v>
      </c>
      <c r="F117" s="16" t="n">
        <v>0</v>
      </c>
      <c r="G117" s="16" t="n">
        <v>3.5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3.5</v>
      </c>
      <c r="O117" s="17" t="n">
        <v>0</v>
      </c>
      <c r="P117" s="18" t="n">
        <v>0</v>
      </c>
      <c r="Q117" s="16" t="n">
        <v>1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1</v>
      </c>
      <c r="Y117" s="17" t="n">
        <v>0</v>
      </c>
      <c r="Z117" s="18" t="n">
        <v>0</v>
      </c>
      <c r="AA117" s="16" t="n">
        <v>-1</v>
      </c>
      <c r="AB117" s="17" t="n">
        <v>0</v>
      </c>
      <c r="AC117" s="17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-1</v>
      </c>
      <c r="AI117" s="17" t="n">
        <v>0</v>
      </c>
      <c r="AJ117" s="18" t="n">
        <v>0</v>
      </c>
      <c r="AK117" s="16" t="n">
        <v>480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470</v>
      </c>
      <c r="AS117" s="17" t="n">
        <v>0</v>
      </c>
      <c r="AT117" s="18" t="n">
        <v>0</v>
      </c>
      <c r="AU117" s="16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480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470</v>
      </c>
      <c r="BM117" s="17" t="n">
        <v>0</v>
      </c>
      <c r="BN117" s="18" t="n">
        <v>0</v>
      </c>
    </row>
    <row r="118" ht="20" customHeight="1">
      <c r="A118" s="15" t="inlineStr">
        <is>
          <t>00046087221</t>
        </is>
      </c>
      <c r="B118" s="15" t="inlineStr">
        <is>
          <t>PREMARIN 0.625 MG/GM VAGINAL CREAM</t>
        </is>
      </c>
      <c r="C118" s="16" t="n">
        <v>30</v>
      </c>
      <c r="D118" s="16" t="n">
        <v>2</v>
      </c>
      <c r="E118" s="16" t="n">
        <v>2</v>
      </c>
      <c r="F118" s="16" t="n">
        <v>460</v>
      </c>
      <c r="G118" s="16" t="n">
        <v>120</v>
      </c>
      <c r="H118" s="17" t="n">
        <v>0</v>
      </c>
      <c r="I118" s="17" t="n">
        <v>0</v>
      </c>
      <c r="J118" s="17" t="n">
        <v>60</v>
      </c>
      <c r="K118" s="17" t="n">
        <v>0</v>
      </c>
      <c r="L118" s="17" t="n">
        <v>0</v>
      </c>
      <c r="M118" s="17" t="n">
        <v>30</v>
      </c>
      <c r="N118" s="17" t="n">
        <v>30</v>
      </c>
      <c r="O118" s="17" t="n">
        <v>0</v>
      </c>
      <c r="P118" s="18" t="n">
        <v>0</v>
      </c>
      <c r="Q118" s="16" t="n">
        <v>4</v>
      </c>
      <c r="R118" s="17" t="n">
        <v>0</v>
      </c>
      <c r="S118" s="17" t="n">
        <v>0</v>
      </c>
      <c r="T118" s="17" t="n">
        <v>2</v>
      </c>
      <c r="U118" s="17" t="n">
        <v>0</v>
      </c>
      <c r="V118" s="17" t="n">
        <v>0</v>
      </c>
      <c r="W118" s="17" t="n">
        <v>1</v>
      </c>
      <c r="X118" s="17" t="n">
        <v>1</v>
      </c>
      <c r="Y118" s="17" t="n">
        <v>0</v>
      </c>
      <c r="Z118" s="18" t="n">
        <v>0</v>
      </c>
      <c r="AA118" s="16" t="n">
        <v>-2</v>
      </c>
      <c r="AB118" s="17" t="n">
        <v>2</v>
      </c>
      <c r="AC118" s="17" t="n">
        <v>2</v>
      </c>
      <c r="AD118" s="17" t="n">
        <v>0</v>
      </c>
      <c r="AE118" s="17" t="n">
        <v>2</v>
      </c>
      <c r="AF118" s="17" t="n">
        <v>2</v>
      </c>
      <c r="AG118" s="17" t="n">
        <v>1</v>
      </c>
      <c r="AH118" s="17" t="n">
        <v>1</v>
      </c>
      <c r="AI118" s="17" t="n">
        <v>2</v>
      </c>
      <c r="AJ118" s="18" t="n">
        <v>2</v>
      </c>
      <c r="AK118" s="16" t="n">
        <v>1763</v>
      </c>
      <c r="AL118" s="17" t="n">
        <v>0</v>
      </c>
      <c r="AM118" s="17" t="n">
        <v>0</v>
      </c>
      <c r="AN118" s="17" t="n">
        <v>837</v>
      </c>
      <c r="AO118" s="17" t="n">
        <v>0</v>
      </c>
      <c r="AP118" s="17" t="n">
        <v>0</v>
      </c>
      <c r="AQ118" s="17" t="n">
        <v>463</v>
      </c>
      <c r="AR118" s="17" t="n">
        <v>463</v>
      </c>
      <c r="AS118" s="17" t="n">
        <v>0</v>
      </c>
      <c r="AT118" s="18" t="n">
        <v>0</v>
      </c>
      <c r="AU118" s="16" t="n">
        <v>1840</v>
      </c>
      <c r="AV118" s="17" t="n">
        <v>0</v>
      </c>
      <c r="AW118" s="17" t="n">
        <v>0</v>
      </c>
      <c r="AX118" s="17" t="n">
        <v>920</v>
      </c>
      <c r="AY118" s="17" t="n">
        <v>0</v>
      </c>
      <c r="AZ118" s="17" t="n">
        <v>0</v>
      </c>
      <c r="BA118" s="17" t="n">
        <v>460</v>
      </c>
      <c r="BB118" s="17" t="n">
        <v>460</v>
      </c>
      <c r="BC118" s="17" t="n">
        <v>0</v>
      </c>
      <c r="BD118" s="18" t="n">
        <v>0</v>
      </c>
      <c r="BE118" s="16" t="n">
        <v>-77</v>
      </c>
      <c r="BF118" s="17" t="n">
        <v>0</v>
      </c>
      <c r="BG118" s="17" t="n">
        <v>0</v>
      </c>
      <c r="BH118" s="17" t="n">
        <v>-83</v>
      </c>
      <c r="BI118" s="17" t="n">
        <v>0</v>
      </c>
      <c r="BJ118" s="17" t="n">
        <v>0</v>
      </c>
      <c r="BK118" s="17" t="n">
        <v>3</v>
      </c>
      <c r="BL118" s="17" t="n">
        <v>3</v>
      </c>
      <c r="BM118" s="17" t="n">
        <v>0</v>
      </c>
      <c r="BN118" s="18" t="n">
        <v>0</v>
      </c>
    </row>
    <row r="119" ht="20" customHeight="1">
      <c r="A119" s="15" t="inlineStr">
        <is>
          <t>00005200002</t>
        </is>
      </c>
      <c r="B119" s="15" t="inlineStr">
        <is>
          <t>PREVNAR 20 0.5 ML INTRAMUSCULAR SUSPENSION PREFILLED SYRINGE</t>
        </is>
      </c>
      <c r="C119" s="16" t="n">
        <v>0.5</v>
      </c>
      <c r="D119" s="16" t="n">
        <v>0</v>
      </c>
      <c r="E119" s="16" t="n">
        <v>0</v>
      </c>
      <c r="F119" s="16" t="n">
        <v>0</v>
      </c>
      <c r="G119" s="16" t="n">
        <v>0.5</v>
      </c>
      <c r="H119" s="17" t="n">
        <v>0</v>
      </c>
      <c r="I119" s="17" t="n">
        <v>0.5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0</v>
      </c>
      <c r="P119" s="18" t="n">
        <v>0</v>
      </c>
      <c r="Q119" s="16" t="n">
        <v>1</v>
      </c>
      <c r="R119" s="17" t="n">
        <v>0</v>
      </c>
      <c r="S119" s="17" t="n">
        <v>1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8" t="n">
        <v>0</v>
      </c>
      <c r="AA119" s="16" t="n">
        <v>-1</v>
      </c>
      <c r="AB119" s="17" t="n">
        <v>0</v>
      </c>
      <c r="AC119" s="17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8" t="n">
        <v>0</v>
      </c>
      <c r="AK119" s="16" t="n">
        <v>284</v>
      </c>
      <c r="AL119" s="17" t="n">
        <v>0</v>
      </c>
      <c r="AM119" s="17" t="n">
        <v>284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8" t="n">
        <v>0</v>
      </c>
      <c r="AU119" s="16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8" t="n">
        <v>0</v>
      </c>
      <c r="BE119" s="16" t="n">
        <v>284</v>
      </c>
      <c r="BF119" s="17" t="n">
        <v>0</v>
      </c>
      <c r="BG119" s="17" t="n">
        <v>284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00005200010</t>
        </is>
      </c>
      <c r="B120" s="15" t="inlineStr">
        <is>
          <t>PREVNAR 20 0.5 ML PREFILLED SYRINGE</t>
        </is>
      </c>
      <c r="C120" s="16" t="n">
        <v>5</v>
      </c>
      <c r="D120" s="16" t="n">
        <v>0</v>
      </c>
      <c r="E120" s="16" t="n">
        <v>0</v>
      </c>
      <c r="F120" s="16" t="n">
        <v>0</v>
      </c>
      <c r="G120" s="16" t="n">
        <v>2.5</v>
      </c>
      <c r="H120" s="17" t="n">
        <v>0</v>
      </c>
      <c r="I120" s="17" t="n">
        <v>2</v>
      </c>
      <c r="J120" s="17" t="n">
        <v>0.5</v>
      </c>
      <c r="K120" s="17" t="n">
        <v>0</v>
      </c>
      <c r="L120" s="17" t="n">
        <v>0</v>
      </c>
      <c r="M120" s="17" t="n">
        <v>0</v>
      </c>
      <c r="N120" s="17" t="n">
        <v>0</v>
      </c>
      <c r="O120" s="17" t="n">
        <v>0</v>
      </c>
      <c r="P120" s="18" t="n">
        <v>0</v>
      </c>
      <c r="Q120" s="16" t="n">
        <v>0.5</v>
      </c>
      <c r="R120" s="17" t="n">
        <v>0</v>
      </c>
      <c r="S120" s="17" t="n">
        <v>0.4</v>
      </c>
      <c r="T120" s="17" t="n">
        <v>0.1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8" t="n">
        <v>0</v>
      </c>
      <c r="AA120" s="16" t="n">
        <v>-0.5</v>
      </c>
      <c r="AB120" s="17" t="n">
        <v>0</v>
      </c>
      <c r="AC120" s="17" t="n">
        <v>-0.4</v>
      </c>
      <c r="AD120" s="17" t="n">
        <v>-0.1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8" t="n">
        <v>0</v>
      </c>
      <c r="AK120" s="16" t="n">
        <v>1391</v>
      </c>
      <c r="AL120" s="17" t="n">
        <v>0</v>
      </c>
      <c r="AM120" s="17" t="n">
        <v>1106</v>
      </c>
      <c r="AN120" s="17" t="n">
        <v>285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8" t="n">
        <v>0</v>
      </c>
      <c r="AU120" s="16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8" t="n">
        <v>0</v>
      </c>
      <c r="BE120" s="16" t="n">
        <v>1391</v>
      </c>
      <c r="BF120" s="17" t="n">
        <v>0</v>
      </c>
      <c r="BG120" s="17" t="n">
        <v>1106</v>
      </c>
      <c r="BH120" s="17" t="n">
        <v>285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59676031001</t>
        </is>
      </c>
      <c r="B121" s="15" t="inlineStr">
        <is>
          <t>PROCRIT 10000 UNIT/ML INJECTION SOLUTION</t>
        </is>
      </c>
      <c r="C121" s="16" t="n">
        <v>6</v>
      </c>
      <c r="D121" s="16" t="n">
        <v>0</v>
      </c>
      <c r="E121" s="16" t="n">
        <v>0</v>
      </c>
      <c r="F121" s="16" t="n">
        <v>0</v>
      </c>
      <c r="G121" s="16" t="n">
        <v>3</v>
      </c>
      <c r="H121" s="17" t="n">
        <v>0</v>
      </c>
      <c r="I121" s="17" t="n">
        <v>3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0.5</v>
      </c>
      <c r="R121" s="17" t="n">
        <v>0</v>
      </c>
      <c r="S121" s="17" t="n">
        <v>0.5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-0.5</v>
      </c>
      <c r="AB121" s="17" t="n">
        <v>0</v>
      </c>
      <c r="AC121" s="17" t="n">
        <v>-0.5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8" t="n">
        <v>0</v>
      </c>
      <c r="AK121" s="16" t="n">
        <v>750</v>
      </c>
      <c r="AL121" s="17" t="n">
        <v>0</v>
      </c>
      <c r="AM121" s="17" t="n">
        <v>750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750</v>
      </c>
      <c r="BF121" s="17" t="n">
        <v>0</v>
      </c>
      <c r="BG121" s="17" t="n">
        <v>750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55513071021</t>
        </is>
      </c>
      <c r="B122" s="15" t="inlineStr">
        <is>
          <t>PROLIA 60 MG/ML SUBCUTANEOUS SOLUTION PREFILLED SYRINGE</t>
        </is>
      </c>
      <c r="C122" s="16" t="n">
        <v>1</v>
      </c>
      <c r="D122" s="16" t="n">
        <v>0</v>
      </c>
      <c r="E122" s="16" t="n">
        <v>0</v>
      </c>
      <c r="F122" s="16" t="n">
        <v>0</v>
      </c>
      <c r="G122" s="16" t="n">
        <v>1</v>
      </c>
      <c r="H122" s="17" t="n">
        <v>0</v>
      </c>
      <c r="I122" s="17" t="n">
        <v>1</v>
      </c>
      <c r="J122" s="17" t="n">
        <v>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1</v>
      </c>
      <c r="R122" s="17" t="n">
        <v>0</v>
      </c>
      <c r="S122" s="17" t="n">
        <v>1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-1</v>
      </c>
      <c r="AB122" s="17" t="n">
        <v>0</v>
      </c>
      <c r="AC122" s="17" t="n">
        <v>-1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8" t="n">
        <v>0</v>
      </c>
      <c r="AK122" s="16" t="n">
        <v>1808</v>
      </c>
      <c r="AL122" s="17" t="n">
        <v>0</v>
      </c>
      <c r="AM122" s="17" t="n">
        <v>1808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1808</v>
      </c>
      <c r="BF122" s="17" t="n">
        <v>0</v>
      </c>
      <c r="BG122" s="17" t="n">
        <v>1808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17772013130</t>
        </is>
      </c>
      <c r="B123" s="15" t="inlineStr">
        <is>
          <t>QELBREE 100MG CAPSULE ER</t>
        </is>
      </c>
      <c r="C123" s="16" t="n">
        <v>30</v>
      </c>
      <c r="D123" s="16" t="n">
        <v>1</v>
      </c>
      <c r="E123" s="16" t="n">
        <v>1</v>
      </c>
      <c r="F123" s="16" t="n">
        <v>364</v>
      </c>
      <c r="G123" s="16" t="n">
        <v>30</v>
      </c>
      <c r="H123" s="17" t="n">
        <v>0</v>
      </c>
      <c r="I123" s="17" t="n">
        <v>30</v>
      </c>
      <c r="J123" s="17" t="n">
        <v>0</v>
      </c>
      <c r="K123" s="17" t="n">
        <v>0</v>
      </c>
      <c r="L123" s="17" t="n">
        <v>0</v>
      </c>
      <c r="M123" s="17" t="n">
        <v>0</v>
      </c>
      <c r="N123" s="17" t="n">
        <v>0</v>
      </c>
      <c r="O123" s="17" t="n">
        <v>0</v>
      </c>
      <c r="P123" s="18" t="n">
        <v>0</v>
      </c>
      <c r="Q123" s="16" t="n">
        <v>1</v>
      </c>
      <c r="R123" s="17" t="n">
        <v>0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8" t="n">
        <v>0</v>
      </c>
      <c r="AA123" s="16" t="n">
        <v>0</v>
      </c>
      <c r="AB123" s="17" t="n">
        <v>1</v>
      </c>
      <c r="AC123" s="17" t="n">
        <v>0</v>
      </c>
      <c r="AD123" s="17" t="n">
        <v>1</v>
      </c>
      <c r="AE123" s="17" t="n">
        <v>1</v>
      </c>
      <c r="AF123" s="17" t="n">
        <v>1</v>
      </c>
      <c r="AG123" s="17" t="n">
        <v>1</v>
      </c>
      <c r="AH123" s="17" t="n">
        <v>1</v>
      </c>
      <c r="AI123" s="17" t="n">
        <v>1</v>
      </c>
      <c r="AJ123" s="18" t="n">
        <v>1</v>
      </c>
      <c r="AK123" s="16" t="n">
        <v>353</v>
      </c>
      <c r="AL123" s="17" t="n">
        <v>0</v>
      </c>
      <c r="AM123" s="17" t="n">
        <v>353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8" t="n">
        <v>0</v>
      </c>
      <c r="AU123" s="16" t="n">
        <v>364</v>
      </c>
      <c r="AV123" s="17" t="n">
        <v>0</v>
      </c>
      <c r="AW123" s="17" t="n">
        <v>364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-11</v>
      </c>
      <c r="BF123" s="17" t="n">
        <v>0</v>
      </c>
      <c r="BG123" s="17" t="n">
        <v>-11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17772013230</t>
        </is>
      </c>
      <c r="B124" s="15" t="inlineStr">
        <is>
          <t>QELBREE 150MG CAPSULE ER</t>
        </is>
      </c>
      <c r="C124" s="16" t="n">
        <v>30</v>
      </c>
      <c r="D124" s="16" t="n">
        <v>3</v>
      </c>
      <c r="E124" s="16" t="n">
        <v>3</v>
      </c>
      <c r="F124" s="16" t="n">
        <v>363</v>
      </c>
      <c r="G124" s="16" t="n">
        <v>30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30</v>
      </c>
      <c r="N124" s="17" t="n">
        <v>0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1</v>
      </c>
      <c r="X124" s="17" t="n">
        <v>0</v>
      </c>
      <c r="Y124" s="17" t="n">
        <v>0</v>
      </c>
      <c r="Z124" s="18" t="n">
        <v>0</v>
      </c>
      <c r="AA124" s="16" t="n">
        <v>2</v>
      </c>
      <c r="AB124" s="17" t="n">
        <v>3</v>
      </c>
      <c r="AC124" s="17" t="n">
        <v>3</v>
      </c>
      <c r="AD124" s="17" t="n">
        <v>3</v>
      </c>
      <c r="AE124" s="17" t="n">
        <v>3</v>
      </c>
      <c r="AF124" s="17" t="n">
        <v>3</v>
      </c>
      <c r="AG124" s="17" t="n">
        <v>2</v>
      </c>
      <c r="AH124" s="17" t="n">
        <v>3</v>
      </c>
      <c r="AI124" s="17" t="n">
        <v>3</v>
      </c>
      <c r="AJ124" s="18" t="n">
        <v>3</v>
      </c>
      <c r="AK124" s="16" t="n">
        <v>371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371</v>
      </c>
      <c r="AR124" s="17" t="n">
        <v>0</v>
      </c>
      <c r="AS124" s="17" t="n">
        <v>0</v>
      </c>
      <c r="AT124" s="18" t="n">
        <v>0</v>
      </c>
      <c r="AU124" s="16" t="n">
        <v>363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363</v>
      </c>
      <c r="BB124" s="17" t="n">
        <v>0</v>
      </c>
      <c r="BC124" s="17" t="n">
        <v>0</v>
      </c>
      <c r="BD124" s="18" t="n">
        <v>0</v>
      </c>
      <c r="BE124" s="16" t="n">
        <v>8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8</v>
      </c>
      <c r="BL124" s="17" t="n">
        <v>0</v>
      </c>
      <c r="BM124" s="17" t="n">
        <v>0</v>
      </c>
      <c r="BN124" s="18" t="n">
        <v>0</v>
      </c>
    </row>
    <row r="125" ht="20" customHeight="1">
      <c r="A125" s="15" t="inlineStr">
        <is>
          <t>00074709630</t>
        </is>
      </c>
      <c r="B125" s="15" t="inlineStr">
        <is>
          <t>QULIPTA 30 MG ORAL TABLET</t>
        </is>
      </c>
      <c r="C125" s="16" t="n">
        <v>30</v>
      </c>
      <c r="D125" s="16" t="n">
        <v>0</v>
      </c>
      <c r="E125" s="16" t="n">
        <v>0</v>
      </c>
      <c r="F125" s="16" t="n">
        <v>0</v>
      </c>
      <c r="G125" s="16" t="n">
        <v>60</v>
      </c>
      <c r="H125" s="17" t="n">
        <v>0</v>
      </c>
      <c r="I125" s="17" t="n">
        <v>60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8" t="n">
        <v>0</v>
      </c>
      <c r="Q125" s="16" t="n">
        <v>2</v>
      </c>
      <c r="R125" s="17" t="n">
        <v>0</v>
      </c>
      <c r="S125" s="17" t="n">
        <v>2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8" t="n">
        <v>0</v>
      </c>
      <c r="AA125" s="16" t="n">
        <v>-2</v>
      </c>
      <c r="AB125" s="17" t="n">
        <v>0</v>
      </c>
      <c r="AC125" s="17" t="n">
        <v>-2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8" t="n">
        <v>0</v>
      </c>
      <c r="AK125" s="16" t="n">
        <v>2262</v>
      </c>
      <c r="AL125" s="17" t="n">
        <v>0</v>
      </c>
      <c r="AM125" s="17" t="n">
        <v>2245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8" t="n">
        <v>0</v>
      </c>
      <c r="AU125" s="16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8" t="n">
        <v>0</v>
      </c>
      <c r="BE125" s="16" t="n">
        <v>2262</v>
      </c>
      <c r="BF125" s="17" t="n">
        <v>0</v>
      </c>
      <c r="BG125" s="17" t="n">
        <v>2245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8" t="n">
        <v>0</v>
      </c>
    </row>
    <row r="126" ht="20" customHeight="1">
      <c r="A126" s="15" t="inlineStr">
        <is>
          <t>59310030240</t>
        </is>
      </c>
      <c r="B126" s="15" t="inlineStr">
        <is>
          <t>QVAR REDIHALER 40MCG/ACT AEROSOL</t>
        </is>
      </c>
      <c r="C126" s="16" t="n">
        <v>10.6</v>
      </c>
      <c r="D126" s="16" t="n">
        <v>0</v>
      </c>
      <c r="E126" s="16" t="n">
        <v>0</v>
      </c>
      <c r="F126" s="16" t="n">
        <v>0</v>
      </c>
      <c r="G126" s="16" t="n">
        <v>63.6</v>
      </c>
      <c r="H126" s="17" t="n">
        <v>0</v>
      </c>
      <c r="I126" s="17" t="n">
        <v>0</v>
      </c>
      <c r="J126" s="17" t="n">
        <v>31.8</v>
      </c>
      <c r="K126" s="17" t="n">
        <v>0</v>
      </c>
      <c r="L126" s="17" t="n">
        <v>0</v>
      </c>
      <c r="M126" s="17" t="n">
        <v>31.8</v>
      </c>
      <c r="N126" s="17" t="n">
        <v>0</v>
      </c>
      <c r="O126" s="17" t="n">
        <v>0</v>
      </c>
      <c r="P126" s="18" t="n">
        <v>0</v>
      </c>
      <c r="Q126" s="16" t="n">
        <v>6</v>
      </c>
      <c r="R126" s="17" t="n">
        <v>0</v>
      </c>
      <c r="S126" s="17" t="n">
        <v>0</v>
      </c>
      <c r="T126" s="17" t="n">
        <v>3</v>
      </c>
      <c r="U126" s="17" t="n">
        <v>0</v>
      </c>
      <c r="V126" s="17" t="n">
        <v>0</v>
      </c>
      <c r="W126" s="17" t="n">
        <v>3</v>
      </c>
      <c r="X126" s="17" t="n">
        <v>0</v>
      </c>
      <c r="Y126" s="17" t="n">
        <v>0</v>
      </c>
      <c r="Z126" s="18" t="n">
        <v>0</v>
      </c>
      <c r="AA126" s="16" t="n">
        <v>-6</v>
      </c>
      <c r="AB126" s="17" t="n">
        <v>0</v>
      </c>
      <c r="AC126" s="17" t="n">
        <v>0</v>
      </c>
      <c r="AD126" s="17" t="n">
        <v>-3</v>
      </c>
      <c r="AE126" s="17" t="n">
        <v>0</v>
      </c>
      <c r="AF126" s="17" t="n">
        <v>0</v>
      </c>
      <c r="AG126" s="17" t="n">
        <v>-3</v>
      </c>
      <c r="AH126" s="17" t="n">
        <v>0</v>
      </c>
      <c r="AI126" s="17" t="n">
        <v>0</v>
      </c>
      <c r="AJ126" s="18" t="n">
        <v>0</v>
      </c>
      <c r="AK126" s="16" t="n">
        <v>1289</v>
      </c>
      <c r="AL126" s="17" t="n">
        <v>0</v>
      </c>
      <c r="AM126" s="17" t="n">
        <v>0</v>
      </c>
      <c r="AN126" s="17" t="n">
        <v>431</v>
      </c>
      <c r="AO126" s="17" t="n">
        <v>0</v>
      </c>
      <c r="AP126" s="17" t="n">
        <v>0</v>
      </c>
      <c r="AQ126" s="17" t="n">
        <v>668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1289</v>
      </c>
      <c r="BF126" s="17" t="n">
        <v>0</v>
      </c>
      <c r="BG126" s="17" t="n">
        <v>0</v>
      </c>
      <c r="BH126" s="17" t="n">
        <v>431</v>
      </c>
      <c r="BI126" s="17" t="n">
        <v>0</v>
      </c>
      <c r="BJ126" s="17" t="n">
        <v>0</v>
      </c>
      <c r="BK126" s="17" t="n">
        <v>668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59137053004</t>
        </is>
      </c>
      <c r="B127" s="15" t="inlineStr">
        <is>
          <t>RASUVO 20MG/0.4ML INJECTION</t>
        </is>
      </c>
      <c r="C127" s="16" t="n">
        <v>1.6</v>
      </c>
      <c r="D127" s="16" t="n">
        <v>3</v>
      </c>
      <c r="E127" s="16" t="n">
        <v>3</v>
      </c>
      <c r="F127" s="16" t="n">
        <v>566</v>
      </c>
      <c r="G127" s="16" t="n">
        <v>4.8</v>
      </c>
      <c r="H127" s="17" t="n">
        <v>0</v>
      </c>
      <c r="I127" s="17" t="n">
        <v>4.8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3</v>
      </c>
      <c r="R127" s="17" t="n">
        <v>0</v>
      </c>
      <c r="S127" s="17" t="n">
        <v>3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0</v>
      </c>
      <c r="AB127" s="17" t="n">
        <v>3</v>
      </c>
      <c r="AC127" s="17" t="n">
        <v>0</v>
      </c>
      <c r="AD127" s="17" t="n">
        <v>3</v>
      </c>
      <c r="AE127" s="17" t="n">
        <v>3</v>
      </c>
      <c r="AF127" s="17" t="n">
        <v>3</v>
      </c>
      <c r="AG127" s="17" t="n">
        <v>3</v>
      </c>
      <c r="AH127" s="17" t="n">
        <v>3</v>
      </c>
      <c r="AI127" s="17" t="n">
        <v>3</v>
      </c>
      <c r="AJ127" s="18" t="n">
        <v>3</v>
      </c>
      <c r="AK127" s="16" t="n">
        <v>1653</v>
      </c>
      <c r="AL127" s="17" t="n">
        <v>0</v>
      </c>
      <c r="AM127" s="17" t="n">
        <v>1653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1698</v>
      </c>
      <c r="AV127" s="17" t="n">
        <v>0</v>
      </c>
      <c r="AW127" s="17" t="n">
        <v>1698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-45</v>
      </c>
      <c r="BF127" s="17" t="n">
        <v>0</v>
      </c>
      <c r="BG127" s="17" t="n">
        <v>-45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72511039302</t>
        </is>
      </c>
      <c r="B128" s="15" t="inlineStr">
        <is>
          <t>REPATHA SURECLICK 140 MG/ML SUBCUTANEOUS SOLUTION AUTO-INJECTOR</t>
        </is>
      </c>
      <c r="C128" s="16" t="n">
        <v>2</v>
      </c>
      <c r="D128" s="16" t="n">
        <v>11</v>
      </c>
      <c r="E128" s="16" t="n">
        <v>11</v>
      </c>
      <c r="F128" s="16" t="n">
        <v>564</v>
      </c>
      <c r="G128" s="16" t="n">
        <v>26</v>
      </c>
      <c r="H128" s="17" t="n">
        <v>0</v>
      </c>
      <c r="I128" s="17" t="n">
        <v>22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4</v>
      </c>
      <c r="O128" s="17" t="n">
        <v>0</v>
      </c>
      <c r="P128" s="18" t="n">
        <v>0</v>
      </c>
      <c r="Q128" s="16" t="n">
        <v>13</v>
      </c>
      <c r="R128" s="17" t="n">
        <v>0</v>
      </c>
      <c r="S128" s="17" t="n">
        <v>11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2</v>
      </c>
      <c r="Y128" s="17" t="n">
        <v>0</v>
      </c>
      <c r="Z128" s="18" t="n">
        <v>0</v>
      </c>
      <c r="AA128" s="16" t="n">
        <v>-2</v>
      </c>
      <c r="AB128" s="17" t="n">
        <v>11</v>
      </c>
      <c r="AC128" s="17" t="n">
        <v>0</v>
      </c>
      <c r="AD128" s="17" t="n">
        <v>11</v>
      </c>
      <c r="AE128" s="17" t="n">
        <v>11</v>
      </c>
      <c r="AF128" s="17" t="n">
        <v>11</v>
      </c>
      <c r="AG128" s="17" t="n">
        <v>11</v>
      </c>
      <c r="AH128" s="17" t="n">
        <v>9</v>
      </c>
      <c r="AI128" s="17" t="n">
        <v>11</v>
      </c>
      <c r="AJ128" s="18" t="n">
        <v>11</v>
      </c>
      <c r="AK128" s="16" t="n">
        <v>7089</v>
      </c>
      <c r="AL128" s="17" t="n">
        <v>0</v>
      </c>
      <c r="AM128" s="17" t="n">
        <v>5903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1056</v>
      </c>
      <c r="AS128" s="17" t="n">
        <v>0</v>
      </c>
      <c r="AT128" s="18" t="n">
        <v>0</v>
      </c>
      <c r="AU128" s="16" t="n">
        <v>7332</v>
      </c>
      <c r="AV128" s="17" t="n">
        <v>0</v>
      </c>
      <c r="AW128" s="17" t="n">
        <v>6204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1128</v>
      </c>
      <c r="BC128" s="17" t="n">
        <v>0</v>
      </c>
      <c r="BD128" s="18" t="n">
        <v>0</v>
      </c>
      <c r="BE128" s="16" t="n">
        <v>-243</v>
      </c>
      <c r="BF128" s="17" t="n">
        <v>0</v>
      </c>
      <c r="BG128" s="17" t="n">
        <v>-301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-72</v>
      </c>
      <c r="BM128" s="17" t="n">
        <v>0</v>
      </c>
      <c r="BN128" s="18" t="n">
        <v>0</v>
      </c>
    </row>
    <row r="129" ht="20" customHeight="1">
      <c r="A129" s="15" t="inlineStr">
        <is>
          <t>00023916360</t>
        </is>
      </c>
      <c r="B129" s="15" t="inlineStr">
        <is>
          <t xml:space="preserve">RESTASIS 0.05% EMULSION </t>
        </is>
      </c>
      <c r="C129" s="16" t="n">
        <v>60</v>
      </c>
      <c r="D129" s="16" t="n">
        <v>176</v>
      </c>
      <c r="E129" s="16" t="n">
        <v>176</v>
      </c>
      <c r="F129" s="16" t="n">
        <v>628</v>
      </c>
      <c r="G129" s="16" t="n">
        <v>8640</v>
      </c>
      <c r="H129" s="17" t="n">
        <v>0</v>
      </c>
      <c r="I129" s="17" t="n">
        <v>6480</v>
      </c>
      <c r="J129" s="17" t="n">
        <v>240</v>
      </c>
      <c r="K129" s="17" t="n">
        <v>0</v>
      </c>
      <c r="L129" s="17" t="n">
        <v>0</v>
      </c>
      <c r="M129" s="17" t="n">
        <v>1620</v>
      </c>
      <c r="N129" s="17" t="n">
        <v>300</v>
      </c>
      <c r="O129" s="17" t="n">
        <v>0</v>
      </c>
      <c r="P129" s="18" t="n">
        <v>0</v>
      </c>
      <c r="Q129" s="16" t="n">
        <v>144</v>
      </c>
      <c r="R129" s="17" t="n">
        <v>0</v>
      </c>
      <c r="S129" s="17" t="n">
        <v>108</v>
      </c>
      <c r="T129" s="17" t="n">
        <v>4</v>
      </c>
      <c r="U129" s="17" t="n">
        <v>0</v>
      </c>
      <c r="V129" s="17" t="n">
        <v>0</v>
      </c>
      <c r="W129" s="17" t="n">
        <v>27</v>
      </c>
      <c r="X129" s="17" t="n">
        <v>5</v>
      </c>
      <c r="Y129" s="17" t="n">
        <v>0</v>
      </c>
      <c r="Z129" s="18" t="n">
        <v>0</v>
      </c>
      <c r="AA129" s="16" t="n">
        <v>32</v>
      </c>
      <c r="AB129" s="17" t="n">
        <v>176</v>
      </c>
      <c r="AC129" s="17" t="n">
        <v>68</v>
      </c>
      <c r="AD129" s="17" t="n">
        <v>172</v>
      </c>
      <c r="AE129" s="17" t="n">
        <v>176</v>
      </c>
      <c r="AF129" s="17" t="n">
        <v>176</v>
      </c>
      <c r="AG129" s="17" t="n">
        <v>149</v>
      </c>
      <c r="AH129" s="17" t="n">
        <v>171</v>
      </c>
      <c r="AI129" s="17" t="n">
        <v>176</v>
      </c>
      <c r="AJ129" s="18" t="n">
        <v>176</v>
      </c>
      <c r="AK129" s="16" t="n">
        <v>86299</v>
      </c>
      <c r="AL129" s="17" t="n">
        <v>0</v>
      </c>
      <c r="AM129" s="17" t="n">
        <v>63898</v>
      </c>
      <c r="AN129" s="17" t="n">
        <v>2319</v>
      </c>
      <c r="AO129" s="17" t="n">
        <v>0</v>
      </c>
      <c r="AP129" s="17" t="n">
        <v>0</v>
      </c>
      <c r="AQ129" s="17" t="n">
        <v>16857</v>
      </c>
      <c r="AR129" s="17" t="n">
        <v>2813</v>
      </c>
      <c r="AS129" s="17" t="n">
        <v>0</v>
      </c>
      <c r="AT129" s="18" t="n">
        <v>0</v>
      </c>
      <c r="AU129" s="16" t="n">
        <v>90432</v>
      </c>
      <c r="AV129" s="17" t="n">
        <v>0</v>
      </c>
      <c r="AW129" s="17" t="n">
        <v>67824</v>
      </c>
      <c r="AX129" s="17" t="n">
        <v>2512</v>
      </c>
      <c r="AY129" s="17" t="n">
        <v>0</v>
      </c>
      <c r="AZ129" s="17" t="n">
        <v>0</v>
      </c>
      <c r="BA129" s="17" t="n">
        <v>16956</v>
      </c>
      <c r="BB129" s="17" t="n">
        <v>3140</v>
      </c>
      <c r="BC129" s="17" t="n">
        <v>0</v>
      </c>
      <c r="BD129" s="18" t="n">
        <v>0</v>
      </c>
      <c r="BE129" s="16" t="n">
        <v>-4133</v>
      </c>
      <c r="BF129" s="17" t="n">
        <v>0</v>
      </c>
      <c r="BG129" s="17" t="n">
        <v>-3926</v>
      </c>
      <c r="BH129" s="17" t="n">
        <v>-193</v>
      </c>
      <c r="BI129" s="17" t="n">
        <v>0</v>
      </c>
      <c r="BJ129" s="17" t="n">
        <v>0</v>
      </c>
      <c r="BK129" s="17" t="n">
        <v>-99</v>
      </c>
      <c r="BL129" s="17" t="n">
        <v>-327</v>
      </c>
      <c r="BM129" s="17" t="n">
        <v>0</v>
      </c>
      <c r="BN129" s="18" t="n">
        <v>0</v>
      </c>
    </row>
    <row r="130" ht="20" customHeight="1">
      <c r="A130" s="15" t="inlineStr">
        <is>
          <t>00023530105</t>
        </is>
      </c>
      <c r="B130" s="15" t="inlineStr">
        <is>
          <t>RESTASIS MULTIDOSE 0.05 % OPHTHALMIC EMULSION</t>
        </is>
      </c>
      <c r="C130" s="16" t="n">
        <v>5.5</v>
      </c>
      <c r="D130" s="16" t="n">
        <v>4</v>
      </c>
      <c r="E130" s="16" t="n">
        <v>4</v>
      </c>
      <c r="F130" s="16" t="n">
        <v>621</v>
      </c>
      <c r="G130" s="16" t="n">
        <v>22</v>
      </c>
      <c r="H130" s="17" t="n">
        <v>0</v>
      </c>
      <c r="I130" s="17" t="n">
        <v>22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4</v>
      </c>
      <c r="R130" s="17" t="n">
        <v>0</v>
      </c>
      <c r="S130" s="17" t="n">
        <v>4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4</v>
      </c>
      <c r="AC130" s="17" t="n">
        <v>0</v>
      </c>
      <c r="AD130" s="17" t="n">
        <v>4</v>
      </c>
      <c r="AE130" s="17" t="n">
        <v>4</v>
      </c>
      <c r="AF130" s="17" t="n">
        <v>4</v>
      </c>
      <c r="AG130" s="17" t="n">
        <v>4</v>
      </c>
      <c r="AH130" s="17" t="n">
        <v>4</v>
      </c>
      <c r="AI130" s="17" t="n">
        <v>4</v>
      </c>
      <c r="AJ130" s="18" t="n">
        <v>4</v>
      </c>
      <c r="AK130" s="16" t="n">
        <v>2451</v>
      </c>
      <c r="AL130" s="17" t="n">
        <v>0</v>
      </c>
      <c r="AM130" s="17" t="n">
        <v>2441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2484</v>
      </c>
      <c r="AV130" s="17" t="n">
        <v>0</v>
      </c>
      <c r="AW130" s="17" t="n">
        <v>2484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-33</v>
      </c>
      <c r="BF130" s="17" t="n">
        <v>0</v>
      </c>
      <c r="BG130" s="17" t="n">
        <v>-43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59148003613</t>
        </is>
      </c>
      <c r="B131" s="15" t="inlineStr">
        <is>
          <t>REXULTI 0.5 MG ORAL TABLET</t>
        </is>
      </c>
      <c r="C131" s="16" t="n">
        <v>30</v>
      </c>
      <c r="D131" s="16" t="n">
        <v>1</v>
      </c>
      <c r="E131" s="16" t="n">
        <v>1</v>
      </c>
      <c r="F131" s="16" t="n">
        <v>1513</v>
      </c>
      <c r="G131" s="16" t="n">
        <v>30</v>
      </c>
      <c r="H131" s="17" t="n">
        <v>0</v>
      </c>
      <c r="I131" s="17" t="n">
        <v>30</v>
      </c>
      <c r="J131" s="17" t="n">
        <v>0</v>
      </c>
      <c r="K131" s="17" t="n">
        <v>0</v>
      </c>
      <c r="L131" s="17" t="n">
        <v>0</v>
      </c>
      <c r="M131" s="17" t="n">
        <v>0</v>
      </c>
      <c r="N131" s="17" t="n">
        <v>0</v>
      </c>
      <c r="O131" s="17" t="n">
        <v>0</v>
      </c>
      <c r="P131" s="18" t="n">
        <v>0</v>
      </c>
      <c r="Q131" s="16" t="n">
        <v>1</v>
      </c>
      <c r="R131" s="17" t="n">
        <v>0</v>
      </c>
      <c r="S131" s="17" t="n">
        <v>1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8" t="n">
        <v>0</v>
      </c>
      <c r="AA131" s="16" t="n">
        <v>0</v>
      </c>
      <c r="AB131" s="17" t="n">
        <v>1</v>
      </c>
      <c r="AC131" s="17" t="n">
        <v>0</v>
      </c>
      <c r="AD131" s="17" t="n">
        <v>1</v>
      </c>
      <c r="AE131" s="17" t="n">
        <v>1</v>
      </c>
      <c r="AF131" s="17" t="n">
        <v>1</v>
      </c>
      <c r="AG131" s="17" t="n">
        <v>1</v>
      </c>
      <c r="AH131" s="17" t="n">
        <v>1</v>
      </c>
      <c r="AI131" s="17" t="n">
        <v>1</v>
      </c>
      <c r="AJ131" s="18" t="n">
        <v>1</v>
      </c>
      <c r="AK131" s="16" t="n">
        <v>1480</v>
      </c>
      <c r="AL131" s="17" t="n">
        <v>0</v>
      </c>
      <c r="AM131" s="17" t="n">
        <v>1475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8" t="n">
        <v>0</v>
      </c>
      <c r="AU131" s="16" t="n">
        <v>1513</v>
      </c>
      <c r="AV131" s="17" t="n">
        <v>0</v>
      </c>
      <c r="AW131" s="17" t="n">
        <v>1513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8" t="n">
        <v>0</v>
      </c>
      <c r="BE131" s="16" t="n">
        <v>-33</v>
      </c>
      <c r="BF131" s="17" t="n">
        <v>0</v>
      </c>
      <c r="BG131" s="17" t="n">
        <v>-38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59148003713</t>
        </is>
      </c>
      <c r="B132" s="15" t="inlineStr">
        <is>
          <t>REXULTI 1MG TABLET</t>
        </is>
      </c>
      <c r="C132" s="16" t="n">
        <v>30</v>
      </c>
      <c r="D132" s="16" t="n">
        <v>2</v>
      </c>
      <c r="E132" s="16" t="n">
        <v>2</v>
      </c>
      <c r="F132" s="16" t="n">
        <v>1513</v>
      </c>
      <c r="G132" s="16" t="n">
        <v>60</v>
      </c>
      <c r="H132" s="17" t="n">
        <v>0</v>
      </c>
      <c r="I132" s="17" t="n">
        <v>0</v>
      </c>
      <c r="J132" s="17" t="n">
        <v>0</v>
      </c>
      <c r="K132" s="17" t="n">
        <v>0</v>
      </c>
      <c r="L132" s="17" t="n">
        <v>0</v>
      </c>
      <c r="M132" s="17" t="n">
        <v>60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2</v>
      </c>
      <c r="X132" s="17" t="n">
        <v>0</v>
      </c>
      <c r="Y132" s="17" t="n">
        <v>0</v>
      </c>
      <c r="Z132" s="18" t="n">
        <v>0</v>
      </c>
      <c r="AA132" s="16" t="n">
        <v>0</v>
      </c>
      <c r="AB132" s="17" t="n">
        <v>2</v>
      </c>
      <c r="AC132" s="17" t="n">
        <v>2</v>
      </c>
      <c r="AD132" s="17" t="n">
        <v>2</v>
      </c>
      <c r="AE132" s="17" t="n">
        <v>2</v>
      </c>
      <c r="AF132" s="17" t="n">
        <v>2</v>
      </c>
      <c r="AG132" s="17" t="n">
        <v>0</v>
      </c>
      <c r="AH132" s="17" t="n">
        <v>2</v>
      </c>
      <c r="AI132" s="17" t="n">
        <v>2</v>
      </c>
      <c r="AJ132" s="18" t="n">
        <v>2</v>
      </c>
      <c r="AK132" s="16" t="n">
        <v>2998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2998</v>
      </c>
      <c r="AR132" s="17" t="n">
        <v>0</v>
      </c>
      <c r="AS132" s="17" t="n">
        <v>0</v>
      </c>
      <c r="AT132" s="18" t="n">
        <v>0</v>
      </c>
      <c r="AU132" s="16" t="n">
        <v>3026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3026</v>
      </c>
      <c r="BB132" s="17" t="n">
        <v>0</v>
      </c>
      <c r="BC132" s="17" t="n">
        <v>0</v>
      </c>
      <c r="BD132" s="18" t="n">
        <v>0</v>
      </c>
      <c r="BE132" s="16" t="n">
        <v>-28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-28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70727049725</t>
        </is>
      </c>
      <c r="B133" s="15" t="inlineStr">
        <is>
          <t>RHOPRESSA 0.02 % OPHTHALMIC SOLUTION</t>
        </is>
      </c>
      <c r="C133" s="16" t="n">
        <v>2.5</v>
      </c>
      <c r="D133" s="16" t="n">
        <v>0</v>
      </c>
      <c r="E133" s="16" t="n">
        <v>0</v>
      </c>
      <c r="F133" s="16" t="n">
        <v>0</v>
      </c>
      <c r="G133" s="16" t="n">
        <v>15</v>
      </c>
      <c r="H133" s="17" t="n">
        <v>0</v>
      </c>
      <c r="I133" s="17" t="n">
        <v>15</v>
      </c>
      <c r="J133" s="17" t="n">
        <v>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8" t="n">
        <v>0</v>
      </c>
      <c r="Q133" s="16" t="n">
        <v>6</v>
      </c>
      <c r="R133" s="17" t="n">
        <v>0</v>
      </c>
      <c r="S133" s="17" t="n">
        <v>6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8" t="n">
        <v>0</v>
      </c>
      <c r="AA133" s="16" t="n">
        <v>-6</v>
      </c>
      <c r="AB133" s="17" t="n">
        <v>0</v>
      </c>
      <c r="AC133" s="17" t="n">
        <v>-6</v>
      </c>
      <c r="AD133" s="17" t="n">
        <v>0</v>
      </c>
      <c r="AE133" s="17" t="n">
        <v>0</v>
      </c>
      <c r="AF133" s="17" t="n">
        <v>0</v>
      </c>
      <c r="AG133" s="17" t="n">
        <v>0</v>
      </c>
      <c r="AH133" s="17" t="n">
        <v>0</v>
      </c>
      <c r="AI133" s="17" t="n">
        <v>0</v>
      </c>
      <c r="AJ133" s="18" t="n">
        <v>0</v>
      </c>
      <c r="AK133" s="16" t="n">
        <v>1928</v>
      </c>
      <c r="AL133" s="17" t="n">
        <v>0</v>
      </c>
      <c r="AM133" s="17" t="n">
        <v>1928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8" t="n">
        <v>0</v>
      </c>
      <c r="AU133" s="16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8" t="n">
        <v>0</v>
      </c>
      <c r="BE133" s="16" t="n">
        <v>1928</v>
      </c>
      <c r="BF133" s="17" t="n">
        <v>0</v>
      </c>
      <c r="BG133" s="17" t="n">
        <v>1928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70727052925</t>
        </is>
      </c>
      <c r="B134" s="15" t="inlineStr">
        <is>
          <t>ROCKLATAN 0.02-0.005% SOLUTION</t>
        </is>
      </c>
      <c r="C134" s="16" t="n">
        <v>2.5</v>
      </c>
      <c r="D134" s="16" t="n">
        <v>5</v>
      </c>
      <c r="E134" s="16" t="n">
        <v>5</v>
      </c>
      <c r="F134" s="16" t="n">
        <v>354</v>
      </c>
      <c r="G134" s="16" t="n">
        <v>12.5</v>
      </c>
      <c r="H134" s="17" t="n">
        <v>0</v>
      </c>
      <c r="I134" s="17" t="n">
        <v>12.5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5</v>
      </c>
      <c r="R134" s="17" t="n">
        <v>0</v>
      </c>
      <c r="S134" s="17" t="n">
        <v>5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0</v>
      </c>
      <c r="AB134" s="17" t="n">
        <v>5</v>
      </c>
      <c r="AC134" s="17" t="n">
        <v>0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1732</v>
      </c>
      <c r="AL134" s="17" t="n">
        <v>0</v>
      </c>
      <c r="AM134" s="17" t="n">
        <v>1702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1770</v>
      </c>
      <c r="AV134" s="17" t="n">
        <v>0</v>
      </c>
      <c r="AW134" s="17" t="n">
        <v>1770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-38</v>
      </c>
      <c r="BF134" s="17" t="n">
        <v>0</v>
      </c>
      <c r="BG134" s="17" t="n">
        <v>-68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64764080530</t>
        </is>
      </c>
      <c r="B135" s="15" t="inlineStr">
        <is>
          <t>ROZEREM 8MG TABLET</t>
        </is>
      </c>
      <c r="C135" s="16" t="n">
        <v>30</v>
      </c>
      <c r="D135" s="16" t="n">
        <v>2</v>
      </c>
      <c r="E135" s="16" t="n">
        <v>2</v>
      </c>
      <c r="F135" s="16" t="n">
        <v>378</v>
      </c>
      <c r="G135" s="16" t="n">
        <v>90</v>
      </c>
      <c r="H135" s="17" t="n">
        <v>0</v>
      </c>
      <c r="I135" s="17" t="n">
        <v>0</v>
      </c>
      <c r="J135" s="17" t="n">
        <v>0</v>
      </c>
      <c r="K135" s="17" t="n">
        <v>0</v>
      </c>
      <c r="L135" s="17" t="n">
        <v>0</v>
      </c>
      <c r="M135" s="17" t="n">
        <v>90</v>
      </c>
      <c r="N135" s="17" t="n">
        <v>0</v>
      </c>
      <c r="O135" s="17" t="n">
        <v>0</v>
      </c>
      <c r="P135" s="18" t="n">
        <v>0</v>
      </c>
      <c r="Q135" s="16" t="n">
        <v>3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3</v>
      </c>
      <c r="X135" s="17" t="n">
        <v>0</v>
      </c>
      <c r="Y135" s="17" t="n">
        <v>0</v>
      </c>
      <c r="Z135" s="18" t="n">
        <v>0</v>
      </c>
      <c r="AA135" s="16" t="n">
        <v>-1</v>
      </c>
      <c r="AB135" s="17" t="n">
        <v>2</v>
      </c>
      <c r="AC135" s="17" t="n">
        <v>2</v>
      </c>
      <c r="AD135" s="17" t="n">
        <v>2</v>
      </c>
      <c r="AE135" s="17" t="n">
        <v>2</v>
      </c>
      <c r="AF135" s="17" t="n">
        <v>2</v>
      </c>
      <c r="AG135" s="17" t="n">
        <v>-1</v>
      </c>
      <c r="AH135" s="17" t="n">
        <v>2</v>
      </c>
      <c r="AI135" s="17" t="n">
        <v>2</v>
      </c>
      <c r="AJ135" s="18" t="n">
        <v>2</v>
      </c>
      <c r="AK135" s="16" t="n">
        <v>1148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1148</v>
      </c>
      <c r="AR135" s="17" t="n">
        <v>0</v>
      </c>
      <c r="AS135" s="17" t="n">
        <v>0</v>
      </c>
      <c r="AT135" s="18" t="n">
        <v>0</v>
      </c>
      <c r="AU135" s="16" t="n">
        <v>1134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1134</v>
      </c>
      <c r="BB135" s="17" t="n">
        <v>0</v>
      </c>
      <c r="BC135" s="17" t="n">
        <v>0</v>
      </c>
      <c r="BD135" s="18" t="n">
        <v>0</v>
      </c>
      <c r="BE135" s="16" t="n">
        <v>14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14</v>
      </c>
      <c r="BL135" s="17" t="n">
        <v>0</v>
      </c>
      <c r="BM135" s="17" t="n">
        <v>0</v>
      </c>
      <c r="BN135" s="18" t="n">
        <v>0</v>
      </c>
    </row>
    <row r="136" ht="20" customHeight="1">
      <c r="A136" s="15" t="inlineStr">
        <is>
          <t>00169431430</t>
        </is>
      </c>
      <c r="B136" s="15" t="inlineStr">
        <is>
          <t>RYBELSUS 14MG TABLET</t>
        </is>
      </c>
      <c r="C136" s="16" t="n">
        <v>30</v>
      </c>
      <c r="D136" s="16" t="n">
        <v>15</v>
      </c>
      <c r="E136" s="16" t="n">
        <v>15</v>
      </c>
      <c r="F136" s="16" t="n">
        <v>999</v>
      </c>
      <c r="G136" s="16" t="n">
        <v>720</v>
      </c>
      <c r="H136" s="17" t="n">
        <v>0</v>
      </c>
      <c r="I136" s="17" t="n">
        <v>360</v>
      </c>
      <c r="J136" s="17" t="n">
        <v>180</v>
      </c>
      <c r="K136" s="17" t="n">
        <v>0</v>
      </c>
      <c r="L136" s="17" t="n">
        <v>90</v>
      </c>
      <c r="M136" s="17" t="n">
        <v>0</v>
      </c>
      <c r="N136" s="17" t="n">
        <v>90</v>
      </c>
      <c r="O136" s="17" t="n">
        <v>0</v>
      </c>
      <c r="P136" s="18" t="n">
        <v>0</v>
      </c>
      <c r="Q136" s="16" t="n">
        <v>24</v>
      </c>
      <c r="R136" s="17" t="n">
        <v>0</v>
      </c>
      <c r="S136" s="17" t="n">
        <v>12</v>
      </c>
      <c r="T136" s="17" t="n">
        <v>6</v>
      </c>
      <c r="U136" s="17" t="n">
        <v>0</v>
      </c>
      <c r="V136" s="17" t="n">
        <v>3</v>
      </c>
      <c r="W136" s="17" t="n">
        <v>0</v>
      </c>
      <c r="X136" s="17" t="n">
        <v>3</v>
      </c>
      <c r="Y136" s="17" t="n">
        <v>0</v>
      </c>
      <c r="Z136" s="18" t="n">
        <v>0</v>
      </c>
      <c r="AA136" s="16" t="n">
        <v>-9</v>
      </c>
      <c r="AB136" s="17" t="n">
        <v>15</v>
      </c>
      <c r="AC136" s="17" t="n">
        <v>3</v>
      </c>
      <c r="AD136" s="17" t="n">
        <v>9</v>
      </c>
      <c r="AE136" s="17" t="n">
        <v>15</v>
      </c>
      <c r="AF136" s="17" t="n">
        <v>12</v>
      </c>
      <c r="AG136" s="17" t="n">
        <v>15</v>
      </c>
      <c r="AH136" s="17" t="n">
        <v>12</v>
      </c>
      <c r="AI136" s="17" t="n">
        <v>15</v>
      </c>
      <c r="AJ136" s="18" t="n">
        <v>15</v>
      </c>
      <c r="AK136" s="16" t="n">
        <v>22556</v>
      </c>
      <c r="AL136" s="17" t="n">
        <v>0</v>
      </c>
      <c r="AM136" s="17" t="n">
        <v>11334</v>
      </c>
      <c r="AN136" s="17" t="n">
        <v>5456</v>
      </c>
      <c r="AO136" s="17" t="n">
        <v>0</v>
      </c>
      <c r="AP136" s="17" t="n">
        <v>2751</v>
      </c>
      <c r="AQ136" s="17" t="n">
        <v>0</v>
      </c>
      <c r="AR136" s="17" t="n">
        <v>3001</v>
      </c>
      <c r="AS136" s="17" t="n">
        <v>0</v>
      </c>
      <c r="AT136" s="18" t="n">
        <v>0</v>
      </c>
      <c r="AU136" s="16" t="n">
        <v>23976</v>
      </c>
      <c r="AV136" s="17" t="n">
        <v>0</v>
      </c>
      <c r="AW136" s="17" t="n">
        <v>11988</v>
      </c>
      <c r="AX136" s="17" t="n">
        <v>5994</v>
      </c>
      <c r="AY136" s="17" t="n">
        <v>0</v>
      </c>
      <c r="AZ136" s="17" t="n">
        <v>2997</v>
      </c>
      <c r="BA136" s="17" t="n">
        <v>0</v>
      </c>
      <c r="BB136" s="17" t="n">
        <v>2997</v>
      </c>
      <c r="BC136" s="17" t="n">
        <v>0</v>
      </c>
      <c r="BD136" s="18" t="n">
        <v>0</v>
      </c>
      <c r="BE136" s="16" t="n">
        <v>-1420</v>
      </c>
      <c r="BF136" s="17" t="n">
        <v>0</v>
      </c>
      <c r="BG136" s="17" t="n">
        <v>-654</v>
      </c>
      <c r="BH136" s="17" t="n">
        <v>-538</v>
      </c>
      <c r="BI136" s="17" t="n">
        <v>0</v>
      </c>
      <c r="BJ136" s="17" t="n">
        <v>-246</v>
      </c>
      <c r="BK136" s="17" t="n">
        <v>0</v>
      </c>
      <c r="BL136" s="17" t="n">
        <v>4</v>
      </c>
      <c r="BM136" s="17" t="n">
        <v>0</v>
      </c>
      <c r="BN136" s="18" t="n">
        <v>0</v>
      </c>
    </row>
    <row r="137" ht="20" customHeight="1">
      <c r="A137" s="15" t="inlineStr">
        <is>
          <t>00169430330</t>
        </is>
      </c>
      <c r="B137" s="15" t="inlineStr">
        <is>
          <t>RYBELSUS 3MG TABLET</t>
        </is>
      </c>
      <c r="C137" s="16" t="n">
        <v>30</v>
      </c>
      <c r="D137" s="16" t="n">
        <v>0</v>
      </c>
      <c r="E137" s="16" t="n">
        <v>0</v>
      </c>
      <c r="F137" s="16" t="n">
        <v>0</v>
      </c>
      <c r="G137" s="16" t="n">
        <v>480</v>
      </c>
      <c r="H137" s="17" t="n">
        <v>0</v>
      </c>
      <c r="I137" s="17" t="n">
        <v>480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16</v>
      </c>
      <c r="R137" s="17" t="n">
        <v>0</v>
      </c>
      <c r="S137" s="17" t="n">
        <v>16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-16</v>
      </c>
      <c r="AB137" s="17" t="n">
        <v>0</v>
      </c>
      <c r="AC137" s="17" t="n">
        <v>-16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8" t="n">
        <v>0</v>
      </c>
      <c r="AK137" s="16" t="n">
        <v>15274</v>
      </c>
      <c r="AL137" s="17" t="n">
        <v>0</v>
      </c>
      <c r="AM137" s="17" t="n">
        <v>15250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15274</v>
      </c>
      <c r="BF137" s="17" t="n">
        <v>0</v>
      </c>
      <c r="BG137" s="17" t="n">
        <v>15250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00169430730</t>
        </is>
      </c>
      <c r="B138" s="15" t="inlineStr">
        <is>
          <t>RYBELSUS 7MG TABLET</t>
        </is>
      </c>
      <c r="C138" s="16" t="n">
        <v>30</v>
      </c>
      <c r="D138" s="16" t="n">
        <v>7</v>
      </c>
      <c r="E138" s="16" t="n">
        <v>7</v>
      </c>
      <c r="F138" s="16" t="n">
        <v>992</v>
      </c>
      <c r="G138" s="16" t="n">
        <v>420</v>
      </c>
      <c r="H138" s="17" t="n">
        <v>0</v>
      </c>
      <c r="I138" s="17" t="n">
        <v>270</v>
      </c>
      <c r="J138" s="17" t="n">
        <v>150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14</v>
      </c>
      <c r="R138" s="17" t="n">
        <v>0</v>
      </c>
      <c r="S138" s="17" t="n">
        <v>9</v>
      </c>
      <c r="T138" s="17" t="n">
        <v>5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-7</v>
      </c>
      <c r="AB138" s="17" t="n">
        <v>7</v>
      </c>
      <c r="AC138" s="17" t="n">
        <v>-2</v>
      </c>
      <c r="AD138" s="17" t="n">
        <v>2</v>
      </c>
      <c r="AE138" s="17" t="n">
        <v>7</v>
      </c>
      <c r="AF138" s="17" t="n">
        <v>7</v>
      </c>
      <c r="AG138" s="17" t="n">
        <v>7</v>
      </c>
      <c r="AH138" s="17" t="n">
        <v>7</v>
      </c>
      <c r="AI138" s="17" t="n">
        <v>7</v>
      </c>
      <c r="AJ138" s="18" t="n">
        <v>7</v>
      </c>
      <c r="AK138" s="16" t="n">
        <v>12954</v>
      </c>
      <c r="AL138" s="17" t="n">
        <v>0</v>
      </c>
      <c r="AM138" s="17" t="n">
        <v>8349</v>
      </c>
      <c r="AN138" s="17" t="n">
        <v>4575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13888</v>
      </c>
      <c r="AV138" s="17" t="n">
        <v>0</v>
      </c>
      <c r="AW138" s="17" t="n">
        <v>8928</v>
      </c>
      <c r="AX138" s="17" t="n">
        <v>4960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-934</v>
      </c>
      <c r="BF138" s="17" t="n">
        <v>0</v>
      </c>
      <c r="BG138" s="17" t="n">
        <v>-579</v>
      </c>
      <c r="BH138" s="17" t="n">
        <v>-385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50484001090</t>
        </is>
      </c>
      <c r="B139" s="15" t="inlineStr">
        <is>
          <t>SANTYL 250 UNIT/GM EXTERNAL OINTMENT</t>
        </is>
      </c>
      <c r="C139" s="16" t="n">
        <v>90</v>
      </c>
      <c r="D139" s="16" t="n">
        <v>1</v>
      </c>
      <c r="E139" s="16" t="n">
        <v>1</v>
      </c>
      <c r="F139" s="16" t="n">
        <v>924</v>
      </c>
      <c r="G139" s="16" t="n">
        <v>180</v>
      </c>
      <c r="H139" s="17" t="n">
        <v>0</v>
      </c>
      <c r="I139" s="17" t="n">
        <v>180</v>
      </c>
      <c r="J139" s="17" t="n">
        <v>0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8" t="n">
        <v>0</v>
      </c>
      <c r="Q139" s="16" t="n">
        <v>2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8" t="n">
        <v>0</v>
      </c>
      <c r="AA139" s="16" t="n">
        <v>-1</v>
      </c>
      <c r="AB139" s="17" t="n">
        <v>1</v>
      </c>
      <c r="AC139" s="17" t="n">
        <v>-1</v>
      </c>
      <c r="AD139" s="17" t="n">
        <v>1</v>
      </c>
      <c r="AE139" s="17" t="n">
        <v>1</v>
      </c>
      <c r="AF139" s="17" t="n">
        <v>1</v>
      </c>
      <c r="AG139" s="17" t="n">
        <v>1</v>
      </c>
      <c r="AH139" s="17" t="n">
        <v>1</v>
      </c>
      <c r="AI139" s="17" t="n">
        <v>1</v>
      </c>
      <c r="AJ139" s="18" t="n">
        <v>1</v>
      </c>
      <c r="AK139" s="16" t="n">
        <v>1916</v>
      </c>
      <c r="AL139" s="17" t="n">
        <v>0</v>
      </c>
      <c r="AM139" s="17" t="n">
        <v>1916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8" t="n">
        <v>0</v>
      </c>
      <c r="AU139" s="16" t="n">
        <v>1848</v>
      </c>
      <c r="AV139" s="17" t="n">
        <v>0</v>
      </c>
      <c r="AW139" s="17" t="n">
        <v>1848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8" t="n">
        <v>0</v>
      </c>
      <c r="BE139" s="16" t="n">
        <v>68</v>
      </c>
      <c r="BF139" s="17" t="n">
        <v>0</v>
      </c>
      <c r="BG139" s="17" t="n">
        <v>68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00006537303</t>
        </is>
      </c>
      <c r="B140" s="15" t="inlineStr">
        <is>
          <t>SEGLUROMET 2.5-1000MG TABLET</t>
        </is>
      </c>
      <c r="C140" s="16" t="n">
        <v>60</v>
      </c>
      <c r="D140" s="16" t="n">
        <v>1</v>
      </c>
      <c r="E140" s="16" t="n">
        <v>1</v>
      </c>
      <c r="F140" s="16" t="n">
        <v>345</v>
      </c>
      <c r="G140" s="16" t="n">
        <v>180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180</v>
      </c>
      <c r="N140" s="17" t="n">
        <v>0</v>
      </c>
      <c r="O140" s="17" t="n">
        <v>0</v>
      </c>
      <c r="P140" s="18" t="n">
        <v>0</v>
      </c>
      <c r="Q140" s="16" t="n">
        <v>3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3</v>
      </c>
      <c r="X140" s="17" t="n">
        <v>0</v>
      </c>
      <c r="Y140" s="17" t="n">
        <v>0</v>
      </c>
      <c r="Z140" s="18" t="n">
        <v>0</v>
      </c>
      <c r="AA140" s="16" t="n">
        <v>-2</v>
      </c>
      <c r="AB140" s="17" t="n">
        <v>1</v>
      </c>
      <c r="AC140" s="17" t="n">
        <v>1</v>
      </c>
      <c r="AD140" s="17" t="n">
        <v>1</v>
      </c>
      <c r="AE140" s="17" t="n">
        <v>1</v>
      </c>
      <c r="AF140" s="17" t="n">
        <v>1</v>
      </c>
      <c r="AG140" s="17" t="n">
        <v>-2</v>
      </c>
      <c r="AH140" s="17" t="n">
        <v>1</v>
      </c>
      <c r="AI140" s="17" t="n">
        <v>1</v>
      </c>
      <c r="AJ140" s="18" t="n">
        <v>1</v>
      </c>
      <c r="AK140" s="16" t="n">
        <v>1059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1059</v>
      </c>
      <c r="AR140" s="17" t="n">
        <v>0</v>
      </c>
      <c r="AS140" s="17" t="n">
        <v>0</v>
      </c>
      <c r="AT140" s="18" t="n">
        <v>0</v>
      </c>
      <c r="AU140" s="16" t="n">
        <v>1035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1035</v>
      </c>
      <c r="BB140" s="17" t="n">
        <v>0</v>
      </c>
      <c r="BC140" s="17" t="n">
        <v>0</v>
      </c>
      <c r="BD140" s="18" t="n">
        <v>0</v>
      </c>
      <c r="BE140" s="16" t="n">
        <v>24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24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58160082311</t>
        </is>
      </c>
      <c r="B141" s="15" t="inlineStr">
        <is>
          <t>SHINGRIX 50 MCG/0.5ML IM SUSP RECON</t>
        </is>
      </c>
      <c r="C141" s="16" t="n">
        <v>10</v>
      </c>
      <c r="D141" s="16" t="n">
        <v>0</v>
      </c>
      <c r="E141" s="16" t="n">
        <v>0</v>
      </c>
      <c r="F141" s="16" t="n">
        <v>0</v>
      </c>
      <c r="G141" s="16" t="n">
        <v>9</v>
      </c>
      <c r="H141" s="17" t="n">
        <v>0</v>
      </c>
      <c r="I141" s="17" t="n">
        <v>3</v>
      </c>
      <c r="J141" s="17" t="n">
        <v>1</v>
      </c>
      <c r="K141" s="17" t="n">
        <v>0</v>
      </c>
      <c r="L141" s="17" t="n">
        <v>2</v>
      </c>
      <c r="M141" s="17" t="n">
        <v>2</v>
      </c>
      <c r="N141" s="17" t="n">
        <v>1</v>
      </c>
      <c r="O141" s="17" t="n">
        <v>0</v>
      </c>
      <c r="P141" s="18" t="n">
        <v>0</v>
      </c>
      <c r="Q141" s="16" t="n">
        <v>0.9</v>
      </c>
      <c r="R141" s="17" t="n">
        <v>0</v>
      </c>
      <c r="S141" s="17" t="n">
        <v>0.3</v>
      </c>
      <c r="T141" s="17" t="n">
        <v>0.1</v>
      </c>
      <c r="U141" s="17" t="n">
        <v>0</v>
      </c>
      <c r="V141" s="17" t="n">
        <v>0.2</v>
      </c>
      <c r="W141" s="17" t="n">
        <v>0.2</v>
      </c>
      <c r="X141" s="17" t="n">
        <v>0.1</v>
      </c>
      <c r="Y141" s="17" t="n">
        <v>0</v>
      </c>
      <c r="Z141" s="18" t="n">
        <v>0</v>
      </c>
      <c r="AA141" s="16" t="n">
        <v>-0.9</v>
      </c>
      <c r="AB141" s="17" t="n">
        <v>0</v>
      </c>
      <c r="AC141" s="17" t="n">
        <v>-0.3</v>
      </c>
      <c r="AD141" s="17" t="n">
        <v>-0.1</v>
      </c>
      <c r="AE141" s="17" t="n">
        <v>0</v>
      </c>
      <c r="AF141" s="17" t="n">
        <v>-0.2</v>
      </c>
      <c r="AG141" s="17" t="n">
        <v>-0.2</v>
      </c>
      <c r="AH141" s="17" t="n">
        <v>-0.1</v>
      </c>
      <c r="AI141" s="17" t="n">
        <v>0</v>
      </c>
      <c r="AJ141" s="18" t="n">
        <v>0</v>
      </c>
      <c r="AK141" s="16" t="n">
        <v>1960</v>
      </c>
      <c r="AL141" s="17" t="n">
        <v>0</v>
      </c>
      <c r="AM141" s="17" t="n">
        <v>651</v>
      </c>
      <c r="AN141" s="17" t="n">
        <v>228</v>
      </c>
      <c r="AO141" s="17" t="n">
        <v>0</v>
      </c>
      <c r="AP141" s="17" t="n">
        <v>443</v>
      </c>
      <c r="AQ141" s="17" t="n">
        <v>422</v>
      </c>
      <c r="AR141" s="17" t="n">
        <v>217</v>
      </c>
      <c r="AS141" s="17" t="n">
        <v>0</v>
      </c>
      <c r="AT141" s="18" t="n">
        <v>0</v>
      </c>
      <c r="AU141" s="16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1960</v>
      </c>
      <c r="BF141" s="17" t="n">
        <v>0</v>
      </c>
      <c r="BG141" s="17" t="n">
        <v>651</v>
      </c>
      <c r="BH141" s="17" t="n">
        <v>228</v>
      </c>
      <c r="BI141" s="17" t="n">
        <v>0</v>
      </c>
      <c r="BJ141" s="17" t="n">
        <v>443</v>
      </c>
      <c r="BK141" s="17" t="n">
        <v>422</v>
      </c>
      <c r="BL141" s="17" t="n">
        <v>217</v>
      </c>
      <c r="BM141" s="17" t="n">
        <v>0</v>
      </c>
      <c r="BN141" s="18" t="n">
        <v>0</v>
      </c>
    </row>
    <row r="142" ht="20" customHeight="1">
      <c r="A142" s="15" t="inlineStr">
        <is>
          <t>00065414727</t>
        </is>
      </c>
      <c r="B142" s="15" t="inlineStr">
        <is>
          <t>SIMBRINZA 1-0.2 % OPHTHALMIC SUSPENSION</t>
        </is>
      </c>
      <c r="C142" s="16" t="n">
        <v>8</v>
      </c>
      <c r="D142" s="16" t="n">
        <v>1</v>
      </c>
      <c r="E142" s="16" t="n">
        <v>1</v>
      </c>
      <c r="F142" s="16" t="n">
        <v>210</v>
      </c>
      <c r="G142" s="16" t="n">
        <v>32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8</v>
      </c>
      <c r="N142" s="17" t="n">
        <v>24</v>
      </c>
      <c r="O142" s="17" t="n">
        <v>0</v>
      </c>
      <c r="P142" s="18" t="n">
        <v>0</v>
      </c>
      <c r="Q142" s="16" t="n">
        <v>4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1</v>
      </c>
      <c r="X142" s="17" t="n">
        <v>3</v>
      </c>
      <c r="Y142" s="17" t="n">
        <v>0</v>
      </c>
      <c r="Z142" s="18" t="n">
        <v>0</v>
      </c>
      <c r="AA142" s="16" t="n">
        <v>-3</v>
      </c>
      <c r="AB142" s="17" t="n">
        <v>1</v>
      </c>
      <c r="AC142" s="17" t="n">
        <v>1</v>
      </c>
      <c r="AD142" s="17" t="n">
        <v>1</v>
      </c>
      <c r="AE142" s="17" t="n">
        <v>1</v>
      </c>
      <c r="AF142" s="17" t="n">
        <v>1</v>
      </c>
      <c r="AG142" s="17" t="n">
        <v>0</v>
      </c>
      <c r="AH142" s="17" t="n">
        <v>-2</v>
      </c>
      <c r="AI142" s="17" t="n">
        <v>1</v>
      </c>
      <c r="AJ142" s="18" t="n">
        <v>1</v>
      </c>
      <c r="AK142" s="16" t="n">
        <v>869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219</v>
      </c>
      <c r="AR142" s="17" t="n">
        <v>650</v>
      </c>
      <c r="AS142" s="17" t="n">
        <v>0</v>
      </c>
      <c r="AT142" s="18" t="n">
        <v>0</v>
      </c>
      <c r="AU142" s="16" t="n">
        <v>840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210</v>
      </c>
      <c r="BB142" s="17" t="n">
        <v>630</v>
      </c>
      <c r="BC142" s="17" t="n">
        <v>0</v>
      </c>
      <c r="BD142" s="18" t="n">
        <v>0</v>
      </c>
      <c r="BE142" s="16" t="n">
        <v>29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9</v>
      </c>
      <c r="BL142" s="17" t="n">
        <v>20</v>
      </c>
      <c r="BM142" s="17" t="n">
        <v>0</v>
      </c>
      <c r="BN142" s="18" t="n">
        <v>0</v>
      </c>
    </row>
    <row r="143" ht="20" customHeight="1">
      <c r="A143" s="15" t="inlineStr">
        <is>
          <t>00597007541</t>
        </is>
      </c>
      <c r="B143" s="15" t="inlineStr">
        <is>
          <t>SPIRIVA HANDIHALER 18MCG CAPSULE</t>
        </is>
      </c>
      <c r="C143" s="16" t="n">
        <v>30</v>
      </c>
      <c r="D143" s="16" t="n">
        <v>0</v>
      </c>
      <c r="E143" s="16" t="n">
        <v>0</v>
      </c>
      <c r="F143" s="16" t="n">
        <v>0</v>
      </c>
      <c r="G143" s="16" t="n">
        <v>90</v>
      </c>
      <c r="H143" s="17" t="n">
        <v>0</v>
      </c>
      <c r="I143" s="17" t="n">
        <v>0</v>
      </c>
      <c r="J143" s="17" t="n">
        <v>0</v>
      </c>
      <c r="K143" s="17" t="n">
        <v>0</v>
      </c>
      <c r="L143" s="17" t="n">
        <v>0</v>
      </c>
      <c r="M143" s="17" t="n">
        <v>90</v>
      </c>
      <c r="N143" s="17" t="n">
        <v>0</v>
      </c>
      <c r="O143" s="17" t="n">
        <v>0</v>
      </c>
      <c r="P143" s="18" t="n">
        <v>0</v>
      </c>
      <c r="Q143" s="16" t="n">
        <v>3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3</v>
      </c>
      <c r="X143" s="17" t="n">
        <v>0</v>
      </c>
      <c r="Y143" s="17" t="n">
        <v>0</v>
      </c>
      <c r="Z143" s="18" t="n">
        <v>0</v>
      </c>
      <c r="AA143" s="16" t="n">
        <v>-3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  <c r="AG143" s="17" t="n">
        <v>-3</v>
      </c>
      <c r="AH143" s="17" t="n">
        <v>0</v>
      </c>
      <c r="AI143" s="17" t="n">
        <v>0</v>
      </c>
      <c r="AJ143" s="18" t="n">
        <v>0</v>
      </c>
      <c r="AK143" s="16" t="n">
        <v>966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965</v>
      </c>
      <c r="AR143" s="17" t="n">
        <v>0</v>
      </c>
      <c r="AS143" s="17" t="n">
        <v>0</v>
      </c>
      <c r="AT143" s="18" t="n">
        <v>0</v>
      </c>
      <c r="AU143" s="16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8" t="n">
        <v>0</v>
      </c>
      <c r="BE143" s="16" t="n">
        <v>966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965</v>
      </c>
      <c r="BL143" s="17" t="n">
        <v>0</v>
      </c>
      <c r="BM143" s="17" t="n">
        <v>0</v>
      </c>
      <c r="BN143" s="18" t="n">
        <v>0</v>
      </c>
    </row>
    <row r="144" ht="20" customHeight="1">
      <c r="A144" s="15" t="inlineStr">
        <is>
          <t>00597010061</t>
        </is>
      </c>
      <c r="B144" s="15" t="inlineStr">
        <is>
          <t>SPIRIVA RESPIMAT 2.5MCG/ACT AEROSOL</t>
        </is>
      </c>
      <c r="C144" s="16" t="n">
        <v>4</v>
      </c>
      <c r="D144" s="16" t="n">
        <v>2</v>
      </c>
      <c r="E144" s="16" t="n">
        <v>2</v>
      </c>
      <c r="F144" s="16" t="n">
        <v>513</v>
      </c>
      <c r="G144" s="16" t="n">
        <v>8</v>
      </c>
      <c r="H144" s="17" t="n">
        <v>0</v>
      </c>
      <c r="I144" s="17" t="n">
        <v>0</v>
      </c>
      <c r="J144" s="17" t="n">
        <v>0</v>
      </c>
      <c r="K144" s="17" t="n">
        <v>0</v>
      </c>
      <c r="L144" s="17" t="n">
        <v>0</v>
      </c>
      <c r="M144" s="17" t="n">
        <v>8</v>
      </c>
      <c r="N144" s="17" t="n">
        <v>0</v>
      </c>
      <c r="O144" s="17" t="n">
        <v>0</v>
      </c>
      <c r="P144" s="18" t="n">
        <v>0</v>
      </c>
      <c r="Q144" s="16" t="n">
        <v>2</v>
      </c>
      <c r="R144" s="17" t="n">
        <v>0</v>
      </c>
      <c r="S144" s="17" t="n">
        <v>0</v>
      </c>
      <c r="T144" s="17" t="n">
        <v>0</v>
      </c>
      <c r="U144" s="17" t="n">
        <v>0</v>
      </c>
      <c r="V144" s="17" t="n">
        <v>0</v>
      </c>
      <c r="W144" s="17" t="n">
        <v>2</v>
      </c>
      <c r="X144" s="17" t="n">
        <v>0</v>
      </c>
      <c r="Y144" s="17" t="n">
        <v>0</v>
      </c>
      <c r="Z144" s="18" t="n">
        <v>0</v>
      </c>
      <c r="AA144" s="16" t="n">
        <v>0</v>
      </c>
      <c r="AB144" s="17" t="n">
        <v>2</v>
      </c>
      <c r="AC144" s="17" t="n">
        <v>2</v>
      </c>
      <c r="AD144" s="17" t="n">
        <v>2</v>
      </c>
      <c r="AE144" s="17" t="n">
        <v>2</v>
      </c>
      <c r="AF144" s="17" t="n">
        <v>2</v>
      </c>
      <c r="AG144" s="17" t="n">
        <v>0</v>
      </c>
      <c r="AH144" s="17" t="n">
        <v>2</v>
      </c>
      <c r="AI144" s="17" t="n">
        <v>2</v>
      </c>
      <c r="AJ144" s="18" t="n">
        <v>2</v>
      </c>
      <c r="AK144" s="16" t="n">
        <v>1030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1028</v>
      </c>
      <c r="AR144" s="17" t="n">
        <v>0</v>
      </c>
      <c r="AS144" s="17" t="n">
        <v>0</v>
      </c>
      <c r="AT144" s="18" t="n">
        <v>0</v>
      </c>
      <c r="AU144" s="16" t="n">
        <v>1026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1026</v>
      </c>
      <c r="BB144" s="17" t="n">
        <v>0</v>
      </c>
      <c r="BC144" s="17" t="n">
        <v>0</v>
      </c>
      <c r="BD144" s="18" t="n">
        <v>0</v>
      </c>
      <c r="BE144" s="16" t="n">
        <v>4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2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81968035101</t>
        </is>
      </c>
      <c r="B145" s="15" t="inlineStr">
        <is>
          <t>SUNOSI 150 MG ORAL TABLET</t>
        </is>
      </c>
      <c r="C145" s="16" t="n">
        <v>30</v>
      </c>
      <c r="D145" s="16" t="n">
        <v>1</v>
      </c>
      <c r="E145" s="16" t="n">
        <v>1</v>
      </c>
      <c r="F145" s="16" t="n">
        <v>953</v>
      </c>
      <c r="G145" s="16" t="n">
        <v>30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30</v>
      </c>
      <c r="O145" s="17" t="n">
        <v>0</v>
      </c>
      <c r="P145" s="18" t="n">
        <v>0</v>
      </c>
      <c r="Q145" s="16" t="n">
        <v>1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1</v>
      </c>
      <c r="Y145" s="17" t="n">
        <v>0</v>
      </c>
      <c r="Z145" s="18" t="n">
        <v>0</v>
      </c>
      <c r="AA145" s="16" t="n">
        <v>0</v>
      </c>
      <c r="AB145" s="17" t="n">
        <v>1</v>
      </c>
      <c r="AC145" s="17" t="n">
        <v>1</v>
      </c>
      <c r="AD145" s="17" t="n">
        <v>1</v>
      </c>
      <c r="AE145" s="17" t="n">
        <v>1</v>
      </c>
      <c r="AF145" s="17" t="n">
        <v>1</v>
      </c>
      <c r="AG145" s="17" t="n">
        <v>1</v>
      </c>
      <c r="AH145" s="17" t="n">
        <v>0</v>
      </c>
      <c r="AI145" s="17" t="n">
        <v>1</v>
      </c>
      <c r="AJ145" s="18" t="n">
        <v>1</v>
      </c>
      <c r="AK145" s="16" t="n">
        <v>950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847</v>
      </c>
      <c r="AS145" s="17" t="n">
        <v>0</v>
      </c>
      <c r="AT145" s="18" t="n">
        <v>0</v>
      </c>
      <c r="AU145" s="16" t="n">
        <v>953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953</v>
      </c>
      <c r="BC145" s="17" t="n">
        <v>0</v>
      </c>
      <c r="BD145" s="18" t="n">
        <v>0</v>
      </c>
      <c r="BE145" s="16" t="n">
        <v>-3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-106</v>
      </c>
      <c r="BM145" s="17" t="n">
        <v>0</v>
      </c>
      <c r="BN145" s="18" t="n">
        <v>0</v>
      </c>
    </row>
    <row r="146" ht="20" customHeight="1">
      <c r="A146" s="15" t="inlineStr">
        <is>
          <t>52268020101</t>
        </is>
      </c>
      <c r="B146" s="15" t="inlineStr">
        <is>
          <t>SUTAB 1479-225-188 MG ORAL TABLET</t>
        </is>
      </c>
      <c r="C146" s="16" t="n">
        <v>24</v>
      </c>
      <c r="D146" s="16" t="n">
        <v>1</v>
      </c>
      <c r="E146" s="16" t="n">
        <v>1</v>
      </c>
      <c r="F146" s="16" t="n">
        <v>163</v>
      </c>
      <c r="G146" s="16" t="n">
        <v>24</v>
      </c>
      <c r="H146" s="17" t="n">
        <v>0</v>
      </c>
      <c r="I146" s="17" t="n">
        <v>24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1</v>
      </c>
      <c r="R146" s="17" t="n">
        <v>0</v>
      </c>
      <c r="S146" s="17" t="n">
        <v>1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0</v>
      </c>
      <c r="AB146" s="17" t="n">
        <v>1</v>
      </c>
      <c r="AC146" s="17" t="n">
        <v>0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160</v>
      </c>
      <c r="AL146" s="17" t="n">
        <v>0</v>
      </c>
      <c r="AM146" s="17" t="n">
        <v>160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163</v>
      </c>
      <c r="AV146" s="17" t="n">
        <v>0</v>
      </c>
      <c r="AW146" s="17" t="n">
        <v>163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-3</v>
      </c>
      <c r="BF146" s="17" t="n">
        <v>0</v>
      </c>
      <c r="BG146" s="17" t="n">
        <v>-3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00186037020</t>
        </is>
      </c>
      <c r="B147" s="15" t="inlineStr">
        <is>
          <t>SYMBICORT 160-4.5MCG/ACT AEROSOL</t>
        </is>
      </c>
      <c r="C147" s="16" t="n">
        <v>10.2</v>
      </c>
      <c r="D147" s="16" t="n">
        <v>15</v>
      </c>
      <c r="E147" s="16" t="n">
        <v>15</v>
      </c>
      <c r="F147" s="16" t="n">
        <v>226</v>
      </c>
      <c r="G147" s="16" t="n">
        <v>306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306</v>
      </c>
      <c r="N147" s="17" t="n">
        <v>0</v>
      </c>
      <c r="O147" s="17" t="n">
        <v>0</v>
      </c>
      <c r="P147" s="18" t="n">
        <v>0</v>
      </c>
      <c r="Q147" s="16" t="n">
        <v>30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30</v>
      </c>
      <c r="X147" s="17" t="n">
        <v>0</v>
      </c>
      <c r="Y147" s="17" t="n">
        <v>0</v>
      </c>
      <c r="Z147" s="18" t="n">
        <v>0</v>
      </c>
      <c r="AA147" s="16" t="n">
        <v>-15</v>
      </c>
      <c r="AB147" s="17" t="n">
        <v>15</v>
      </c>
      <c r="AC147" s="17" t="n">
        <v>15</v>
      </c>
      <c r="AD147" s="17" t="n">
        <v>15</v>
      </c>
      <c r="AE147" s="17" t="n">
        <v>15</v>
      </c>
      <c r="AF147" s="17" t="n">
        <v>15</v>
      </c>
      <c r="AG147" s="17" t="n">
        <v>-15</v>
      </c>
      <c r="AH147" s="17" t="n">
        <v>15</v>
      </c>
      <c r="AI147" s="17" t="n">
        <v>15</v>
      </c>
      <c r="AJ147" s="18" t="n">
        <v>15</v>
      </c>
      <c r="AK147" s="16" t="n">
        <v>6985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6981</v>
      </c>
      <c r="AR147" s="17" t="n">
        <v>0</v>
      </c>
      <c r="AS147" s="17" t="n">
        <v>0</v>
      </c>
      <c r="AT147" s="18" t="n">
        <v>0</v>
      </c>
      <c r="AU147" s="16" t="n">
        <v>6780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6780</v>
      </c>
      <c r="BB147" s="17" t="n">
        <v>0</v>
      </c>
      <c r="BC147" s="17" t="n">
        <v>0</v>
      </c>
      <c r="BD147" s="18" t="n">
        <v>0</v>
      </c>
      <c r="BE147" s="16" t="n">
        <v>205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201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00186037220</t>
        </is>
      </c>
      <c r="B148" s="15" t="inlineStr">
        <is>
          <t>SYMBICORT 80-4.5MCG/ACT AEROSOL</t>
        </is>
      </c>
      <c r="C148" s="16" t="n">
        <v>10.2</v>
      </c>
      <c r="D148" s="16" t="n">
        <v>0</v>
      </c>
      <c r="E148" s="16" t="n">
        <v>0</v>
      </c>
      <c r="F148" s="16" t="n">
        <v>0</v>
      </c>
      <c r="G148" s="16" t="n">
        <v>71.40000000000001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61.2</v>
      </c>
      <c r="N148" s="17" t="n">
        <v>10.2</v>
      </c>
      <c r="O148" s="17" t="n">
        <v>0</v>
      </c>
      <c r="P148" s="18" t="n">
        <v>0</v>
      </c>
      <c r="Q148" s="16" t="n">
        <v>7</v>
      </c>
      <c r="R148" s="17" t="n">
        <v>0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6</v>
      </c>
      <c r="X148" s="17" t="n">
        <v>1</v>
      </c>
      <c r="Y148" s="17" t="n">
        <v>0</v>
      </c>
      <c r="Z148" s="18" t="n">
        <v>0</v>
      </c>
      <c r="AA148" s="16" t="n">
        <v>-7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-6</v>
      </c>
      <c r="AH148" s="17" t="n">
        <v>-1</v>
      </c>
      <c r="AI148" s="17" t="n">
        <v>0</v>
      </c>
      <c r="AJ148" s="18" t="n">
        <v>0</v>
      </c>
      <c r="AK148" s="16" t="n">
        <v>1446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1240</v>
      </c>
      <c r="AR148" s="17" t="n">
        <v>206</v>
      </c>
      <c r="AS148" s="17" t="n">
        <v>0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1446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1240</v>
      </c>
      <c r="BL148" s="17" t="n">
        <v>206</v>
      </c>
      <c r="BM148" s="17" t="n">
        <v>0</v>
      </c>
      <c r="BN148" s="18" t="n">
        <v>0</v>
      </c>
    </row>
    <row r="149" ht="20" customHeight="1">
      <c r="A149" s="15" t="inlineStr">
        <is>
          <t>59676080030</t>
        </is>
      </c>
      <c r="B149" s="15" t="inlineStr">
        <is>
          <t>SYMTUZA 800-150-200-10MG TABLET</t>
        </is>
      </c>
      <c r="C149" s="16" t="n">
        <v>30</v>
      </c>
      <c r="D149" s="16" t="n">
        <v>3</v>
      </c>
      <c r="E149" s="16" t="n">
        <v>3</v>
      </c>
      <c r="F149" s="16" t="n">
        <v>4599</v>
      </c>
      <c r="G149" s="16" t="n">
        <v>120</v>
      </c>
      <c r="H149" s="17" t="n">
        <v>0</v>
      </c>
      <c r="I149" s="17" t="n">
        <v>30</v>
      </c>
      <c r="J149" s="17" t="n">
        <v>0</v>
      </c>
      <c r="K149" s="17" t="n">
        <v>0</v>
      </c>
      <c r="L149" s="17" t="n">
        <v>90</v>
      </c>
      <c r="M149" s="17" t="n">
        <v>0</v>
      </c>
      <c r="N149" s="17" t="n">
        <v>0</v>
      </c>
      <c r="O149" s="17" t="n">
        <v>0</v>
      </c>
      <c r="P149" s="18" t="n">
        <v>0</v>
      </c>
      <c r="Q149" s="16" t="n">
        <v>4</v>
      </c>
      <c r="R149" s="17" t="n">
        <v>0</v>
      </c>
      <c r="S149" s="17" t="n">
        <v>1</v>
      </c>
      <c r="T149" s="17" t="n">
        <v>0</v>
      </c>
      <c r="U149" s="17" t="n">
        <v>0</v>
      </c>
      <c r="V149" s="17" t="n">
        <v>3</v>
      </c>
      <c r="W149" s="17" t="n">
        <v>0</v>
      </c>
      <c r="X149" s="17" t="n">
        <v>0</v>
      </c>
      <c r="Y149" s="17" t="n">
        <v>0</v>
      </c>
      <c r="Z149" s="18" t="n">
        <v>0</v>
      </c>
      <c r="AA149" s="16" t="n">
        <v>-1</v>
      </c>
      <c r="AB149" s="17" t="n">
        <v>3</v>
      </c>
      <c r="AC149" s="17" t="n">
        <v>2</v>
      </c>
      <c r="AD149" s="17" t="n">
        <v>3</v>
      </c>
      <c r="AE149" s="17" t="n">
        <v>3</v>
      </c>
      <c r="AF149" s="17" t="n">
        <v>0</v>
      </c>
      <c r="AG149" s="17" t="n">
        <v>3</v>
      </c>
      <c r="AH149" s="17" t="n">
        <v>3</v>
      </c>
      <c r="AI149" s="17" t="n">
        <v>3</v>
      </c>
      <c r="AJ149" s="18" t="n">
        <v>3</v>
      </c>
      <c r="AK149" s="16" t="n">
        <v>17932</v>
      </c>
      <c r="AL149" s="17" t="n">
        <v>0</v>
      </c>
      <c r="AM149" s="17" t="n">
        <v>4483</v>
      </c>
      <c r="AN149" s="17" t="n">
        <v>0</v>
      </c>
      <c r="AO149" s="17" t="n">
        <v>0</v>
      </c>
      <c r="AP149" s="17" t="n">
        <v>13439</v>
      </c>
      <c r="AQ149" s="17" t="n">
        <v>0</v>
      </c>
      <c r="AR149" s="17" t="n">
        <v>0</v>
      </c>
      <c r="AS149" s="17" t="n">
        <v>0</v>
      </c>
      <c r="AT149" s="18" t="n">
        <v>0</v>
      </c>
      <c r="AU149" s="16" t="n">
        <v>18396</v>
      </c>
      <c r="AV149" s="17" t="n">
        <v>0</v>
      </c>
      <c r="AW149" s="17" t="n">
        <v>4599</v>
      </c>
      <c r="AX149" s="17" t="n">
        <v>0</v>
      </c>
      <c r="AY149" s="17" t="n">
        <v>0</v>
      </c>
      <c r="AZ149" s="17" t="n">
        <v>13797</v>
      </c>
      <c r="BA149" s="17" t="n">
        <v>0</v>
      </c>
      <c r="BB149" s="17" t="n">
        <v>0</v>
      </c>
      <c r="BC149" s="17" t="n">
        <v>0</v>
      </c>
      <c r="BD149" s="18" t="n">
        <v>0</v>
      </c>
      <c r="BE149" s="16" t="n">
        <v>-464</v>
      </c>
      <c r="BF149" s="17" t="n">
        <v>0</v>
      </c>
      <c r="BG149" s="17" t="n">
        <v>-116</v>
      </c>
      <c r="BH149" s="17" t="n">
        <v>0</v>
      </c>
      <c r="BI149" s="17" t="n">
        <v>0</v>
      </c>
      <c r="BJ149" s="17" t="n">
        <v>-358</v>
      </c>
      <c r="BK149" s="17" t="n">
        <v>0</v>
      </c>
      <c r="BL149" s="17" t="n">
        <v>0</v>
      </c>
      <c r="BM149" s="17" t="n">
        <v>0</v>
      </c>
      <c r="BN149" s="18" t="n">
        <v>0</v>
      </c>
    </row>
    <row r="150" ht="20" customHeight="1">
      <c r="A150" s="15" t="inlineStr">
        <is>
          <t>00597016860</t>
        </is>
      </c>
      <c r="B150" s="15" t="inlineStr">
        <is>
          <t>SYNJARDY 12.5-1000MG TABLET</t>
        </is>
      </c>
      <c r="C150" s="16" t="n">
        <v>60</v>
      </c>
      <c r="D150" s="16" t="n">
        <v>7</v>
      </c>
      <c r="E150" s="16" t="n">
        <v>7</v>
      </c>
      <c r="F150" s="16" t="n">
        <v>338</v>
      </c>
      <c r="G150" s="16" t="n">
        <v>330</v>
      </c>
      <c r="H150" s="17" t="n">
        <v>0</v>
      </c>
      <c r="I150" s="17" t="n">
        <v>330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0</v>
      </c>
      <c r="O150" s="17" t="n">
        <v>0</v>
      </c>
      <c r="P150" s="18" t="n">
        <v>0</v>
      </c>
      <c r="Q150" s="16" t="n">
        <v>5.5</v>
      </c>
      <c r="R150" s="17" t="n">
        <v>0</v>
      </c>
      <c r="S150" s="17" t="n">
        <v>5.5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0</v>
      </c>
      <c r="Z150" s="18" t="n">
        <v>0</v>
      </c>
      <c r="AA150" s="16" t="n">
        <v>1.5</v>
      </c>
      <c r="AB150" s="17" t="n">
        <v>7</v>
      </c>
      <c r="AC150" s="17" t="n">
        <v>1.5</v>
      </c>
      <c r="AD150" s="17" t="n">
        <v>7</v>
      </c>
      <c r="AE150" s="17" t="n">
        <v>7</v>
      </c>
      <c r="AF150" s="17" t="n">
        <v>7</v>
      </c>
      <c r="AG150" s="17" t="n">
        <v>7</v>
      </c>
      <c r="AH150" s="17" t="n">
        <v>7</v>
      </c>
      <c r="AI150" s="17" t="n">
        <v>7</v>
      </c>
      <c r="AJ150" s="18" t="n">
        <v>7</v>
      </c>
      <c r="AK150" s="16" t="n">
        <v>2966</v>
      </c>
      <c r="AL150" s="17" t="n">
        <v>0</v>
      </c>
      <c r="AM150" s="17" t="n">
        <v>2961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8" t="n">
        <v>0</v>
      </c>
      <c r="AU150" s="16" t="n">
        <v>1859</v>
      </c>
      <c r="AV150" s="17" t="n">
        <v>0</v>
      </c>
      <c r="AW150" s="17" t="n">
        <v>1859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8" t="n">
        <v>0</v>
      </c>
      <c r="BE150" s="16" t="n">
        <v>1107</v>
      </c>
      <c r="BF150" s="17" t="n">
        <v>0</v>
      </c>
      <c r="BG150" s="17" t="n">
        <v>1102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8" t="n">
        <v>0</v>
      </c>
    </row>
    <row r="151" ht="20" customHeight="1">
      <c r="A151" s="15" t="inlineStr">
        <is>
          <t>00597017560</t>
        </is>
      </c>
      <c r="B151" s="15" t="inlineStr">
        <is>
          <t>SYNJARDY 5-1000 MG TABLET</t>
        </is>
      </c>
      <c r="C151" s="16" t="n">
        <v>60</v>
      </c>
      <c r="D151" s="16" t="n">
        <v>3</v>
      </c>
      <c r="E151" s="16" t="n">
        <v>3</v>
      </c>
      <c r="F151" s="16" t="n">
        <v>338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3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3</v>
      </c>
      <c r="X151" s="17" t="n">
        <v>0</v>
      </c>
      <c r="Y151" s="17" t="n">
        <v>0</v>
      </c>
      <c r="Z151" s="18" t="n">
        <v>0</v>
      </c>
      <c r="AA151" s="16" t="n">
        <v>0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0</v>
      </c>
      <c r="AH151" s="17" t="n">
        <v>3</v>
      </c>
      <c r="AI151" s="17" t="n">
        <v>3</v>
      </c>
      <c r="AJ151" s="18" t="n">
        <v>3</v>
      </c>
      <c r="AK151" s="16" t="n">
        <v>1308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1308</v>
      </c>
      <c r="AR151" s="17" t="n">
        <v>0</v>
      </c>
      <c r="AS151" s="17" t="n">
        <v>0</v>
      </c>
      <c r="AT151" s="18" t="n">
        <v>0</v>
      </c>
      <c r="AU151" s="16" t="n">
        <v>1014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1014</v>
      </c>
      <c r="BB151" s="17" t="n">
        <v>0</v>
      </c>
      <c r="BC151" s="17" t="n">
        <v>0</v>
      </c>
      <c r="BD151" s="18" t="n">
        <v>0</v>
      </c>
      <c r="BE151" s="16" t="n">
        <v>294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294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00597029074</t>
        </is>
      </c>
      <c r="B152" s="15" t="inlineStr">
        <is>
          <t>SYNJARDY 5-1000MG TABLET XR</t>
        </is>
      </c>
      <c r="C152" s="16" t="n">
        <v>60</v>
      </c>
      <c r="D152" s="16" t="n">
        <v>3</v>
      </c>
      <c r="E152" s="16" t="n">
        <v>3</v>
      </c>
      <c r="F152" s="16" t="n">
        <v>338</v>
      </c>
      <c r="G152" s="16" t="n">
        <v>270</v>
      </c>
      <c r="H152" s="17" t="n">
        <v>0</v>
      </c>
      <c r="I152" s="17" t="n">
        <v>90</v>
      </c>
      <c r="J152" s="17" t="n">
        <v>0</v>
      </c>
      <c r="K152" s="17" t="n">
        <v>0</v>
      </c>
      <c r="L152" s="17" t="n">
        <v>0</v>
      </c>
      <c r="M152" s="17" t="n">
        <v>180</v>
      </c>
      <c r="N152" s="17" t="n">
        <v>0</v>
      </c>
      <c r="O152" s="17" t="n">
        <v>0</v>
      </c>
      <c r="P152" s="18" t="n">
        <v>0</v>
      </c>
      <c r="Q152" s="16" t="n">
        <v>4.5</v>
      </c>
      <c r="R152" s="17" t="n">
        <v>0</v>
      </c>
      <c r="S152" s="17" t="n">
        <v>1.5</v>
      </c>
      <c r="T152" s="17" t="n">
        <v>0</v>
      </c>
      <c r="U152" s="17" t="n">
        <v>0</v>
      </c>
      <c r="V152" s="17" t="n">
        <v>0</v>
      </c>
      <c r="W152" s="17" t="n">
        <v>3</v>
      </c>
      <c r="X152" s="17" t="n">
        <v>0</v>
      </c>
      <c r="Y152" s="17" t="n">
        <v>0</v>
      </c>
      <c r="Z152" s="18" t="n">
        <v>0</v>
      </c>
      <c r="AA152" s="16" t="n">
        <v>-1.5</v>
      </c>
      <c r="AB152" s="17" t="n">
        <v>3</v>
      </c>
      <c r="AC152" s="17" t="n">
        <v>1.5</v>
      </c>
      <c r="AD152" s="17" t="n">
        <v>3</v>
      </c>
      <c r="AE152" s="17" t="n">
        <v>3</v>
      </c>
      <c r="AF152" s="17" t="n">
        <v>3</v>
      </c>
      <c r="AG152" s="17" t="n">
        <v>0</v>
      </c>
      <c r="AH152" s="17" t="n">
        <v>3</v>
      </c>
      <c r="AI152" s="17" t="n">
        <v>3</v>
      </c>
      <c r="AJ152" s="18" t="n">
        <v>3</v>
      </c>
      <c r="AK152" s="16" t="n">
        <v>2704</v>
      </c>
      <c r="AL152" s="17" t="n">
        <v>0</v>
      </c>
      <c r="AM152" s="17" t="n">
        <v>878</v>
      </c>
      <c r="AN152" s="17" t="n">
        <v>0</v>
      </c>
      <c r="AO152" s="17" t="n">
        <v>0</v>
      </c>
      <c r="AP152" s="17" t="n">
        <v>0</v>
      </c>
      <c r="AQ152" s="17" t="n">
        <v>1826</v>
      </c>
      <c r="AR152" s="17" t="n">
        <v>0</v>
      </c>
      <c r="AS152" s="17" t="n">
        <v>0</v>
      </c>
      <c r="AT152" s="18" t="n">
        <v>0</v>
      </c>
      <c r="AU152" s="16" t="n">
        <v>1521</v>
      </c>
      <c r="AV152" s="17" t="n">
        <v>0</v>
      </c>
      <c r="AW152" s="17" t="n">
        <v>507</v>
      </c>
      <c r="AX152" s="17" t="n">
        <v>0</v>
      </c>
      <c r="AY152" s="17" t="n">
        <v>0</v>
      </c>
      <c r="AZ152" s="17" t="n">
        <v>0</v>
      </c>
      <c r="BA152" s="17" t="n">
        <v>1014</v>
      </c>
      <c r="BB152" s="17" t="n">
        <v>0</v>
      </c>
      <c r="BC152" s="17" t="n">
        <v>0</v>
      </c>
      <c r="BD152" s="18" t="n">
        <v>0</v>
      </c>
      <c r="BE152" s="16" t="n">
        <v>1183</v>
      </c>
      <c r="BF152" s="17" t="n">
        <v>0</v>
      </c>
      <c r="BG152" s="17" t="n">
        <v>371</v>
      </c>
      <c r="BH152" s="17" t="n">
        <v>0</v>
      </c>
      <c r="BI152" s="17" t="n">
        <v>0</v>
      </c>
      <c r="BJ152" s="17" t="n">
        <v>0</v>
      </c>
      <c r="BK152" s="17" t="n">
        <v>812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00597030045</t>
        </is>
      </c>
      <c r="B153" s="15" t="inlineStr">
        <is>
          <t>SYNJARDY XR 12.5-1000 MG TABLET ER</t>
        </is>
      </c>
      <c r="C153" s="16" t="n">
        <v>60</v>
      </c>
      <c r="D153" s="16" t="n">
        <v>7</v>
      </c>
      <c r="E153" s="16" t="n">
        <v>7</v>
      </c>
      <c r="F153" s="16" t="n">
        <v>340</v>
      </c>
      <c r="G153" s="16" t="n">
        <v>450</v>
      </c>
      <c r="H153" s="17" t="n">
        <v>0</v>
      </c>
      <c r="I153" s="17" t="n">
        <v>180</v>
      </c>
      <c r="J153" s="17" t="n">
        <v>0</v>
      </c>
      <c r="K153" s="17" t="n">
        <v>0</v>
      </c>
      <c r="L153" s="17" t="n">
        <v>0</v>
      </c>
      <c r="M153" s="17" t="n">
        <v>270</v>
      </c>
      <c r="N153" s="17" t="n">
        <v>0</v>
      </c>
      <c r="O153" s="17" t="n">
        <v>0</v>
      </c>
      <c r="P153" s="18" t="n">
        <v>0</v>
      </c>
      <c r="Q153" s="16" t="n">
        <v>7.5</v>
      </c>
      <c r="R153" s="17" t="n">
        <v>0</v>
      </c>
      <c r="S153" s="17" t="n">
        <v>3</v>
      </c>
      <c r="T153" s="17" t="n">
        <v>0</v>
      </c>
      <c r="U153" s="17" t="n">
        <v>0</v>
      </c>
      <c r="V153" s="17" t="n">
        <v>0</v>
      </c>
      <c r="W153" s="17" t="n">
        <v>4.5</v>
      </c>
      <c r="X153" s="17" t="n">
        <v>0</v>
      </c>
      <c r="Y153" s="17" t="n">
        <v>0</v>
      </c>
      <c r="Z153" s="18" t="n">
        <v>0</v>
      </c>
      <c r="AA153" s="16" t="n">
        <v>-0.5</v>
      </c>
      <c r="AB153" s="17" t="n">
        <v>7</v>
      </c>
      <c r="AC153" s="17" t="n">
        <v>4</v>
      </c>
      <c r="AD153" s="17" t="n">
        <v>7</v>
      </c>
      <c r="AE153" s="17" t="n">
        <v>7</v>
      </c>
      <c r="AF153" s="17" t="n">
        <v>7</v>
      </c>
      <c r="AG153" s="17" t="n">
        <v>2.5</v>
      </c>
      <c r="AH153" s="17" t="n">
        <v>7</v>
      </c>
      <c r="AI153" s="17" t="n">
        <v>7</v>
      </c>
      <c r="AJ153" s="18" t="n">
        <v>7</v>
      </c>
      <c r="AK153" s="16" t="n">
        <v>2915</v>
      </c>
      <c r="AL153" s="17" t="n">
        <v>0</v>
      </c>
      <c r="AM153" s="17" t="n">
        <v>982</v>
      </c>
      <c r="AN153" s="17" t="n">
        <v>0</v>
      </c>
      <c r="AO153" s="17" t="n">
        <v>0</v>
      </c>
      <c r="AP153" s="17" t="n">
        <v>0</v>
      </c>
      <c r="AQ153" s="17" t="n">
        <v>1932</v>
      </c>
      <c r="AR153" s="17" t="n">
        <v>0</v>
      </c>
      <c r="AS153" s="17" t="n">
        <v>0</v>
      </c>
      <c r="AT153" s="18" t="n">
        <v>0</v>
      </c>
      <c r="AU153" s="16" t="n">
        <v>2550</v>
      </c>
      <c r="AV153" s="17" t="n">
        <v>0</v>
      </c>
      <c r="AW153" s="17" t="n">
        <v>1020</v>
      </c>
      <c r="AX153" s="17" t="n">
        <v>0</v>
      </c>
      <c r="AY153" s="17" t="n">
        <v>0</v>
      </c>
      <c r="AZ153" s="17" t="n">
        <v>0</v>
      </c>
      <c r="BA153" s="17" t="n">
        <v>1530</v>
      </c>
      <c r="BB153" s="17" t="n">
        <v>0</v>
      </c>
      <c r="BC153" s="17" t="n">
        <v>0</v>
      </c>
      <c r="BD153" s="18" t="n">
        <v>0</v>
      </c>
      <c r="BE153" s="16" t="n">
        <v>365</v>
      </c>
      <c r="BF153" s="17" t="n">
        <v>0</v>
      </c>
      <c r="BG153" s="17" t="n">
        <v>-38</v>
      </c>
      <c r="BH153" s="17" t="n">
        <v>0</v>
      </c>
      <c r="BI153" s="17" t="n">
        <v>0</v>
      </c>
      <c r="BJ153" s="17" t="n">
        <v>0</v>
      </c>
      <c r="BK153" s="17" t="n">
        <v>402</v>
      </c>
      <c r="BL153" s="17" t="n">
        <v>0</v>
      </c>
      <c r="BM153" s="17" t="n">
        <v>0</v>
      </c>
      <c r="BN153" s="18" t="n">
        <v>0</v>
      </c>
    </row>
    <row r="154" ht="20" customHeight="1">
      <c r="A154" s="15" t="inlineStr">
        <is>
          <t>00597029588</t>
        </is>
      </c>
      <c r="B154" s="15" t="inlineStr">
        <is>
          <t>SYNJARDY XR 25-1000MG TABLET</t>
        </is>
      </c>
      <c r="C154" s="16" t="n">
        <v>30</v>
      </c>
      <c r="D154" s="16" t="n">
        <v>0</v>
      </c>
      <c r="E154" s="16" t="n">
        <v>0</v>
      </c>
      <c r="F154" s="16" t="n">
        <v>0</v>
      </c>
      <c r="G154" s="16" t="n">
        <v>30</v>
      </c>
      <c r="H154" s="17" t="n">
        <v>0</v>
      </c>
      <c r="I154" s="17" t="n">
        <v>30</v>
      </c>
      <c r="J154" s="17" t="n">
        <v>0</v>
      </c>
      <c r="K154" s="17" t="n">
        <v>0</v>
      </c>
      <c r="L154" s="17" t="n">
        <v>0</v>
      </c>
      <c r="M154" s="17" t="n">
        <v>0</v>
      </c>
      <c r="N154" s="17" t="n">
        <v>0</v>
      </c>
      <c r="O154" s="17" t="n">
        <v>0</v>
      </c>
      <c r="P154" s="18" t="n">
        <v>0</v>
      </c>
      <c r="Q154" s="16" t="n">
        <v>1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8" t="n">
        <v>0</v>
      </c>
      <c r="AA154" s="16" t="n">
        <v>-1</v>
      </c>
      <c r="AB154" s="17" t="n">
        <v>0</v>
      </c>
      <c r="AC154" s="17" t="n">
        <v>-1</v>
      </c>
      <c r="AD154" s="17" t="n">
        <v>0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8" t="n">
        <v>0</v>
      </c>
      <c r="AK154" s="16" t="n">
        <v>333</v>
      </c>
      <c r="AL154" s="17" t="n">
        <v>0</v>
      </c>
      <c r="AM154" s="17" t="n">
        <v>328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8" t="n">
        <v>0</v>
      </c>
      <c r="AU154" s="16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8" t="n">
        <v>0</v>
      </c>
      <c r="BE154" s="16" t="n">
        <v>333</v>
      </c>
      <c r="BF154" s="17" t="n">
        <v>0</v>
      </c>
      <c r="BG154" s="17" t="n">
        <v>328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00074706890</t>
        </is>
      </c>
      <c r="B155" s="15" t="inlineStr">
        <is>
          <t>SYNTHROID 125 MCG ORAL TABLET</t>
        </is>
      </c>
      <c r="C155" s="16" t="n">
        <v>90</v>
      </c>
      <c r="D155" s="16" t="n">
        <v>1</v>
      </c>
      <c r="E155" s="16" t="n">
        <v>1</v>
      </c>
      <c r="F155" s="16" t="n">
        <v>152</v>
      </c>
      <c r="G155" s="16" t="n">
        <v>30</v>
      </c>
      <c r="H155" s="17" t="n">
        <v>0</v>
      </c>
      <c r="I155" s="17" t="n">
        <v>30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0</v>
      </c>
      <c r="O155" s="17" t="n">
        <v>0</v>
      </c>
      <c r="P155" s="18" t="n">
        <v>0</v>
      </c>
      <c r="Q155" s="16" t="n">
        <v>0.333</v>
      </c>
      <c r="R155" s="17" t="n">
        <v>0</v>
      </c>
      <c r="S155" s="17" t="n">
        <v>0.333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8" t="n">
        <v>0</v>
      </c>
      <c r="AA155" s="16" t="n">
        <v>0.667</v>
      </c>
      <c r="AB155" s="17" t="n">
        <v>1</v>
      </c>
      <c r="AC155" s="17" t="n">
        <v>0.667</v>
      </c>
      <c r="AD155" s="17" t="n">
        <v>1</v>
      </c>
      <c r="AE155" s="17" t="n">
        <v>1</v>
      </c>
      <c r="AF155" s="17" t="n">
        <v>1</v>
      </c>
      <c r="AG155" s="17" t="n">
        <v>1</v>
      </c>
      <c r="AH155" s="17" t="n">
        <v>1</v>
      </c>
      <c r="AI155" s="17" t="n">
        <v>1</v>
      </c>
      <c r="AJ155" s="18" t="n">
        <v>1</v>
      </c>
      <c r="AK155" s="16" t="n">
        <v>50</v>
      </c>
      <c r="AL155" s="17" t="n">
        <v>0</v>
      </c>
      <c r="AM155" s="17" t="n">
        <v>50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8" t="n">
        <v>0</v>
      </c>
      <c r="AU155" s="16" t="n">
        <v>51</v>
      </c>
      <c r="AV155" s="17" t="n">
        <v>0</v>
      </c>
      <c r="AW155" s="17" t="n">
        <v>51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8" t="n">
        <v>0</v>
      </c>
      <c r="BE155" s="16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00074434190</t>
        </is>
      </c>
      <c r="B156" s="15" t="inlineStr">
        <is>
          <t>SYNTHROID 25 MCG ORAL TABLET</t>
        </is>
      </c>
      <c r="C156" s="16" t="n">
        <v>90</v>
      </c>
      <c r="D156" s="16" t="n">
        <v>1</v>
      </c>
      <c r="E156" s="16" t="n">
        <v>1</v>
      </c>
      <c r="F156" s="16" t="n">
        <v>152</v>
      </c>
      <c r="G156" s="16" t="n">
        <v>90</v>
      </c>
      <c r="H156" s="17" t="n">
        <v>0</v>
      </c>
      <c r="I156" s="17" t="n">
        <v>90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0</v>
      </c>
      <c r="O156" s="17" t="n">
        <v>0</v>
      </c>
      <c r="P156" s="18" t="n">
        <v>0</v>
      </c>
      <c r="Q156" s="16" t="n">
        <v>1</v>
      </c>
      <c r="R156" s="17" t="n">
        <v>0</v>
      </c>
      <c r="S156" s="17" t="n">
        <v>1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</v>
      </c>
      <c r="Z156" s="18" t="n">
        <v>0</v>
      </c>
      <c r="AA156" s="16" t="n">
        <v>0</v>
      </c>
      <c r="AB156" s="17" t="n">
        <v>1</v>
      </c>
      <c r="AC156" s="17" t="n">
        <v>0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8" t="n">
        <v>1</v>
      </c>
      <c r="AK156" s="16" t="n">
        <v>146</v>
      </c>
      <c r="AL156" s="17" t="n">
        <v>0</v>
      </c>
      <c r="AM156" s="17" t="n">
        <v>146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8" t="n">
        <v>0</v>
      </c>
      <c r="AU156" s="16" t="n">
        <v>152</v>
      </c>
      <c r="AV156" s="17" t="n">
        <v>0</v>
      </c>
      <c r="AW156" s="17" t="n">
        <v>152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-6</v>
      </c>
      <c r="BF156" s="17" t="n">
        <v>0</v>
      </c>
      <c r="BG156" s="17" t="n">
        <v>-6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8" t="n">
        <v>0</v>
      </c>
    </row>
    <row r="157" ht="20" customHeight="1">
      <c r="A157" s="15" t="inlineStr">
        <is>
          <t>00074455290</t>
        </is>
      </c>
      <c r="B157" s="15" t="inlineStr">
        <is>
          <t>SYNTHROID 50MCG TABLET</t>
        </is>
      </c>
      <c r="C157" s="16" t="n">
        <v>90</v>
      </c>
      <c r="D157" s="16" t="n">
        <v>2</v>
      </c>
      <c r="E157" s="16" t="n">
        <v>2</v>
      </c>
      <c r="F157" s="16" t="n">
        <v>143</v>
      </c>
      <c r="G157" s="16" t="n">
        <v>180</v>
      </c>
      <c r="H157" s="17" t="n">
        <v>0</v>
      </c>
      <c r="I157" s="17" t="n">
        <v>90</v>
      </c>
      <c r="J157" s="17" t="n">
        <v>0</v>
      </c>
      <c r="K157" s="17" t="n">
        <v>0</v>
      </c>
      <c r="L157" s="17" t="n">
        <v>0</v>
      </c>
      <c r="M157" s="17" t="n">
        <v>90</v>
      </c>
      <c r="N157" s="17" t="n">
        <v>0</v>
      </c>
      <c r="O157" s="17" t="n">
        <v>0</v>
      </c>
      <c r="P157" s="18" t="n">
        <v>0</v>
      </c>
      <c r="Q157" s="16" t="n">
        <v>2</v>
      </c>
      <c r="R157" s="17" t="n">
        <v>0</v>
      </c>
      <c r="S157" s="17" t="n">
        <v>1</v>
      </c>
      <c r="T157" s="17" t="n">
        <v>0</v>
      </c>
      <c r="U157" s="17" t="n">
        <v>0</v>
      </c>
      <c r="V157" s="17" t="n">
        <v>0</v>
      </c>
      <c r="W157" s="17" t="n">
        <v>1</v>
      </c>
      <c r="X157" s="17" t="n">
        <v>0</v>
      </c>
      <c r="Y157" s="17" t="n">
        <v>0</v>
      </c>
      <c r="Z157" s="18" t="n">
        <v>0</v>
      </c>
      <c r="AA157" s="16" t="n">
        <v>0</v>
      </c>
      <c r="AB157" s="17" t="n">
        <v>2</v>
      </c>
      <c r="AC157" s="17" t="n">
        <v>1</v>
      </c>
      <c r="AD157" s="17" t="n">
        <v>2</v>
      </c>
      <c r="AE157" s="17" t="n">
        <v>2</v>
      </c>
      <c r="AF157" s="17" t="n">
        <v>2</v>
      </c>
      <c r="AG157" s="17" t="n">
        <v>1</v>
      </c>
      <c r="AH157" s="17" t="n">
        <v>2</v>
      </c>
      <c r="AI157" s="17" t="n">
        <v>2</v>
      </c>
      <c r="AJ157" s="18" t="n">
        <v>2</v>
      </c>
      <c r="AK157" s="16" t="n">
        <v>291</v>
      </c>
      <c r="AL157" s="17" t="n">
        <v>0</v>
      </c>
      <c r="AM157" s="17" t="n">
        <v>133</v>
      </c>
      <c r="AN157" s="17" t="n">
        <v>0</v>
      </c>
      <c r="AO157" s="17" t="n">
        <v>0</v>
      </c>
      <c r="AP157" s="17" t="n">
        <v>0</v>
      </c>
      <c r="AQ157" s="17" t="n">
        <v>153</v>
      </c>
      <c r="AR157" s="17" t="n">
        <v>0</v>
      </c>
      <c r="AS157" s="17" t="n">
        <v>0</v>
      </c>
      <c r="AT157" s="18" t="n">
        <v>0</v>
      </c>
      <c r="AU157" s="16" t="n">
        <v>286</v>
      </c>
      <c r="AV157" s="17" t="n">
        <v>0</v>
      </c>
      <c r="AW157" s="17" t="n">
        <v>143</v>
      </c>
      <c r="AX157" s="17" t="n">
        <v>0</v>
      </c>
      <c r="AY157" s="17" t="n">
        <v>0</v>
      </c>
      <c r="AZ157" s="17" t="n">
        <v>0</v>
      </c>
      <c r="BA157" s="17" t="n">
        <v>143</v>
      </c>
      <c r="BB157" s="17" t="n">
        <v>0</v>
      </c>
      <c r="BC157" s="17" t="n">
        <v>0</v>
      </c>
      <c r="BD157" s="18" t="n">
        <v>0</v>
      </c>
      <c r="BE157" s="16" t="n">
        <v>5</v>
      </c>
      <c r="BF157" s="17" t="n">
        <v>0</v>
      </c>
      <c r="BG157" s="17" t="n">
        <v>-10</v>
      </c>
      <c r="BH157" s="17" t="n">
        <v>0</v>
      </c>
      <c r="BI157" s="17" t="n">
        <v>0</v>
      </c>
      <c r="BJ157" s="17" t="n">
        <v>0</v>
      </c>
      <c r="BK157" s="17" t="n">
        <v>10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00074518290</t>
        </is>
      </c>
      <c r="B158" s="15" t="inlineStr">
        <is>
          <t xml:space="preserve">SYNTHROID 75MCG TABLET </t>
        </is>
      </c>
      <c r="C158" s="16" t="n">
        <v>90</v>
      </c>
      <c r="D158" s="16" t="n">
        <v>1</v>
      </c>
      <c r="E158" s="16" t="n">
        <v>1</v>
      </c>
      <c r="F158" s="16" t="n">
        <v>152</v>
      </c>
      <c r="G158" s="16" t="n">
        <v>90</v>
      </c>
      <c r="H158" s="17" t="n">
        <v>0</v>
      </c>
      <c r="I158" s="17" t="n">
        <v>90</v>
      </c>
      <c r="J158" s="17" t="n">
        <v>0</v>
      </c>
      <c r="K158" s="17" t="n">
        <v>0</v>
      </c>
      <c r="L158" s="17" t="n">
        <v>0</v>
      </c>
      <c r="M158" s="17" t="n">
        <v>0</v>
      </c>
      <c r="N158" s="17" t="n">
        <v>0</v>
      </c>
      <c r="O158" s="17" t="n">
        <v>0</v>
      </c>
      <c r="P158" s="18" t="n">
        <v>0</v>
      </c>
      <c r="Q158" s="16" t="n">
        <v>1</v>
      </c>
      <c r="R158" s="17" t="n">
        <v>0</v>
      </c>
      <c r="S158" s="17" t="n">
        <v>1</v>
      </c>
      <c r="T158" s="17" t="n">
        <v>0</v>
      </c>
      <c r="U158" s="17" t="n">
        <v>0</v>
      </c>
      <c r="V158" s="17" t="n">
        <v>0</v>
      </c>
      <c r="W158" s="17" t="n">
        <v>0</v>
      </c>
      <c r="X158" s="17" t="n">
        <v>0</v>
      </c>
      <c r="Y158" s="17" t="n">
        <v>0</v>
      </c>
      <c r="Z158" s="18" t="n">
        <v>0</v>
      </c>
      <c r="AA158" s="16" t="n">
        <v>0</v>
      </c>
      <c r="AB158" s="17" t="n">
        <v>1</v>
      </c>
      <c r="AC158" s="17" t="n">
        <v>0</v>
      </c>
      <c r="AD158" s="17" t="n">
        <v>1</v>
      </c>
      <c r="AE158" s="17" t="n">
        <v>1</v>
      </c>
      <c r="AF158" s="17" t="n">
        <v>1</v>
      </c>
      <c r="AG158" s="17" t="n">
        <v>1</v>
      </c>
      <c r="AH158" s="17" t="n">
        <v>1</v>
      </c>
      <c r="AI158" s="17" t="n">
        <v>1</v>
      </c>
      <c r="AJ158" s="18" t="n">
        <v>1</v>
      </c>
      <c r="AK158" s="16" t="n">
        <v>148</v>
      </c>
      <c r="AL158" s="17" t="n">
        <v>0</v>
      </c>
      <c r="AM158" s="17" t="n">
        <v>57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8" t="n">
        <v>0</v>
      </c>
      <c r="AU158" s="16" t="n">
        <v>152</v>
      </c>
      <c r="AV158" s="17" t="n">
        <v>0</v>
      </c>
      <c r="AW158" s="17" t="n">
        <v>152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8" t="n">
        <v>0</v>
      </c>
      <c r="BE158" s="16" t="n">
        <v>-4</v>
      </c>
      <c r="BF158" s="17" t="n">
        <v>0</v>
      </c>
      <c r="BG158" s="17" t="n">
        <v>-95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00024586903</t>
        </is>
      </c>
      <c r="B159" s="15" t="inlineStr">
        <is>
          <t>TOUJEO SOLOSTAR 300UNIT/ML INJECTION</t>
        </is>
      </c>
      <c r="C159" s="16" t="n">
        <v>4.5</v>
      </c>
      <c r="D159" s="16" t="n">
        <v>0</v>
      </c>
      <c r="E159" s="16" t="n">
        <v>0</v>
      </c>
      <c r="F159" s="16" t="n">
        <v>0</v>
      </c>
      <c r="G159" s="16" t="n">
        <v>4.5</v>
      </c>
      <c r="H159" s="17" t="n">
        <v>0</v>
      </c>
      <c r="I159" s="17" t="n">
        <v>4.5</v>
      </c>
      <c r="J159" s="17" t="n">
        <v>0</v>
      </c>
      <c r="K159" s="17" t="n">
        <v>0</v>
      </c>
      <c r="L159" s="17" t="n">
        <v>0</v>
      </c>
      <c r="M159" s="17" t="n">
        <v>0</v>
      </c>
      <c r="N159" s="17" t="n">
        <v>0</v>
      </c>
      <c r="O159" s="17" t="n">
        <v>0</v>
      </c>
      <c r="P159" s="18" t="n">
        <v>0</v>
      </c>
      <c r="Q159" s="16" t="n">
        <v>1</v>
      </c>
      <c r="R159" s="17" t="n">
        <v>0</v>
      </c>
      <c r="S159" s="17" t="n">
        <v>1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0</v>
      </c>
      <c r="AC159" s="17" t="n">
        <v>-1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8" t="n">
        <v>0</v>
      </c>
      <c r="AK159" s="16" t="n">
        <v>401</v>
      </c>
      <c r="AL159" s="17" t="n">
        <v>0</v>
      </c>
      <c r="AM159" s="17" t="n">
        <v>401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8" t="n">
        <v>0</v>
      </c>
      <c r="AU159" s="16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8" t="n">
        <v>0</v>
      </c>
      <c r="BE159" s="16" t="n">
        <v>401</v>
      </c>
      <c r="BF159" s="17" t="n">
        <v>0</v>
      </c>
      <c r="BG159" s="17" t="n">
        <v>401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00597014030</t>
        </is>
      </c>
      <c r="B160" s="15" t="inlineStr">
        <is>
          <t xml:space="preserve">TRADJENTA 5MG TAB </t>
        </is>
      </c>
      <c r="C160" s="16" t="n">
        <v>30</v>
      </c>
      <c r="D160" s="16" t="n">
        <v>25</v>
      </c>
      <c r="E160" s="16" t="n">
        <v>25</v>
      </c>
      <c r="F160" s="16" t="n">
        <v>511</v>
      </c>
      <c r="G160" s="16" t="n">
        <v>540</v>
      </c>
      <c r="H160" s="17" t="n">
        <v>0</v>
      </c>
      <c r="I160" s="17" t="n">
        <v>450</v>
      </c>
      <c r="J160" s="17" t="n">
        <v>90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8" t="n">
        <v>0</v>
      </c>
      <c r="Q160" s="16" t="n">
        <v>18</v>
      </c>
      <c r="R160" s="17" t="n">
        <v>0</v>
      </c>
      <c r="S160" s="17" t="n">
        <v>15</v>
      </c>
      <c r="T160" s="17" t="n">
        <v>3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0</v>
      </c>
      <c r="Z160" s="18" t="n">
        <v>0</v>
      </c>
      <c r="AA160" s="16" t="n">
        <v>7</v>
      </c>
      <c r="AB160" s="17" t="n">
        <v>25</v>
      </c>
      <c r="AC160" s="17" t="n">
        <v>10</v>
      </c>
      <c r="AD160" s="17" t="n">
        <v>22</v>
      </c>
      <c r="AE160" s="17" t="n">
        <v>25</v>
      </c>
      <c r="AF160" s="17" t="n">
        <v>25</v>
      </c>
      <c r="AG160" s="17" t="n">
        <v>25</v>
      </c>
      <c r="AH160" s="17" t="n">
        <v>25</v>
      </c>
      <c r="AI160" s="17" t="n">
        <v>25</v>
      </c>
      <c r="AJ160" s="18" t="n">
        <v>25</v>
      </c>
      <c r="AK160" s="16" t="n">
        <v>8807</v>
      </c>
      <c r="AL160" s="17" t="n">
        <v>0</v>
      </c>
      <c r="AM160" s="17" t="n">
        <v>7394</v>
      </c>
      <c r="AN160" s="17" t="n">
        <v>1408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8" t="n">
        <v>0</v>
      </c>
      <c r="AU160" s="16" t="n">
        <v>9198</v>
      </c>
      <c r="AV160" s="17" t="n">
        <v>0</v>
      </c>
      <c r="AW160" s="17" t="n">
        <v>7665</v>
      </c>
      <c r="AX160" s="17" t="n">
        <v>1533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8" t="n">
        <v>0</v>
      </c>
      <c r="BE160" s="16" t="n">
        <v>-391</v>
      </c>
      <c r="BF160" s="17" t="n">
        <v>0</v>
      </c>
      <c r="BG160" s="17" t="n">
        <v>-271</v>
      </c>
      <c r="BH160" s="17" t="n">
        <v>-125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00173088710</t>
        </is>
      </c>
      <c r="B161" s="15" t="inlineStr">
        <is>
          <t>TRELEGY ELLIPTA 100-62.5-25MCG/INH AEROSOL</t>
        </is>
      </c>
      <c r="C161" s="16" t="n">
        <v>60</v>
      </c>
      <c r="D161" s="16" t="n">
        <v>6</v>
      </c>
      <c r="E161" s="16" t="n">
        <v>6</v>
      </c>
      <c r="F161" s="16" t="n">
        <v>652</v>
      </c>
      <c r="G161" s="16" t="n">
        <v>1080</v>
      </c>
      <c r="H161" s="17" t="n">
        <v>0</v>
      </c>
      <c r="I161" s="17" t="n">
        <v>360</v>
      </c>
      <c r="J161" s="17" t="n">
        <v>180</v>
      </c>
      <c r="K161" s="17" t="n">
        <v>0</v>
      </c>
      <c r="L161" s="17" t="n">
        <v>180</v>
      </c>
      <c r="M161" s="17" t="n">
        <v>360</v>
      </c>
      <c r="N161" s="17" t="n">
        <v>0</v>
      </c>
      <c r="O161" s="17" t="n">
        <v>0</v>
      </c>
      <c r="P161" s="18" t="n">
        <v>0</v>
      </c>
      <c r="Q161" s="16" t="n">
        <v>18</v>
      </c>
      <c r="R161" s="17" t="n">
        <v>0</v>
      </c>
      <c r="S161" s="17" t="n">
        <v>6</v>
      </c>
      <c r="T161" s="17" t="n">
        <v>3</v>
      </c>
      <c r="U161" s="17" t="n">
        <v>0</v>
      </c>
      <c r="V161" s="17" t="n">
        <v>3</v>
      </c>
      <c r="W161" s="17" t="n">
        <v>6</v>
      </c>
      <c r="X161" s="17" t="n">
        <v>0</v>
      </c>
      <c r="Y161" s="17" t="n">
        <v>0</v>
      </c>
      <c r="Z161" s="18" t="n">
        <v>0</v>
      </c>
      <c r="AA161" s="16" t="n">
        <v>-12</v>
      </c>
      <c r="AB161" s="17" t="n">
        <v>6</v>
      </c>
      <c r="AC161" s="17" t="n">
        <v>0</v>
      </c>
      <c r="AD161" s="17" t="n">
        <v>3</v>
      </c>
      <c r="AE161" s="17" t="n">
        <v>6</v>
      </c>
      <c r="AF161" s="17" t="n">
        <v>3</v>
      </c>
      <c r="AG161" s="17" t="n">
        <v>0</v>
      </c>
      <c r="AH161" s="17" t="n">
        <v>6</v>
      </c>
      <c r="AI161" s="17" t="n">
        <v>6</v>
      </c>
      <c r="AJ161" s="18" t="n">
        <v>6</v>
      </c>
      <c r="AK161" s="16" t="n">
        <v>11634</v>
      </c>
      <c r="AL161" s="17" t="n">
        <v>0</v>
      </c>
      <c r="AM161" s="17" t="n">
        <v>3897</v>
      </c>
      <c r="AN161" s="17" t="n">
        <v>1817</v>
      </c>
      <c r="AO161" s="17" t="n">
        <v>0</v>
      </c>
      <c r="AP161" s="17" t="n">
        <v>1859</v>
      </c>
      <c r="AQ161" s="17" t="n">
        <v>4036</v>
      </c>
      <c r="AR161" s="17" t="n">
        <v>0</v>
      </c>
      <c r="AS161" s="17" t="n">
        <v>0</v>
      </c>
      <c r="AT161" s="18" t="n">
        <v>0</v>
      </c>
      <c r="AU161" s="16" t="n">
        <v>11736</v>
      </c>
      <c r="AV161" s="17" t="n">
        <v>0</v>
      </c>
      <c r="AW161" s="17" t="n">
        <v>3912</v>
      </c>
      <c r="AX161" s="17" t="n">
        <v>1956</v>
      </c>
      <c r="AY161" s="17" t="n">
        <v>0</v>
      </c>
      <c r="AZ161" s="17" t="n">
        <v>1956</v>
      </c>
      <c r="BA161" s="17" t="n">
        <v>3912</v>
      </c>
      <c r="BB161" s="17" t="n">
        <v>0</v>
      </c>
      <c r="BC161" s="17" t="n">
        <v>0</v>
      </c>
      <c r="BD161" s="18" t="n">
        <v>0</v>
      </c>
      <c r="BE161" s="16" t="n">
        <v>-102</v>
      </c>
      <c r="BF161" s="17" t="n">
        <v>0</v>
      </c>
      <c r="BG161" s="17" t="n">
        <v>-15</v>
      </c>
      <c r="BH161" s="17" t="n">
        <v>-139</v>
      </c>
      <c r="BI161" s="17" t="n">
        <v>0</v>
      </c>
      <c r="BJ161" s="17" t="n">
        <v>-97</v>
      </c>
      <c r="BK161" s="17" t="n">
        <v>124</v>
      </c>
      <c r="BL161" s="17" t="n">
        <v>0</v>
      </c>
      <c r="BM161" s="17" t="n">
        <v>0</v>
      </c>
      <c r="BN161" s="18" t="n">
        <v>0</v>
      </c>
    </row>
    <row r="162" ht="20" customHeight="1">
      <c r="A162" s="15" t="inlineStr">
        <is>
          <t>00173089310</t>
        </is>
      </c>
      <c r="B162" s="15" t="inlineStr">
        <is>
          <t>TRELEGY ELLIPTA 200-62.5-25 MCG/ACT INHALATION AER</t>
        </is>
      </c>
      <c r="C162" s="16" t="n">
        <v>60</v>
      </c>
      <c r="D162" s="16" t="n">
        <v>6</v>
      </c>
      <c r="E162" s="16" t="n">
        <v>6</v>
      </c>
      <c r="F162" s="16" t="n">
        <v>652</v>
      </c>
      <c r="G162" s="16" t="n">
        <v>540</v>
      </c>
      <c r="H162" s="17" t="n">
        <v>0</v>
      </c>
      <c r="I162" s="17" t="n">
        <v>360</v>
      </c>
      <c r="J162" s="17" t="n">
        <v>0</v>
      </c>
      <c r="K162" s="17" t="n">
        <v>0</v>
      </c>
      <c r="L162" s="17" t="n">
        <v>0</v>
      </c>
      <c r="M162" s="17" t="n">
        <v>180</v>
      </c>
      <c r="N162" s="17" t="n">
        <v>0</v>
      </c>
      <c r="O162" s="17" t="n">
        <v>0</v>
      </c>
      <c r="P162" s="18" t="n">
        <v>0</v>
      </c>
      <c r="Q162" s="16" t="n">
        <v>9</v>
      </c>
      <c r="R162" s="17" t="n">
        <v>0</v>
      </c>
      <c r="S162" s="17" t="n">
        <v>6</v>
      </c>
      <c r="T162" s="17" t="n">
        <v>0</v>
      </c>
      <c r="U162" s="17" t="n">
        <v>0</v>
      </c>
      <c r="V162" s="17" t="n">
        <v>0</v>
      </c>
      <c r="W162" s="17" t="n">
        <v>3</v>
      </c>
      <c r="X162" s="17" t="n">
        <v>0</v>
      </c>
      <c r="Y162" s="17" t="n">
        <v>0</v>
      </c>
      <c r="Z162" s="18" t="n">
        <v>0</v>
      </c>
      <c r="AA162" s="16" t="n">
        <v>-3</v>
      </c>
      <c r="AB162" s="17" t="n">
        <v>6</v>
      </c>
      <c r="AC162" s="17" t="n">
        <v>0</v>
      </c>
      <c r="AD162" s="17" t="n">
        <v>6</v>
      </c>
      <c r="AE162" s="17" t="n">
        <v>6</v>
      </c>
      <c r="AF162" s="17" t="n">
        <v>6</v>
      </c>
      <c r="AG162" s="17" t="n">
        <v>3</v>
      </c>
      <c r="AH162" s="17" t="n">
        <v>6</v>
      </c>
      <c r="AI162" s="17" t="n">
        <v>6</v>
      </c>
      <c r="AJ162" s="18" t="n">
        <v>6</v>
      </c>
      <c r="AK162" s="16" t="n">
        <v>5933</v>
      </c>
      <c r="AL162" s="17" t="n">
        <v>0</v>
      </c>
      <c r="AM162" s="17" t="n">
        <v>3922</v>
      </c>
      <c r="AN162" s="17" t="n">
        <v>0</v>
      </c>
      <c r="AO162" s="17" t="n">
        <v>0</v>
      </c>
      <c r="AP162" s="17" t="n">
        <v>0</v>
      </c>
      <c r="AQ162" s="17" t="n">
        <v>2001</v>
      </c>
      <c r="AR162" s="17" t="n">
        <v>0</v>
      </c>
      <c r="AS162" s="17" t="n">
        <v>0</v>
      </c>
      <c r="AT162" s="18" t="n">
        <v>0</v>
      </c>
      <c r="AU162" s="16" t="n">
        <v>5868</v>
      </c>
      <c r="AV162" s="17" t="n">
        <v>0</v>
      </c>
      <c r="AW162" s="17" t="n">
        <v>3912</v>
      </c>
      <c r="AX162" s="17" t="n">
        <v>0</v>
      </c>
      <c r="AY162" s="17" t="n">
        <v>0</v>
      </c>
      <c r="AZ162" s="17" t="n">
        <v>0</v>
      </c>
      <c r="BA162" s="17" t="n">
        <v>1956</v>
      </c>
      <c r="BB162" s="17" t="n">
        <v>0</v>
      </c>
      <c r="BC162" s="17" t="n">
        <v>0</v>
      </c>
      <c r="BD162" s="18" t="n">
        <v>0</v>
      </c>
      <c r="BE162" s="16" t="n">
        <v>65</v>
      </c>
      <c r="BF162" s="17" t="n">
        <v>0</v>
      </c>
      <c r="BG162" s="17" t="n">
        <v>10</v>
      </c>
      <c r="BH162" s="17" t="n">
        <v>0</v>
      </c>
      <c r="BI162" s="17" t="n">
        <v>0</v>
      </c>
      <c r="BJ162" s="17" t="n">
        <v>0</v>
      </c>
      <c r="BK162" s="17" t="n">
        <v>45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00169266015</t>
        </is>
      </c>
      <c r="B163" s="15" t="inlineStr">
        <is>
          <t>TRESIBA FLEXTOUCH 100UNIT/ML INJECTION</t>
        </is>
      </c>
      <c r="C163" s="16" t="n">
        <v>15</v>
      </c>
      <c r="D163" s="16" t="n">
        <v>0</v>
      </c>
      <c r="E163" s="16" t="n">
        <v>0</v>
      </c>
      <c r="F163" s="16" t="n">
        <v>0</v>
      </c>
      <c r="G163" s="16" t="n">
        <v>39</v>
      </c>
      <c r="H163" s="17" t="n">
        <v>0</v>
      </c>
      <c r="I163" s="17" t="n">
        <v>39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2.6</v>
      </c>
      <c r="R163" s="17" t="n">
        <v>0</v>
      </c>
      <c r="S163" s="17" t="n">
        <v>2.6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-2.6</v>
      </c>
      <c r="AB163" s="17" t="n">
        <v>0</v>
      </c>
      <c r="AC163" s="17" t="n">
        <v>-2.6</v>
      </c>
      <c r="AD163" s="17" t="n">
        <v>0</v>
      </c>
      <c r="AE163" s="17" t="n">
        <v>0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8" t="n">
        <v>0</v>
      </c>
      <c r="AK163" s="16" t="n">
        <v>1225</v>
      </c>
      <c r="AL163" s="17" t="n">
        <v>0</v>
      </c>
      <c r="AM163" s="17" t="n">
        <v>1225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1225</v>
      </c>
      <c r="BF163" s="17" t="n">
        <v>0</v>
      </c>
      <c r="BG163" s="17" t="n">
        <v>1225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00169255013</t>
        </is>
      </c>
      <c r="B164" s="15" t="inlineStr">
        <is>
          <t>TRESIBA FLEXTOUCH 200UNIT/ML INJECTION</t>
        </is>
      </c>
      <c r="C164" s="16" t="n">
        <v>9</v>
      </c>
      <c r="D164" s="16" t="n">
        <v>2</v>
      </c>
      <c r="E164" s="16" t="n">
        <v>2</v>
      </c>
      <c r="F164" s="16" t="n">
        <v>165</v>
      </c>
      <c r="G164" s="16" t="n">
        <v>30</v>
      </c>
      <c r="H164" s="17" t="n">
        <v>0</v>
      </c>
      <c r="I164" s="17" t="n">
        <v>18</v>
      </c>
      <c r="J164" s="17" t="n">
        <v>0</v>
      </c>
      <c r="K164" s="17" t="n">
        <v>0</v>
      </c>
      <c r="L164" s="17" t="n">
        <v>12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3.333</v>
      </c>
      <c r="R164" s="17" t="n">
        <v>0</v>
      </c>
      <c r="S164" s="17" t="n">
        <v>2</v>
      </c>
      <c r="T164" s="17" t="n">
        <v>0</v>
      </c>
      <c r="U164" s="17" t="n">
        <v>0</v>
      </c>
      <c r="V164" s="17" t="n">
        <v>1.333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-1.333</v>
      </c>
      <c r="AB164" s="17" t="n">
        <v>2</v>
      </c>
      <c r="AC164" s="17" t="n">
        <v>0</v>
      </c>
      <c r="AD164" s="17" t="n">
        <v>2</v>
      </c>
      <c r="AE164" s="17" t="n">
        <v>2</v>
      </c>
      <c r="AF164" s="17" t="n">
        <v>0.667</v>
      </c>
      <c r="AG164" s="17" t="n">
        <v>2</v>
      </c>
      <c r="AH164" s="17" t="n">
        <v>2</v>
      </c>
      <c r="AI164" s="17" t="n">
        <v>2</v>
      </c>
      <c r="AJ164" s="18" t="n">
        <v>2</v>
      </c>
      <c r="AK164" s="16" t="n">
        <v>1231</v>
      </c>
      <c r="AL164" s="17" t="n">
        <v>0</v>
      </c>
      <c r="AM164" s="17" t="n">
        <v>736</v>
      </c>
      <c r="AN164" s="17" t="n">
        <v>0</v>
      </c>
      <c r="AO164" s="17" t="n">
        <v>0</v>
      </c>
      <c r="AP164" s="17" t="n">
        <v>485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550</v>
      </c>
      <c r="AV164" s="17" t="n">
        <v>0</v>
      </c>
      <c r="AW164" s="17" t="n">
        <v>330</v>
      </c>
      <c r="AX164" s="17" t="n">
        <v>0</v>
      </c>
      <c r="AY164" s="17" t="n">
        <v>0</v>
      </c>
      <c r="AZ164" s="17" t="n">
        <v>220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681</v>
      </c>
      <c r="BF164" s="17" t="n">
        <v>0</v>
      </c>
      <c r="BG164" s="17" t="n">
        <v>406</v>
      </c>
      <c r="BH164" s="17" t="n">
        <v>0</v>
      </c>
      <c r="BI164" s="17" t="n">
        <v>0</v>
      </c>
      <c r="BJ164" s="17" t="n">
        <v>265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00597038068</t>
        </is>
      </c>
      <c r="B165" s="15" t="inlineStr">
        <is>
          <t>TRIJARDY XR 10-5-1000 MG ORAL TABLET EXTENDED RELEASE 24 HOUR</t>
        </is>
      </c>
      <c r="C165" s="16" t="n">
        <v>90</v>
      </c>
      <c r="D165" s="16" t="n">
        <v>1</v>
      </c>
      <c r="E165" s="16" t="n">
        <v>1</v>
      </c>
      <c r="F165" s="16" t="n">
        <v>1021</v>
      </c>
      <c r="G165" s="16" t="n">
        <v>90</v>
      </c>
      <c r="H165" s="17" t="n">
        <v>0</v>
      </c>
      <c r="I165" s="17" t="n">
        <v>90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1</v>
      </c>
      <c r="R165" s="17" t="n">
        <v>0</v>
      </c>
      <c r="S165" s="17" t="n">
        <v>1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1</v>
      </c>
      <c r="AC165" s="17" t="n">
        <v>0</v>
      </c>
      <c r="AD165" s="17" t="n">
        <v>1</v>
      </c>
      <c r="AE165" s="17" t="n">
        <v>1</v>
      </c>
      <c r="AF165" s="17" t="n">
        <v>1</v>
      </c>
      <c r="AG165" s="17" t="n">
        <v>1</v>
      </c>
      <c r="AH165" s="17" t="n">
        <v>1</v>
      </c>
      <c r="AI165" s="17" t="n">
        <v>1</v>
      </c>
      <c r="AJ165" s="18" t="n">
        <v>1</v>
      </c>
      <c r="AK165" s="16" t="n">
        <v>982</v>
      </c>
      <c r="AL165" s="17" t="n">
        <v>0</v>
      </c>
      <c r="AM165" s="17" t="n">
        <v>978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1021</v>
      </c>
      <c r="AV165" s="17" t="n">
        <v>0</v>
      </c>
      <c r="AW165" s="17" t="n">
        <v>1021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-39</v>
      </c>
      <c r="BF165" s="17" t="n">
        <v>0</v>
      </c>
      <c r="BG165" s="17" t="n">
        <v>-43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64764073030</t>
        </is>
      </c>
      <c r="B166" s="15" t="inlineStr">
        <is>
          <t>TRINTELLIX 10MG TABLET</t>
        </is>
      </c>
      <c r="C166" s="16" t="n">
        <v>30</v>
      </c>
      <c r="D166" s="16" t="n">
        <v>3</v>
      </c>
      <c r="E166" s="16" t="n">
        <v>3</v>
      </c>
      <c r="F166" s="16" t="n">
        <v>495</v>
      </c>
      <c r="G166" s="16" t="n">
        <v>90</v>
      </c>
      <c r="H166" s="17" t="n">
        <v>0</v>
      </c>
      <c r="I166" s="17" t="n">
        <v>90</v>
      </c>
      <c r="J166" s="17" t="n">
        <v>0</v>
      </c>
      <c r="K166" s="17" t="n">
        <v>0</v>
      </c>
      <c r="L166" s="17" t="n">
        <v>0</v>
      </c>
      <c r="M166" s="17" t="n">
        <v>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3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0</v>
      </c>
      <c r="AD166" s="17" t="n">
        <v>3</v>
      </c>
      <c r="AE166" s="17" t="n">
        <v>3</v>
      </c>
      <c r="AF166" s="17" t="n">
        <v>3</v>
      </c>
      <c r="AG166" s="17" t="n">
        <v>3</v>
      </c>
      <c r="AH166" s="17" t="n">
        <v>3</v>
      </c>
      <c r="AI166" s="17" t="n">
        <v>3</v>
      </c>
      <c r="AJ166" s="18" t="n">
        <v>3</v>
      </c>
      <c r="AK166" s="16" t="n">
        <v>1483</v>
      </c>
      <c r="AL166" s="17" t="n">
        <v>0</v>
      </c>
      <c r="AM166" s="17" t="n">
        <v>1483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8" t="n">
        <v>0</v>
      </c>
      <c r="AU166" s="16" t="n">
        <v>1485</v>
      </c>
      <c r="AV166" s="17" t="n">
        <v>0</v>
      </c>
      <c r="AW166" s="17" t="n">
        <v>1485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8" t="n">
        <v>0</v>
      </c>
      <c r="BE166" s="16" t="n">
        <v>-2</v>
      </c>
      <c r="BF166" s="17" t="n">
        <v>0</v>
      </c>
      <c r="BG166" s="17" t="n">
        <v>-2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00002143380</t>
        </is>
      </c>
      <c r="B167" s="15" t="inlineStr">
        <is>
          <t>TRULICITY 0.75MG/0.5ML INJECTION</t>
        </is>
      </c>
      <c r="C167" s="16" t="n">
        <v>2</v>
      </c>
      <c r="D167" s="16" t="n">
        <v>23</v>
      </c>
      <c r="E167" s="16" t="n">
        <v>23</v>
      </c>
      <c r="F167" s="16" t="n">
        <v>979</v>
      </c>
      <c r="G167" s="16" t="n">
        <v>36</v>
      </c>
      <c r="H167" s="17" t="n">
        <v>0</v>
      </c>
      <c r="I167" s="17" t="n">
        <v>24</v>
      </c>
      <c r="J167" s="17" t="n">
        <v>0</v>
      </c>
      <c r="K167" s="17" t="n">
        <v>0</v>
      </c>
      <c r="L167" s="17" t="n">
        <v>0</v>
      </c>
      <c r="M167" s="17" t="n">
        <v>12</v>
      </c>
      <c r="N167" s="17" t="n">
        <v>0</v>
      </c>
      <c r="O167" s="17" t="n">
        <v>0</v>
      </c>
      <c r="P167" s="18" t="n">
        <v>0</v>
      </c>
      <c r="Q167" s="16" t="n">
        <v>18</v>
      </c>
      <c r="R167" s="17" t="n">
        <v>0</v>
      </c>
      <c r="S167" s="17" t="n">
        <v>12</v>
      </c>
      <c r="T167" s="17" t="n">
        <v>0</v>
      </c>
      <c r="U167" s="17" t="n">
        <v>0</v>
      </c>
      <c r="V167" s="17" t="n">
        <v>0</v>
      </c>
      <c r="W167" s="17" t="n">
        <v>6</v>
      </c>
      <c r="X167" s="17" t="n">
        <v>0</v>
      </c>
      <c r="Y167" s="17" t="n">
        <v>0</v>
      </c>
      <c r="Z167" s="18" t="n">
        <v>0</v>
      </c>
      <c r="AA167" s="16" t="n">
        <v>5</v>
      </c>
      <c r="AB167" s="17" t="n">
        <v>23</v>
      </c>
      <c r="AC167" s="17" t="n">
        <v>11</v>
      </c>
      <c r="AD167" s="17" t="n">
        <v>23</v>
      </c>
      <c r="AE167" s="17" t="n">
        <v>23</v>
      </c>
      <c r="AF167" s="17" t="n">
        <v>23</v>
      </c>
      <c r="AG167" s="17" t="n">
        <v>17</v>
      </c>
      <c r="AH167" s="17" t="n">
        <v>23</v>
      </c>
      <c r="AI167" s="17" t="n">
        <v>23</v>
      </c>
      <c r="AJ167" s="18" t="n">
        <v>23</v>
      </c>
      <c r="AK167" s="16" t="n">
        <v>17161</v>
      </c>
      <c r="AL167" s="17" t="n">
        <v>0</v>
      </c>
      <c r="AM167" s="17" t="n">
        <v>11358</v>
      </c>
      <c r="AN167" s="17" t="n">
        <v>0</v>
      </c>
      <c r="AO167" s="17" t="n">
        <v>0</v>
      </c>
      <c r="AP167" s="17" t="n">
        <v>0</v>
      </c>
      <c r="AQ167" s="17" t="n">
        <v>5798</v>
      </c>
      <c r="AR167" s="17" t="n">
        <v>0</v>
      </c>
      <c r="AS167" s="17" t="n">
        <v>0</v>
      </c>
      <c r="AT167" s="18" t="n">
        <v>0</v>
      </c>
      <c r="AU167" s="16" t="n">
        <v>17622</v>
      </c>
      <c r="AV167" s="17" t="n">
        <v>0</v>
      </c>
      <c r="AW167" s="17" t="n">
        <v>11748</v>
      </c>
      <c r="AX167" s="17" t="n">
        <v>0</v>
      </c>
      <c r="AY167" s="17" t="n">
        <v>0</v>
      </c>
      <c r="AZ167" s="17" t="n">
        <v>0</v>
      </c>
      <c r="BA167" s="17" t="n">
        <v>5874</v>
      </c>
      <c r="BB167" s="17" t="n">
        <v>0</v>
      </c>
      <c r="BC167" s="17" t="n">
        <v>0</v>
      </c>
      <c r="BD167" s="18" t="n">
        <v>0</v>
      </c>
      <c r="BE167" s="16" t="n">
        <v>-461</v>
      </c>
      <c r="BF167" s="17" t="n">
        <v>0</v>
      </c>
      <c r="BG167" s="17" t="n">
        <v>-390</v>
      </c>
      <c r="BH167" s="17" t="n">
        <v>0</v>
      </c>
      <c r="BI167" s="17" t="n">
        <v>0</v>
      </c>
      <c r="BJ167" s="17" t="n">
        <v>0</v>
      </c>
      <c r="BK167" s="17" t="n">
        <v>-76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00002143480</t>
        </is>
      </c>
      <c r="B168" s="15" t="inlineStr">
        <is>
          <t>TRULICITY 1.5MG/0.5ML INJECTION</t>
        </is>
      </c>
      <c r="C168" s="16" t="n">
        <v>2</v>
      </c>
      <c r="D168" s="16" t="n">
        <v>6</v>
      </c>
      <c r="E168" s="16" t="n">
        <v>6</v>
      </c>
      <c r="F168" s="16" t="n">
        <v>979</v>
      </c>
      <c r="G168" s="16" t="n">
        <v>18</v>
      </c>
      <c r="H168" s="17" t="n">
        <v>0</v>
      </c>
      <c r="I168" s="17" t="n">
        <v>6</v>
      </c>
      <c r="J168" s="17" t="n">
        <v>0</v>
      </c>
      <c r="K168" s="17" t="n">
        <v>0</v>
      </c>
      <c r="L168" s="17" t="n">
        <v>0</v>
      </c>
      <c r="M168" s="17" t="n">
        <v>12</v>
      </c>
      <c r="N168" s="17" t="n">
        <v>0</v>
      </c>
      <c r="O168" s="17" t="n">
        <v>0</v>
      </c>
      <c r="P168" s="18" t="n">
        <v>0</v>
      </c>
      <c r="Q168" s="16" t="n">
        <v>9</v>
      </c>
      <c r="R168" s="17" t="n">
        <v>0</v>
      </c>
      <c r="S168" s="17" t="n">
        <v>3</v>
      </c>
      <c r="T168" s="17" t="n">
        <v>0</v>
      </c>
      <c r="U168" s="17" t="n">
        <v>0</v>
      </c>
      <c r="V168" s="17" t="n">
        <v>0</v>
      </c>
      <c r="W168" s="17" t="n">
        <v>6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6</v>
      </c>
      <c r="AC168" s="17" t="n">
        <v>3</v>
      </c>
      <c r="AD168" s="17" t="n">
        <v>6</v>
      </c>
      <c r="AE168" s="17" t="n">
        <v>6</v>
      </c>
      <c r="AF168" s="17" t="n">
        <v>6</v>
      </c>
      <c r="AG168" s="17" t="n">
        <v>0</v>
      </c>
      <c r="AH168" s="17" t="n">
        <v>6</v>
      </c>
      <c r="AI168" s="17" t="n">
        <v>6</v>
      </c>
      <c r="AJ168" s="18" t="n">
        <v>6</v>
      </c>
      <c r="AK168" s="16" t="n">
        <v>8663</v>
      </c>
      <c r="AL168" s="17" t="n">
        <v>0</v>
      </c>
      <c r="AM168" s="17" t="n">
        <v>2822</v>
      </c>
      <c r="AN168" s="17" t="n">
        <v>0</v>
      </c>
      <c r="AO168" s="17" t="n">
        <v>0</v>
      </c>
      <c r="AP168" s="17" t="n">
        <v>0</v>
      </c>
      <c r="AQ168" s="17" t="n">
        <v>5815</v>
      </c>
      <c r="AR168" s="17" t="n">
        <v>0</v>
      </c>
      <c r="AS168" s="17" t="n">
        <v>0</v>
      </c>
      <c r="AT168" s="18" t="n">
        <v>0</v>
      </c>
      <c r="AU168" s="16" t="n">
        <v>8811</v>
      </c>
      <c r="AV168" s="17" t="n">
        <v>0</v>
      </c>
      <c r="AW168" s="17" t="n">
        <v>2937</v>
      </c>
      <c r="AX168" s="17" t="n">
        <v>0</v>
      </c>
      <c r="AY168" s="17" t="n">
        <v>0</v>
      </c>
      <c r="AZ168" s="17" t="n">
        <v>0</v>
      </c>
      <c r="BA168" s="17" t="n">
        <v>5874</v>
      </c>
      <c r="BB168" s="17" t="n">
        <v>0</v>
      </c>
      <c r="BC168" s="17" t="n">
        <v>0</v>
      </c>
      <c r="BD168" s="18" t="n">
        <v>0</v>
      </c>
      <c r="BE168" s="16" t="n">
        <v>-148</v>
      </c>
      <c r="BF168" s="17" t="n">
        <v>0</v>
      </c>
      <c r="BG168" s="17" t="n">
        <v>-116</v>
      </c>
      <c r="BH168" s="17" t="n">
        <v>0</v>
      </c>
      <c r="BI168" s="17" t="n">
        <v>0</v>
      </c>
      <c r="BJ168" s="17" t="n">
        <v>0</v>
      </c>
      <c r="BK168" s="17" t="n">
        <v>-59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00002223680</t>
        </is>
      </c>
      <c r="B169" s="15" t="inlineStr">
        <is>
          <t>TRULICITY 3MG/0.5ML INJECTION</t>
        </is>
      </c>
      <c r="C169" s="16" t="n">
        <v>2</v>
      </c>
      <c r="D169" s="16" t="n">
        <v>9</v>
      </c>
      <c r="E169" s="16" t="n">
        <v>9</v>
      </c>
      <c r="F169" s="16" t="n">
        <v>979</v>
      </c>
      <c r="G169" s="16" t="n">
        <v>24</v>
      </c>
      <c r="H169" s="17" t="n">
        <v>0</v>
      </c>
      <c r="I169" s="17" t="n">
        <v>24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12</v>
      </c>
      <c r="R169" s="17" t="n">
        <v>0</v>
      </c>
      <c r="S169" s="17" t="n">
        <v>12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9</v>
      </c>
      <c r="AC169" s="17" t="n">
        <v>-3</v>
      </c>
      <c r="AD169" s="17" t="n">
        <v>9</v>
      </c>
      <c r="AE169" s="17" t="n">
        <v>9</v>
      </c>
      <c r="AF169" s="17" t="n">
        <v>9</v>
      </c>
      <c r="AG169" s="17" t="n">
        <v>9</v>
      </c>
      <c r="AH169" s="17" t="n">
        <v>9</v>
      </c>
      <c r="AI169" s="17" t="n">
        <v>9</v>
      </c>
      <c r="AJ169" s="18" t="n">
        <v>9</v>
      </c>
      <c r="AK169" s="16" t="n">
        <v>11255</v>
      </c>
      <c r="AL169" s="17" t="n">
        <v>0</v>
      </c>
      <c r="AM169" s="17" t="n">
        <v>11250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11748</v>
      </c>
      <c r="AV169" s="17" t="n">
        <v>0</v>
      </c>
      <c r="AW169" s="17" t="n">
        <v>11748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-493</v>
      </c>
      <c r="BF169" s="17" t="n">
        <v>0</v>
      </c>
      <c r="BG169" s="17" t="n">
        <v>-498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00002318280</t>
        </is>
      </c>
      <c r="B170" s="15" t="inlineStr">
        <is>
          <t>TRULICITY 4.5 MG/0.5ML SOLUTION</t>
        </is>
      </c>
      <c r="C170" s="16" t="n">
        <v>2</v>
      </c>
      <c r="D170" s="16" t="n">
        <v>10</v>
      </c>
      <c r="E170" s="16" t="n">
        <v>10</v>
      </c>
      <c r="F170" s="16" t="n">
        <v>979</v>
      </c>
      <c r="G170" s="16" t="n">
        <v>24</v>
      </c>
      <c r="H170" s="17" t="n">
        <v>0</v>
      </c>
      <c r="I170" s="17" t="n">
        <v>18</v>
      </c>
      <c r="J170" s="17" t="n">
        <v>6</v>
      </c>
      <c r="K170" s="17" t="n">
        <v>0</v>
      </c>
      <c r="L170" s="17" t="n">
        <v>0</v>
      </c>
      <c r="M170" s="17" t="n">
        <v>0</v>
      </c>
      <c r="N170" s="17" t="n">
        <v>0</v>
      </c>
      <c r="O170" s="17" t="n">
        <v>0</v>
      </c>
      <c r="P170" s="18" t="n">
        <v>0</v>
      </c>
      <c r="Q170" s="16" t="n">
        <v>12</v>
      </c>
      <c r="R170" s="17" t="n">
        <v>0</v>
      </c>
      <c r="S170" s="17" t="n">
        <v>9</v>
      </c>
      <c r="T170" s="17" t="n">
        <v>3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8" t="n">
        <v>0</v>
      </c>
      <c r="AA170" s="16" t="n">
        <v>-2</v>
      </c>
      <c r="AB170" s="17" t="n">
        <v>10</v>
      </c>
      <c r="AC170" s="17" t="n">
        <v>1</v>
      </c>
      <c r="AD170" s="17" t="n">
        <v>7</v>
      </c>
      <c r="AE170" s="17" t="n">
        <v>10</v>
      </c>
      <c r="AF170" s="17" t="n">
        <v>10</v>
      </c>
      <c r="AG170" s="17" t="n">
        <v>10</v>
      </c>
      <c r="AH170" s="17" t="n">
        <v>10</v>
      </c>
      <c r="AI170" s="17" t="n">
        <v>10</v>
      </c>
      <c r="AJ170" s="18" t="n">
        <v>10</v>
      </c>
      <c r="AK170" s="16" t="n">
        <v>11036</v>
      </c>
      <c r="AL170" s="17" t="n">
        <v>0</v>
      </c>
      <c r="AM170" s="17" t="n">
        <v>8330</v>
      </c>
      <c r="AN170" s="17" t="n">
        <v>2696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8" t="n">
        <v>0</v>
      </c>
      <c r="AU170" s="16" t="n">
        <v>11748</v>
      </c>
      <c r="AV170" s="17" t="n">
        <v>0</v>
      </c>
      <c r="AW170" s="17" t="n">
        <v>8811</v>
      </c>
      <c r="AX170" s="17" t="n">
        <v>2937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8" t="n">
        <v>0</v>
      </c>
      <c r="BE170" s="16" t="n">
        <v>-712</v>
      </c>
      <c r="BF170" s="17" t="n">
        <v>0</v>
      </c>
      <c r="BG170" s="17" t="n">
        <v>-481</v>
      </c>
      <c r="BH170" s="17" t="n">
        <v>-241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00023649810</t>
        </is>
      </c>
      <c r="B171" s="15" t="inlineStr">
        <is>
          <t>UBRELVY 50 MG ORAL TABLET</t>
        </is>
      </c>
      <c r="C171" s="16" t="n">
        <v>10</v>
      </c>
      <c r="D171" s="16" t="n">
        <v>1</v>
      </c>
      <c r="E171" s="16" t="n">
        <v>1</v>
      </c>
      <c r="F171" s="16" t="n">
        <v>1099</v>
      </c>
      <c r="G171" s="16" t="n">
        <v>50</v>
      </c>
      <c r="H171" s="17" t="n">
        <v>0</v>
      </c>
      <c r="I171" s="17" t="n">
        <v>40</v>
      </c>
      <c r="J171" s="17" t="n">
        <v>0</v>
      </c>
      <c r="K171" s="17" t="n">
        <v>0</v>
      </c>
      <c r="L171" s="17" t="n">
        <v>0</v>
      </c>
      <c r="M171" s="17" t="n">
        <v>10</v>
      </c>
      <c r="N171" s="17" t="n">
        <v>0</v>
      </c>
      <c r="O171" s="17" t="n">
        <v>0</v>
      </c>
      <c r="P171" s="18" t="n">
        <v>0</v>
      </c>
      <c r="Q171" s="16" t="n">
        <v>5</v>
      </c>
      <c r="R171" s="17" t="n">
        <v>0</v>
      </c>
      <c r="S171" s="17" t="n">
        <v>4</v>
      </c>
      <c r="T171" s="17" t="n">
        <v>0</v>
      </c>
      <c r="U171" s="17" t="n">
        <v>0</v>
      </c>
      <c r="V171" s="17" t="n">
        <v>0</v>
      </c>
      <c r="W171" s="17" t="n">
        <v>1</v>
      </c>
      <c r="X171" s="17" t="n">
        <v>0</v>
      </c>
      <c r="Y171" s="17" t="n">
        <v>0</v>
      </c>
      <c r="Z171" s="18" t="n">
        <v>0</v>
      </c>
      <c r="AA171" s="16" t="n">
        <v>-4</v>
      </c>
      <c r="AB171" s="17" t="n">
        <v>1</v>
      </c>
      <c r="AC171" s="17" t="n">
        <v>-3</v>
      </c>
      <c r="AD171" s="17" t="n">
        <v>1</v>
      </c>
      <c r="AE171" s="17" t="n">
        <v>1</v>
      </c>
      <c r="AF171" s="17" t="n">
        <v>1</v>
      </c>
      <c r="AG171" s="17" t="n">
        <v>0</v>
      </c>
      <c r="AH171" s="17" t="n">
        <v>1</v>
      </c>
      <c r="AI171" s="17" t="n">
        <v>1</v>
      </c>
      <c r="AJ171" s="18" t="n">
        <v>1</v>
      </c>
      <c r="AK171" s="16" t="n">
        <v>5369</v>
      </c>
      <c r="AL171" s="17" t="n">
        <v>0</v>
      </c>
      <c r="AM171" s="17" t="n">
        <v>4251</v>
      </c>
      <c r="AN171" s="17" t="n">
        <v>0</v>
      </c>
      <c r="AO171" s="17" t="n">
        <v>0</v>
      </c>
      <c r="AP171" s="17" t="n">
        <v>0</v>
      </c>
      <c r="AQ171" s="17" t="n">
        <v>1101</v>
      </c>
      <c r="AR171" s="17" t="n">
        <v>0</v>
      </c>
      <c r="AS171" s="17" t="n">
        <v>0</v>
      </c>
      <c r="AT171" s="18" t="n">
        <v>0</v>
      </c>
      <c r="AU171" s="16" t="n">
        <v>5495</v>
      </c>
      <c r="AV171" s="17" t="n">
        <v>0</v>
      </c>
      <c r="AW171" s="17" t="n">
        <v>4396</v>
      </c>
      <c r="AX171" s="17" t="n">
        <v>0</v>
      </c>
      <c r="AY171" s="17" t="n">
        <v>0</v>
      </c>
      <c r="AZ171" s="17" t="n">
        <v>0</v>
      </c>
      <c r="BA171" s="17" t="n">
        <v>1099</v>
      </c>
      <c r="BB171" s="17" t="n">
        <v>0</v>
      </c>
      <c r="BC171" s="17" t="n">
        <v>0</v>
      </c>
      <c r="BD171" s="18" t="n">
        <v>0</v>
      </c>
      <c r="BE171" s="16" t="n">
        <v>-126</v>
      </c>
      <c r="BF171" s="17" t="n">
        <v>0</v>
      </c>
      <c r="BG171" s="17" t="n">
        <v>-145</v>
      </c>
      <c r="BH171" s="17" t="n">
        <v>0</v>
      </c>
      <c r="BI171" s="17" t="n">
        <v>0</v>
      </c>
      <c r="BJ171" s="17" t="n">
        <v>0</v>
      </c>
      <c r="BK171" s="17" t="n">
        <v>2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52937000340</t>
        </is>
      </c>
      <c r="B172" s="15" t="inlineStr">
        <is>
          <t>VASCEPA 0.5 GM ORAL CAPSULE</t>
        </is>
      </c>
      <c r="C172" s="16" t="n">
        <v>240</v>
      </c>
      <c r="D172" s="16" t="n">
        <v>0</v>
      </c>
      <c r="E172" s="16" t="n">
        <v>0</v>
      </c>
      <c r="F172" s="16" t="n">
        <v>0</v>
      </c>
      <c r="G172" s="16" t="n">
        <v>180</v>
      </c>
      <c r="H172" s="17" t="n">
        <v>0</v>
      </c>
      <c r="I172" s="17" t="n">
        <v>180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0.75</v>
      </c>
      <c r="R172" s="17" t="n">
        <v>0</v>
      </c>
      <c r="S172" s="17" t="n">
        <v>0.75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-0.75</v>
      </c>
      <c r="AB172" s="17" t="n">
        <v>0</v>
      </c>
      <c r="AC172" s="17" t="n">
        <v>-0.75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298</v>
      </c>
      <c r="AL172" s="17" t="n">
        <v>0</v>
      </c>
      <c r="AM172" s="17" t="n">
        <v>161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298</v>
      </c>
      <c r="BF172" s="17" t="n">
        <v>0</v>
      </c>
      <c r="BG172" s="17" t="n">
        <v>161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52937000120</t>
        </is>
      </c>
      <c r="B173" s="15" t="inlineStr">
        <is>
          <t>VASCEPA 1GM CAPSULE</t>
        </is>
      </c>
      <c r="C173" s="16" t="n">
        <v>120</v>
      </c>
      <c r="D173" s="16" t="n">
        <v>21</v>
      </c>
      <c r="E173" s="16" t="n">
        <v>21</v>
      </c>
      <c r="F173" s="16" t="n">
        <v>345</v>
      </c>
      <c r="G173" s="16" t="n">
        <v>1710</v>
      </c>
      <c r="H173" s="17" t="n">
        <v>0</v>
      </c>
      <c r="I173" s="17" t="n">
        <v>1710</v>
      </c>
      <c r="J173" s="17" t="n">
        <v>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14.25</v>
      </c>
      <c r="R173" s="17" t="n">
        <v>0</v>
      </c>
      <c r="S173" s="17" t="n">
        <v>14.25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6.75</v>
      </c>
      <c r="AB173" s="17" t="n">
        <v>21</v>
      </c>
      <c r="AC173" s="17" t="n">
        <v>6.75</v>
      </c>
      <c r="AD173" s="17" t="n">
        <v>21</v>
      </c>
      <c r="AE173" s="17" t="n">
        <v>21</v>
      </c>
      <c r="AF173" s="17" t="n">
        <v>21</v>
      </c>
      <c r="AG173" s="17" t="n">
        <v>21</v>
      </c>
      <c r="AH173" s="17" t="n">
        <v>21</v>
      </c>
      <c r="AI173" s="17" t="n">
        <v>21</v>
      </c>
      <c r="AJ173" s="18" t="n">
        <v>21</v>
      </c>
      <c r="AK173" s="16" t="n">
        <v>4763</v>
      </c>
      <c r="AL173" s="17" t="n">
        <v>0</v>
      </c>
      <c r="AM173" s="17" t="n">
        <v>4406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4916</v>
      </c>
      <c r="AV173" s="17" t="n">
        <v>0</v>
      </c>
      <c r="AW173" s="17" t="n">
        <v>4916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-154</v>
      </c>
      <c r="BF173" s="17" t="n">
        <v>0</v>
      </c>
      <c r="BG173" s="17" t="n">
        <v>-510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53436016830</t>
        </is>
      </c>
      <c r="B174" s="15" t="inlineStr">
        <is>
          <t>VELTASSA 16.8 GM ORAL PACKET</t>
        </is>
      </c>
      <c r="C174" s="16" t="n">
        <v>30</v>
      </c>
      <c r="D174" s="16" t="n">
        <v>3</v>
      </c>
      <c r="E174" s="16" t="n">
        <v>3</v>
      </c>
      <c r="F174" s="16" t="n">
        <v>1028</v>
      </c>
      <c r="G174" s="16" t="n">
        <v>90</v>
      </c>
      <c r="H174" s="17" t="n">
        <v>0</v>
      </c>
      <c r="I174" s="17" t="n">
        <v>0</v>
      </c>
      <c r="J174" s="17" t="n">
        <v>0</v>
      </c>
      <c r="K174" s="17" t="n">
        <v>0</v>
      </c>
      <c r="L174" s="17" t="n">
        <v>0</v>
      </c>
      <c r="M174" s="17" t="n">
        <v>90</v>
      </c>
      <c r="N174" s="17" t="n">
        <v>0</v>
      </c>
      <c r="O174" s="17" t="n">
        <v>0</v>
      </c>
      <c r="P174" s="18" t="n">
        <v>0</v>
      </c>
      <c r="Q174" s="16" t="n">
        <v>3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3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3</v>
      </c>
      <c r="AC174" s="17" t="n">
        <v>3</v>
      </c>
      <c r="AD174" s="17" t="n">
        <v>3</v>
      </c>
      <c r="AE174" s="17" t="n">
        <v>3</v>
      </c>
      <c r="AF174" s="17" t="n">
        <v>3</v>
      </c>
      <c r="AG174" s="17" t="n">
        <v>0</v>
      </c>
      <c r="AH174" s="17" t="n">
        <v>3</v>
      </c>
      <c r="AI174" s="17" t="n">
        <v>3</v>
      </c>
      <c r="AJ174" s="18" t="n">
        <v>3</v>
      </c>
      <c r="AK174" s="16" t="n">
        <v>3076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3076</v>
      </c>
      <c r="AR174" s="17" t="n">
        <v>0</v>
      </c>
      <c r="AS174" s="17" t="n">
        <v>0</v>
      </c>
      <c r="AT174" s="18" t="n">
        <v>0</v>
      </c>
      <c r="AU174" s="16" t="n">
        <v>3084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3084</v>
      </c>
      <c r="BB174" s="17" t="n">
        <v>0</v>
      </c>
      <c r="BC174" s="17" t="n">
        <v>0</v>
      </c>
      <c r="BD174" s="18" t="n">
        <v>0</v>
      </c>
      <c r="BE174" s="16" t="n">
        <v>-8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-8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53436008430</t>
        </is>
      </c>
      <c r="B175" s="15" t="inlineStr">
        <is>
          <t>VELTASSA 8.4GM PACK</t>
        </is>
      </c>
      <c r="C175" s="16" t="n">
        <v>30</v>
      </c>
      <c r="D175" s="16" t="n">
        <v>3</v>
      </c>
      <c r="E175" s="16" t="n">
        <v>3</v>
      </c>
      <c r="F175" s="16" t="n">
        <v>1025</v>
      </c>
      <c r="G175" s="16" t="n">
        <v>90</v>
      </c>
      <c r="H175" s="17" t="n">
        <v>0</v>
      </c>
      <c r="I175" s="17" t="n">
        <v>0</v>
      </c>
      <c r="J175" s="17" t="n">
        <v>0</v>
      </c>
      <c r="K175" s="17" t="n">
        <v>0</v>
      </c>
      <c r="L175" s="17" t="n">
        <v>0</v>
      </c>
      <c r="M175" s="17" t="n">
        <v>90</v>
      </c>
      <c r="N175" s="17" t="n">
        <v>0</v>
      </c>
      <c r="O175" s="17" t="n">
        <v>0</v>
      </c>
      <c r="P175" s="18" t="n">
        <v>0</v>
      </c>
      <c r="Q175" s="16" t="n">
        <v>3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3</v>
      </c>
      <c r="X175" s="17" t="n">
        <v>0</v>
      </c>
      <c r="Y175" s="17" t="n">
        <v>0</v>
      </c>
      <c r="Z175" s="18" t="n">
        <v>0</v>
      </c>
      <c r="AA175" s="16" t="n">
        <v>0</v>
      </c>
      <c r="AB175" s="17" t="n">
        <v>3</v>
      </c>
      <c r="AC175" s="17" t="n">
        <v>3</v>
      </c>
      <c r="AD175" s="17" t="n">
        <v>3</v>
      </c>
      <c r="AE175" s="17" t="n">
        <v>3</v>
      </c>
      <c r="AF175" s="17" t="n">
        <v>3</v>
      </c>
      <c r="AG175" s="17" t="n">
        <v>0</v>
      </c>
      <c r="AH175" s="17" t="n">
        <v>3</v>
      </c>
      <c r="AI175" s="17" t="n">
        <v>3</v>
      </c>
      <c r="AJ175" s="18" t="n">
        <v>3</v>
      </c>
      <c r="AK175" s="16" t="n">
        <v>3073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3073</v>
      </c>
      <c r="AR175" s="17" t="n">
        <v>0</v>
      </c>
      <c r="AS175" s="17" t="n">
        <v>0</v>
      </c>
      <c r="AT175" s="18" t="n">
        <v>0</v>
      </c>
      <c r="AU175" s="16" t="n">
        <v>3075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3075</v>
      </c>
      <c r="BB175" s="17" t="n">
        <v>0</v>
      </c>
      <c r="BC175" s="17" t="n">
        <v>0</v>
      </c>
      <c r="BD175" s="18" t="n">
        <v>0</v>
      </c>
      <c r="BE175" s="16" t="n">
        <v>-2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-2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61958230101</t>
        </is>
      </c>
      <c r="B176" s="15" t="inlineStr">
        <is>
          <t>VEMLIDY 25 MG ORAL TABLET</t>
        </is>
      </c>
      <c r="C176" s="16" t="n">
        <v>30</v>
      </c>
      <c r="D176" s="16" t="n">
        <v>3</v>
      </c>
      <c r="E176" s="16" t="n">
        <v>3</v>
      </c>
      <c r="F176" s="16" t="n">
        <v>1572</v>
      </c>
      <c r="G176" s="16" t="n">
        <v>90</v>
      </c>
      <c r="H176" s="17" t="n">
        <v>0</v>
      </c>
      <c r="I176" s="17" t="n">
        <v>90</v>
      </c>
      <c r="J176" s="17" t="n">
        <v>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8" t="n">
        <v>0</v>
      </c>
      <c r="Q176" s="16" t="n">
        <v>3</v>
      </c>
      <c r="R176" s="17" t="n">
        <v>0</v>
      </c>
      <c r="S176" s="17" t="n">
        <v>3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8" t="n">
        <v>0</v>
      </c>
      <c r="AA176" s="16" t="n">
        <v>0</v>
      </c>
      <c r="AB176" s="17" t="n">
        <v>3</v>
      </c>
      <c r="AC176" s="17" t="n">
        <v>0</v>
      </c>
      <c r="AD176" s="17" t="n">
        <v>3</v>
      </c>
      <c r="AE176" s="17" t="n">
        <v>3</v>
      </c>
      <c r="AF176" s="17" t="n">
        <v>3</v>
      </c>
      <c r="AG176" s="17" t="n">
        <v>3</v>
      </c>
      <c r="AH176" s="17" t="n">
        <v>3</v>
      </c>
      <c r="AI176" s="17" t="n">
        <v>3</v>
      </c>
      <c r="AJ176" s="18" t="n">
        <v>3</v>
      </c>
      <c r="AK176" s="16" t="n">
        <v>4418</v>
      </c>
      <c r="AL176" s="17" t="n">
        <v>0</v>
      </c>
      <c r="AM176" s="17" t="n">
        <v>4413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8" t="n">
        <v>0</v>
      </c>
      <c r="AU176" s="16" t="n">
        <v>4716</v>
      </c>
      <c r="AV176" s="17" t="n">
        <v>0</v>
      </c>
      <c r="AW176" s="17" t="n">
        <v>4716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8" t="n">
        <v>0</v>
      </c>
      <c r="BE176" s="16" t="n">
        <v>-298</v>
      </c>
      <c r="BF176" s="17" t="n">
        <v>0</v>
      </c>
      <c r="BG176" s="17" t="n">
        <v>-303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00173068220</t>
        </is>
      </c>
      <c r="B177" s="15" t="inlineStr">
        <is>
          <t xml:space="preserve">VENTOLIN HFA 108 (90 BASE) </t>
        </is>
      </c>
      <c r="C177" s="16" t="n">
        <v>18</v>
      </c>
      <c r="D177" s="16" t="n">
        <v>0</v>
      </c>
      <c r="E177" s="16" t="n">
        <v>0</v>
      </c>
      <c r="F177" s="16" t="n">
        <v>0</v>
      </c>
      <c r="G177" s="16" t="n">
        <v>72</v>
      </c>
      <c r="H177" s="17" t="n">
        <v>0</v>
      </c>
      <c r="I177" s="17" t="n">
        <v>54</v>
      </c>
      <c r="J177" s="17" t="n">
        <v>0</v>
      </c>
      <c r="K177" s="17" t="n">
        <v>0</v>
      </c>
      <c r="L177" s="17" t="n">
        <v>0</v>
      </c>
      <c r="M177" s="17" t="n">
        <v>18</v>
      </c>
      <c r="N177" s="17" t="n">
        <v>0</v>
      </c>
      <c r="O177" s="17" t="n">
        <v>0</v>
      </c>
      <c r="P177" s="18" t="n">
        <v>0</v>
      </c>
      <c r="Q177" s="16" t="n">
        <v>4</v>
      </c>
      <c r="R177" s="17" t="n">
        <v>0</v>
      </c>
      <c r="S177" s="17" t="n">
        <v>3</v>
      </c>
      <c r="T177" s="17" t="n">
        <v>0</v>
      </c>
      <c r="U177" s="17" t="n">
        <v>0</v>
      </c>
      <c r="V177" s="17" t="n">
        <v>0</v>
      </c>
      <c r="W177" s="17" t="n">
        <v>1</v>
      </c>
      <c r="X177" s="17" t="n">
        <v>0</v>
      </c>
      <c r="Y177" s="17" t="n">
        <v>0</v>
      </c>
      <c r="Z177" s="18" t="n">
        <v>0</v>
      </c>
      <c r="AA177" s="16" t="n">
        <v>-4</v>
      </c>
      <c r="AB177" s="17" t="n">
        <v>0</v>
      </c>
      <c r="AC177" s="17" t="n">
        <v>-3</v>
      </c>
      <c r="AD177" s="17" t="n">
        <v>0</v>
      </c>
      <c r="AE177" s="17" t="n">
        <v>0</v>
      </c>
      <c r="AF177" s="17" t="n">
        <v>0</v>
      </c>
      <c r="AG177" s="17" t="n">
        <v>-1</v>
      </c>
      <c r="AH177" s="17" t="n">
        <v>0</v>
      </c>
      <c r="AI177" s="17" t="n">
        <v>0</v>
      </c>
      <c r="AJ177" s="18" t="n">
        <v>0</v>
      </c>
      <c r="AK177" s="16" t="n">
        <v>224</v>
      </c>
      <c r="AL177" s="17" t="n">
        <v>0</v>
      </c>
      <c r="AM177" s="17" t="n">
        <v>159</v>
      </c>
      <c r="AN177" s="17" t="n">
        <v>0</v>
      </c>
      <c r="AO177" s="17" t="n">
        <v>0</v>
      </c>
      <c r="AP177" s="17" t="n">
        <v>0</v>
      </c>
      <c r="AQ177" s="17" t="n">
        <v>65</v>
      </c>
      <c r="AR177" s="17" t="n">
        <v>0</v>
      </c>
      <c r="AS177" s="17" t="n">
        <v>0</v>
      </c>
      <c r="AT177" s="18" t="n">
        <v>0</v>
      </c>
      <c r="AU177" s="16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8" t="n">
        <v>0</v>
      </c>
      <c r="BE177" s="16" t="n">
        <v>224</v>
      </c>
      <c r="BF177" s="17" t="n">
        <v>0</v>
      </c>
      <c r="BG177" s="17" t="n">
        <v>159</v>
      </c>
      <c r="BH177" s="17" t="n">
        <v>0</v>
      </c>
      <c r="BI177" s="17" t="n">
        <v>0</v>
      </c>
      <c r="BJ177" s="17" t="n">
        <v>0</v>
      </c>
      <c r="BK177" s="17" t="n">
        <v>65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00469266030</t>
        </is>
      </c>
      <c r="B178" s="15" t="inlineStr">
        <is>
          <t>VEOZAH 45 MG ORAL TABLET</t>
        </is>
      </c>
      <c r="C178" s="16" t="n">
        <v>30</v>
      </c>
      <c r="D178" s="16" t="n">
        <v>0</v>
      </c>
      <c r="E178" s="16" t="n">
        <v>0</v>
      </c>
      <c r="F178" s="16" t="n">
        <v>0</v>
      </c>
      <c r="G178" s="16" t="n">
        <v>30</v>
      </c>
      <c r="H178" s="17" t="n">
        <v>0</v>
      </c>
      <c r="I178" s="17" t="n">
        <v>30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1</v>
      </c>
      <c r="R178" s="17" t="n">
        <v>0</v>
      </c>
      <c r="S178" s="17" t="n">
        <v>1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0</v>
      </c>
      <c r="AC178" s="17" t="n">
        <v>-1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8" t="n">
        <v>0</v>
      </c>
      <c r="AK178" s="16" t="n">
        <v>537</v>
      </c>
      <c r="AL178" s="17" t="n">
        <v>0</v>
      </c>
      <c r="AM178" s="17" t="n">
        <v>497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537</v>
      </c>
      <c r="BF178" s="17" t="n">
        <v>0</v>
      </c>
      <c r="BG178" s="17" t="n">
        <v>497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82667090002</t>
        </is>
      </c>
      <c r="B179" s="15" t="inlineStr">
        <is>
          <t>VEVYE 0.1 % OPHTHALMIC SOLUTION</t>
        </is>
      </c>
      <c r="C179" s="16" t="n">
        <v>2</v>
      </c>
      <c r="D179" s="16" t="n">
        <v>3</v>
      </c>
      <c r="E179" s="16" t="n">
        <v>3</v>
      </c>
      <c r="F179" s="16" t="n">
        <v>749</v>
      </c>
      <c r="G179" s="16" t="n">
        <v>6</v>
      </c>
      <c r="H179" s="17" t="n">
        <v>0</v>
      </c>
      <c r="I179" s="17" t="n">
        <v>6</v>
      </c>
      <c r="J179" s="17" t="n">
        <v>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3</v>
      </c>
      <c r="R179" s="17" t="n">
        <v>0</v>
      </c>
      <c r="S179" s="17" t="n">
        <v>3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0</v>
      </c>
      <c r="AB179" s="17" t="n">
        <v>3</v>
      </c>
      <c r="AC179" s="17" t="n">
        <v>0</v>
      </c>
      <c r="AD179" s="17" t="n">
        <v>3</v>
      </c>
      <c r="AE179" s="17" t="n">
        <v>3</v>
      </c>
      <c r="AF179" s="17" t="n">
        <v>3</v>
      </c>
      <c r="AG179" s="17" t="n">
        <v>3</v>
      </c>
      <c r="AH179" s="17" t="n">
        <v>3</v>
      </c>
      <c r="AI179" s="17" t="n">
        <v>3</v>
      </c>
      <c r="AJ179" s="18" t="n">
        <v>3</v>
      </c>
      <c r="AK179" s="16" t="n">
        <v>2191</v>
      </c>
      <c r="AL179" s="17" t="n">
        <v>0</v>
      </c>
      <c r="AM179" s="17" t="n">
        <v>2191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2247</v>
      </c>
      <c r="AV179" s="17" t="n">
        <v>0</v>
      </c>
      <c r="AW179" s="17" t="n">
        <v>2247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-56</v>
      </c>
      <c r="BF179" s="17" t="n">
        <v>0</v>
      </c>
      <c r="BG179" s="17" t="n">
        <v>-56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81520010030</t>
        </is>
      </c>
      <c r="B180" s="15" t="inlineStr">
        <is>
          <t>VOQUEZNA 10 MG ORAL TABLET</t>
        </is>
      </c>
      <c r="C180" s="16" t="n">
        <v>30</v>
      </c>
      <c r="D180" s="16" t="n">
        <v>1</v>
      </c>
      <c r="E180" s="16" t="n">
        <v>1</v>
      </c>
      <c r="F180" s="16" t="n">
        <v>684</v>
      </c>
      <c r="G180" s="16" t="n">
        <v>30</v>
      </c>
      <c r="H180" s="17" t="n">
        <v>0</v>
      </c>
      <c r="I180" s="17" t="n">
        <v>30</v>
      </c>
      <c r="J180" s="17" t="n">
        <v>0</v>
      </c>
      <c r="K180" s="17" t="n">
        <v>0</v>
      </c>
      <c r="L180" s="17" t="n">
        <v>0</v>
      </c>
      <c r="M180" s="17" t="n">
        <v>0</v>
      </c>
      <c r="N180" s="17" t="n">
        <v>0</v>
      </c>
      <c r="O180" s="17" t="n">
        <v>0</v>
      </c>
      <c r="P180" s="18" t="n">
        <v>0</v>
      </c>
      <c r="Q180" s="16" t="n">
        <v>1</v>
      </c>
      <c r="R180" s="17" t="n">
        <v>0</v>
      </c>
      <c r="S180" s="17" t="n">
        <v>1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8" t="n">
        <v>0</v>
      </c>
      <c r="AA180" s="16" t="n">
        <v>0</v>
      </c>
      <c r="AB180" s="17" t="n">
        <v>1</v>
      </c>
      <c r="AC180" s="17" t="n">
        <v>0</v>
      </c>
      <c r="AD180" s="17" t="n">
        <v>1</v>
      </c>
      <c r="AE180" s="17" t="n">
        <v>1</v>
      </c>
      <c r="AF180" s="17" t="n">
        <v>1</v>
      </c>
      <c r="AG180" s="17" t="n">
        <v>1</v>
      </c>
      <c r="AH180" s="17" t="n">
        <v>1</v>
      </c>
      <c r="AI180" s="17" t="n">
        <v>1</v>
      </c>
      <c r="AJ180" s="18" t="n">
        <v>1</v>
      </c>
      <c r="AK180" s="16" t="n">
        <v>669</v>
      </c>
      <c r="AL180" s="17" t="n">
        <v>0</v>
      </c>
      <c r="AM180" s="17" t="n">
        <v>669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8" t="n">
        <v>0</v>
      </c>
      <c r="AU180" s="16" t="n">
        <v>684</v>
      </c>
      <c r="AV180" s="17" t="n">
        <v>0</v>
      </c>
      <c r="AW180" s="17" t="n">
        <v>684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8" t="n">
        <v>0</v>
      </c>
      <c r="BE180" s="16" t="n">
        <v>-15</v>
      </c>
      <c r="BF180" s="17" t="n">
        <v>0</v>
      </c>
      <c r="BG180" s="17" t="n">
        <v>-15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61874011530</t>
        </is>
      </c>
      <c r="B181" s="15" t="inlineStr">
        <is>
          <t>VRAYLAR 1.5MG CAPSULE</t>
        </is>
      </c>
      <c r="C181" s="16" t="n">
        <v>30</v>
      </c>
      <c r="D181" s="16" t="n">
        <v>7</v>
      </c>
      <c r="E181" s="16" t="n">
        <v>7</v>
      </c>
      <c r="F181" s="16" t="n">
        <v>1551</v>
      </c>
      <c r="G181" s="16" t="n">
        <v>300</v>
      </c>
      <c r="H181" s="17" t="n">
        <v>0</v>
      </c>
      <c r="I181" s="17" t="n">
        <v>0</v>
      </c>
      <c r="J181" s="17" t="n">
        <v>0</v>
      </c>
      <c r="K181" s="17" t="n">
        <v>0</v>
      </c>
      <c r="L181" s="17" t="n">
        <v>90</v>
      </c>
      <c r="M181" s="17" t="n">
        <v>210</v>
      </c>
      <c r="N181" s="17" t="n">
        <v>0</v>
      </c>
      <c r="O181" s="17" t="n">
        <v>0</v>
      </c>
      <c r="P181" s="18" t="n">
        <v>0</v>
      </c>
      <c r="Q181" s="16" t="n">
        <v>10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3</v>
      </c>
      <c r="W181" s="17" t="n">
        <v>7</v>
      </c>
      <c r="X181" s="17" t="n">
        <v>0</v>
      </c>
      <c r="Y181" s="17" t="n">
        <v>0</v>
      </c>
      <c r="Z181" s="18" t="n">
        <v>0</v>
      </c>
      <c r="AA181" s="16" t="n">
        <v>-3</v>
      </c>
      <c r="AB181" s="17" t="n">
        <v>7</v>
      </c>
      <c r="AC181" s="17" t="n">
        <v>7</v>
      </c>
      <c r="AD181" s="17" t="n">
        <v>7</v>
      </c>
      <c r="AE181" s="17" t="n">
        <v>7</v>
      </c>
      <c r="AF181" s="17" t="n">
        <v>4</v>
      </c>
      <c r="AG181" s="17" t="n">
        <v>0</v>
      </c>
      <c r="AH181" s="17" t="n">
        <v>7</v>
      </c>
      <c r="AI181" s="17" t="n">
        <v>7</v>
      </c>
      <c r="AJ181" s="18" t="n">
        <v>7</v>
      </c>
      <c r="AK181" s="16" t="n">
        <v>14880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4387</v>
      </c>
      <c r="AQ181" s="17" t="n">
        <v>10483</v>
      </c>
      <c r="AR181" s="17" t="n">
        <v>0</v>
      </c>
      <c r="AS181" s="17" t="n">
        <v>0</v>
      </c>
      <c r="AT181" s="18" t="n">
        <v>0</v>
      </c>
      <c r="AU181" s="16" t="n">
        <v>15510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4653</v>
      </c>
      <c r="BA181" s="17" t="n">
        <v>10857</v>
      </c>
      <c r="BB181" s="17" t="n">
        <v>0</v>
      </c>
      <c r="BC181" s="17" t="n">
        <v>0</v>
      </c>
      <c r="BD181" s="18" t="n">
        <v>0</v>
      </c>
      <c r="BE181" s="16" t="n">
        <v>-630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-266</v>
      </c>
      <c r="BK181" s="17" t="n">
        <v>-374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61874013030</t>
        </is>
      </c>
      <c r="B182" s="15" t="inlineStr">
        <is>
          <t>VRAYLAR 3MG CAPSULE</t>
        </is>
      </c>
      <c r="C182" s="16" t="n">
        <v>30</v>
      </c>
      <c r="D182" s="16" t="n">
        <v>4</v>
      </c>
      <c r="E182" s="16" t="n">
        <v>4</v>
      </c>
      <c r="F182" s="16" t="n">
        <v>1462</v>
      </c>
      <c r="G182" s="16" t="n">
        <v>150</v>
      </c>
      <c r="H182" s="17" t="n">
        <v>0</v>
      </c>
      <c r="I182" s="17" t="n">
        <v>0</v>
      </c>
      <c r="J182" s="17" t="n">
        <v>0</v>
      </c>
      <c r="K182" s="17" t="n">
        <v>0</v>
      </c>
      <c r="L182" s="17" t="n">
        <v>0</v>
      </c>
      <c r="M182" s="17" t="n">
        <v>150</v>
      </c>
      <c r="N182" s="17" t="n">
        <v>0</v>
      </c>
      <c r="O182" s="17" t="n">
        <v>0</v>
      </c>
      <c r="P182" s="18" t="n">
        <v>0</v>
      </c>
      <c r="Q182" s="16" t="n">
        <v>5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5</v>
      </c>
      <c r="X182" s="17" t="n">
        <v>0</v>
      </c>
      <c r="Y182" s="17" t="n">
        <v>0</v>
      </c>
      <c r="Z182" s="18" t="n">
        <v>0</v>
      </c>
      <c r="AA182" s="16" t="n">
        <v>-1</v>
      </c>
      <c r="AB182" s="17" t="n">
        <v>4</v>
      </c>
      <c r="AC182" s="17" t="n">
        <v>4</v>
      </c>
      <c r="AD182" s="17" t="n">
        <v>4</v>
      </c>
      <c r="AE182" s="17" t="n">
        <v>4</v>
      </c>
      <c r="AF182" s="17" t="n">
        <v>4</v>
      </c>
      <c r="AG182" s="17" t="n">
        <v>-1</v>
      </c>
      <c r="AH182" s="17" t="n">
        <v>4</v>
      </c>
      <c r="AI182" s="17" t="n">
        <v>4</v>
      </c>
      <c r="AJ182" s="18" t="n">
        <v>4</v>
      </c>
      <c r="AK182" s="16" t="n">
        <v>7476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7476</v>
      </c>
      <c r="AR182" s="17" t="n">
        <v>0</v>
      </c>
      <c r="AS182" s="17" t="n">
        <v>0</v>
      </c>
      <c r="AT182" s="18" t="n">
        <v>0</v>
      </c>
      <c r="AU182" s="16" t="n">
        <v>7310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7310</v>
      </c>
      <c r="BB182" s="17" t="n">
        <v>0</v>
      </c>
      <c r="BC182" s="17" t="n">
        <v>0</v>
      </c>
      <c r="BD182" s="18" t="n">
        <v>0</v>
      </c>
      <c r="BE182" s="16" t="n">
        <v>166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166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61874014530</t>
        </is>
      </c>
      <c r="B183" s="15" t="inlineStr">
        <is>
          <t>VRAYLAR 4.5 MG ORAL CAPSULE</t>
        </is>
      </c>
      <c r="C183" s="16" t="n">
        <v>30</v>
      </c>
      <c r="D183" s="16" t="n">
        <v>1</v>
      </c>
      <c r="E183" s="16" t="n">
        <v>1</v>
      </c>
      <c r="F183" s="16" t="n">
        <v>1466</v>
      </c>
      <c r="G183" s="16" t="n">
        <v>30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30</v>
      </c>
      <c r="N183" s="17" t="n">
        <v>0</v>
      </c>
      <c r="O183" s="17" t="n">
        <v>0</v>
      </c>
      <c r="P183" s="18" t="n">
        <v>0</v>
      </c>
      <c r="Q183" s="16" t="n">
        <v>1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1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1</v>
      </c>
      <c r="AC183" s="17" t="n">
        <v>1</v>
      </c>
      <c r="AD183" s="17" t="n">
        <v>1</v>
      </c>
      <c r="AE183" s="17" t="n">
        <v>1</v>
      </c>
      <c r="AF183" s="17" t="n">
        <v>1</v>
      </c>
      <c r="AG183" s="17" t="n">
        <v>0</v>
      </c>
      <c r="AH183" s="17" t="n">
        <v>1</v>
      </c>
      <c r="AI183" s="17" t="n">
        <v>1</v>
      </c>
      <c r="AJ183" s="18" t="n">
        <v>1</v>
      </c>
      <c r="AK183" s="16" t="n">
        <v>1466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1466</v>
      </c>
      <c r="AR183" s="17" t="n">
        <v>0</v>
      </c>
      <c r="AS183" s="17" t="n">
        <v>0</v>
      </c>
      <c r="AT183" s="18" t="n">
        <v>0</v>
      </c>
      <c r="AU183" s="16" t="n">
        <v>1466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1466</v>
      </c>
      <c r="BB183" s="17" t="n">
        <v>0</v>
      </c>
      <c r="BC183" s="17" t="n">
        <v>0</v>
      </c>
      <c r="BD183" s="18" t="n">
        <v>0</v>
      </c>
      <c r="BE183" s="16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24208050402</t>
        </is>
      </c>
      <c r="B184" s="15" t="inlineStr">
        <is>
          <t>VYZULTA 0.024 % OPHTHALMIC SOLUTION</t>
        </is>
      </c>
      <c r="C184" s="16" t="n">
        <v>2.5</v>
      </c>
      <c r="D184" s="16" t="n">
        <v>0</v>
      </c>
      <c r="E184" s="16" t="n">
        <v>0</v>
      </c>
      <c r="F184" s="16" t="n">
        <v>0</v>
      </c>
      <c r="G184" s="16" t="n">
        <v>35</v>
      </c>
      <c r="H184" s="17" t="n">
        <v>0</v>
      </c>
      <c r="I184" s="17" t="n">
        <v>27.5</v>
      </c>
      <c r="J184" s="17" t="n">
        <v>0</v>
      </c>
      <c r="K184" s="17" t="n">
        <v>0</v>
      </c>
      <c r="L184" s="17" t="n">
        <v>5</v>
      </c>
      <c r="M184" s="17" t="n">
        <v>0</v>
      </c>
      <c r="N184" s="17" t="n">
        <v>2.5</v>
      </c>
      <c r="O184" s="17" t="n">
        <v>0</v>
      </c>
      <c r="P184" s="18" t="n">
        <v>0</v>
      </c>
      <c r="Q184" s="16" t="n">
        <v>14</v>
      </c>
      <c r="R184" s="17" t="n">
        <v>0</v>
      </c>
      <c r="S184" s="17" t="n">
        <v>11</v>
      </c>
      <c r="T184" s="17" t="n">
        <v>0</v>
      </c>
      <c r="U184" s="17" t="n">
        <v>0</v>
      </c>
      <c r="V184" s="17" t="n">
        <v>2</v>
      </c>
      <c r="W184" s="17" t="n">
        <v>0</v>
      </c>
      <c r="X184" s="17" t="n">
        <v>1</v>
      </c>
      <c r="Y184" s="17" t="n">
        <v>0</v>
      </c>
      <c r="Z184" s="18" t="n">
        <v>0</v>
      </c>
      <c r="AA184" s="16" t="n">
        <v>-14</v>
      </c>
      <c r="AB184" s="17" t="n">
        <v>0</v>
      </c>
      <c r="AC184" s="17" t="n">
        <v>-11</v>
      </c>
      <c r="AD184" s="17" t="n">
        <v>0</v>
      </c>
      <c r="AE184" s="17" t="n">
        <v>0</v>
      </c>
      <c r="AF184" s="17" t="n">
        <v>-2</v>
      </c>
      <c r="AG184" s="17" t="n">
        <v>0</v>
      </c>
      <c r="AH184" s="17" t="n">
        <v>-1</v>
      </c>
      <c r="AI184" s="17" t="n">
        <v>0</v>
      </c>
      <c r="AJ184" s="18" t="n">
        <v>0</v>
      </c>
      <c r="AK184" s="16" t="n">
        <v>3531</v>
      </c>
      <c r="AL184" s="17" t="n">
        <v>0</v>
      </c>
      <c r="AM184" s="17" t="n">
        <v>2745</v>
      </c>
      <c r="AN184" s="17" t="n">
        <v>0</v>
      </c>
      <c r="AO184" s="17" t="n">
        <v>0</v>
      </c>
      <c r="AP184" s="17" t="n">
        <v>497</v>
      </c>
      <c r="AQ184" s="17" t="n">
        <v>0</v>
      </c>
      <c r="AR184" s="17" t="n">
        <v>261</v>
      </c>
      <c r="AS184" s="17" t="n">
        <v>0</v>
      </c>
      <c r="AT184" s="18" t="n">
        <v>0</v>
      </c>
      <c r="AU184" s="16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8" t="n">
        <v>0</v>
      </c>
      <c r="BE184" s="16" t="n">
        <v>3531</v>
      </c>
      <c r="BF184" s="17" t="n">
        <v>0</v>
      </c>
      <c r="BG184" s="17" t="n">
        <v>2745</v>
      </c>
      <c r="BH184" s="17" t="n">
        <v>0</v>
      </c>
      <c r="BI184" s="17" t="n">
        <v>0</v>
      </c>
      <c r="BJ184" s="17" t="n">
        <v>497</v>
      </c>
      <c r="BK184" s="17" t="n">
        <v>0</v>
      </c>
      <c r="BL184" s="17" t="n">
        <v>261</v>
      </c>
      <c r="BM184" s="17" t="n">
        <v>0</v>
      </c>
      <c r="BN184" s="18" t="n">
        <v>0</v>
      </c>
    </row>
    <row r="185" ht="20" customHeight="1">
      <c r="A185" s="15" t="inlineStr">
        <is>
          <t>00169451714</t>
        </is>
      </c>
      <c r="B185" s="15" t="inlineStr">
        <is>
          <t>WEGOVY 1.7 MG/0.75ML AUTO-INJECTOR</t>
        </is>
      </c>
      <c r="C185" s="16" t="n">
        <v>3</v>
      </c>
      <c r="D185" s="16" t="n">
        <v>1</v>
      </c>
      <c r="E185" s="16" t="n">
        <v>1</v>
      </c>
      <c r="F185" s="16" t="n">
        <v>1312</v>
      </c>
      <c r="G185" s="16" t="n">
        <v>9</v>
      </c>
      <c r="H185" s="17" t="n">
        <v>0</v>
      </c>
      <c r="I185" s="17" t="n">
        <v>9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3</v>
      </c>
      <c r="R185" s="17" t="n">
        <v>0</v>
      </c>
      <c r="S185" s="17" t="n">
        <v>3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-2</v>
      </c>
      <c r="AB185" s="17" t="n">
        <v>1</v>
      </c>
      <c r="AC185" s="17" t="n">
        <v>-2</v>
      </c>
      <c r="AD185" s="17" t="n">
        <v>1</v>
      </c>
      <c r="AE185" s="17" t="n">
        <v>1</v>
      </c>
      <c r="AF185" s="17" t="n">
        <v>1</v>
      </c>
      <c r="AG185" s="17" t="n">
        <v>1</v>
      </c>
      <c r="AH185" s="17" t="n">
        <v>1</v>
      </c>
      <c r="AI185" s="17" t="n">
        <v>1</v>
      </c>
      <c r="AJ185" s="18" t="n">
        <v>1</v>
      </c>
      <c r="AK185" s="16" t="n">
        <v>3781</v>
      </c>
      <c r="AL185" s="17" t="n">
        <v>0</v>
      </c>
      <c r="AM185" s="17" t="n">
        <v>3781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3936</v>
      </c>
      <c r="AV185" s="17" t="n">
        <v>0</v>
      </c>
      <c r="AW185" s="17" t="n">
        <v>3936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-155</v>
      </c>
      <c r="BF185" s="17" t="n">
        <v>0</v>
      </c>
      <c r="BG185" s="17" t="n">
        <v>-155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00169452414</t>
        </is>
      </c>
      <c r="B186" s="15" t="inlineStr">
        <is>
          <t>WEGOVY 2.4 MG/0.75ML AUTO-INJECTOR</t>
        </is>
      </c>
      <c r="C186" s="16" t="n">
        <v>3</v>
      </c>
      <c r="D186" s="16" t="n">
        <v>5</v>
      </c>
      <c r="E186" s="16" t="n">
        <v>5</v>
      </c>
      <c r="F186" s="16" t="n">
        <v>1312</v>
      </c>
      <c r="G186" s="16" t="n">
        <v>12</v>
      </c>
      <c r="H186" s="17" t="n">
        <v>0</v>
      </c>
      <c r="I186" s="17" t="n">
        <v>12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8" t="n">
        <v>0</v>
      </c>
      <c r="Q186" s="16" t="n">
        <v>4</v>
      </c>
      <c r="R186" s="17" t="n">
        <v>0</v>
      </c>
      <c r="S186" s="17" t="n">
        <v>4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5</v>
      </c>
      <c r="AC186" s="17" t="n">
        <v>1</v>
      </c>
      <c r="AD186" s="17" t="n">
        <v>5</v>
      </c>
      <c r="AE186" s="17" t="n">
        <v>5</v>
      </c>
      <c r="AF186" s="17" t="n">
        <v>5</v>
      </c>
      <c r="AG186" s="17" t="n">
        <v>5</v>
      </c>
      <c r="AH186" s="17" t="n">
        <v>5</v>
      </c>
      <c r="AI186" s="17" t="n">
        <v>5</v>
      </c>
      <c r="AJ186" s="18" t="n">
        <v>5</v>
      </c>
      <c r="AK186" s="16" t="n">
        <v>5141</v>
      </c>
      <c r="AL186" s="17" t="n">
        <v>0</v>
      </c>
      <c r="AM186" s="17" t="n">
        <v>5110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8" t="n">
        <v>0</v>
      </c>
      <c r="AU186" s="16" t="n">
        <v>5248</v>
      </c>
      <c r="AV186" s="17" t="n">
        <v>0</v>
      </c>
      <c r="AW186" s="17" t="n">
        <v>5248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8" t="n">
        <v>0</v>
      </c>
      <c r="BE186" s="16" t="n">
        <v>-107</v>
      </c>
      <c r="BF186" s="17" t="n">
        <v>0</v>
      </c>
      <c r="BG186" s="17" t="n">
        <v>-138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00378932232</t>
        </is>
      </c>
      <c r="B187" s="15" t="inlineStr">
        <is>
          <t>WIXELA INHUB 500-50 MCG/ACT INH AEROSOL</t>
        </is>
      </c>
      <c r="C187" s="16" t="n">
        <v>60</v>
      </c>
      <c r="D187" s="16" t="n">
        <v>0</v>
      </c>
      <c r="E187" s="16" t="n">
        <v>0</v>
      </c>
      <c r="F187" s="16" t="n">
        <v>0</v>
      </c>
      <c r="G187" s="16" t="n">
        <v>240</v>
      </c>
      <c r="H187" s="17" t="n">
        <v>0</v>
      </c>
      <c r="I187" s="17" t="n">
        <v>240</v>
      </c>
      <c r="J187" s="17" t="n">
        <v>0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8" t="n">
        <v>0</v>
      </c>
      <c r="Q187" s="16" t="n">
        <v>4</v>
      </c>
      <c r="R187" s="17" t="n">
        <v>0</v>
      </c>
      <c r="S187" s="17" t="n">
        <v>4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8" t="n">
        <v>0</v>
      </c>
      <c r="AA187" s="16" t="n">
        <v>-4</v>
      </c>
      <c r="AB187" s="17" t="n">
        <v>0</v>
      </c>
      <c r="AC187" s="17" t="n">
        <v>-4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8" t="n">
        <v>0</v>
      </c>
      <c r="AK187" s="16" t="n">
        <v>397</v>
      </c>
      <c r="AL187" s="17" t="n">
        <v>0</v>
      </c>
      <c r="AM187" s="17" t="n">
        <v>397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8" t="n">
        <v>0</v>
      </c>
      <c r="AU187" s="16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8" t="n">
        <v>0</v>
      </c>
      <c r="BE187" s="16" t="n">
        <v>397</v>
      </c>
      <c r="BF187" s="17" t="n">
        <v>0</v>
      </c>
      <c r="BG187" s="17" t="n">
        <v>397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50458057830</t>
        </is>
      </c>
      <c r="B188" s="15" t="inlineStr">
        <is>
          <t>XARELTO 15MG TAB</t>
        </is>
      </c>
      <c r="C188" s="16" t="n">
        <v>30</v>
      </c>
      <c r="D188" s="16" t="n">
        <v>5</v>
      </c>
      <c r="E188" s="16" t="n">
        <v>5</v>
      </c>
      <c r="F188" s="16" t="n">
        <v>577</v>
      </c>
      <c r="G188" s="16" t="n">
        <v>360</v>
      </c>
      <c r="H188" s="17" t="n">
        <v>0</v>
      </c>
      <c r="I188" s="17" t="n">
        <v>180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12</v>
      </c>
      <c r="R188" s="17" t="n">
        <v>0</v>
      </c>
      <c r="S188" s="17" t="n">
        <v>6</v>
      </c>
      <c r="T188" s="17" t="n">
        <v>6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-7</v>
      </c>
      <c r="AB188" s="17" t="n">
        <v>5</v>
      </c>
      <c r="AC188" s="17" t="n">
        <v>-1</v>
      </c>
      <c r="AD188" s="17" t="n">
        <v>-1</v>
      </c>
      <c r="AE188" s="17" t="n">
        <v>5</v>
      </c>
      <c r="AF188" s="17" t="n">
        <v>5</v>
      </c>
      <c r="AG188" s="17" t="n">
        <v>5</v>
      </c>
      <c r="AH188" s="17" t="n">
        <v>5</v>
      </c>
      <c r="AI188" s="17" t="n">
        <v>5</v>
      </c>
      <c r="AJ188" s="18" t="n">
        <v>5</v>
      </c>
      <c r="AK188" s="16" t="n">
        <v>3336</v>
      </c>
      <c r="AL188" s="17" t="n">
        <v>0</v>
      </c>
      <c r="AM188" s="17" t="n">
        <v>1232</v>
      </c>
      <c r="AN188" s="17" t="n">
        <v>2099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6924</v>
      </c>
      <c r="AV188" s="17" t="n">
        <v>0</v>
      </c>
      <c r="AW188" s="17" t="n">
        <v>3462</v>
      </c>
      <c r="AX188" s="17" t="n">
        <v>3462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-3588</v>
      </c>
      <c r="BF188" s="17" t="n">
        <v>0</v>
      </c>
      <c r="BG188" s="17" t="n">
        <v>-2230</v>
      </c>
      <c r="BH188" s="17" t="n">
        <v>-1363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50458057760</t>
        </is>
      </c>
      <c r="B189" s="15" t="inlineStr">
        <is>
          <t>XARELTO 2.5 MG TABLET</t>
        </is>
      </c>
      <c r="C189" s="16" t="n">
        <v>60</v>
      </c>
      <c r="D189" s="16" t="n">
        <v>1</v>
      </c>
      <c r="E189" s="16" t="n">
        <v>1</v>
      </c>
      <c r="F189" s="16" t="n">
        <v>577</v>
      </c>
      <c r="G189" s="16" t="n">
        <v>180</v>
      </c>
      <c r="H189" s="17" t="n">
        <v>0</v>
      </c>
      <c r="I189" s="17" t="n">
        <v>0</v>
      </c>
      <c r="J189" s="17" t="n">
        <v>180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3</v>
      </c>
      <c r="R189" s="17" t="n">
        <v>0</v>
      </c>
      <c r="S189" s="17" t="n">
        <v>0</v>
      </c>
      <c r="T189" s="17" t="n">
        <v>3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-2</v>
      </c>
      <c r="AB189" s="17" t="n">
        <v>1</v>
      </c>
      <c r="AC189" s="17" t="n">
        <v>1</v>
      </c>
      <c r="AD189" s="17" t="n">
        <v>-2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1604</v>
      </c>
      <c r="AL189" s="17" t="n">
        <v>0</v>
      </c>
      <c r="AM189" s="17" t="n">
        <v>0</v>
      </c>
      <c r="AN189" s="17" t="n">
        <v>1604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1731</v>
      </c>
      <c r="AV189" s="17" t="n">
        <v>0</v>
      </c>
      <c r="AW189" s="17" t="n">
        <v>0</v>
      </c>
      <c r="AX189" s="17" t="n">
        <v>1731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-127</v>
      </c>
      <c r="BF189" s="17" t="n">
        <v>0</v>
      </c>
      <c r="BG189" s="17" t="n">
        <v>0</v>
      </c>
      <c r="BH189" s="17" t="n">
        <v>-127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50458057930</t>
        </is>
      </c>
      <c r="B190" s="15" t="inlineStr">
        <is>
          <t>XARELTO 20MG TAB</t>
        </is>
      </c>
      <c r="C190" s="16" t="n">
        <v>30</v>
      </c>
      <c r="D190" s="16" t="n">
        <v>23</v>
      </c>
      <c r="E190" s="16" t="n">
        <v>23</v>
      </c>
      <c r="F190" s="16" t="n">
        <v>595</v>
      </c>
      <c r="G190" s="16" t="n">
        <v>900</v>
      </c>
      <c r="H190" s="17" t="n">
        <v>0</v>
      </c>
      <c r="I190" s="17" t="n">
        <v>630</v>
      </c>
      <c r="J190" s="17" t="n">
        <v>180</v>
      </c>
      <c r="K190" s="17" t="n">
        <v>0</v>
      </c>
      <c r="L190" s="17" t="n">
        <v>0</v>
      </c>
      <c r="M190" s="17" t="n">
        <v>0</v>
      </c>
      <c r="N190" s="17" t="n">
        <v>90</v>
      </c>
      <c r="O190" s="17" t="n">
        <v>0</v>
      </c>
      <c r="P190" s="18" t="n">
        <v>0</v>
      </c>
      <c r="Q190" s="16" t="n">
        <v>30</v>
      </c>
      <c r="R190" s="17" t="n">
        <v>0</v>
      </c>
      <c r="S190" s="17" t="n">
        <v>21</v>
      </c>
      <c r="T190" s="17" t="n">
        <v>6</v>
      </c>
      <c r="U190" s="17" t="n">
        <v>0</v>
      </c>
      <c r="V190" s="17" t="n">
        <v>0</v>
      </c>
      <c r="W190" s="17" t="n">
        <v>0</v>
      </c>
      <c r="X190" s="17" t="n">
        <v>3</v>
      </c>
      <c r="Y190" s="17" t="n">
        <v>0</v>
      </c>
      <c r="Z190" s="18" t="n">
        <v>0</v>
      </c>
      <c r="AA190" s="16" t="n">
        <v>-7</v>
      </c>
      <c r="AB190" s="17" t="n">
        <v>23</v>
      </c>
      <c r="AC190" s="17" t="n">
        <v>2</v>
      </c>
      <c r="AD190" s="17" t="n">
        <v>17</v>
      </c>
      <c r="AE190" s="17" t="n">
        <v>23</v>
      </c>
      <c r="AF190" s="17" t="n">
        <v>23</v>
      </c>
      <c r="AG190" s="17" t="n">
        <v>23</v>
      </c>
      <c r="AH190" s="17" t="n">
        <v>20</v>
      </c>
      <c r="AI190" s="17" t="n">
        <v>23</v>
      </c>
      <c r="AJ190" s="18" t="n">
        <v>23</v>
      </c>
      <c r="AK190" s="16" t="n">
        <v>10411</v>
      </c>
      <c r="AL190" s="17" t="n">
        <v>0</v>
      </c>
      <c r="AM190" s="17" t="n">
        <v>6271</v>
      </c>
      <c r="AN190" s="17" t="n">
        <v>2180</v>
      </c>
      <c r="AO190" s="17" t="n">
        <v>0</v>
      </c>
      <c r="AP190" s="17" t="n">
        <v>0</v>
      </c>
      <c r="AQ190" s="17" t="n">
        <v>0</v>
      </c>
      <c r="AR190" s="17" t="n">
        <v>1800</v>
      </c>
      <c r="AS190" s="17" t="n">
        <v>0</v>
      </c>
      <c r="AT190" s="18" t="n">
        <v>0</v>
      </c>
      <c r="AU190" s="16" t="n">
        <v>17850</v>
      </c>
      <c r="AV190" s="17" t="n">
        <v>0</v>
      </c>
      <c r="AW190" s="17" t="n">
        <v>12495</v>
      </c>
      <c r="AX190" s="17" t="n">
        <v>3570</v>
      </c>
      <c r="AY190" s="17" t="n">
        <v>0</v>
      </c>
      <c r="AZ190" s="17" t="n">
        <v>0</v>
      </c>
      <c r="BA190" s="17" t="n">
        <v>0</v>
      </c>
      <c r="BB190" s="17" t="n">
        <v>1785</v>
      </c>
      <c r="BC190" s="17" t="n">
        <v>0</v>
      </c>
      <c r="BD190" s="18" t="n">
        <v>0</v>
      </c>
      <c r="BE190" s="16" t="n">
        <v>-7439</v>
      </c>
      <c r="BF190" s="17" t="n">
        <v>0</v>
      </c>
      <c r="BG190" s="17" t="n">
        <v>-6224</v>
      </c>
      <c r="BH190" s="17" t="n">
        <v>-1390</v>
      </c>
      <c r="BI190" s="17" t="n">
        <v>0</v>
      </c>
      <c r="BJ190" s="17" t="n">
        <v>0</v>
      </c>
      <c r="BK190" s="17" t="n">
        <v>0</v>
      </c>
      <c r="BL190" s="17" t="n">
        <v>15</v>
      </c>
      <c r="BM190" s="17" t="n">
        <v>0</v>
      </c>
      <c r="BN190" s="18" t="n">
        <v>0</v>
      </c>
    </row>
    <row r="191" ht="20" customHeight="1">
      <c r="A191" s="15" t="inlineStr">
        <is>
          <t>71699010030</t>
        </is>
      </c>
      <c r="B191" s="15" t="inlineStr">
        <is>
          <t>XCOPRI 100 MG ORAL TABLET</t>
        </is>
      </c>
      <c r="C191" s="16" t="n">
        <v>30</v>
      </c>
      <c r="D191" s="16" t="n">
        <v>2</v>
      </c>
      <c r="E191" s="16" t="n">
        <v>2</v>
      </c>
      <c r="F191" s="16" t="n">
        <v>1208</v>
      </c>
      <c r="G191" s="16" t="n">
        <v>60</v>
      </c>
      <c r="H191" s="17" t="n">
        <v>0</v>
      </c>
      <c r="I191" s="17" t="n">
        <v>60</v>
      </c>
      <c r="J191" s="17" t="n">
        <v>0</v>
      </c>
      <c r="K191" s="17" t="n">
        <v>0</v>
      </c>
      <c r="L191" s="17" t="n">
        <v>0</v>
      </c>
      <c r="M191" s="17" t="n">
        <v>0</v>
      </c>
      <c r="N191" s="17" t="n">
        <v>0</v>
      </c>
      <c r="O191" s="17" t="n">
        <v>0</v>
      </c>
      <c r="P191" s="18" t="n">
        <v>0</v>
      </c>
      <c r="Q191" s="16" t="n">
        <v>2</v>
      </c>
      <c r="R191" s="17" t="n">
        <v>0</v>
      </c>
      <c r="S191" s="17" t="n">
        <v>2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8" t="n">
        <v>0</v>
      </c>
      <c r="AA191" s="16" t="n">
        <v>0</v>
      </c>
      <c r="AB191" s="17" t="n">
        <v>2</v>
      </c>
      <c r="AC191" s="17" t="n">
        <v>0</v>
      </c>
      <c r="AD191" s="17" t="n">
        <v>2</v>
      </c>
      <c r="AE191" s="17" t="n">
        <v>2</v>
      </c>
      <c r="AF191" s="17" t="n">
        <v>2</v>
      </c>
      <c r="AG191" s="17" t="n">
        <v>2</v>
      </c>
      <c r="AH191" s="17" t="n">
        <v>2</v>
      </c>
      <c r="AI191" s="17" t="n">
        <v>2</v>
      </c>
      <c r="AJ191" s="18" t="n">
        <v>2</v>
      </c>
      <c r="AK191" s="16" t="n">
        <v>2337</v>
      </c>
      <c r="AL191" s="17" t="n">
        <v>0</v>
      </c>
      <c r="AM191" s="17" t="n">
        <v>2337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8" t="n">
        <v>0</v>
      </c>
      <c r="AU191" s="16" t="n">
        <v>2416</v>
      </c>
      <c r="AV191" s="17" t="n">
        <v>0</v>
      </c>
      <c r="AW191" s="17" t="n">
        <v>2416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8" t="n">
        <v>0</v>
      </c>
      <c r="BE191" s="16" t="n">
        <v>-79</v>
      </c>
      <c r="BF191" s="17" t="n">
        <v>0</v>
      </c>
      <c r="BG191" s="17" t="n">
        <v>-79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71699020030</t>
        </is>
      </c>
      <c r="B192" s="15" t="inlineStr">
        <is>
          <t>XCOPRI 200 MG ORAL TABLET</t>
        </is>
      </c>
      <c r="C192" s="16" t="n">
        <v>30</v>
      </c>
      <c r="D192" s="16" t="n">
        <v>1</v>
      </c>
      <c r="E192" s="16" t="n">
        <v>1</v>
      </c>
      <c r="F192" s="16" t="n">
        <v>1217</v>
      </c>
      <c r="G192" s="16" t="n">
        <v>30</v>
      </c>
      <c r="H192" s="17" t="n">
        <v>0</v>
      </c>
      <c r="I192" s="17" t="n">
        <v>30</v>
      </c>
      <c r="J192" s="17" t="n">
        <v>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1</v>
      </c>
      <c r="T192" s="17" t="n">
        <v>0</v>
      </c>
      <c r="U192" s="17" t="n">
        <v>0</v>
      </c>
      <c r="V192" s="17" t="n">
        <v>0</v>
      </c>
      <c r="W192" s="17" t="n">
        <v>0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0</v>
      </c>
      <c r="AD192" s="17" t="n">
        <v>1</v>
      </c>
      <c r="AE192" s="17" t="n">
        <v>1</v>
      </c>
      <c r="AF192" s="17" t="n">
        <v>1</v>
      </c>
      <c r="AG192" s="17" t="n">
        <v>1</v>
      </c>
      <c r="AH192" s="17" t="n">
        <v>1</v>
      </c>
      <c r="AI192" s="17" t="n">
        <v>1</v>
      </c>
      <c r="AJ192" s="18" t="n">
        <v>1</v>
      </c>
      <c r="AK192" s="16" t="n">
        <v>1191</v>
      </c>
      <c r="AL192" s="17" t="n">
        <v>0</v>
      </c>
      <c r="AM192" s="17" t="n">
        <v>1191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8" t="n">
        <v>0</v>
      </c>
      <c r="AU192" s="16" t="n">
        <v>1217</v>
      </c>
      <c r="AV192" s="17" t="n">
        <v>0</v>
      </c>
      <c r="AW192" s="17" t="n">
        <v>1217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8" t="n">
        <v>0</v>
      </c>
      <c r="BE192" s="16" t="n">
        <v>-26</v>
      </c>
      <c r="BF192" s="17" t="n">
        <v>0</v>
      </c>
      <c r="BG192" s="17" t="n">
        <v>-26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71143037501</t>
        </is>
      </c>
      <c r="B193" s="15" t="inlineStr">
        <is>
          <t>XHANCE 93 MCG/ACT NASAL EXHALER SUSPENSION</t>
        </is>
      </c>
      <c r="C193" s="16" t="n">
        <v>16</v>
      </c>
      <c r="D193" s="16" t="n">
        <v>1</v>
      </c>
      <c r="E193" s="16" t="n">
        <v>1</v>
      </c>
      <c r="F193" s="16" t="n">
        <v>632</v>
      </c>
      <c r="G193" s="16" t="n">
        <v>64</v>
      </c>
      <c r="H193" s="17" t="n">
        <v>0</v>
      </c>
      <c r="I193" s="17" t="n">
        <v>0</v>
      </c>
      <c r="J193" s="17" t="n">
        <v>0</v>
      </c>
      <c r="K193" s="17" t="n">
        <v>0</v>
      </c>
      <c r="L193" s="17" t="n">
        <v>0</v>
      </c>
      <c r="M193" s="17" t="n">
        <v>64</v>
      </c>
      <c r="N193" s="17" t="n">
        <v>0</v>
      </c>
      <c r="O193" s="17" t="n">
        <v>0</v>
      </c>
      <c r="P193" s="18" t="n">
        <v>0</v>
      </c>
      <c r="Q193" s="16" t="n">
        <v>4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4</v>
      </c>
      <c r="X193" s="17" t="n">
        <v>0</v>
      </c>
      <c r="Y193" s="17" t="n">
        <v>0</v>
      </c>
      <c r="Z193" s="18" t="n">
        <v>0</v>
      </c>
      <c r="AA193" s="16" t="n">
        <v>-3</v>
      </c>
      <c r="AB193" s="17" t="n">
        <v>1</v>
      </c>
      <c r="AC193" s="17" t="n">
        <v>1</v>
      </c>
      <c r="AD193" s="17" t="n">
        <v>1</v>
      </c>
      <c r="AE193" s="17" t="n">
        <v>1</v>
      </c>
      <c r="AF193" s="17" t="n">
        <v>1</v>
      </c>
      <c r="AG193" s="17" t="n">
        <v>-3</v>
      </c>
      <c r="AH193" s="17" t="n">
        <v>1</v>
      </c>
      <c r="AI193" s="17" t="n">
        <v>1</v>
      </c>
      <c r="AJ193" s="18" t="n">
        <v>1</v>
      </c>
      <c r="AK193" s="16" t="n">
        <v>2608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2608</v>
      </c>
      <c r="AR193" s="17" t="n">
        <v>0</v>
      </c>
      <c r="AS193" s="17" t="n">
        <v>0</v>
      </c>
      <c r="AT193" s="18" t="n">
        <v>0</v>
      </c>
      <c r="AU193" s="16" t="n">
        <v>2528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2528</v>
      </c>
      <c r="BB193" s="17" t="n">
        <v>0</v>
      </c>
      <c r="BC193" s="17" t="n">
        <v>0</v>
      </c>
      <c r="BD193" s="18" t="n">
        <v>0</v>
      </c>
      <c r="BE193" s="16" t="n">
        <v>80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80</v>
      </c>
      <c r="BL193" s="17" t="n">
        <v>0</v>
      </c>
      <c r="BM193" s="17" t="n">
        <v>0</v>
      </c>
      <c r="BN193" s="18" t="n">
        <v>0</v>
      </c>
    </row>
    <row r="194" ht="20" customHeight="1">
      <c r="A194" s="15" t="inlineStr">
        <is>
          <t>00310628030</t>
        </is>
      </c>
      <c r="B194" s="15" t="inlineStr">
        <is>
          <t>XIGDUO XR 10-1000MG TABLET</t>
        </is>
      </c>
      <c r="C194" s="16" t="n">
        <v>30</v>
      </c>
      <c r="D194" s="16" t="n">
        <v>8</v>
      </c>
      <c r="E194" s="16" t="n">
        <v>8</v>
      </c>
      <c r="F194" s="16" t="n">
        <v>583</v>
      </c>
      <c r="G194" s="16" t="n">
        <v>270</v>
      </c>
      <c r="H194" s="17" t="n">
        <v>0</v>
      </c>
      <c r="I194" s="17" t="n">
        <v>180</v>
      </c>
      <c r="J194" s="17" t="n">
        <v>0</v>
      </c>
      <c r="K194" s="17" t="n">
        <v>0</v>
      </c>
      <c r="L194" s="17" t="n">
        <v>90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9</v>
      </c>
      <c r="R194" s="17" t="n">
        <v>0</v>
      </c>
      <c r="S194" s="17" t="n">
        <v>6</v>
      </c>
      <c r="T194" s="17" t="n">
        <v>0</v>
      </c>
      <c r="U194" s="17" t="n">
        <v>0</v>
      </c>
      <c r="V194" s="17" t="n">
        <v>3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-1</v>
      </c>
      <c r="AB194" s="17" t="n">
        <v>8</v>
      </c>
      <c r="AC194" s="17" t="n">
        <v>2</v>
      </c>
      <c r="AD194" s="17" t="n">
        <v>8</v>
      </c>
      <c r="AE194" s="17" t="n">
        <v>8</v>
      </c>
      <c r="AF194" s="17" t="n">
        <v>5</v>
      </c>
      <c r="AG194" s="17" t="n">
        <v>8</v>
      </c>
      <c r="AH194" s="17" t="n">
        <v>8</v>
      </c>
      <c r="AI194" s="17" t="n">
        <v>8</v>
      </c>
      <c r="AJ194" s="18" t="n">
        <v>8</v>
      </c>
      <c r="AK194" s="16" t="n">
        <v>4965</v>
      </c>
      <c r="AL194" s="17" t="n">
        <v>0</v>
      </c>
      <c r="AM194" s="17" t="n">
        <v>3355</v>
      </c>
      <c r="AN194" s="17" t="n">
        <v>0</v>
      </c>
      <c r="AO194" s="17" t="n">
        <v>0</v>
      </c>
      <c r="AP194" s="17" t="n">
        <v>1608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5247</v>
      </c>
      <c r="AV194" s="17" t="n">
        <v>0</v>
      </c>
      <c r="AW194" s="17" t="n">
        <v>3498</v>
      </c>
      <c r="AX194" s="17" t="n">
        <v>0</v>
      </c>
      <c r="AY194" s="17" t="n">
        <v>0</v>
      </c>
      <c r="AZ194" s="17" t="n">
        <v>1749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-282</v>
      </c>
      <c r="BF194" s="17" t="n">
        <v>0</v>
      </c>
      <c r="BG194" s="17" t="n">
        <v>-143</v>
      </c>
      <c r="BH194" s="17" t="n">
        <v>0</v>
      </c>
      <c r="BI194" s="17" t="n">
        <v>0</v>
      </c>
      <c r="BJ194" s="17" t="n">
        <v>-141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00310626060</t>
        </is>
      </c>
      <c r="B195" s="15" t="inlineStr">
        <is>
          <t>XIGDUO XR 5-1000 MG TABLET ER</t>
        </is>
      </c>
      <c r="C195" s="16" t="n">
        <v>60</v>
      </c>
      <c r="D195" s="16" t="n">
        <v>3</v>
      </c>
      <c r="E195" s="16" t="n">
        <v>3</v>
      </c>
      <c r="F195" s="16" t="n">
        <v>577</v>
      </c>
      <c r="G195" s="16" t="n">
        <v>180</v>
      </c>
      <c r="H195" s="17" t="n">
        <v>0</v>
      </c>
      <c r="I195" s="17" t="n">
        <v>180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3</v>
      </c>
      <c r="R195" s="17" t="n">
        <v>0</v>
      </c>
      <c r="S195" s="17" t="n">
        <v>3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0</v>
      </c>
      <c r="AB195" s="17" t="n">
        <v>3</v>
      </c>
      <c r="AC195" s="17" t="n">
        <v>0</v>
      </c>
      <c r="AD195" s="17" t="n">
        <v>3</v>
      </c>
      <c r="AE195" s="17" t="n">
        <v>3</v>
      </c>
      <c r="AF195" s="17" t="n">
        <v>3</v>
      </c>
      <c r="AG195" s="17" t="n">
        <v>3</v>
      </c>
      <c r="AH195" s="17" t="n">
        <v>3</v>
      </c>
      <c r="AI195" s="17" t="n">
        <v>3</v>
      </c>
      <c r="AJ195" s="18" t="n">
        <v>3</v>
      </c>
      <c r="AK195" s="16" t="n">
        <v>1684</v>
      </c>
      <c r="AL195" s="17" t="n">
        <v>0</v>
      </c>
      <c r="AM195" s="17" t="n">
        <v>1682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1731</v>
      </c>
      <c r="AV195" s="17" t="n">
        <v>0</v>
      </c>
      <c r="AW195" s="17" t="n">
        <v>1731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-47</v>
      </c>
      <c r="BF195" s="17" t="n">
        <v>0</v>
      </c>
      <c r="BG195" s="17" t="n">
        <v>-49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00310625030</t>
        </is>
      </c>
      <c r="B196" s="15" t="inlineStr">
        <is>
          <t>XIGDUO XR 5-500MG TABLET EXTENDED RELEASE</t>
        </is>
      </c>
      <c r="C196" s="16" t="n">
        <v>30</v>
      </c>
      <c r="D196" s="16" t="n">
        <v>2</v>
      </c>
      <c r="E196" s="16" t="n">
        <v>2</v>
      </c>
      <c r="F196" s="16" t="n">
        <v>579</v>
      </c>
      <c r="G196" s="16" t="n">
        <v>180</v>
      </c>
      <c r="H196" s="17" t="n">
        <v>0</v>
      </c>
      <c r="I196" s="17" t="n">
        <v>180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6</v>
      </c>
      <c r="R196" s="17" t="n">
        <v>0</v>
      </c>
      <c r="S196" s="17" t="n">
        <v>6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-4</v>
      </c>
      <c r="AB196" s="17" t="n">
        <v>2</v>
      </c>
      <c r="AC196" s="17" t="n">
        <v>-4</v>
      </c>
      <c r="AD196" s="17" t="n">
        <v>2</v>
      </c>
      <c r="AE196" s="17" t="n">
        <v>2</v>
      </c>
      <c r="AF196" s="17" t="n">
        <v>2</v>
      </c>
      <c r="AG196" s="17" t="n">
        <v>2</v>
      </c>
      <c r="AH196" s="17" t="n">
        <v>2</v>
      </c>
      <c r="AI196" s="17" t="n">
        <v>2</v>
      </c>
      <c r="AJ196" s="18" t="n">
        <v>2</v>
      </c>
      <c r="AK196" s="16" t="n">
        <v>3346</v>
      </c>
      <c r="AL196" s="17" t="n">
        <v>0</v>
      </c>
      <c r="AM196" s="17" t="n">
        <v>3346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3474</v>
      </c>
      <c r="AV196" s="17" t="n">
        <v>0</v>
      </c>
      <c r="AW196" s="17" t="n">
        <v>3474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-128</v>
      </c>
      <c r="BF196" s="17" t="n">
        <v>0</v>
      </c>
      <c r="BG196" s="17" t="n">
        <v>-128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24208091112</t>
        </is>
      </c>
      <c r="B197" s="15" t="inlineStr">
        <is>
          <t>XIIDRA 5 % OPHTHALMIC SOLUTION</t>
        </is>
      </c>
      <c r="C197" s="16" t="n">
        <v>60</v>
      </c>
      <c r="D197" s="16" t="n">
        <v>84</v>
      </c>
      <c r="E197" s="16" t="n">
        <v>84</v>
      </c>
      <c r="F197" s="16" t="n">
        <v>720</v>
      </c>
      <c r="G197" s="16" t="n">
        <v>4980</v>
      </c>
      <c r="H197" s="17" t="n">
        <v>0</v>
      </c>
      <c r="I197" s="17" t="n">
        <v>2820</v>
      </c>
      <c r="J197" s="17" t="n">
        <v>480</v>
      </c>
      <c r="K197" s="17" t="n">
        <v>0</v>
      </c>
      <c r="L197" s="17" t="n">
        <v>720</v>
      </c>
      <c r="M197" s="17" t="n">
        <v>840</v>
      </c>
      <c r="N197" s="17" t="n">
        <v>120</v>
      </c>
      <c r="O197" s="17" t="n">
        <v>0</v>
      </c>
      <c r="P197" s="18" t="n">
        <v>0</v>
      </c>
      <c r="Q197" s="16" t="n">
        <v>83</v>
      </c>
      <c r="R197" s="17" t="n">
        <v>0</v>
      </c>
      <c r="S197" s="17" t="n">
        <v>47</v>
      </c>
      <c r="T197" s="17" t="n">
        <v>8</v>
      </c>
      <c r="U197" s="17" t="n">
        <v>0</v>
      </c>
      <c r="V197" s="17" t="n">
        <v>12</v>
      </c>
      <c r="W197" s="17" t="n">
        <v>14</v>
      </c>
      <c r="X197" s="17" t="n">
        <v>2</v>
      </c>
      <c r="Y197" s="17" t="n">
        <v>0</v>
      </c>
      <c r="Z197" s="18" t="n">
        <v>0</v>
      </c>
      <c r="AA197" s="16" t="n">
        <v>1</v>
      </c>
      <c r="AB197" s="17" t="n">
        <v>84</v>
      </c>
      <c r="AC197" s="17" t="n">
        <v>37</v>
      </c>
      <c r="AD197" s="17" t="n">
        <v>76</v>
      </c>
      <c r="AE197" s="17" t="n">
        <v>84</v>
      </c>
      <c r="AF197" s="17" t="n">
        <v>72</v>
      </c>
      <c r="AG197" s="17" t="n">
        <v>70</v>
      </c>
      <c r="AH197" s="17" t="n">
        <v>82</v>
      </c>
      <c r="AI197" s="17" t="n">
        <v>84</v>
      </c>
      <c r="AJ197" s="18" t="n">
        <v>84</v>
      </c>
      <c r="AK197" s="16" t="n">
        <v>57073</v>
      </c>
      <c r="AL197" s="17" t="n">
        <v>0</v>
      </c>
      <c r="AM197" s="17" t="n">
        <v>31365</v>
      </c>
      <c r="AN197" s="17" t="n">
        <v>4477</v>
      </c>
      <c r="AO197" s="17" t="n">
        <v>0</v>
      </c>
      <c r="AP197" s="17" t="n">
        <v>8243</v>
      </c>
      <c r="AQ197" s="17" t="n">
        <v>9838</v>
      </c>
      <c r="AR197" s="17" t="n">
        <v>1369</v>
      </c>
      <c r="AS197" s="17" t="n">
        <v>0</v>
      </c>
      <c r="AT197" s="18" t="n">
        <v>0</v>
      </c>
      <c r="AU197" s="16" t="n">
        <v>59760</v>
      </c>
      <c r="AV197" s="17" t="n">
        <v>0</v>
      </c>
      <c r="AW197" s="17" t="n">
        <v>33840</v>
      </c>
      <c r="AX197" s="17" t="n">
        <v>5760</v>
      </c>
      <c r="AY197" s="17" t="n">
        <v>0</v>
      </c>
      <c r="AZ197" s="17" t="n">
        <v>8640</v>
      </c>
      <c r="BA197" s="17" t="n">
        <v>10080</v>
      </c>
      <c r="BB197" s="17" t="n">
        <v>1440</v>
      </c>
      <c r="BC197" s="17" t="n">
        <v>0</v>
      </c>
      <c r="BD197" s="18" t="n">
        <v>0</v>
      </c>
      <c r="BE197" s="16" t="n">
        <v>-2687</v>
      </c>
      <c r="BF197" s="17" t="n">
        <v>0</v>
      </c>
      <c r="BG197" s="17" t="n">
        <v>-2475</v>
      </c>
      <c r="BH197" s="17" t="n">
        <v>-1283</v>
      </c>
      <c r="BI197" s="17" t="n">
        <v>0</v>
      </c>
      <c r="BJ197" s="17" t="n">
        <v>-397</v>
      </c>
      <c r="BK197" s="17" t="n">
        <v>-242</v>
      </c>
      <c r="BL197" s="17" t="n">
        <v>-71</v>
      </c>
      <c r="BM197" s="17" t="n">
        <v>0</v>
      </c>
      <c r="BN197" s="18" t="n">
        <v>0</v>
      </c>
    </row>
    <row r="198" ht="20" customHeight="1">
      <c r="A198" s="15" t="inlineStr">
        <is>
          <t>00169291115</t>
        </is>
      </c>
      <c r="B198" s="15" t="inlineStr">
        <is>
          <t>XULTOPHY 100-3.6UNIT INJECTION</t>
        </is>
      </c>
      <c r="C198" s="16" t="n">
        <v>15</v>
      </c>
      <c r="D198" s="16" t="n">
        <v>2</v>
      </c>
      <c r="E198" s="16" t="n">
        <v>2</v>
      </c>
      <c r="F198" s="16" t="n">
        <v>1304</v>
      </c>
      <c r="G198" s="16" t="n">
        <v>30</v>
      </c>
      <c r="H198" s="17" t="n">
        <v>0</v>
      </c>
      <c r="I198" s="17" t="n">
        <v>30</v>
      </c>
      <c r="J198" s="17" t="n">
        <v>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</v>
      </c>
      <c r="R198" s="17" t="n">
        <v>0</v>
      </c>
      <c r="S198" s="17" t="n">
        <v>2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0</v>
      </c>
      <c r="AB198" s="17" t="n">
        <v>2</v>
      </c>
      <c r="AC198" s="17" t="n">
        <v>0</v>
      </c>
      <c r="AD198" s="17" t="n">
        <v>2</v>
      </c>
      <c r="AE198" s="17" t="n">
        <v>2</v>
      </c>
      <c r="AF198" s="17" t="n">
        <v>2</v>
      </c>
      <c r="AG198" s="17" t="n">
        <v>2</v>
      </c>
      <c r="AH198" s="17" t="n">
        <v>2</v>
      </c>
      <c r="AI198" s="17" t="n">
        <v>2</v>
      </c>
      <c r="AJ198" s="18" t="n">
        <v>2</v>
      </c>
      <c r="AK198" s="16" t="n">
        <v>2510</v>
      </c>
      <c r="AL198" s="17" t="n">
        <v>0</v>
      </c>
      <c r="AM198" s="17" t="n">
        <v>2505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2608</v>
      </c>
      <c r="AV198" s="17" t="n">
        <v>0</v>
      </c>
      <c r="AW198" s="17" t="n">
        <v>2608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-98</v>
      </c>
      <c r="BF198" s="17" t="n">
        <v>0</v>
      </c>
      <c r="BG198" s="17" t="n">
        <v>-103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65162035803</t>
        </is>
      </c>
      <c r="B199" s="15" t="inlineStr">
        <is>
          <t>ZAFEMY 150-35 MCG/24HR TRANSDERMAL PATCH WEEKLY</t>
        </is>
      </c>
      <c r="C199" s="16" t="n">
        <v>3</v>
      </c>
      <c r="D199" s="16" t="n">
        <v>1</v>
      </c>
      <c r="E199" s="16" t="n">
        <v>1</v>
      </c>
      <c r="F199" s="16" t="n">
        <v>71</v>
      </c>
      <c r="G199" s="16" t="n">
        <v>9</v>
      </c>
      <c r="H199" s="17" t="n">
        <v>0</v>
      </c>
      <c r="I199" s="17" t="n">
        <v>0</v>
      </c>
      <c r="J199" s="17" t="n">
        <v>0</v>
      </c>
      <c r="K199" s="17" t="n">
        <v>0</v>
      </c>
      <c r="L199" s="17" t="n">
        <v>0</v>
      </c>
      <c r="M199" s="17" t="n">
        <v>9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3</v>
      </c>
      <c r="X199" s="17" t="n">
        <v>0</v>
      </c>
      <c r="Y199" s="17" t="n">
        <v>0</v>
      </c>
      <c r="Z199" s="18" t="n">
        <v>0</v>
      </c>
      <c r="AA199" s="16" t="n">
        <v>-2</v>
      </c>
      <c r="AB199" s="17" t="n">
        <v>1</v>
      </c>
      <c r="AC199" s="17" t="n">
        <v>1</v>
      </c>
      <c r="AD199" s="17" t="n">
        <v>1</v>
      </c>
      <c r="AE199" s="17" t="n">
        <v>1</v>
      </c>
      <c r="AF199" s="17" t="n">
        <v>1</v>
      </c>
      <c r="AG199" s="17" t="n">
        <v>-2</v>
      </c>
      <c r="AH199" s="17" t="n">
        <v>1</v>
      </c>
      <c r="AI199" s="17" t="n">
        <v>1</v>
      </c>
      <c r="AJ199" s="18" t="n">
        <v>1</v>
      </c>
      <c r="AK199" s="16" t="n">
        <v>315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315</v>
      </c>
      <c r="AR199" s="17" t="n">
        <v>0</v>
      </c>
      <c r="AS199" s="17" t="n">
        <v>0</v>
      </c>
      <c r="AT199" s="18" t="n">
        <v>0</v>
      </c>
      <c r="AU199" s="16" t="n">
        <v>213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213</v>
      </c>
      <c r="BB199" s="17" t="n">
        <v>0</v>
      </c>
      <c r="BC199" s="17" t="n">
        <v>0</v>
      </c>
      <c r="BD199" s="18" t="n">
        <v>0</v>
      </c>
      <c r="BE199" s="16" t="n">
        <v>102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102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73562011401</t>
        </is>
      </c>
      <c r="B200" s="15" t="inlineStr">
        <is>
          <t>ZENPEP 40000-126000U CAPSULE DR</t>
        </is>
      </c>
      <c r="C200" s="16" t="n">
        <v>100</v>
      </c>
      <c r="D200" s="16" t="n">
        <v>3</v>
      </c>
      <c r="E200" s="16" t="n">
        <v>3</v>
      </c>
      <c r="F200" s="16" t="n">
        <v>1635</v>
      </c>
      <c r="G200" s="16" t="n">
        <v>360</v>
      </c>
      <c r="H200" s="17" t="n">
        <v>0</v>
      </c>
      <c r="I200" s="17" t="n">
        <v>360</v>
      </c>
      <c r="J200" s="17" t="n">
        <v>0</v>
      </c>
      <c r="K200" s="17" t="n">
        <v>0</v>
      </c>
      <c r="L200" s="17" t="n">
        <v>0</v>
      </c>
      <c r="M200" s="17" t="n">
        <v>0</v>
      </c>
      <c r="N200" s="17" t="n">
        <v>0</v>
      </c>
      <c r="O200" s="17" t="n">
        <v>0</v>
      </c>
      <c r="P200" s="18" t="n">
        <v>0</v>
      </c>
      <c r="Q200" s="16" t="n">
        <v>3.6</v>
      </c>
      <c r="R200" s="17" t="n">
        <v>0</v>
      </c>
      <c r="S200" s="17" t="n">
        <v>3.6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8" t="n">
        <v>0</v>
      </c>
      <c r="AA200" s="16" t="n">
        <v>-0.6</v>
      </c>
      <c r="AB200" s="17" t="n">
        <v>3</v>
      </c>
      <c r="AC200" s="17" t="n">
        <v>-0.6</v>
      </c>
      <c r="AD200" s="17" t="n">
        <v>3</v>
      </c>
      <c r="AE200" s="17" t="n">
        <v>3</v>
      </c>
      <c r="AF200" s="17" t="n">
        <v>3</v>
      </c>
      <c r="AG200" s="17" t="n">
        <v>3</v>
      </c>
      <c r="AH200" s="17" t="n">
        <v>3</v>
      </c>
      <c r="AI200" s="17" t="n">
        <v>3</v>
      </c>
      <c r="AJ200" s="18" t="n">
        <v>3</v>
      </c>
      <c r="AK200" s="16" t="n">
        <v>5663</v>
      </c>
      <c r="AL200" s="17" t="n">
        <v>0</v>
      </c>
      <c r="AM200" s="17" t="n">
        <v>5658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8" t="n">
        <v>0</v>
      </c>
      <c r="AU200" s="16" t="n">
        <v>5886</v>
      </c>
      <c r="AV200" s="17" t="n">
        <v>0</v>
      </c>
      <c r="AW200" s="17" t="n">
        <v>5886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8" t="n">
        <v>0</v>
      </c>
      <c r="BE200" s="16" t="n">
        <v>-223</v>
      </c>
      <c r="BF200" s="17" t="n">
        <v>0</v>
      </c>
      <c r="BG200" s="17" t="n">
        <v>-228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8" t="n">
        <v>0</v>
      </c>
    </row>
    <row r="201" ht="20" customHeight="1">
      <c r="A201" s="15" t="inlineStr">
        <is>
          <t>00002247180</t>
        </is>
      </c>
      <c r="B201" s="15" t="inlineStr">
        <is>
          <t>ZEPBOUND 10 MG/0.5ML AUTO-INJECTOR</t>
        </is>
      </c>
      <c r="C201" s="16" t="n">
        <v>2</v>
      </c>
      <c r="D201" s="16" t="n">
        <v>5</v>
      </c>
      <c r="E201" s="16" t="n">
        <v>5</v>
      </c>
      <c r="F201" s="16" t="n">
        <v>1056</v>
      </c>
      <c r="G201" s="16" t="n">
        <v>10</v>
      </c>
      <c r="H201" s="17" t="n">
        <v>0</v>
      </c>
      <c r="I201" s="17" t="n">
        <v>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10</v>
      </c>
      <c r="O201" s="17" t="n">
        <v>0</v>
      </c>
      <c r="P201" s="18" t="n">
        <v>0</v>
      </c>
      <c r="Q201" s="16" t="n">
        <v>5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5</v>
      </c>
      <c r="Y201" s="17" t="n">
        <v>0</v>
      </c>
      <c r="Z201" s="18" t="n">
        <v>0</v>
      </c>
      <c r="AA201" s="16" t="n">
        <v>0</v>
      </c>
      <c r="AB201" s="17" t="n">
        <v>5</v>
      </c>
      <c r="AC201" s="17" t="n">
        <v>5</v>
      </c>
      <c r="AD201" s="17" t="n">
        <v>5</v>
      </c>
      <c r="AE201" s="17" t="n">
        <v>5</v>
      </c>
      <c r="AF201" s="17" t="n">
        <v>5</v>
      </c>
      <c r="AG201" s="17" t="n">
        <v>5</v>
      </c>
      <c r="AH201" s="17" t="n">
        <v>0</v>
      </c>
      <c r="AI201" s="17" t="n">
        <v>5</v>
      </c>
      <c r="AJ201" s="18" t="n">
        <v>5</v>
      </c>
      <c r="AK201" s="16" t="n">
        <v>5255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4899</v>
      </c>
      <c r="AS201" s="17" t="n">
        <v>0</v>
      </c>
      <c r="AT201" s="18" t="n">
        <v>0</v>
      </c>
      <c r="AU201" s="16" t="n">
        <v>5280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5280</v>
      </c>
      <c r="BC201" s="17" t="n">
        <v>0</v>
      </c>
      <c r="BD201" s="18" t="n">
        <v>0</v>
      </c>
      <c r="BE201" s="16" t="n">
        <v>-25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-381</v>
      </c>
      <c r="BM201" s="17" t="n">
        <v>0</v>
      </c>
      <c r="BN201" s="18" t="n">
        <v>0</v>
      </c>
    </row>
    <row r="202" ht="20" customHeight="1">
      <c r="A202" s="15" t="inlineStr">
        <is>
          <t>00002246080</t>
        </is>
      </c>
      <c r="B202" s="15" t="inlineStr">
        <is>
          <t>ZEPBOUND 12.5 MG/0.5ML AUTO-INJECTOR</t>
        </is>
      </c>
      <c r="C202" s="16" t="n">
        <v>2</v>
      </c>
      <c r="D202" s="16" t="n">
        <v>1</v>
      </c>
      <c r="E202" s="16" t="n">
        <v>1</v>
      </c>
      <c r="F202" s="16" t="n">
        <v>1056</v>
      </c>
      <c r="G202" s="16" t="n">
        <v>2</v>
      </c>
      <c r="H202" s="17" t="n">
        <v>0</v>
      </c>
      <c r="I202" s="17" t="n">
        <v>0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2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0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1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1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0</v>
      </c>
      <c r="AI202" s="17" t="n">
        <v>1</v>
      </c>
      <c r="AJ202" s="18" t="n">
        <v>1</v>
      </c>
      <c r="AK202" s="16" t="n">
        <v>1052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960</v>
      </c>
      <c r="AS202" s="17" t="n">
        <v>0</v>
      </c>
      <c r="AT202" s="18" t="n">
        <v>0</v>
      </c>
      <c r="AU202" s="16" t="n">
        <v>1056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1056</v>
      </c>
      <c r="BC202" s="17" t="n">
        <v>0</v>
      </c>
      <c r="BD202" s="18" t="n">
        <v>0</v>
      </c>
      <c r="BE202" s="16" t="n">
        <v>-4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-96</v>
      </c>
      <c r="BM202" s="17" t="n">
        <v>0</v>
      </c>
      <c r="BN202" s="18" t="n">
        <v>0</v>
      </c>
    </row>
    <row r="203" ht="20" customHeight="1">
      <c r="A203" s="15" t="inlineStr">
        <is>
          <t>00002250680</t>
        </is>
      </c>
      <c r="B203" s="15" t="inlineStr">
        <is>
          <t>ZEPBOUND 2.5 MG/0.5ML AUTO-INJECTOR</t>
        </is>
      </c>
      <c r="C203" s="16" t="n">
        <v>2</v>
      </c>
      <c r="D203" s="16" t="n">
        <v>1</v>
      </c>
      <c r="E203" s="16" t="n">
        <v>1</v>
      </c>
      <c r="F203" s="16" t="n">
        <v>1048</v>
      </c>
      <c r="G203" s="16" t="n">
        <v>2</v>
      </c>
      <c r="H203" s="17" t="n">
        <v>0</v>
      </c>
      <c r="I203" s="17" t="n">
        <v>2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1048</v>
      </c>
      <c r="AL203" s="17" t="n">
        <v>0</v>
      </c>
      <c r="AM203" s="17" t="n">
        <v>1027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1048</v>
      </c>
      <c r="AV203" s="17" t="n">
        <v>0</v>
      </c>
      <c r="AW203" s="17" t="n">
        <v>1048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0</v>
      </c>
      <c r="BF203" s="17" t="n">
        <v>0</v>
      </c>
      <c r="BG203" s="17" t="n">
        <v>-21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00002249580</t>
        </is>
      </c>
      <c r="B204" s="15" t="inlineStr">
        <is>
          <t>ZEPBOUND 5 MG/0.5ML AUTO-INJECTOR</t>
        </is>
      </c>
      <c r="C204" s="16" t="n">
        <v>2</v>
      </c>
      <c r="D204" s="16" t="n">
        <v>1</v>
      </c>
      <c r="E204" s="16" t="n">
        <v>1</v>
      </c>
      <c r="F204" s="16" t="n">
        <v>1048</v>
      </c>
      <c r="G204" s="16" t="n">
        <v>2</v>
      </c>
      <c r="H204" s="17" t="n">
        <v>0</v>
      </c>
      <c r="I204" s="17" t="n">
        <v>2</v>
      </c>
      <c r="J204" s="17" t="n">
        <v>0</v>
      </c>
      <c r="K204" s="17" t="n">
        <v>0</v>
      </c>
      <c r="L204" s="17" t="n">
        <v>0</v>
      </c>
      <c r="M204" s="17" t="n">
        <v>0</v>
      </c>
      <c r="N204" s="17" t="n">
        <v>0</v>
      </c>
      <c r="O204" s="17" t="n">
        <v>0</v>
      </c>
      <c r="P204" s="18" t="n">
        <v>0</v>
      </c>
      <c r="Q204" s="16" t="n">
        <v>1</v>
      </c>
      <c r="R204" s="17" t="n">
        <v>0</v>
      </c>
      <c r="S204" s="17" t="n">
        <v>1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8" t="n">
        <v>0</v>
      </c>
      <c r="AA204" s="16" t="n">
        <v>0</v>
      </c>
      <c r="AB204" s="17" t="n">
        <v>1</v>
      </c>
      <c r="AC204" s="17" t="n">
        <v>0</v>
      </c>
      <c r="AD204" s="17" t="n">
        <v>1</v>
      </c>
      <c r="AE204" s="17" t="n">
        <v>1</v>
      </c>
      <c r="AF204" s="17" t="n">
        <v>1</v>
      </c>
      <c r="AG204" s="17" t="n">
        <v>1</v>
      </c>
      <c r="AH204" s="17" t="n">
        <v>1</v>
      </c>
      <c r="AI204" s="17" t="n">
        <v>1</v>
      </c>
      <c r="AJ204" s="18" t="n">
        <v>1</v>
      </c>
      <c r="AK204" s="16" t="n">
        <v>1048</v>
      </c>
      <c r="AL204" s="17" t="n">
        <v>0</v>
      </c>
      <c r="AM204" s="17" t="n">
        <v>1027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8" t="n">
        <v>0</v>
      </c>
      <c r="AU204" s="16" t="n">
        <v>1048</v>
      </c>
      <c r="AV204" s="17" t="n">
        <v>0</v>
      </c>
      <c r="AW204" s="17" t="n">
        <v>1048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8" t="n">
        <v>0</v>
      </c>
      <c r="BE204" s="16" t="n">
        <v>0</v>
      </c>
      <c r="BF204" s="17" t="n">
        <v>0</v>
      </c>
      <c r="BG204" s="17" t="n">
        <v>-21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00002248480</t>
        </is>
      </c>
      <c r="B205" s="15" t="inlineStr">
        <is>
          <t>ZEPBOUND 7.5 MG/0.5ML AUTO-INJECTOR</t>
        </is>
      </c>
      <c r="C205" s="16" t="n">
        <v>2</v>
      </c>
      <c r="D205" s="16" t="n">
        <v>2</v>
      </c>
      <c r="E205" s="16" t="n">
        <v>2</v>
      </c>
      <c r="F205" s="16" t="n">
        <v>1056</v>
      </c>
      <c r="G205" s="16" t="n">
        <v>4</v>
      </c>
      <c r="H205" s="17" t="n">
        <v>0</v>
      </c>
      <c r="I205" s="17" t="n">
        <v>2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2</v>
      </c>
      <c r="O205" s="17" t="n">
        <v>0</v>
      </c>
      <c r="P205" s="18" t="n">
        <v>0</v>
      </c>
      <c r="Q205" s="16" t="n">
        <v>2</v>
      </c>
      <c r="R205" s="17" t="n">
        <v>0</v>
      </c>
      <c r="S205" s="17" t="n">
        <v>1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1</v>
      </c>
      <c r="Y205" s="17" t="n">
        <v>0</v>
      </c>
      <c r="Z205" s="18" t="n">
        <v>0</v>
      </c>
      <c r="AA205" s="16" t="n">
        <v>0</v>
      </c>
      <c r="AB205" s="17" t="n">
        <v>2</v>
      </c>
      <c r="AC205" s="17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1</v>
      </c>
      <c r="AI205" s="17" t="n">
        <v>2</v>
      </c>
      <c r="AJ205" s="18" t="n">
        <v>2</v>
      </c>
      <c r="AK205" s="16" t="n">
        <v>2098</v>
      </c>
      <c r="AL205" s="17" t="n">
        <v>0</v>
      </c>
      <c r="AM205" s="17" t="n">
        <v>1027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1025</v>
      </c>
      <c r="AS205" s="17" t="n">
        <v>0</v>
      </c>
      <c r="AT205" s="18" t="n">
        <v>0</v>
      </c>
      <c r="AU205" s="16" t="n">
        <v>2112</v>
      </c>
      <c r="AV205" s="17" t="n">
        <v>0</v>
      </c>
      <c r="AW205" s="17" t="n">
        <v>1056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1056</v>
      </c>
      <c r="BC205" s="17" t="n">
        <v>0</v>
      </c>
      <c r="BD205" s="18" t="n">
        <v>0</v>
      </c>
      <c r="BE205" s="16" t="n">
        <v>-14</v>
      </c>
      <c r="BF205" s="17" t="n">
        <v>0</v>
      </c>
      <c r="BG205" s="17" t="n">
        <v>-29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-31</v>
      </c>
      <c r="BM205" s="17" t="n">
        <v>0</v>
      </c>
      <c r="BN205" s="18" t="n">
        <v>0</v>
      </c>
    </row>
    <row r="206" ht="20" customHeight="1">
      <c r="A206" s="15" t="inlineStr">
        <is>
          <t>80610013060</t>
        </is>
      </c>
      <c r="B206" s="15" t="inlineStr">
        <is>
          <t>ZORYVE 0.3 % EXTERNAL CREAM</t>
        </is>
      </c>
      <c r="C206" s="16" t="n">
        <v>60</v>
      </c>
      <c r="D206" s="16" t="n">
        <v>1</v>
      </c>
      <c r="E206" s="16" t="n">
        <v>1</v>
      </c>
      <c r="F206" s="16" t="n">
        <v>932</v>
      </c>
      <c r="G206" s="16" t="n">
        <v>240</v>
      </c>
      <c r="H206" s="17" t="n">
        <v>0</v>
      </c>
      <c r="I206" s="17" t="n">
        <v>60</v>
      </c>
      <c r="J206" s="17" t="n">
        <v>0</v>
      </c>
      <c r="K206" s="17" t="n">
        <v>0</v>
      </c>
      <c r="L206" s="17" t="n">
        <v>0</v>
      </c>
      <c r="M206" s="17" t="n">
        <v>180</v>
      </c>
      <c r="N206" s="17" t="n">
        <v>0</v>
      </c>
      <c r="O206" s="17" t="n">
        <v>0</v>
      </c>
      <c r="P206" s="18" t="n">
        <v>0</v>
      </c>
      <c r="Q206" s="16" t="n">
        <v>4</v>
      </c>
      <c r="R206" s="17" t="n">
        <v>0</v>
      </c>
      <c r="S206" s="17" t="n">
        <v>1</v>
      </c>
      <c r="T206" s="17" t="n">
        <v>0</v>
      </c>
      <c r="U206" s="17" t="n">
        <v>0</v>
      </c>
      <c r="V206" s="17" t="n">
        <v>0</v>
      </c>
      <c r="W206" s="17" t="n">
        <v>3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1</v>
      </c>
      <c r="AC206" s="17" t="n">
        <v>0</v>
      </c>
      <c r="AD206" s="17" t="n">
        <v>1</v>
      </c>
      <c r="AE206" s="17" t="n">
        <v>1</v>
      </c>
      <c r="AF206" s="17" t="n">
        <v>1</v>
      </c>
      <c r="AG206" s="17" t="n">
        <v>-2</v>
      </c>
      <c r="AH206" s="17" t="n">
        <v>1</v>
      </c>
      <c r="AI206" s="17" t="n">
        <v>1</v>
      </c>
      <c r="AJ206" s="18" t="n">
        <v>1</v>
      </c>
      <c r="AK206" s="16" t="n">
        <v>3605</v>
      </c>
      <c r="AL206" s="17" t="n">
        <v>0</v>
      </c>
      <c r="AM206" s="17" t="n">
        <v>875</v>
      </c>
      <c r="AN206" s="17" t="n">
        <v>0</v>
      </c>
      <c r="AO206" s="17" t="n">
        <v>0</v>
      </c>
      <c r="AP206" s="17" t="n">
        <v>0</v>
      </c>
      <c r="AQ206" s="17" t="n">
        <v>2730</v>
      </c>
      <c r="AR206" s="17" t="n">
        <v>0</v>
      </c>
      <c r="AS206" s="17" t="n">
        <v>0</v>
      </c>
      <c r="AT206" s="18" t="n">
        <v>0</v>
      </c>
      <c r="AU206" s="16" t="n">
        <v>3728</v>
      </c>
      <c r="AV206" s="17" t="n">
        <v>0</v>
      </c>
      <c r="AW206" s="17" t="n">
        <v>932</v>
      </c>
      <c r="AX206" s="17" t="n">
        <v>0</v>
      </c>
      <c r="AY206" s="17" t="n">
        <v>0</v>
      </c>
      <c r="AZ206" s="17" t="n">
        <v>0</v>
      </c>
      <c r="BA206" s="17" t="n">
        <v>2796</v>
      </c>
      <c r="BB206" s="17" t="n">
        <v>0</v>
      </c>
      <c r="BC206" s="17" t="n">
        <v>0</v>
      </c>
      <c r="BD206" s="18" t="n">
        <v>0</v>
      </c>
      <c r="BE206" s="16" t="n">
        <v>-123</v>
      </c>
      <c r="BF206" s="17" t="n">
        <v>0</v>
      </c>
      <c r="BG206" s="17" t="n">
        <v>-57</v>
      </c>
      <c r="BH206" s="17" t="n">
        <v>0</v>
      </c>
      <c r="BI206" s="17" t="n">
        <v>0</v>
      </c>
      <c r="BJ206" s="17" t="n">
        <v>0</v>
      </c>
      <c r="BK206" s="17" t="n">
        <v>-66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80610043060</t>
        </is>
      </c>
      <c r="B207" s="15" t="inlineStr">
        <is>
          <t>ZORYVE 0.3 % EXTERNAL FOAM</t>
        </is>
      </c>
      <c r="C207" s="16" t="n">
        <v>60</v>
      </c>
      <c r="D207" s="16" t="n">
        <v>0</v>
      </c>
      <c r="E207" s="16" t="n">
        <v>0</v>
      </c>
      <c r="F207" s="16" t="n">
        <v>0</v>
      </c>
      <c r="G207" s="16" t="n">
        <v>240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60</v>
      </c>
      <c r="N207" s="17" t="n">
        <v>0</v>
      </c>
      <c r="O207" s="17" t="n">
        <v>0</v>
      </c>
      <c r="P207" s="18" t="n">
        <v>0</v>
      </c>
      <c r="Q207" s="16" t="n">
        <v>4</v>
      </c>
      <c r="R207" s="17" t="n">
        <v>0</v>
      </c>
      <c r="S207" s="17" t="n">
        <v>3</v>
      </c>
      <c r="T207" s="17" t="n">
        <v>0</v>
      </c>
      <c r="U207" s="17" t="n">
        <v>0</v>
      </c>
      <c r="V207" s="17" t="n">
        <v>0</v>
      </c>
      <c r="W207" s="17" t="n">
        <v>1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0</v>
      </c>
      <c r="AC207" s="17" t="n">
        <v>-3</v>
      </c>
      <c r="AD207" s="17" t="n">
        <v>0</v>
      </c>
      <c r="AE207" s="17" t="n">
        <v>0</v>
      </c>
      <c r="AF207" s="17" t="n">
        <v>0</v>
      </c>
      <c r="AG207" s="17" t="n">
        <v>-1</v>
      </c>
      <c r="AH207" s="17" t="n">
        <v>0</v>
      </c>
      <c r="AI207" s="17" t="n">
        <v>0</v>
      </c>
      <c r="AJ207" s="18" t="n">
        <v>0</v>
      </c>
      <c r="AK207" s="16" t="n">
        <v>3566</v>
      </c>
      <c r="AL207" s="17" t="n">
        <v>0</v>
      </c>
      <c r="AM207" s="17" t="n">
        <v>2663</v>
      </c>
      <c r="AN207" s="17" t="n">
        <v>0</v>
      </c>
      <c r="AO207" s="17" t="n">
        <v>0</v>
      </c>
      <c r="AP207" s="17" t="n">
        <v>0</v>
      </c>
      <c r="AQ207" s="17" t="n">
        <v>898</v>
      </c>
      <c r="AR207" s="17" t="n">
        <v>0</v>
      </c>
      <c r="AS207" s="17" t="n">
        <v>0</v>
      </c>
      <c r="AT207" s="18" t="n">
        <v>0</v>
      </c>
      <c r="AU207" s="16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3566</v>
      </c>
      <c r="BF207" s="17" t="n">
        <v>0</v>
      </c>
      <c r="BG207" s="17" t="n">
        <v>2663</v>
      </c>
      <c r="BH207" s="17" t="n">
        <v>0</v>
      </c>
      <c r="BI207" s="17" t="n">
        <v>0</v>
      </c>
      <c r="BJ207" s="17" t="n">
        <v>0</v>
      </c>
      <c r="BK207" s="17" t="n">
        <v>898</v>
      </c>
      <c r="BL207" s="17" t="n">
        <v>0</v>
      </c>
      <c r="BM207" s="17" t="n">
        <v>0</v>
      </c>
      <c r="BN207" s="18" t="n">
        <v>0</v>
      </c>
    </row>
    <row r="208" ht="20" customHeight="1">
      <c r="A208" s="19" t="inlineStr">
        <is>
          <t>69557011130</t>
        </is>
      </c>
      <c r="B208" s="19" t="inlineStr">
        <is>
          <t>ZTLIDO 1.8 % EXTERNAL PATCH</t>
        </is>
      </c>
      <c r="C208" s="20" t="n">
        <v>30</v>
      </c>
      <c r="D208" s="20" t="n">
        <v>4</v>
      </c>
      <c r="E208" s="20" t="n">
        <v>4</v>
      </c>
      <c r="F208" s="20" t="n">
        <v>372</v>
      </c>
      <c r="G208" s="20" t="n">
        <v>180</v>
      </c>
      <c r="H208" s="21" t="n">
        <v>0</v>
      </c>
      <c r="I208" s="21" t="n">
        <v>180</v>
      </c>
      <c r="J208" s="21" t="n">
        <v>0</v>
      </c>
      <c r="K208" s="21" t="n">
        <v>0</v>
      </c>
      <c r="L208" s="21" t="n">
        <v>0</v>
      </c>
      <c r="M208" s="21" t="n">
        <v>0</v>
      </c>
      <c r="N208" s="21" t="n">
        <v>0</v>
      </c>
      <c r="O208" s="21" t="n">
        <v>0</v>
      </c>
      <c r="P208" s="22" t="n">
        <v>0</v>
      </c>
      <c r="Q208" s="20" t="n">
        <v>6</v>
      </c>
      <c r="R208" s="21" t="n">
        <v>0</v>
      </c>
      <c r="S208" s="21" t="n">
        <v>6</v>
      </c>
      <c r="T208" s="21" t="n">
        <v>0</v>
      </c>
      <c r="U208" s="21" t="n">
        <v>0</v>
      </c>
      <c r="V208" s="21" t="n">
        <v>0</v>
      </c>
      <c r="W208" s="21" t="n">
        <v>0</v>
      </c>
      <c r="X208" s="21" t="n">
        <v>0</v>
      </c>
      <c r="Y208" s="21" t="n">
        <v>0</v>
      </c>
      <c r="Z208" s="22" t="n">
        <v>0</v>
      </c>
      <c r="AA208" s="20" t="n">
        <v>-2</v>
      </c>
      <c r="AB208" s="21" t="n">
        <v>4</v>
      </c>
      <c r="AC208" s="21" t="n">
        <v>-2</v>
      </c>
      <c r="AD208" s="21" t="n">
        <v>4</v>
      </c>
      <c r="AE208" s="21" t="n">
        <v>4</v>
      </c>
      <c r="AF208" s="21" t="n">
        <v>4</v>
      </c>
      <c r="AG208" s="21" t="n">
        <v>4</v>
      </c>
      <c r="AH208" s="21" t="n">
        <v>4</v>
      </c>
      <c r="AI208" s="21" t="n">
        <v>4</v>
      </c>
      <c r="AJ208" s="22" t="n">
        <v>4</v>
      </c>
      <c r="AK208" s="20" t="n">
        <v>2144</v>
      </c>
      <c r="AL208" s="21" t="n">
        <v>0</v>
      </c>
      <c r="AM208" s="21" t="n">
        <v>2126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2" t="n">
        <v>0</v>
      </c>
      <c r="AU208" s="20" t="n">
        <v>2232</v>
      </c>
      <c r="AV208" s="21" t="n">
        <v>0</v>
      </c>
      <c r="AW208" s="21" t="n">
        <v>2232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2" t="n">
        <v>0</v>
      </c>
      <c r="BE208" s="20" t="n">
        <v>-88</v>
      </c>
      <c r="BF208" s="21" t="n">
        <v>0</v>
      </c>
      <c r="BG208" s="21" t="n">
        <v>-106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2" t="n">
        <v>0</v>
      </c>
    </row>
    <row r="209">
      <c r="A209" s="23" t="inlineStr">
        <is>
          <t>Totals</t>
        </is>
      </c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5">
        <f>SUM(AK4:AK208)</f>
        <v/>
      </c>
      <c r="AL209" s="25">
        <f>SUM(AL4:AL208)</f>
        <v/>
      </c>
      <c r="AM209" s="25">
        <f>SUM(AM4:AM208)</f>
        <v/>
      </c>
      <c r="AN209" s="25">
        <f>SUM(AN4:AN208)</f>
        <v/>
      </c>
      <c r="AO209" s="25">
        <f>SUM(AO4:AO208)</f>
        <v/>
      </c>
      <c r="AP209" s="25">
        <f>SUM(AP4:AP208)</f>
        <v/>
      </c>
      <c r="AQ209" s="25">
        <f>SUM(AQ4:AQ208)</f>
        <v/>
      </c>
      <c r="AR209" s="25">
        <f>SUM(AR4:AR208)</f>
        <v/>
      </c>
      <c r="AS209" s="25">
        <f>SUM(AS4:AS208)</f>
        <v/>
      </c>
      <c r="AT209" s="25">
        <f>SUM(AT4:AT208)</f>
        <v/>
      </c>
      <c r="AU209" s="25">
        <f>SUM(AU4:AU208)</f>
        <v/>
      </c>
      <c r="AV209" s="25">
        <f>SUM(AV4:AV208)</f>
        <v/>
      </c>
      <c r="AW209" s="25">
        <f>SUM(AW4:AW208)</f>
        <v/>
      </c>
      <c r="AX209" s="25">
        <f>SUM(AX4:AX208)</f>
        <v/>
      </c>
      <c r="AY209" s="25">
        <f>SUM(AY4:AY208)</f>
        <v/>
      </c>
      <c r="AZ209" s="25">
        <f>SUM(AZ4:AZ208)</f>
        <v/>
      </c>
      <c r="BA209" s="25">
        <f>SUM(BA4:BA208)</f>
        <v/>
      </c>
      <c r="BB209" s="25">
        <f>SUM(BB4:BB208)</f>
        <v/>
      </c>
      <c r="BC209" s="25">
        <f>SUM(BC4:BC208)</f>
        <v/>
      </c>
      <c r="BD209" s="25">
        <f>SUM(BD4:BD208)</f>
        <v/>
      </c>
      <c r="BE209" s="25">
        <f>SUM(BE4:BE208)</f>
        <v/>
      </c>
      <c r="BF209" s="25">
        <f>SUM(BF4:BF208)</f>
        <v/>
      </c>
      <c r="BG209" s="25">
        <f>SUM(BG4:BG208)</f>
        <v/>
      </c>
      <c r="BH209" s="25">
        <f>SUM(BH4:BH208)</f>
        <v/>
      </c>
      <c r="BI209" s="25">
        <f>SUM(BI4:BI208)</f>
        <v/>
      </c>
      <c r="BJ209" s="25">
        <f>SUM(BJ4:BJ208)</f>
        <v/>
      </c>
      <c r="BK209" s="25">
        <f>SUM(BK4:BK208)</f>
        <v/>
      </c>
      <c r="BL209" s="25">
        <f>SUM(BL4:BL208)</f>
        <v/>
      </c>
      <c r="BM209" s="25">
        <f>SUM(BM4:BM208)</f>
        <v/>
      </c>
      <c r="BN209" s="25">
        <f>SUM(BN4:BN208)</f>
        <v/>
      </c>
    </row>
  </sheetData>
  <autoFilter ref="A3:BN209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08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08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08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08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08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08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08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08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08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08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08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1</v>
      </c>
      <c r="F3" t="inlineStr">
        <is>
          <t>000000</t>
        </is>
      </c>
      <c r="G3" t="inlineStr">
        <is>
          <t>121328</t>
        </is>
      </c>
      <c r="H3" t="inlineStr">
        <is>
          <t>2026-01-05</t>
        </is>
      </c>
    </row>
    <row r="4">
      <c r="A4" t="inlineStr">
        <is>
          <t>015599</t>
        </is>
      </c>
      <c r="B4" t="inlineStr">
        <is>
          <t>ARG/HUM</t>
        </is>
      </c>
      <c r="C4" t="n">
        <v>2</v>
      </c>
      <c r="F4" t="inlineStr">
        <is>
          <t>000000</t>
        </is>
      </c>
      <c r="G4" t="inlineStr">
        <is>
          <t>109069</t>
        </is>
      </c>
      <c r="H4" t="inlineStr">
        <is>
          <t>2026-01-06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1101</v>
      </c>
      <c r="F5" t="inlineStr">
        <is>
          <t>000000</t>
        </is>
      </c>
      <c r="G5" t="inlineStr">
        <is>
          <t>139433</t>
        </is>
      </c>
      <c r="H5" t="inlineStr">
        <is>
          <t>2026-01-16</t>
        </is>
      </c>
    </row>
    <row r="6">
      <c r="A6" t="inlineStr">
        <is>
          <t>013089</t>
        </is>
      </c>
      <c r="B6" t="inlineStr">
        <is>
          <t>CAREMARK</t>
        </is>
      </c>
      <c r="C6" t="n">
        <v>1</v>
      </c>
      <c r="F6" t="inlineStr">
        <is>
          <t>000000</t>
        </is>
      </c>
      <c r="G6" t="inlineStr">
        <is>
          <t>115458</t>
        </is>
      </c>
      <c r="H6" t="inlineStr">
        <is>
          <t>2026-01-21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10</v>
      </c>
      <c r="F7" t="inlineStr">
        <is>
          <t>000000</t>
        </is>
      </c>
      <c r="G7" t="inlineStr">
        <is>
          <t>121328</t>
        </is>
      </c>
      <c r="H7" t="inlineStr">
        <is>
          <t>2026-01-30</t>
        </is>
      </c>
    </row>
    <row r="8">
      <c r="A8" t="inlineStr">
        <is>
          <t>020107</t>
        </is>
      </c>
      <c r="B8" t="inlineStr">
        <is>
          <t>CAREMARK</t>
        </is>
      </c>
      <c r="C8" t="n">
        <v>4</v>
      </c>
      <c r="F8" t="inlineStr">
        <is>
          <t>000000</t>
        </is>
      </c>
      <c r="G8" t="inlineStr">
        <is>
          <t>139433</t>
        </is>
      </c>
      <c r="H8" t="inlineStr">
        <is>
          <t>2026-02-13</t>
        </is>
      </c>
    </row>
    <row r="9">
      <c r="A9" t="inlineStr">
        <is>
          <t>020115</t>
        </is>
      </c>
      <c r="B9" t="inlineStr">
        <is>
          <t>CAREMARK</t>
        </is>
      </c>
      <c r="C9" t="n">
        <v>8</v>
      </c>
      <c r="F9" t="inlineStr">
        <is>
          <t>000000</t>
        </is>
      </c>
      <c r="G9" t="inlineStr">
        <is>
          <t>143448</t>
        </is>
      </c>
      <c r="H9" t="inlineStr">
        <is>
          <t>2026-02-16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52</v>
      </c>
      <c r="F10" t="inlineStr">
        <is>
          <t>000000</t>
        </is>
      </c>
      <c r="G10" t="inlineStr">
        <is>
          <t>121328</t>
        </is>
      </c>
      <c r="H10" t="inlineStr">
        <is>
          <t>2026-02-24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25</v>
      </c>
    </row>
    <row r="12">
      <c r="A12" t="inlineStr">
        <is>
          <t>017010</t>
        </is>
      </c>
      <c r="B12" t="inlineStr">
        <is>
          <t>EXPRESS</t>
        </is>
      </c>
      <c r="C12" t="n">
        <v>24</v>
      </c>
    </row>
    <row r="13">
      <c r="A13" t="inlineStr">
        <is>
          <t>400023</t>
        </is>
      </c>
      <c r="B13" t="inlineStr">
        <is>
          <t>EXPRESS</t>
        </is>
      </c>
      <c r="C13" t="n">
        <v>3</v>
      </c>
    </row>
    <row r="14">
      <c r="A14" t="inlineStr">
        <is>
          <t>610014</t>
        </is>
      </c>
      <c r="B14" t="inlineStr">
        <is>
          <t>EXPRESS</t>
        </is>
      </c>
      <c r="C14" t="n">
        <v>101</v>
      </c>
    </row>
    <row r="15">
      <c r="A15" t="inlineStr">
        <is>
          <t>007895</t>
        </is>
      </c>
      <c r="B15" t="inlineStr">
        <is>
          <t>FDS</t>
        </is>
      </c>
      <c r="C15" t="n">
        <v>4</v>
      </c>
    </row>
    <row r="16">
      <c r="A16" t="inlineStr">
        <is>
          <t>015574</t>
        </is>
      </c>
      <c r="B16" t="inlineStr">
        <is>
          <t>MEDIMP</t>
        </is>
      </c>
      <c r="C16" t="n">
        <v>94</v>
      </c>
    </row>
    <row r="17">
      <c r="A17" t="inlineStr">
        <is>
          <t>004740</t>
        </is>
      </c>
      <c r="B17" t="inlineStr">
        <is>
          <t>NYM</t>
        </is>
      </c>
      <c r="C17" t="n">
        <v>375</v>
      </c>
    </row>
    <row r="18">
      <c r="A18" t="inlineStr">
        <is>
          <t>610011</t>
        </is>
      </c>
      <c r="B18" t="inlineStr">
        <is>
          <t>OPTUM</t>
        </is>
      </c>
      <c r="C18" t="n">
        <v>16</v>
      </c>
    </row>
    <row r="19">
      <c r="A19" t="inlineStr">
        <is>
          <t>610097</t>
        </is>
      </c>
      <c r="B19" t="inlineStr">
        <is>
          <t>OPTUM</t>
        </is>
      </c>
      <c r="C19" t="n">
        <v>29</v>
      </c>
    </row>
    <row r="20">
      <c r="A20" t="inlineStr">
        <is>
          <t>610279</t>
        </is>
      </c>
      <c r="B20" t="inlineStr">
        <is>
          <t>OPTUM</t>
        </is>
      </c>
      <c r="C20" t="n">
        <v>5</v>
      </c>
    </row>
    <row r="21">
      <c r="A21" t="inlineStr">
        <is>
          <t>610494</t>
        </is>
      </c>
      <c r="B21" t="inlineStr">
        <is>
          <t>OPTUM</t>
        </is>
      </c>
      <c r="C21" t="n">
        <v>5</v>
      </c>
    </row>
    <row r="22">
      <c r="A22" t="inlineStr">
        <is>
          <t>610455</t>
        </is>
      </c>
      <c r="B22" t="inlineStr">
        <is>
          <t>PRIMECAPRX</t>
        </is>
      </c>
      <c r="C22" t="n">
        <v>4</v>
      </c>
    </row>
    <row r="23">
      <c r="A23" t="inlineStr">
        <is>
          <t>610490</t>
        </is>
      </c>
      <c r="B23" t="inlineStr">
        <is>
          <t>RELAYHLTH</t>
        </is>
      </c>
      <c r="C23" t="n">
        <v>3</v>
      </c>
    </row>
    <row r="24">
      <c r="A24" t="inlineStr">
        <is>
          <t>000000</t>
        </is>
      </c>
      <c r="B24" t="inlineStr">
        <is>
          <t>Unmapped</t>
        </is>
      </c>
      <c r="C24" t="n">
        <v>8</v>
      </c>
    </row>
    <row r="25">
      <c r="B25" s="29" t="inlineStr">
        <is>
          <t>Grand Total</t>
        </is>
      </c>
      <c r="C25" s="29">
        <f>SUM(C3:C24)</f>
        <v/>
      </c>
    </row>
  </sheetData>
  <autoFilter ref="A2:B25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Hil (hh)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2</v>
      </c>
      <c r="E3" s="36" t="n">
        <v>2</v>
      </c>
      <c r="F3" s="36" t="n">
        <v>2</v>
      </c>
      <c r="G3" s="36" t="n">
        <v>2</v>
      </c>
      <c r="H3" s="36" t="n">
        <v>2</v>
      </c>
      <c r="I3" s="36" t="n">
        <v>-2</v>
      </c>
      <c r="J3" s="36" t="n">
        <v>2</v>
      </c>
      <c r="K3" s="36" t="n">
        <v>2</v>
      </c>
      <c r="L3" s="36" t="n">
        <v>2</v>
      </c>
      <c r="M3" s="37" t="n">
        <v>2</v>
      </c>
      <c r="N3" s="38" t="inlineStr">
        <is>
          <t> </t>
        </is>
      </c>
      <c r="O3" s="39" t="n">
        <v>563</v>
      </c>
      <c r="P3" s="40" t="n">
        <v>1126</v>
      </c>
      <c r="Q3" s="41" t="inlineStr">
        <is>
          <t>ARG/HUM_D</t>
        </is>
      </c>
      <c r="R3" s="42">
        <f>SUMPRODUCT((-D3:D101)*(D3:D101&lt;0),O3:O101)</f>
        <v/>
      </c>
    </row>
    <row r="4" ht="20" customHeight="1">
      <c r="A4" s="34" t="inlineStr">
        <is>
          <t>33332002503</t>
        </is>
      </c>
      <c r="B4" s="35" t="inlineStr">
        <is>
          <t>AFLURIA PRESERVATIVE FREE 0.5 ML INTRAMUSCULAR SUSPENSION PREFILLED SYRINGE</t>
        </is>
      </c>
      <c r="C4" s="34" t="n">
        <v>5</v>
      </c>
      <c r="D4" s="36" t="n">
        <v>0</v>
      </c>
      <c r="E4" s="36" t="n">
        <v>-0.3</v>
      </c>
      <c r="F4" s="36" t="n">
        <v>0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7" t="n">
        <v>0.3</v>
      </c>
      <c r="N4" s="38" t="inlineStr">
        <is>
          <t> </t>
        </is>
      </c>
      <c r="O4" s="39" t="n">
        <v>0</v>
      </c>
      <c r="P4" s="40" t="n">
        <v>0</v>
      </c>
      <c r="Q4" s="41" t="inlineStr">
        <is>
          <t>CAREMARK_D</t>
        </is>
      </c>
      <c r="R4" s="42">
        <f>SUMPRODUCT((-E3:E101)*(E3:E101&lt;0),O3:O101)</f>
        <v/>
      </c>
    </row>
    <row r="5" ht="20" customHeight="1">
      <c r="A5" s="34" t="inlineStr">
        <is>
          <t>00023917715</t>
        </is>
      </c>
      <c r="B5" s="35" t="inlineStr">
        <is>
          <t>ALPHAGAN P 0.15 % OPHTHALMIC SOLUTION</t>
        </is>
      </c>
      <c r="C5" s="34" t="n">
        <v>15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-1</v>
      </c>
      <c r="J5" s="36" t="n">
        <v>0</v>
      </c>
      <c r="K5" s="36" t="n">
        <v>0</v>
      </c>
      <c r="L5" s="36" t="n">
        <v>0</v>
      </c>
      <c r="M5" s="37" t="n">
        <v>1</v>
      </c>
      <c r="N5" s="38" t="inlineStr">
        <is>
          <t> </t>
        </is>
      </c>
      <c r="O5" s="39" t="n">
        <v>0</v>
      </c>
      <c r="P5" s="40" t="n">
        <v>0</v>
      </c>
      <c r="Q5" s="41" t="inlineStr">
        <is>
          <t>EXPRESS_D</t>
        </is>
      </c>
      <c r="R5" s="42">
        <f>SUMPRODUCT((-F3:F101)*(F3:F101&lt;0),O3:O101)</f>
        <v/>
      </c>
    </row>
    <row r="6" ht="20" customHeight="1">
      <c r="A6" s="34" t="inlineStr">
        <is>
          <t>00173087410</t>
        </is>
      </c>
      <c r="B6" s="35" t="inlineStr">
        <is>
          <t>ARNUITY ELLIPTA 100 MCG/ACT INH AEROSOL</t>
        </is>
      </c>
      <c r="C6" s="34" t="n">
        <v>30</v>
      </c>
      <c r="D6" s="36" t="n">
        <v>2</v>
      </c>
      <c r="E6" s="36" t="n">
        <v>-1</v>
      </c>
      <c r="F6" s="36" t="n">
        <v>2</v>
      </c>
      <c r="G6" s="36" t="n">
        <v>2</v>
      </c>
      <c r="H6" s="36" t="n">
        <v>2</v>
      </c>
      <c r="I6" s="36" t="n">
        <v>2</v>
      </c>
      <c r="J6" s="36" t="n">
        <v>2</v>
      </c>
      <c r="K6" s="36" t="n">
        <v>2</v>
      </c>
      <c r="L6" s="36" t="n">
        <v>2</v>
      </c>
      <c r="M6" s="37" t="n">
        <v>1</v>
      </c>
      <c r="N6" s="38" t="inlineStr">
        <is>
          <t> </t>
        </is>
      </c>
      <c r="O6" s="39" t="n">
        <v>203</v>
      </c>
      <c r="P6" s="40" t="n">
        <v>203</v>
      </c>
      <c r="Q6" s="41" t="inlineStr">
        <is>
          <t>FDS_D</t>
        </is>
      </c>
      <c r="R6" s="42">
        <f>SUMPRODUCT((-G3:G101)*(G3:G101&lt;0),O3:O101)</f>
        <v/>
      </c>
    </row>
    <row r="7" ht="20" customHeight="1">
      <c r="A7" s="34" t="inlineStr">
        <is>
          <t>00173088810</t>
        </is>
      </c>
      <c r="B7" s="35" t="inlineStr">
        <is>
          <t>ARNUITY ELLIPTA 50 MCG/ACT INHAEROSOL</t>
        </is>
      </c>
      <c r="C7" s="34" t="n">
        <v>30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-1</v>
      </c>
      <c r="J7" s="36" t="n">
        <v>0</v>
      </c>
      <c r="K7" s="36" t="n">
        <v>0</v>
      </c>
      <c r="L7" s="36" t="n">
        <v>0</v>
      </c>
      <c r="M7" s="37" t="n">
        <v>1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SUMPRODUCT((-H3:H101)*(H3:H101&lt;0),O3:O101)</f>
        <v/>
      </c>
    </row>
    <row r="8" ht="20" customHeight="1">
      <c r="A8" s="34" t="inlineStr">
        <is>
          <t>00173085910</t>
        </is>
      </c>
      <c r="B8" s="35" t="inlineStr">
        <is>
          <t>BREO ELLIPTA 100-25 MCG/ACT INH AEROSOL</t>
        </is>
      </c>
      <c r="C8" s="34" t="n">
        <v>60</v>
      </c>
      <c r="D8" s="36" t="n">
        <v>8</v>
      </c>
      <c r="E8" s="36" t="n">
        <v>-4</v>
      </c>
      <c r="F8" s="36" t="n">
        <v>8</v>
      </c>
      <c r="G8" s="36" t="n">
        <v>9</v>
      </c>
      <c r="H8" s="36" t="n">
        <v>9</v>
      </c>
      <c r="I8" s="36" t="n">
        <v>9</v>
      </c>
      <c r="J8" s="36" t="n">
        <v>9</v>
      </c>
      <c r="K8" s="36" t="n">
        <v>9</v>
      </c>
      <c r="L8" s="36" t="n">
        <v>9</v>
      </c>
      <c r="M8" s="37" t="n">
        <v>4</v>
      </c>
      <c r="N8" s="38" t="inlineStr">
        <is>
          <t> </t>
        </is>
      </c>
      <c r="O8" s="39" t="n">
        <v>393</v>
      </c>
      <c r="P8" s="40" t="n">
        <v>1572</v>
      </c>
      <c r="Q8" s="41" t="inlineStr">
        <is>
          <t>NYM_D</t>
        </is>
      </c>
      <c r="R8" s="42">
        <f>SUMPRODUCT((-I3:I101)*(I3:I101&lt;0),O3:O101)</f>
        <v/>
      </c>
    </row>
    <row r="9" ht="20" customHeight="1">
      <c r="A9" s="34" t="inlineStr">
        <is>
          <t>00310737220</t>
        </is>
      </c>
      <c r="B9" s="35" t="inlineStr">
        <is>
          <t>BUDESONIDE-FORMOTEROL FUMARATE 80-4.5MCG/ACT AEROSOL</t>
        </is>
      </c>
      <c r="C9" s="34" t="n">
        <v>10.2</v>
      </c>
      <c r="D9" s="36" t="n">
        <v>9</v>
      </c>
      <c r="E9" s="36" t="n">
        <v>-9</v>
      </c>
      <c r="F9" s="36" t="n">
        <v>6</v>
      </c>
      <c r="G9" s="36" t="n">
        <v>9</v>
      </c>
      <c r="H9" s="36" t="n">
        <v>6</v>
      </c>
      <c r="I9" s="36" t="n">
        <v>9</v>
      </c>
      <c r="J9" s="36" t="n">
        <v>9</v>
      </c>
      <c r="K9" s="36" t="n">
        <v>9</v>
      </c>
      <c r="L9" s="36" t="n">
        <v>9</v>
      </c>
      <c r="M9" s="37" t="n">
        <v>9</v>
      </c>
      <c r="N9" s="38" t="inlineStr">
        <is>
          <t> </t>
        </is>
      </c>
      <c r="O9" s="39" t="n">
        <v>139</v>
      </c>
      <c r="P9" s="40" t="n">
        <v>1251</v>
      </c>
      <c r="Q9" s="41" t="inlineStr">
        <is>
          <t>OPTUM_D</t>
        </is>
      </c>
      <c r="R9" s="42">
        <f>SUMPRODUCT((-J3:J101)*(J3:J101&lt;0),O3:O101)</f>
        <v/>
      </c>
    </row>
    <row r="10" ht="20" customHeight="1">
      <c r="A10" s="34" t="inlineStr">
        <is>
          <t>00310737020</t>
        </is>
      </c>
      <c r="B10" s="35" t="inlineStr">
        <is>
          <t>BUDESONIDE/FORMOTEROL 160 /4.5 MCG (SYMBICORT)</t>
        </is>
      </c>
      <c r="C10" s="34" t="n">
        <v>10.2</v>
      </c>
      <c r="D10" s="36" t="n">
        <v>19</v>
      </c>
      <c r="E10" s="36" t="n">
        <v>-3</v>
      </c>
      <c r="F10" s="36" t="n">
        <v>11</v>
      </c>
      <c r="G10" s="36" t="n">
        <v>19</v>
      </c>
      <c r="H10" s="36" t="n">
        <v>16</v>
      </c>
      <c r="I10" s="36" t="n">
        <v>19</v>
      </c>
      <c r="J10" s="36" t="n">
        <v>19</v>
      </c>
      <c r="K10" s="36" t="n">
        <v>19</v>
      </c>
      <c r="L10" s="36" t="n">
        <v>19</v>
      </c>
      <c r="M10" s="37" t="n">
        <v>3</v>
      </c>
      <c r="N10" s="38" t="inlineStr">
        <is>
          <t> </t>
        </is>
      </c>
      <c r="O10" s="39" t="n">
        <v>180</v>
      </c>
      <c r="P10" s="40" t="n">
        <v>540</v>
      </c>
      <c r="Q10" s="41" t="inlineStr">
        <is>
          <t>PRIMECAPRX_D</t>
        </is>
      </c>
      <c r="R10" s="42">
        <f>SUMPRODUCT((-K3:K101)*(K3:K101&lt;0),O3:O101)</f>
        <v/>
      </c>
    </row>
    <row r="11" ht="20" customHeight="1">
      <c r="A11" s="34" t="inlineStr">
        <is>
          <t>47335050696</t>
        </is>
      </c>
      <c r="B11" s="35" t="inlineStr">
        <is>
          <t>CEQUA 0.09% SOLUTION</t>
        </is>
      </c>
      <c r="C11" s="34" t="n">
        <v>60</v>
      </c>
      <c r="D11" s="36" t="n">
        <v>5</v>
      </c>
      <c r="E11" s="36" t="n">
        <v>-1</v>
      </c>
      <c r="F11" s="36" t="n">
        <v>5</v>
      </c>
      <c r="G11" s="36" t="n">
        <v>5</v>
      </c>
      <c r="H11" s="36" t="n">
        <v>5</v>
      </c>
      <c r="I11" s="36" t="n">
        <v>5</v>
      </c>
      <c r="J11" s="36" t="n">
        <v>5</v>
      </c>
      <c r="K11" s="36" t="n">
        <v>5</v>
      </c>
      <c r="L11" s="36" t="n">
        <v>5</v>
      </c>
      <c r="M11" s="37" t="n">
        <v>1</v>
      </c>
      <c r="N11" s="38" t="inlineStr">
        <is>
          <t> </t>
        </is>
      </c>
      <c r="O11" s="39" t="n">
        <v>633</v>
      </c>
      <c r="P11" s="40" t="n">
        <v>633</v>
      </c>
      <c r="Q11" s="41" t="inlineStr">
        <is>
          <t>RELAYHLTH_D</t>
        </is>
      </c>
      <c r="R11" s="42">
        <f>SUMPRODUCT((-L3:L101)*(L3:L101&lt;0),O3:O101)</f>
        <v/>
      </c>
    </row>
    <row r="12" ht="20" customHeight="1">
      <c r="A12" s="34" t="inlineStr">
        <is>
          <t>68382052960</t>
        </is>
      </c>
      <c r="B12" s="35" t="inlineStr">
        <is>
          <t>CHOLESTYRAMINE LIGHT 4GM PACK</t>
        </is>
      </c>
      <c r="C12" s="34" t="n">
        <v>60</v>
      </c>
      <c r="D12" s="36" t="n">
        <v>0</v>
      </c>
      <c r="E12" s="36" t="n">
        <v>-1</v>
      </c>
      <c r="F12" s="36" t="n">
        <v>0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7" t="n">
        <v>1</v>
      </c>
      <c r="N12" s="38" t="inlineStr">
        <is>
          <t> </t>
        </is>
      </c>
      <c r="O12" s="39" t="n">
        <v>0</v>
      </c>
      <c r="P12" s="40" t="n">
        <v>0</v>
      </c>
      <c r="Q12" s="41" t="n"/>
      <c r="R12" s="41" t="n"/>
    </row>
    <row r="13" ht="20" customHeight="1">
      <c r="A13" s="34" t="inlineStr">
        <is>
          <t>00023921110</t>
        </is>
      </c>
      <c r="B13" s="35" t="inlineStr">
        <is>
          <t>COMBIGAN 0.2-0.5% OPTH SOLUTION 10ML</t>
        </is>
      </c>
      <c r="C13" s="34" t="n">
        <v>10</v>
      </c>
      <c r="D13" s="36" t="n">
        <v>0</v>
      </c>
      <c r="E13" s="36" t="n">
        <v>-4</v>
      </c>
      <c r="F13" s="36" t="n">
        <v>0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7" t="n">
        <v>4</v>
      </c>
      <c r="N13" s="38" t="inlineStr">
        <is>
          <t> </t>
        </is>
      </c>
      <c r="O13" s="39" t="n">
        <v>0</v>
      </c>
      <c r="P13" s="40" t="n">
        <v>0</v>
      </c>
      <c r="Q13" s="41" t="n"/>
      <c r="R13" s="41" t="n"/>
    </row>
    <row r="14" ht="20" customHeight="1">
      <c r="A14" s="34" t="inlineStr">
        <is>
          <t>00023921115</t>
        </is>
      </c>
      <c r="B14" s="35" t="inlineStr">
        <is>
          <t>COMBIGAN 0.2-0.5% OPTH SOLUTION 15ML</t>
        </is>
      </c>
      <c r="C14" s="34" t="n">
        <v>15</v>
      </c>
      <c r="D14" s="36" t="n">
        <v>0</v>
      </c>
      <c r="E14" s="36" t="n">
        <v>-6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36" t="n">
        <v>0</v>
      </c>
      <c r="M14" s="37" t="n">
        <v>6</v>
      </c>
      <c r="N14" s="38" t="inlineStr">
        <is>
          <t> </t>
        </is>
      </c>
      <c r="O14" s="39" t="n">
        <v>0</v>
      </c>
      <c r="P14" s="40" t="n">
        <v>0</v>
      </c>
      <c r="Q14" s="41" t="n"/>
      <c r="R14" s="41" t="n"/>
    </row>
    <row r="15" ht="20" customHeight="1">
      <c r="A15" s="34" t="inlineStr">
        <is>
          <t>00193730850</t>
        </is>
      </c>
      <c r="B15" s="35" t="inlineStr">
        <is>
          <t>CONTOUR NEXT STRIP DME</t>
        </is>
      </c>
      <c r="C15" s="34" t="n">
        <v>50</v>
      </c>
      <c r="D15" s="36" t="n">
        <v>0</v>
      </c>
      <c r="E15" s="36" t="n">
        <v>0</v>
      </c>
      <c r="F15" s="36" t="n">
        <v>0</v>
      </c>
      <c r="G15" s="36" t="n">
        <v>-2</v>
      </c>
      <c r="H15" s="36" t="n">
        <v>0</v>
      </c>
      <c r="I15" s="36" t="n">
        <v>0</v>
      </c>
      <c r="J15" s="36" t="n">
        <v>0</v>
      </c>
      <c r="K15" s="36" t="n">
        <v>0</v>
      </c>
      <c r="L15" s="36" t="n">
        <v>0</v>
      </c>
      <c r="M15" s="37" t="n">
        <v>2</v>
      </c>
      <c r="N15" s="38" t="inlineStr">
        <is>
          <t> </t>
        </is>
      </c>
      <c r="O15" s="39" t="n">
        <v>0</v>
      </c>
      <c r="P15" s="40" t="n">
        <v>0</v>
      </c>
      <c r="Q15" s="41" t="n"/>
      <c r="R15" s="41" t="n"/>
    </row>
    <row r="16" ht="20" customHeight="1">
      <c r="A16" s="34" t="inlineStr">
        <is>
          <t>00193731150</t>
        </is>
      </c>
      <c r="B16" s="35" t="inlineStr">
        <is>
          <t>CONTOUR NEXT TEST  STRIPS</t>
        </is>
      </c>
      <c r="C16" s="34" t="n">
        <v>50</v>
      </c>
      <c r="D16" s="36" t="n">
        <v>0</v>
      </c>
      <c r="E16" s="36" t="n">
        <v>-313</v>
      </c>
      <c r="F16" s="36" t="n">
        <v>0</v>
      </c>
      <c r="G16" s="36" t="n">
        <v>-6</v>
      </c>
      <c r="H16" s="36" t="n">
        <v>-28</v>
      </c>
      <c r="I16" s="36" t="n">
        <v>-60</v>
      </c>
      <c r="J16" s="36" t="n">
        <v>-12</v>
      </c>
      <c r="K16" s="36" t="n">
        <v>0</v>
      </c>
      <c r="L16" s="36" t="n">
        <v>0</v>
      </c>
      <c r="M16" s="37" t="n">
        <v>313</v>
      </c>
      <c r="N16" s="38" t="inlineStr">
        <is>
          <t> </t>
        </is>
      </c>
      <c r="O16" s="39" t="n">
        <v>0</v>
      </c>
      <c r="P16" s="40" t="n">
        <v>0</v>
      </c>
      <c r="Q16" s="41" t="n"/>
      <c r="R16" s="41" t="n"/>
    </row>
    <row r="17" ht="20" customHeight="1">
      <c r="A17" s="34" t="inlineStr">
        <is>
          <t>00032004670</t>
        </is>
      </c>
      <c r="B17" s="35" t="inlineStr">
        <is>
          <t>CREON 6000-19000 UNIT ORAL CAPSULE DELAYED RELEASE PARTICLES</t>
        </is>
      </c>
      <c r="C17" s="34" t="n">
        <v>100</v>
      </c>
      <c r="D17" s="36" t="n">
        <v>0</v>
      </c>
      <c r="E17" s="36" t="n">
        <v>-1.8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1.8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42023011101</t>
        </is>
      </c>
      <c r="B18" s="35" t="inlineStr">
        <is>
          <t>DELESTROGEN 20 MG/ML INTRAMUSCULAR OIL</t>
        </is>
      </c>
      <c r="C18" s="34" t="n">
        <v>5</v>
      </c>
      <c r="D18" s="36" t="n">
        <v>0</v>
      </c>
      <c r="E18" s="36" t="n">
        <v>0</v>
      </c>
      <c r="F18" s="36" t="n">
        <v>0</v>
      </c>
      <c r="G18" s="36" t="n">
        <v>0</v>
      </c>
      <c r="H18" s="36" t="n">
        <v>0</v>
      </c>
      <c r="I18" s="36" t="n">
        <v>-1</v>
      </c>
      <c r="J18" s="36" t="n">
        <v>0</v>
      </c>
      <c r="K18" s="36" t="n">
        <v>0</v>
      </c>
      <c r="L18" s="36" t="n">
        <v>0</v>
      </c>
      <c r="M18" s="37" t="n">
        <v>1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64764017530</t>
        </is>
      </c>
      <c r="B19" s="35" t="inlineStr">
        <is>
          <t xml:space="preserve">DEXILANT 60MG CAP </t>
        </is>
      </c>
      <c r="C19" s="34" t="n">
        <v>30</v>
      </c>
      <c r="D19" s="36" t="n">
        <v>1</v>
      </c>
      <c r="E19" s="36" t="n">
        <v>-2</v>
      </c>
      <c r="F19" s="36" t="n">
        <v>1</v>
      </c>
      <c r="G19" s="36" t="n">
        <v>1</v>
      </c>
      <c r="H19" s="36" t="n">
        <v>1</v>
      </c>
      <c r="I19" s="36" t="n">
        <v>1</v>
      </c>
      <c r="J19" s="36" t="n">
        <v>1</v>
      </c>
      <c r="K19" s="36" t="n">
        <v>1</v>
      </c>
      <c r="L19" s="36" t="n">
        <v>1</v>
      </c>
      <c r="M19" s="37" t="n">
        <v>2</v>
      </c>
      <c r="N19" s="38" t="inlineStr">
        <is>
          <t> </t>
        </is>
      </c>
      <c r="O19" s="39" t="n">
        <v>297</v>
      </c>
      <c r="P19" s="40" t="n">
        <v>594</v>
      </c>
      <c r="Q19" s="41" t="n"/>
      <c r="R19" s="41" t="n"/>
    </row>
    <row r="20" ht="20" customHeight="1">
      <c r="A20" s="34" t="inlineStr">
        <is>
          <t>78206012601</t>
        </is>
      </c>
      <c r="B20" s="35" t="inlineStr">
        <is>
          <t>DULERA 200-5 MCG/ACT INH AEROSOL 13GM</t>
        </is>
      </c>
      <c r="C20" s="34" t="n">
        <v>13</v>
      </c>
      <c r="D20" s="36" t="n">
        <v>2</v>
      </c>
      <c r="E20" s="36" t="n">
        <v>2</v>
      </c>
      <c r="F20" s="36" t="n">
        <v>2</v>
      </c>
      <c r="G20" s="36" t="n">
        <v>2</v>
      </c>
      <c r="H20" s="36" t="n">
        <v>2</v>
      </c>
      <c r="I20" s="36" t="n">
        <v>-1</v>
      </c>
      <c r="J20" s="36" t="n">
        <v>2</v>
      </c>
      <c r="K20" s="36" t="n">
        <v>2</v>
      </c>
      <c r="L20" s="36" t="n">
        <v>2</v>
      </c>
      <c r="M20" s="37" t="n">
        <v>1</v>
      </c>
      <c r="N20" s="38" t="inlineStr">
        <is>
          <t> </t>
        </is>
      </c>
      <c r="O20" s="39" t="n">
        <v>331</v>
      </c>
      <c r="P20" s="40" t="n">
        <v>331</v>
      </c>
      <c r="Q20" s="41" t="n"/>
      <c r="R20" s="41" t="n"/>
    </row>
    <row r="21" ht="20" customHeight="1">
      <c r="A21" s="34" t="inlineStr">
        <is>
          <t>00003089421</t>
        </is>
      </c>
      <c r="B21" s="35" t="inlineStr">
        <is>
          <t xml:space="preserve">ELIQUIS 5MG TAB </t>
        </is>
      </c>
      <c r="C21" s="34" t="n">
        <v>60</v>
      </c>
      <c r="D21" s="36" t="n">
        <v>83</v>
      </c>
      <c r="E21" s="36" t="n">
        <v>-5</v>
      </c>
      <c r="F21" s="36" t="n">
        <v>76</v>
      </c>
      <c r="G21" s="36" t="n">
        <v>83</v>
      </c>
      <c r="H21" s="36" t="n">
        <v>76</v>
      </c>
      <c r="I21" s="36" t="n">
        <v>74</v>
      </c>
      <c r="J21" s="36" t="n">
        <v>83</v>
      </c>
      <c r="K21" s="36" t="n">
        <v>83</v>
      </c>
      <c r="L21" s="36" t="n">
        <v>83</v>
      </c>
      <c r="M21" s="37" t="n">
        <v>5</v>
      </c>
      <c r="N21" s="38" t="inlineStr">
        <is>
          <t> </t>
        </is>
      </c>
      <c r="O21" s="39" t="n">
        <v>336</v>
      </c>
      <c r="P21" s="40" t="n">
        <v>1680</v>
      </c>
      <c r="Q21" s="41" t="n"/>
      <c r="R21" s="41" t="n"/>
    </row>
    <row r="22" ht="20" customHeight="1">
      <c r="A22" s="34" t="inlineStr">
        <is>
          <t>73302045601</t>
        </is>
      </c>
      <c r="B22" s="35" t="inlineStr">
        <is>
          <t>ELLA 30 MG ORAL TABLET</t>
        </is>
      </c>
      <c r="C22" s="34" t="n">
        <v>1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-1</v>
      </c>
      <c r="K22" s="36" t="n">
        <v>0</v>
      </c>
      <c r="L22" s="36" t="n">
        <v>0</v>
      </c>
      <c r="M22" s="37" t="n">
        <v>1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49502010102</t>
        </is>
      </c>
      <c r="B23" s="35" t="inlineStr">
        <is>
          <t>EPINEPHRINE (JR) 0.15MG/0.3ML INJECTION 2ML</t>
        </is>
      </c>
      <c r="C23" s="34" t="n">
        <v>2</v>
      </c>
      <c r="D23" s="36" t="n">
        <v>0</v>
      </c>
      <c r="E23" s="36" t="n">
        <v>0</v>
      </c>
      <c r="F23" s="36" t="n">
        <v>0</v>
      </c>
      <c r="G23" s="36" t="n">
        <v>0</v>
      </c>
      <c r="H23" s="36" t="n">
        <v>0</v>
      </c>
      <c r="I23" s="36" t="n">
        <v>-2</v>
      </c>
      <c r="J23" s="36" t="n">
        <v>0</v>
      </c>
      <c r="K23" s="36" t="n">
        <v>0</v>
      </c>
      <c r="L23" s="36" t="n">
        <v>0</v>
      </c>
      <c r="M23" s="37" t="n">
        <v>2</v>
      </c>
      <c r="N23" s="38" t="inlineStr">
        <is>
          <t> </t>
        </is>
      </c>
      <c r="O23" s="39" t="n">
        <v>0</v>
      </c>
      <c r="P23" s="40" t="n">
        <v>0</v>
      </c>
      <c r="Q23" s="41" t="n"/>
      <c r="R23" s="41" t="n"/>
    </row>
    <row r="24" ht="20" customHeight="1">
      <c r="A24" s="34" t="inlineStr">
        <is>
          <t>55724021121</t>
        </is>
      </c>
      <c r="B24" s="35" t="inlineStr">
        <is>
          <t>EUCRISA 2% OINTMENT</t>
        </is>
      </c>
      <c r="C24" s="34" t="n">
        <v>60</v>
      </c>
      <c r="D24" s="36" t="n">
        <v>0</v>
      </c>
      <c r="E24" s="36" t="n">
        <v>0</v>
      </c>
      <c r="F24" s="36" t="n">
        <v>0</v>
      </c>
      <c r="G24" s="36" t="n">
        <v>0</v>
      </c>
      <c r="H24" s="36" t="n">
        <v>0</v>
      </c>
      <c r="I24" s="36" t="n">
        <v>-2</v>
      </c>
      <c r="J24" s="36" t="n">
        <v>0</v>
      </c>
      <c r="K24" s="36" t="n">
        <v>0</v>
      </c>
      <c r="L24" s="36" t="n">
        <v>0</v>
      </c>
      <c r="M24" s="37" t="n">
        <v>2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71571033383</t>
        </is>
      </c>
      <c r="B25" s="35" t="inlineStr">
        <is>
          <t>EYSUVIS 0.25 % OPHTHALMIC SUSPENSION</t>
        </is>
      </c>
      <c r="C25" s="34" t="n">
        <v>8.300000000000001</v>
      </c>
      <c r="D25" s="36" t="n">
        <v>1</v>
      </c>
      <c r="E25" s="36" t="n">
        <v>-3</v>
      </c>
      <c r="F25" s="36" t="n">
        <v>1</v>
      </c>
      <c r="G25" s="36" t="n">
        <v>1</v>
      </c>
      <c r="H25" s="36" t="n">
        <v>1</v>
      </c>
      <c r="I25" s="36" t="n">
        <v>1</v>
      </c>
      <c r="J25" s="36" t="n">
        <v>1</v>
      </c>
      <c r="K25" s="36" t="n">
        <v>1</v>
      </c>
      <c r="L25" s="36" t="n">
        <v>1</v>
      </c>
      <c r="M25" s="37" t="n">
        <v>3</v>
      </c>
      <c r="N25" s="38" t="inlineStr">
        <is>
          <t> </t>
        </is>
      </c>
      <c r="O25" s="39" t="n">
        <v>515</v>
      </c>
      <c r="P25" s="40" t="n">
        <v>1545</v>
      </c>
      <c r="Q25" s="41" t="n"/>
      <c r="R25" s="41" t="n"/>
    </row>
    <row r="26" ht="20" customHeight="1">
      <c r="A26" s="34" t="inlineStr">
        <is>
          <t>00054032756</t>
        </is>
      </c>
      <c r="B26" s="35" t="inlineStr">
        <is>
          <t>FLUTICASONE-SALMETEROL 250-50 MCG/ACT INH AEROSOL</t>
        </is>
      </c>
      <c r="C26" s="34" t="n">
        <v>60</v>
      </c>
      <c r="D26" s="36" t="n">
        <v>8</v>
      </c>
      <c r="E26" s="36" t="n">
        <v>-11</v>
      </c>
      <c r="F26" s="36" t="n">
        <v>5</v>
      </c>
      <c r="G26" s="36" t="n">
        <v>8</v>
      </c>
      <c r="H26" s="36" t="n">
        <v>5</v>
      </c>
      <c r="I26" s="36" t="n">
        <v>8</v>
      </c>
      <c r="J26" s="36" t="n">
        <v>8</v>
      </c>
      <c r="K26" s="36" t="n">
        <v>8</v>
      </c>
      <c r="L26" s="36" t="n">
        <v>8</v>
      </c>
      <c r="M26" s="37" t="n">
        <v>11</v>
      </c>
      <c r="N26" s="38" t="inlineStr">
        <is>
          <t> </t>
        </is>
      </c>
      <c r="O26" s="39" t="n">
        <v>69</v>
      </c>
      <c r="P26" s="40" t="n">
        <v>759</v>
      </c>
      <c r="Q26" s="41" t="n"/>
      <c r="R26" s="41" t="n"/>
    </row>
    <row r="27" ht="20" customHeight="1">
      <c r="A27" s="34" t="inlineStr">
        <is>
          <t>99073070914</t>
        </is>
      </c>
      <c r="B27" s="35" t="inlineStr">
        <is>
          <t>FREESTYLE FREEDOM LITE  KIT KINRAY</t>
        </is>
      </c>
      <c r="C27" s="34" t="n">
        <v>1</v>
      </c>
      <c r="D27" s="36" t="n">
        <v>0</v>
      </c>
      <c r="E27" s="36" t="n">
        <v>0</v>
      </c>
      <c r="F27" s="36" t="n">
        <v>-1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57599084400</t>
        </is>
      </c>
      <c r="B28" s="35" t="inlineStr">
        <is>
          <t>FREESTYLE LIBRE 3 PLUS SENSOR</t>
        </is>
      </c>
      <c r="C28" s="34" t="n">
        <v>1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-8</v>
      </c>
      <c r="J28" s="36" t="n">
        <v>0</v>
      </c>
      <c r="K28" s="36" t="n">
        <v>0</v>
      </c>
      <c r="L28" s="36" t="n">
        <v>0</v>
      </c>
      <c r="M28" s="37" t="n">
        <v>8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57599081800</t>
        </is>
      </c>
      <c r="B29" s="35" t="inlineStr">
        <is>
          <t>FREESTYLE LIBRE 3 SENSOR</t>
        </is>
      </c>
      <c r="C29" s="34" t="n">
        <v>1</v>
      </c>
      <c r="D29" s="36" t="n">
        <v>16</v>
      </c>
      <c r="E29" s="36" t="n">
        <v>12</v>
      </c>
      <c r="F29" s="36" t="n">
        <v>14</v>
      </c>
      <c r="G29" s="36" t="n">
        <v>16</v>
      </c>
      <c r="H29" s="36" t="n">
        <v>16</v>
      </c>
      <c r="I29" s="36" t="n">
        <v>-2</v>
      </c>
      <c r="J29" s="36" t="n">
        <v>16</v>
      </c>
      <c r="K29" s="36" t="n">
        <v>16</v>
      </c>
      <c r="L29" s="36" t="n">
        <v>16</v>
      </c>
      <c r="M29" s="37" t="n">
        <v>2</v>
      </c>
      <c r="N29" s="38" t="inlineStr">
        <is>
          <t> </t>
        </is>
      </c>
      <c r="O29" s="39" t="n">
        <v>72</v>
      </c>
      <c r="P29" s="40" t="n">
        <v>144</v>
      </c>
      <c r="Q29" s="41" t="n"/>
      <c r="R29" s="41" t="n"/>
    </row>
    <row r="30" ht="20" customHeight="1">
      <c r="A30" s="34" t="inlineStr">
        <is>
          <t>00006412102</t>
        </is>
      </c>
      <c r="B30" s="35" t="inlineStr">
        <is>
          <t>GARDASIL 9 INTRAMUSCULAR SUSPENSION PREFILLED SYRINGE</t>
        </is>
      </c>
      <c r="C30" s="34" t="n">
        <v>5</v>
      </c>
      <c r="D30" s="36" t="n">
        <v>0</v>
      </c>
      <c r="E30" s="36" t="n">
        <v>-0.2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7" t="n">
        <v>0.2</v>
      </c>
      <c r="N30" s="38" t="inlineStr">
        <is>
          <t> </t>
        </is>
      </c>
      <c r="O30" s="39" t="n">
        <v>0</v>
      </c>
      <c r="P30" s="40" t="n">
        <v>0</v>
      </c>
      <c r="Q30" s="41" t="n"/>
      <c r="R30" s="41" t="n"/>
    </row>
    <row r="31" ht="20" customHeight="1">
      <c r="A31" s="34" t="inlineStr">
        <is>
          <t>73336007530</t>
        </is>
      </c>
      <c r="B31" s="35" t="inlineStr">
        <is>
          <t>GEMTESA 75MG TABLET</t>
        </is>
      </c>
      <c r="C31" s="34" t="n">
        <v>30</v>
      </c>
      <c r="D31" s="36" t="n">
        <v>18</v>
      </c>
      <c r="E31" s="36" t="n">
        <v>-2</v>
      </c>
      <c r="F31" s="36" t="n">
        <v>18</v>
      </c>
      <c r="G31" s="36" t="n">
        <v>18</v>
      </c>
      <c r="H31" s="36" t="n">
        <v>17</v>
      </c>
      <c r="I31" s="36" t="n">
        <v>18</v>
      </c>
      <c r="J31" s="36" t="n">
        <v>18</v>
      </c>
      <c r="K31" s="36" t="n">
        <v>18</v>
      </c>
      <c r="L31" s="36" t="n">
        <v>18</v>
      </c>
      <c r="M31" s="37" t="n">
        <v>2</v>
      </c>
      <c r="N31" s="38" t="inlineStr">
        <is>
          <t> </t>
        </is>
      </c>
      <c r="O31" s="39" t="n">
        <v>502</v>
      </c>
      <c r="P31" s="40" t="n">
        <v>1004</v>
      </c>
      <c r="Q31" s="41" t="n"/>
      <c r="R31" s="41" t="n"/>
    </row>
    <row r="32" ht="20" customHeight="1">
      <c r="A32" s="34" t="inlineStr">
        <is>
          <t>73154005060</t>
        </is>
      </c>
      <c r="B32" s="35" t="inlineStr">
        <is>
          <t>IBSRELA 50 MG ORAL TABLET</t>
        </is>
      </c>
      <c r="C32" s="34" t="n">
        <v>60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-1</v>
      </c>
      <c r="J32" s="36" t="n">
        <v>0</v>
      </c>
      <c r="K32" s="36" t="n">
        <v>0</v>
      </c>
      <c r="L32" s="36" t="n">
        <v>0</v>
      </c>
      <c r="M32" s="37" t="n">
        <v>1</v>
      </c>
      <c r="N32" s="38" t="inlineStr">
        <is>
          <t> </t>
        </is>
      </c>
      <c r="O32" s="39" t="n">
        <v>0</v>
      </c>
      <c r="P32" s="40" t="n">
        <v>0</v>
      </c>
      <c r="Q32" s="41" t="n"/>
      <c r="R32" s="41" t="n"/>
    </row>
    <row r="33" ht="20" customHeight="1">
      <c r="A33" s="34" t="inlineStr">
        <is>
          <t>00173087310</t>
        </is>
      </c>
      <c r="B33" s="35" t="inlineStr">
        <is>
          <t>INCRUSE ELLIPTA 62.5MCG/INH AEROSOL</t>
        </is>
      </c>
      <c r="C33" s="34" t="n">
        <v>30</v>
      </c>
      <c r="D33" s="36" t="n">
        <v>3</v>
      </c>
      <c r="E33" s="36" t="n">
        <v>-1</v>
      </c>
      <c r="F33" s="36" t="n">
        <v>0</v>
      </c>
      <c r="G33" s="36" t="n">
        <v>3</v>
      </c>
      <c r="H33" s="36" t="n">
        <v>3</v>
      </c>
      <c r="I33" s="36" t="n">
        <v>0</v>
      </c>
      <c r="J33" s="36" t="n">
        <v>3</v>
      </c>
      <c r="K33" s="36" t="n">
        <v>3</v>
      </c>
      <c r="L33" s="36" t="n">
        <v>3</v>
      </c>
      <c r="M33" s="37" t="n">
        <v>1</v>
      </c>
      <c r="N33" s="38" t="inlineStr">
        <is>
          <t> </t>
        </is>
      </c>
      <c r="O33" s="39" t="n">
        <v>341</v>
      </c>
      <c r="P33" s="40" t="n">
        <v>341</v>
      </c>
      <c r="Q33" s="41" t="n"/>
      <c r="R33" s="41" t="n"/>
    </row>
    <row r="34" ht="20" customHeight="1">
      <c r="A34" s="34" t="inlineStr">
        <is>
          <t>72495040128</t>
        </is>
      </c>
      <c r="B34" s="35" t="inlineStr">
        <is>
          <t>INTRAROSA 6.5 MG VAGINAL INSERT</t>
        </is>
      </c>
      <c r="C34" s="34" t="n">
        <v>28</v>
      </c>
      <c r="D34" s="36" t="n">
        <v>0</v>
      </c>
      <c r="E34" s="36" t="n">
        <v>-1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7" t="n">
        <v>1</v>
      </c>
      <c r="N34" s="38" t="inlineStr">
        <is>
          <t> </t>
        </is>
      </c>
      <c r="O34" s="39" t="n">
        <v>0</v>
      </c>
      <c r="P34" s="40" t="n">
        <v>0</v>
      </c>
      <c r="Q34" s="41" t="n"/>
      <c r="R34" s="41" t="n"/>
    </row>
    <row r="35" ht="20" customHeight="1">
      <c r="A35" s="34" t="inlineStr">
        <is>
          <t>82584000330</t>
        </is>
      </c>
      <c r="B35" s="35" t="inlineStr">
        <is>
          <t>IYUZEH 0.005 % OPHTHALMIC SOLUTION</t>
        </is>
      </c>
      <c r="C35" s="34" t="n">
        <v>30</v>
      </c>
      <c r="D35" s="36" t="n">
        <v>1</v>
      </c>
      <c r="E35" s="36" t="n">
        <v>-4</v>
      </c>
      <c r="F35" s="36" t="n">
        <v>1</v>
      </c>
      <c r="G35" s="36" t="n">
        <v>1</v>
      </c>
      <c r="H35" s="36" t="n">
        <v>1</v>
      </c>
      <c r="I35" s="36" t="n">
        <v>1</v>
      </c>
      <c r="J35" s="36" t="n">
        <v>1</v>
      </c>
      <c r="K35" s="36" t="n">
        <v>1</v>
      </c>
      <c r="L35" s="36" t="n">
        <v>1</v>
      </c>
      <c r="M35" s="37" t="n">
        <v>4</v>
      </c>
      <c r="N35" s="38" t="inlineStr">
        <is>
          <t> </t>
        </is>
      </c>
      <c r="O35" s="39" t="n">
        <v>308</v>
      </c>
      <c r="P35" s="40" t="n">
        <v>1232</v>
      </c>
      <c r="Q35" s="41" t="n"/>
      <c r="R35" s="41" t="n"/>
    </row>
    <row r="36" ht="20" customHeight="1">
      <c r="A36" s="34" t="inlineStr">
        <is>
          <t>00006057561</t>
        </is>
      </c>
      <c r="B36" s="35" t="inlineStr">
        <is>
          <t>JANUMET 50-500 MG ORAL TABLET</t>
        </is>
      </c>
      <c r="C36" s="34" t="n">
        <v>60</v>
      </c>
      <c r="D36" s="36" t="n">
        <v>3</v>
      </c>
      <c r="E36" s="36" t="n">
        <v>-3</v>
      </c>
      <c r="F36" s="36" t="n">
        <v>3</v>
      </c>
      <c r="G36" s="36" t="n">
        <v>3</v>
      </c>
      <c r="H36" s="36" t="n">
        <v>0</v>
      </c>
      <c r="I36" s="36" t="n">
        <v>0</v>
      </c>
      <c r="J36" s="36" t="n">
        <v>3</v>
      </c>
      <c r="K36" s="36" t="n">
        <v>3</v>
      </c>
      <c r="L36" s="36" t="n">
        <v>3</v>
      </c>
      <c r="M36" s="37" t="n">
        <v>3</v>
      </c>
      <c r="N36" s="38" t="inlineStr">
        <is>
          <t> </t>
        </is>
      </c>
      <c r="O36" s="39" t="n">
        <v>318</v>
      </c>
      <c r="P36" s="40" t="n">
        <v>954</v>
      </c>
      <c r="Q36" s="41" t="n"/>
      <c r="R36" s="41" t="n"/>
    </row>
    <row r="37" ht="20" customHeight="1">
      <c r="A37" s="34" t="inlineStr">
        <is>
          <t>00006008061</t>
        </is>
      </c>
      <c r="B37" s="35" t="inlineStr">
        <is>
          <t>JANUMET XR 50-1000MG TABLET</t>
        </is>
      </c>
      <c r="C37" s="34" t="n">
        <v>60</v>
      </c>
      <c r="D37" s="36" t="n">
        <v>0</v>
      </c>
      <c r="E37" s="36" t="n">
        <v>-1</v>
      </c>
      <c r="F37" s="36" t="n">
        <v>0</v>
      </c>
      <c r="G37" s="36" t="n">
        <v>0</v>
      </c>
      <c r="H37" s="36" t="n">
        <v>0</v>
      </c>
      <c r="I37" s="36" t="n">
        <v>0</v>
      </c>
      <c r="J37" s="36" t="n">
        <v>0</v>
      </c>
      <c r="K37" s="36" t="n">
        <v>0</v>
      </c>
      <c r="L37" s="36" t="n">
        <v>0</v>
      </c>
      <c r="M37" s="37" t="n">
        <v>1</v>
      </c>
      <c r="N37" s="38" t="inlineStr">
        <is>
          <t> </t>
        </is>
      </c>
      <c r="O37" s="39" t="n">
        <v>0</v>
      </c>
      <c r="P37" s="40" t="n">
        <v>0</v>
      </c>
      <c r="Q37" s="41" t="n"/>
      <c r="R37" s="41" t="n"/>
    </row>
    <row r="38" ht="20" customHeight="1">
      <c r="A38" s="34" t="inlineStr">
        <is>
          <t>00187540008</t>
        </is>
      </c>
      <c r="B38" s="35" t="inlineStr">
        <is>
          <t>JUBLIA 10 % EXTERNAL SOLUTION</t>
        </is>
      </c>
      <c r="C38" s="34" t="n">
        <v>8</v>
      </c>
      <c r="D38" s="36" t="n">
        <v>2</v>
      </c>
      <c r="E38" s="36" t="n">
        <v>2</v>
      </c>
      <c r="F38" s="36" t="n">
        <v>2</v>
      </c>
      <c r="G38" s="36" t="n">
        <v>2</v>
      </c>
      <c r="H38" s="36" t="n">
        <v>2</v>
      </c>
      <c r="I38" s="36" t="n">
        <v>2</v>
      </c>
      <c r="J38" s="36" t="n">
        <v>-1</v>
      </c>
      <c r="K38" s="36" t="n">
        <v>2</v>
      </c>
      <c r="L38" s="36" t="n">
        <v>2</v>
      </c>
      <c r="M38" s="37" t="n">
        <v>1</v>
      </c>
      <c r="N38" s="38" t="inlineStr">
        <is>
          <t> </t>
        </is>
      </c>
      <c r="O38" s="39" t="n">
        <v>1590</v>
      </c>
      <c r="P38" s="40" t="n">
        <v>1590</v>
      </c>
      <c r="Q38" s="41" t="n"/>
      <c r="R38" s="41" t="n"/>
    </row>
    <row r="39" ht="20" customHeight="1">
      <c r="A39" s="34" t="inlineStr">
        <is>
          <t>00088221905</t>
        </is>
      </c>
      <c r="B39" s="35" t="inlineStr">
        <is>
          <t>LANTUS SOLOSTAR 100UNIT/ML INJECTION</t>
        </is>
      </c>
      <c r="C39" s="34" t="n">
        <v>15</v>
      </c>
      <c r="D39" s="36" t="n">
        <v>46</v>
      </c>
      <c r="E39" s="36" t="n">
        <v>-3.2</v>
      </c>
      <c r="F39" s="36" t="n">
        <v>46</v>
      </c>
      <c r="G39" s="36" t="n">
        <v>46</v>
      </c>
      <c r="H39" s="36" t="n">
        <v>44.8</v>
      </c>
      <c r="I39" s="36" t="n">
        <v>28.6</v>
      </c>
      <c r="J39" s="36" t="n">
        <v>46</v>
      </c>
      <c r="K39" s="36" t="n">
        <v>46</v>
      </c>
      <c r="L39" s="36" t="n">
        <v>46</v>
      </c>
      <c r="M39" s="37" t="n">
        <v>3.2</v>
      </c>
      <c r="N39" s="38" t="inlineStr">
        <is>
          <t> </t>
        </is>
      </c>
      <c r="O39" s="39" t="n">
        <v>94</v>
      </c>
      <c r="P39" s="40" t="n">
        <v>300.8</v>
      </c>
      <c r="Q39" s="41" t="n"/>
      <c r="R39" s="41" t="n"/>
    </row>
    <row r="40" ht="20" customHeight="1">
      <c r="A40" s="34" t="inlineStr">
        <is>
          <t>00456120130</t>
        </is>
      </c>
      <c r="B40" s="35" t="inlineStr">
        <is>
          <t>LINZESS 145MCG CAPSULE</t>
        </is>
      </c>
      <c r="C40" s="34" t="n">
        <v>30</v>
      </c>
      <c r="D40" s="36" t="n">
        <v>30</v>
      </c>
      <c r="E40" s="36" t="n">
        <v>-5</v>
      </c>
      <c r="F40" s="36" t="n">
        <v>26</v>
      </c>
      <c r="G40" s="36" t="n">
        <v>30</v>
      </c>
      <c r="H40" s="36" t="n">
        <v>24</v>
      </c>
      <c r="I40" s="36" t="n">
        <v>27</v>
      </c>
      <c r="J40" s="36" t="n">
        <v>28</v>
      </c>
      <c r="K40" s="36" t="n">
        <v>30</v>
      </c>
      <c r="L40" s="36" t="n">
        <v>30</v>
      </c>
      <c r="M40" s="37" t="n">
        <v>5</v>
      </c>
      <c r="N40" s="38" t="inlineStr">
        <is>
          <t> </t>
        </is>
      </c>
      <c r="O40" s="39" t="n">
        <v>275</v>
      </c>
      <c r="P40" s="40" t="n">
        <v>1375</v>
      </c>
      <c r="Q40" s="41" t="n"/>
      <c r="R40" s="41" t="n"/>
    </row>
    <row r="41" ht="20" customHeight="1">
      <c r="A41" s="34" t="inlineStr">
        <is>
          <t>00430042014</t>
        </is>
      </c>
      <c r="B41" s="35" t="inlineStr">
        <is>
          <t>LO LOESTRIN FE 1 MG-10 MCG / 10 MCG ORAL TABLET</t>
        </is>
      </c>
      <c r="C41" s="34" t="n">
        <v>140</v>
      </c>
      <c r="D41" s="36" t="n">
        <v>1</v>
      </c>
      <c r="E41" s="36" t="n">
        <v>1</v>
      </c>
      <c r="F41" s="36" t="n">
        <v>1</v>
      </c>
      <c r="G41" s="36" t="n">
        <v>1</v>
      </c>
      <c r="H41" s="36" t="n">
        <v>1</v>
      </c>
      <c r="I41" s="36" t="n">
        <v>-0.8</v>
      </c>
      <c r="J41" s="36" t="n">
        <v>1</v>
      </c>
      <c r="K41" s="36" t="n">
        <v>1</v>
      </c>
      <c r="L41" s="36" t="n">
        <v>1</v>
      </c>
      <c r="M41" s="37" t="n">
        <v>0.8</v>
      </c>
      <c r="N41" s="38" t="inlineStr">
        <is>
          <t> </t>
        </is>
      </c>
      <c r="O41" s="39" t="n">
        <v>908</v>
      </c>
      <c r="P41" s="40" t="n">
        <v>726.4</v>
      </c>
      <c r="Q41" s="41" t="n"/>
      <c r="R41" s="41" t="n"/>
    </row>
    <row r="42" ht="20" customHeight="1">
      <c r="A42" s="34" t="inlineStr">
        <is>
          <t>00310111030</t>
        </is>
      </c>
      <c r="B42" s="35" t="inlineStr">
        <is>
          <t>LOKELMA 10GM PACK</t>
        </is>
      </c>
      <c r="C42" s="34" t="n">
        <v>30</v>
      </c>
      <c r="D42" s="36" t="n">
        <v>12</v>
      </c>
      <c r="E42" s="36" t="n">
        <v>-3</v>
      </c>
      <c r="F42" s="36" t="n">
        <v>11</v>
      </c>
      <c r="G42" s="36" t="n">
        <v>12</v>
      </c>
      <c r="H42" s="36" t="n">
        <v>12</v>
      </c>
      <c r="I42" s="36" t="n">
        <v>12</v>
      </c>
      <c r="J42" s="36" t="n">
        <v>9</v>
      </c>
      <c r="K42" s="36" t="n">
        <v>12</v>
      </c>
      <c r="L42" s="36" t="n">
        <v>12</v>
      </c>
      <c r="M42" s="37" t="n">
        <v>3</v>
      </c>
      <c r="N42" s="38" t="inlineStr">
        <is>
          <t> </t>
        </is>
      </c>
      <c r="O42" s="39" t="n">
        <v>863</v>
      </c>
      <c r="P42" s="40" t="n">
        <v>2589</v>
      </c>
      <c r="Q42" s="41" t="n"/>
      <c r="R42" s="41" t="n"/>
    </row>
    <row r="43" ht="20" customHeight="1">
      <c r="A43" s="34" t="inlineStr">
        <is>
          <t>00310110530</t>
        </is>
      </c>
      <c r="B43" s="35" t="inlineStr">
        <is>
          <t>LOKELMA 5GM PACK</t>
        </is>
      </c>
      <c r="C43" s="34" t="n">
        <v>30</v>
      </c>
      <c r="D43" s="36" t="n">
        <v>7</v>
      </c>
      <c r="E43" s="36" t="n">
        <v>-3</v>
      </c>
      <c r="F43" s="36" t="n">
        <v>7</v>
      </c>
      <c r="G43" s="36" t="n">
        <v>7</v>
      </c>
      <c r="H43" s="36" t="n">
        <v>7</v>
      </c>
      <c r="I43" s="36" t="n">
        <v>7</v>
      </c>
      <c r="J43" s="36" t="n">
        <v>7</v>
      </c>
      <c r="K43" s="36" t="n">
        <v>7</v>
      </c>
      <c r="L43" s="36" t="n">
        <v>7</v>
      </c>
      <c r="M43" s="37" t="n">
        <v>3</v>
      </c>
      <c r="N43" s="38" t="inlineStr">
        <is>
          <t> </t>
        </is>
      </c>
      <c r="O43" s="39" t="n">
        <v>863</v>
      </c>
      <c r="P43" s="40" t="n">
        <v>2589</v>
      </c>
      <c r="Q43" s="41" t="n"/>
      <c r="R43" s="41" t="n"/>
    </row>
    <row r="44" ht="20" customHeight="1">
      <c r="A44" s="34" t="inlineStr">
        <is>
          <t>00023320505</t>
        </is>
      </c>
      <c r="B44" s="35" t="inlineStr">
        <is>
          <t>LUMIGAN 0.01 % OPHTHALMIC SOLUTION</t>
        </is>
      </c>
      <c r="C44" s="34" t="n">
        <v>5</v>
      </c>
      <c r="D44" s="36" t="n">
        <v>1</v>
      </c>
      <c r="E44" s="36" t="n">
        <v>-2</v>
      </c>
      <c r="F44" s="36" t="n">
        <v>1</v>
      </c>
      <c r="G44" s="36" t="n">
        <v>1</v>
      </c>
      <c r="H44" s="36" t="n">
        <v>1</v>
      </c>
      <c r="I44" s="36" t="n">
        <v>1</v>
      </c>
      <c r="J44" s="36" t="n">
        <v>1</v>
      </c>
      <c r="K44" s="36" t="n">
        <v>1</v>
      </c>
      <c r="L44" s="36" t="n">
        <v>1</v>
      </c>
      <c r="M44" s="37" t="n">
        <v>2</v>
      </c>
      <c r="N44" s="38" t="inlineStr">
        <is>
          <t> </t>
        </is>
      </c>
      <c r="O44" s="39" t="n">
        <v>524</v>
      </c>
      <c r="P44" s="40" t="n">
        <v>1048</v>
      </c>
      <c r="Q44" s="41" t="n"/>
      <c r="R44" s="41" t="n"/>
    </row>
    <row r="45" ht="20" customHeight="1">
      <c r="A45" s="34" t="inlineStr">
        <is>
          <t>00023320508</t>
        </is>
      </c>
      <c r="B45" s="35" t="inlineStr">
        <is>
          <t>LUMIGAN 0.01% SOLUTION</t>
        </is>
      </c>
      <c r="C45" s="34" t="n">
        <v>7.5</v>
      </c>
      <c r="D45" s="36" t="n">
        <v>10</v>
      </c>
      <c r="E45" s="36" t="n">
        <v>-2</v>
      </c>
      <c r="F45" s="36" t="n">
        <v>10</v>
      </c>
      <c r="G45" s="36" t="n">
        <v>10</v>
      </c>
      <c r="H45" s="36" t="n">
        <v>9</v>
      </c>
      <c r="I45" s="36" t="n">
        <v>8</v>
      </c>
      <c r="J45" s="36" t="n">
        <v>9</v>
      </c>
      <c r="K45" s="36" t="n">
        <v>10</v>
      </c>
      <c r="L45" s="36" t="n">
        <v>10</v>
      </c>
      <c r="M45" s="37" t="n">
        <v>2</v>
      </c>
      <c r="N45" s="38" t="inlineStr">
        <is>
          <t> </t>
        </is>
      </c>
      <c r="O45" s="39" t="n">
        <v>786</v>
      </c>
      <c r="P45" s="40" t="n">
        <v>1572</v>
      </c>
      <c r="Q45" s="41" t="n"/>
      <c r="R45" s="41" t="n"/>
    </row>
    <row r="46" ht="20" customHeight="1">
      <c r="A46" s="34" t="inlineStr">
        <is>
          <t>00023320503</t>
        </is>
      </c>
      <c r="B46" s="35" t="inlineStr">
        <is>
          <t>LUMIGAN 0.01% SOLUTION</t>
        </is>
      </c>
      <c r="C46" s="34" t="n">
        <v>2.5</v>
      </c>
      <c r="D46" s="36" t="n">
        <v>0</v>
      </c>
      <c r="E46" s="36" t="n">
        <v>-1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0</v>
      </c>
      <c r="M46" s="37" t="n">
        <v>1</v>
      </c>
      <c r="N46" s="38" t="inlineStr">
        <is>
          <t> </t>
        </is>
      </c>
      <c r="O46" s="39" t="n">
        <v>0</v>
      </c>
      <c r="P46" s="40" t="n">
        <v>0</v>
      </c>
      <c r="Q46" s="41" t="n"/>
      <c r="R46" s="41" t="n"/>
    </row>
    <row r="47" ht="20" customHeight="1">
      <c r="A47" s="34" t="inlineStr">
        <is>
          <t>68382045219</t>
        </is>
      </c>
      <c r="B47" s="35" t="inlineStr">
        <is>
          <t>MESALAMINE ER 0.375GCAPSULE</t>
        </is>
      </c>
      <c r="C47" s="34" t="n">
        <v>120</v>
      </c>
      <c r="D47" s="36" t="n">
        <v>1</v>
      </c>
      <c r="E47" s="36" t="n">
        <v>-2</v>
      </c>
      <c r="F47" s="36" t="n">
        <v>1</v>
      </c>
      <c r="G47" s="36" t="n">
        <v>1</v>
      </c>
      <c r="H47" s="36" t="n">
        <v>1</v>
      </c>
      <c r="I47" s="36" t="n">
        <v>1</v>
      </c>
      <c r="J47" s="36" t="n">
        <v>1</v>
      </c>
      <c r="K47" s="36" t="n">
        <v>1</v>
      </c>
      <c r="L47" s="36" t="n">
        <v>1</v>
      </c>
      <c r="M47" s="37" t="n">
        <v>2</v>
      </c>
      <c r="N47" s="38" t="inlineStr">
        <is>
          <t> </t>
        </is>
      </c>
      <c r="O47" s="39" t="n">
        <v>68</v>
      </c>
      <c r="P47" s="40" t="n">
        <v>136</v>
      </c>
      <c r="Q47" s="41" t="n"/>
      <c r="R47" s="41" t="n"/>
    </row>
    <row r="48" ht="20" customHeight="1">
      <c r="A48" s="34" t="inlineStr">
        <is>
          <t>24208037705</t>
        </is>
      </c>
      <c r="B48" s="35" t="inlineStr">
        <is>
          <t>MIEBO 1.338 GM/ML OPHTHALMIC SOLUTION</t>
        </is>
      </c>
      <c r="C48" s="34" t="n">
        <v>3</v>
      </c>
      <c r="D48" s="36" t="n">
        <v>35</v>
      </c>
      <c r="E48" s="36" t="n">
        <v>-10</v>
      </c>
      <c r="F48" s="36" t="n">
        <v>33</v>
      </c>
      <c r="G48" s="36" t="n">
        <v>35</v>
      </c>
      <c r="H48" s="36" t="n">
        <v>35</v>
      </c>
      <c r="I48" s="36" t="n">
        <v>27</v>
      </c>
      <c r="J48" s="36" t="n">
        <v>35</v>
      </c>
      <c r="K48" s="36" t="n">
        <v>35</v>
      </c>
      <c r="L48" s="36" t="n">
        <v>35</v>
      </c>
      <c r="M48" s="37" t="n">
        <v>10</v>
      </c>
      <c r="N48" s="38" t="inlineStr">
        <is>
          <t> </t>
        </is>
      </c>
      <c r="O48" s="39" t="n">
        <v>803</v>
      </c>
      <c r="P48" s="40" t="n">
        <v>8030</v>
      </c>
      <c r="Q48" s="41" t="n"/>
      <c r="R48" s="41" t="n"/>
    </row>
    <row r="49" ht="20" customHeight="1">
      <c r="A49" s="34" t="inlineStr">
        <is>
          <t>00002147180</t>
        </is>
      </c>
      <c r="B49" s="35" t="inlineStr">
        <is>
          <t>MOUNJARO 10 MG/0.5ML PEN-INJECTOR</t>
        </is>
      </c>
      <c r="C49" s="34" t="n">
        <v>2</v>
      </c>
      <c r="D49" s="36" t="n">
        <v>10</v>
      </c>
      <c r="E49" s="36" t="n">
        <v>-3</v>
      </c>
      <c r="F49" s="36" t="n">
        <v>10</v>
      </c>
      <c r="G49" s="36" t="n">
        <v>10</v>
      </c>
      <c r="H49" s="36" t="n">
        <v>10</v>
      </c>
      <c r="I49" s="36" t="n">
        <v>6</v>
      </c>
      <c r="J49" s="36" t="n">
        <v>10</v>
      </c>
      <c r="K49" s="36" t="n">
        <v>10</v>
      </c>
      <c r="L49" s="36" t="n">
        <v>10</v>
      </c>
      <c r="M49" s="37" t="n">
        <v>3</v>
      </c>
      <c r="N49" s="38" t="inlineStr">
        <is>
          <t> </t>
        </is>
      </c>
      <c r="O49" s="39" t="n">
        <v>1082</v>
      </c>
      <c r="P49" s="40" t="n">
        <v>3246</v>
      </c>
      <c r="Q49" s="41" t="n"/>
      <c r="R49" s="41" t="n"/>
    </row>
    <row r="50" ht="20" customHeight="1">
      <c r="A50" s="34" t="inlineStr">
        <is>
          <t>00002150680</t>
        </is>
      </c>
      <c r="B50" s="35" t="inlineStr">
        <is>
          <t>MOUNJARO 2.5 MG/0.5ML PEN-INJECTOR</t>
        </is>
      </c>
      <c r="C50" s="34" t="n">
        <v>2</v>
      </c>
      <c r="D50" s="36" t="n">
        <v>4</v>
      </c>
      <c r="E50" s="36" t="n">
        <v>-1</v>
      </c>
      <c r="F50" s="36" t="n">
        <v>4</v>
      </c>
      <c r="G50" s="36" t="n">
        <v>4</v>
      </c>
      <c r="H50" s="36" t="n">
        <v>4</v>
      </c>
      <c r="I50" s="36" t="n">
        <v>3</v>
      </c>
      <c r="J50" s="36" t="n">
        <v>3</v>
      </c>
      <c r="K50" s="36" t="n">
        <v>4</v>
      </c>
      <c r="L50" s="36" t="n">
        <v>4</v>
      </c>
      <c r="M50" s="37" t="n">
        <v>1</v>
      </c>
      <c r="N50" s="38" t="inlineStr">
        <is>
          <t> </t>
        </is>
      </c>
      <c r="O50" s="39" t="n">
        <v>1082</v>
      </c>
      <c r="P50" s="40" t="n">
        <v>1082</v>
      </c>
      <c r="Q50" s="41" t="n"/>
      <c r="R50" s="41" t="n"/>
    </row>
    <row r="51" ht="20" customHeight="1">
      <c r="A51" s="34" t="inlineStr">
        <is>
          <t>00469260130</t>
        </is>
      </c>
      <c r="B51" s="35" t="inlineStr">
        <is>
          <t>MYRBETRIQ 25MG TABLET</t>
        </is>
      </c>
      <c r="C51" s="34" t="n">
        <v>30</v>
      </c>
      <c r="D51" s="36" t="n">
        <v>0</v>
      </c>
      <c r="E51" s="36" t="n">
        <v>-2</v>
      </c>
      <c r="F51" s="36" t="n">
        <v>-1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2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00469260230</t>
        </is>
      </c>
      <c r="B52" s="35" t="inlineStr">
        <is>
          <t>MYRBETRIQ 50MG TABLET</t>
        </is>
      </c>
      <c r="C52" s="34" t="n">
        <v>30</v>
      </c>
      <c r="D52" s="36" t="n">
        <v>9</v>
      </c>
      <c r="E52" s="36" t="n">
        <v>-8</v>
      </c>
      <c r="F52" s="36" t="n">
        <v>9</v>
      </c>
      <c r="G52" s="36" t="n">
        <v>9</v>
      </c>
      <c r="H52" s="36" t="n">
        <v>9</v>
      </c>
      <c r="I52" s="36" t="n">
        <v>5</v>
      </c>
      <c r="J52" s="36" t="n">
        <v>9</v>
      </c>
      <c r="K52" s="36" t="n">
        <v>9</v>
      </c>
      <c r="L52" s="36" t="n">
        <v>9</v>
      </c>
      <c r="M52" s="37" t="n">
        <v>8</v>
      </c>
      <c r="N52" s="38" t="inlineStr">
        <is>
          <t> </t>
        </is>
      </c>
      <c r="O52" s="39" t="n">
        <v>448</v>
      </c>
      <c r="P52" s="40" t="n">
        <v>3584</v>
      </c>
      <c r="Q52" s="41" t="n"/>
      <c r="R52" s="41" t="n"/>
    </row>
    <row r="53" ht="20" customHeight="1">
      <c r="A53" s="34" t="inlineStr">
        <is>
          <t>58151028301</t>
        </is>
      </c>
      <c r="B53" s="35" t="inlineStr">
        <is>
          <t>NEURONTIN 400 MG ORAL CAPSULE</t>
        </is>
      </c>
      <c r="C53" s="34" t="n">
        <v>100</v>
      </c>
      <c r="D53" s="36" t="n">
        <v>2</v>
      </c>
      <c r="E53" s="36" t="n">
        <v>-0.7</v>
      </c>
      <c r="F53" s="36" t="n">
        <v>-0.7</v>
      </c>
      <c r="G53" s="36" t="n">
        <v>2</v>
      </c>
      <c r="H53" s="36" t="n">
        <v>2</v>
      </c>
      <c r="I53" s="36" t="n">
        <v>2</v>
      </c>
      <c r="J53" s="36" t="n">
        <v>2</v>
      </c>
      <c r="K53" s="36" t="n">
        <v>2</v>
      </c>
      <c r="L53" s="36" t="n">
        <v>2</v>
      </c>
      <c r="M53" s="37" t="n">
        <v>0.7</v>
      </c>
      <c r="N53" s="38" t="inlineStr">
        <is>
          <t> </t>
        </is>
      </c>
      <c r="O53" s="39" t="n">
        <v>852</v>
      </c>
      <c r="P53" s="40" t="n">
        <v>596.4</v>
      </c>
      <c r="Q53" s="41" t="n"/>
      <c r="R53" s="41" t="n"/>
    </row>
    <row r="54" ht="20" customHeight="1">
      <c r="A54" s="34" t="inlineStr">
        <is>
          <t>00186504031</t>
        </is>
      </c>
      <c r="B54" s="35" t="inlineStr">
        <is>
          <t>NEXIUM 40MG CAPSULE</t>
        </is>
      </c>
      <c r="C54" s="34" t="n">
        <v>30</v>
      </c>
      <c r="D54" s="36" t="n">
        <v>9</v>
      </c>
      <c r="E54" s="36" t="n">
        <v>-3</v>
      </c>
      <c r="F54" s="36" t="n">
        <v>9</v>
      </c>
      <c r="G54" s="36" t="n">
        <v>9</v>
      </c>
      <c r="H54" s="36" t="n">
        <v>9</v>
      </c>
      <c r="I54" s="36" t="n">
        <v>9</v>
      </c>
      <c r="J54" s="36" t="n">
        <v>9</v>
      </c>
      <c r="K54" s="36" t="n">
        <v>9</v>
      </c>
      <c r="L54" s="36" t="n">
        <v>9</v>
      </c>
      <c r="M54" s="37" t="n">
        <v>3</v>
      </c>
      <c r="N54" s="38" t="inlineStr">
        <is>
          <t> </t>
        </is>
      </c>
      <c r="O54" s="39" t="n">
        <v>268</v>
      </c>
      <c r="P54" s="40" t="n">
        <v>804</v>
      </c>
      <c r="Q54" s="41" t="n"/>
      <c r="R54" s="41" t="n"/>
    </row>
    <row r="55" ht="20" customHeight="1">
      <c r="A55" s="34" t="inlineStr">
        <is>
          <t>00169633910</t>
        </is>
      </c>
      <c r="B55" s="35" t="inlineStr">
        <is>
          <t>NOVOLOG FLEXPEN 100UNIT/ML INJECTION</t>
        </is>
      </c>
      <c r="C55" s="34" t="n">
        <v>15</v>
      </c>
      <c r="D55" s="36" t="n">
        <v>6</v>
      </c>
      <c r="E55" s="36" t="n">
        <v>-9.800000000000001</v>
      </c>
      <c r="F55" s="36" t="n">
        <v>6</v>
      </c>
      <c r="G55" s="36" t="n">
        <v>6</v>
      </c>
      <c r="H55" s="36" t="n">
        <v>6</v>
      </c>
      <c r="I55" s="36" t="n">
        <v>6</v>
      </c>
      <c r="J55" s="36" t="n">
        <v>6</v>
      </c>
      <c r="K55" s="36" t="n">
        <v>6</v>
      </c>
      <c r="L55" s="36" t="n">
        <v>6</v>
      </c>
      <c r="M55" s="37" t="n">
        <v>9.800000000000001</v>
      </c>
      <c r="N55" s="38" t="inlineStr">
        <is>
          <t> </t>
        </is>
      </c>
      <c r="O55" s="39" t="n">
        <v>135</v>
      </c>
      <c r="P55" s="40" t="n">
        <v>1323</v>
      </c>
      <c r="Q55" s="41" t="n"/>
      <c r="R55" s="41" t="n"/>
    </row>
    <row r="56" ht="20" customHeight="1">
      <c r="A56" s="34" t="inlineStr">
        <is>
          <t>00169369619</t>
        </is>
      </c>
      <c r="B56" s="35" t="inlineStr">
        <is>
          <t>NOVOLOG MIX 70/30 FLEXPEN 100 UNIT/ML PEN-INJECTOR</t>
        </is>
      </c>
      <c r="C56" s="34" t="n">
        <v>15</v>
      </c>
      <c r="D56" s="36" t="n">
        <v>0</v>
      </c>
      <c r="E56" s="36" t="n">
        <v>-0.8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0.8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72618300002</t>
        </is>
      </c>
      <c r="B57" s="35" t="inlineStr">
        <is>
          <t>NURTEC 75MG TABLET DISINTEGRATING</t>
        </is>
      </c>
      <c r="C57" s="34" t="n">
        <v>8</v>
      </c>
      <c r="D57" s="36" t="n">
        <v>6</v>
      </c>
      <c r="E57" s="36" t="n">
        <v>-4</v>
      </c>
      <c r="F57" s="36" t="n">
        <v>6</v>
      </c>
      <c r="G57" s="36" t="n">
        <v>6</v>
      </c>
      <c r="H57" s="36" t="n">
        <v>6</v>
      </c>
      <c r="I57" s="36" t="n">
        <v>6</v>
      </c>
      <c r="J57" s="36" t="n">
        <v>6</v>
      </c>
      <c r="K57" s="36" t="n">
        <v>6</v>
      </c>
      <c r="L57" s="36" t="n">
        <v>6</v>
      </c>
      <c r="M57" s="37" t="n">
        <v>4</v>
      </c>
      <c r="N57" s="38" t="inlineStr">
        <is>
          <t> </t>
        </is>
      </c>
      <c r="O57" s="39" t="n">
        <v>1046</v>
      </c>
      <c r="P57" s="40" t="n">
        <v>4184</v>
      </c>
      <c r="Q57" s="41" t="n"/>
      <c r="R57" s="41" t="n"/>
    </row>
    <row r="58" ht="20" customHeight="1">
      <c r="A58" s="34" t="inlineStr">
        <is>
          <t>50881000705</t>
        </is>
      </c>
      <c r="B58" s="35" t="inlineStr">
        <is>
          <t>OPZELURA 1.5 % EXTERNAL CREAM</t>
        </is>
      </c>
      <c r="C58" s="34" t="n">
        <v>60</v>
      </c>
      <c r="D58" s="36" t="n">
        <v>2</v>
      </c>
      <c r="E58" s="36" t="n">
        <v>-1</v>
      </c>
      <c r="F58" s="36" t="n">
        <v>2</v>
      </c>
      <c r="G58" s="36" t="n">
        <v>2</v>
      </c>
      <c r="H58" s="36" t="n">
        <v>2</v>
      </c>
      <c r="I58" s="36" t="n">
        <v>2</v>
      </c>
      <c r="J58" s="36" t="n">
        <v>2</v>
      </c>
      <c r="K58" s="36" t="n">
        <v>2</v>
      </c>
      <c r="L58" s="36" t="n">
        <v>2</v>
      </c>
      <c r="M58" s="37" t="n">
        <v>1</v>
      </c>
      <c r="N58" s="38" t="inlineStr">
        <is>
          <t> </t>
        </is>
      </c>
      <c r="O58" s="39" t="n">
        <v>2061</v>
      </c>
      <c r="P58" s="40" t="n">
        <v>2061</v>
      </c>
      <c r="Q58" s="41" t="n"/>
      <c r="R58" s="41" t="n"/>
    </row>
    <row r="59" ht="20" customHeight="1">
      <c r="A59" s="34" t="inlineStr">
        <is>
          <t>00169418113</t>
        </is>
      </c>
      <c r="B59" s="35" t="inlineStr">
        <is>
          <t>OZEMPIC (0.25 OR 0.5 MG/DOSE) 2 MG/3ML PEN-INJECTOR</t>
        </is>
      </c>
      <c r="C59" s="34" t="n">
        <v>3</v>
      </c>
      <c r="D59" s="36" t="n">
        <v>69</v>
      </c>
      <c r="E59" s="36" t="n">
        <v>-1</v>
      </c>
      <c r="F59" s="36" t="n">
        <v>61</v>
      </c>
      <c r="G59" s="36" t="n">
        <v>69</v>
      </c>
      <c r="H59" s="36" t="n">
        <v>68</v>
      </c>
      <c r="I59" s="36" t="n">
        <v>46</v>
      </c>
      <c r="J59" s="36" t="n">
        <v>69</v>
      </c>
      <c r="K59" s="36" t="n">
        <v>68</v>
      </c>
      <c r="L59" s="36" t="n">
        <v>69</v>
      </c>
      <c r="M59" s="37" t="n">
        <v>1</v>
      </c>
      <c r="N59" s="38" t="inlineStr">
        <is>
          <t> </t>
        </is>
      </c>
      <c r="O59" s="39" t="n">
        <v>999</v>
      </c>
      <c r="P59" s="40" t="n">
        <v>999</v>
      </c>
      <c r="Q59" s="41" t="n"/>
      <c r="R59" s="41" t="n"/>
    </row>
    <row r="60" ht="20" customHeight="1">
      <c r="A60" s="34" t="inlineStr">
        <is>
          <t>60505451803</t>
        </is>
      </c>
      <c r="B60" s="35" t="inlineStr">
        <is>
          <t>PAXIL 20 MG ORAL TABLET</t>
        </is>
      </c>
      <c r="C60" s="34" t="n">
        <v>30</v>
      </c>
      <c r="D60" s="36" t="n">
        <v>4</v>
      </c>
      <c r="E60" s="36" t="n">
        <v>-2</v>
      </c>
      <c r="F60" s="36" t="n">
        <v>4</v>
      </c>
      <c r="G60" s="36" t="n">
        <v>4</v>
      </c>
      <c r="H60" s="36" t="n">
        <v>4</v>
      </c>
      <c r="I60" s="36" t="n">
        <v>4</v>
      </c>
      <c r="J60" s="36" t="n">
        <v>4</v>
      </c>
      <c r="K60" s="36" t="n">
        <v>4</v>
      </c>
      <c r="L60" s="36" t="n">
        <v>4</v>
      </c>
      <c r="M60" s="37" t="n">
        <v>2</v>
      </c>
      <c r="N60" s="38" t="inlineStr">
        <is>
          <t> </t>
        </is>
      </c>
      <c r="O60" s="39" t="n">
        <v>326</v>
      </c>
      <c r="P60" s="40" t="n">
        <v>652</v>
      </c>
      <c r="Q60" s="41" t="n"/>
      <c r="R60" s="41" t="n"/>
    </row>
    <row r="61" ht="20" customHeight="1">
      <c r="A61" s="34" t="inlineStr">
        <is>
          <t>54092018981</t>
        </is>
      </c>
      <c r="B61" s="35" t="inlineStr">
        <is>
          <t>PENTASA 250 MG ORAL CAPSULE EXTENDED RELEASE</t>
        </is>
      </c>
      <c r="C61" s="34" t="n">
        <v>240</v>
      </c>
      <c r="D61" s="36" t="n">
        <v>0</v>
      </c>
      <c r="E61" s="36" t="n">
        <v>0</v>
      </c>
      <c r="F61" s="36" t="n">
        <v>0</v>
      </c>
      <c r="G61" s="36" t="n">
        <v>0</v>
      </c>
      <c r="H61" s="36" t="n">
        <v>0</v>
      </c>
      <c r="I61" s="36" t="n">
        <v>-0.38</v>
      </c>
      <c r="J61" s="36" t="n">
        <v>0</v>
      </c>
      <c r="K61" s="36" t="n">
        <v>0</v>
      </c>
      <c r="L61" s="36" t="n">
        <v>0</v>
      </c>
      <c r="M61" s="37" t="n">
        <v>0.38</v>
      </c>
      <c r="N61" s="38" t="inlineStr">
        <is>
          <t> </t>
        </is>
      </c>
      <c r="O61" s="39" t="n">
        <v>0</v>
      </c>
      <c r="P61" s="40" t="n">
        <v>0</v>
      </c>
      <c r="Q61" s="41" t="n"/>
      <c r="R61" s="41" t="n"/>
    </row>
    <row r="62" ht="20" customHeight="1">
      <c r="A62" s="34" t="inlineStr">
        <is>
          <t>00574062105</t>
        </is>
      </c>
      <c r="B62" s="35" t="inlineStr">
        <is>
          <t>PODOFILOX 0.5 % EXTERNAL GEL</t>
        </is>
      </c>
      <c r="C62" s="34" t="n">
        <v>3.5</v>
      </c>
      <c r="D62" s="36" t="n">
        <v>0</v>
      </c>
      <c r="E62" s="36" t="n">
        <v>0</v>
      </c>
      <c r="F62" s="36" t="n">
        <v>0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7" t="n">
        <v>1</v>
      </c>
      <c r="N62" s="38" t="inlineStr">
        <is>
          <t> </t>
        </is>
      </c>
      <c r="O62" s="39" t="n">
        <v>0</v>
      </c>
      <c r="P62" s="40" t="n">
        <v>0</v>
      </c>
      <c r="Q62" s="41" t="n"/>
      <c r="R62" s="41" t="n"/>
    </row>
    <row r="63" ht="20" customHeight="1">
      <c r="A63" s="34" t="inlineStr">
        <is>
          <t>00005200002</t>
        </is>
      </c>
      <c r="B63" s="35" t="inlineStr">
        <is>
          <t>PREVNAR 20 0.5 ML INTRAMUSCULAR SUSPENSION PREFILLED SYRINGE</t>
        </is>
      </c>
      <c r="C63" s="34" t="n">
        <v>0.5</v>
      </c>
      <c r="D63" s="36" t="n">
        <v>0</v>
      </c>
      <c r="E63" s="36" t="n">
        <v>-1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0</v>
      </c>
      <c r="K63" s="36" t="n">
        <v>0</v>
      </c>
      <c r="L63" s="36" t="n">
        <v>0</v>
      </c>
      <c r="M63" s="37" t="n">
        <v>1</v>
      </c>
      <c r="N63" s="38" t="inlineStr">
        <is>
          <t> </t>
        </is>
      </c>
      <c r="O63" s="39" t="n">
        <v>0</v>
      </c>
      <c r="P63" s="40" t="n">
        <v>0</v>
      </c>
      <c r="Q63" s="41" t="n"/>
      <c r="R63" s="41" t="n"/>
    </row>
    <row r="64" ht="20" customHeight="1">
      <c r="A64" s="34" t="inlineStr">
        <is>
          <t>00005200010</t>
        </is>
      </c>
      <c r="B64" s="35" t="inlineStr">
        <is>
          <t>PREVNAR 20 0.5 ML PREFILLED SYRINGE</t>
        </is>
      </c>
      <c r="C64" s="34" t="n">
        <v>5</v>
      </c>
      <c r="D64" s="36" t="n">
        <v>0</v>
      </c>
      <c r="E64" s="36" t="n">
        <v>-0.4</v>
      </c>
      <c r="F64" s="36" t="n">
        <v>-0.1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0.4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59676031001</t>
        </is>
      </c>
      <c r="B65" s="35" t="inlineStr">
        <is>
          <t>PROCRIT 10000 UNIT/ML INJECTION SOLUTION</t>
        </is>
      </c>
      <c r="C65" s="34" t="n">
        <v>6</v>
      </c>
      <c r="D65" s="36" t="n">
        <v>0</v>
      </c>
      <c r="E65" s="36" t="n">
        <v>-0.5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0</v>
      </c>
      <c r="K65" s="36" t="n">
        <v>0</v>
      </c>
      <c r="L65" s="36" t="n">
        <v>0</v>
      </c>
      <c r="M65" s="37" t="n">
        <v>0.5</v>
      </c>
      <c r="N65" s="38" t="inlineStr">
        <is>
          <t> </t>
        </is>
      </c>
      <c r="O65" s="39" t="n">
        <v>0</v>
      </c>
      <c r="P65" s="40" t="n">
        <v>0</v>
      </c>
      <c r="Q65" s="41" t="n"/>
      <c r="R65" s="41" t="n"/>
    </row>
    <row r="66" ht="20" customHeight="1">
      <c r="A66" s="34" t="inlineStr">
        <is>
          <t>55513071021</t>
        </is>
      </c>
      <c r="B66" s="35" t="inlineStr">
        <is>
          <t>PROLIA 60 MG/ML SUBCUTANEOUS SOLUTION PREFILLED SYRINGE</t>
        </is>
      </c>
      <c r="C66" s="34" t="n">
        <v>1</v>
      </c>
      <c r="D66" s="36" t="n">
        <v>0</v>
      </c>
      <c r="E66" s="36" t="n">
        <v>-1</v>
      </c>
      <c r="F66" s="36" t="n">
        <v>0</v>
      </c>
      <c r="G66" s="36" t="n">
        <v>0</v>
      </c>
      <c r="H66" s="36" t="n">
        <v>0</v>
      </c>
      <c r="I66" s="36" t="n">
        <v>0</v>
      </c>
      <c r="J66" s="36" t="n">
        <v>0</v>
      </c>
      <c r="K66" s="36" t="n">
        <v>0</v>
      </c>
      <c r="L66" s="36" t="n">
        <v>0</v>
      </c>
      <c r="M66" s="37" t="n">
        <v>1</v>
      </c>
      <c r="N66" s="38" t="inlineStr">
        <is>
          <t> </t>
        </is>
      </c>
      <c r="O66" s="39" t="n">
        <v>0</v>
      </c>
      <c r="P66" s="40" t="n">
        <v>0</v>
      </c>
      <c r="Q66" s="41" t="n"/>
      <c r="R66" s="41" t="n"/>
    </row>
    <row r="67" ht="20" customHeight="1">
      <c r="A67" s="34" t="inlineStr">
        <is>
          <t>00074709630</t>
        </is>
      </c>
      <c r="B67" s="35" t="inlineStr">
        <is>
          <t>QULIPTA 30 MG ORAL TABLET</t>
        </is>
      </c>
      <c r="C67" s="34" t="n">
        <v>30</v>
      </c>
      <c r="D67" s="36" t="n">
        <v>0</v>
      </c>
      <c r="E67" s="36" t="n">
        <v>-2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0</v>
      </c>
      <c r="K67" s="36" t="n">
        <v>0</v>
      </c>
      <c r="L67" s="36" t="n">
        <v>0</v>
      </c>
      <c r="M67" s="37" t="n">
        <v>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59310030240</t>
        </is>
      </c>
      <c r="B68" s="35" t="inlineStr">
        <is>
          <t>QVAR REDIHALER 40MCG/ACT AEROSOL</t>
        </is>
      </c>
      <c r="C68" s="34" t="n">
        <v>10.6</v>
      </c>
      <c r="D68" s="36" t="n">
        <v>0</v>
      </c>
      <c r="E68" s="36" t="n">
        <v>0</v>
      </c>
      <c r="F68" s="36" t="n">
        <v>-3</v>
      </c>
      <c r="G68" s="36" t="n">
        <v>0</v>
      </c>
      <c r="H68" s="36" t="n">
        <v>0</v>
      </c>
      <c r="I68" s="36" t="n">
        <v>-3</v>
      </c>
      <c r="J68" s="36" t="n">
        <v>0</v>
      </c>
      <c r="K68" s="36" t="n">
        <v>0</v>
      </c>
      <c r="L68" s="36" t="n">
        <v>0</v>
      </c>
      <c r="M68" s="37" t="n">
        <v>3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59137053004</t>
        </is>
      </c>
      <c r="B69" s="35" t="inlineStr">
        <is>
          <t>RASUVO 20MG/0.4ML INJECTION</t>
        </is>
      </c>
      <c r="C69" s="34" t="n">
        <v>1.6</v>
      </c>
      <c r="D69" s="36" t="n">
        <v>3</v>
      </c>
      <c r="E69" s="36" t="n">
        <v>-0</v>
      </c>
      <c r="F69" s="36" t="n">
        <v>3</v>
      </c>
      <c r="G69" s="36" t="n">
        <v>3</v>
      </c>
      <c r="H69" s="36" t="n">
        <v>3</v>
      </c>
      <c r="I69" s="36" t="n">
        <v>3</v>
      </c>
      <c r="J69" s="36" t="n">
        <v>3</v>
      </c>
      <c r="K69" s="36" t="n">
        <v>3</v>
      </c>
      <c r="L69" s="36" t="n">
        <v>3</v>
      </c>
      <c r="M69" s="37" t="n">
        <v>0</v>
      </c>
      <c r="N69" s="38" t="inlineStr">
        <is>
          <t> </t>
        </is>
      </c>
      <c r="O69" s="39" t="n">
        <v>566</v>
      </c>
      <c r="P69" s="40" t="n">
        <v>0</v>
      </c>
      <c r="Q69" s="41" t="n"/>
      <c r="R69" s="41" t="n"/>
    </row>
    <row r="70" ht="20" customHeight="1">
      <c r="A70" s="34" t="inlineStr">
        <is>
          <t>70727049725</t>
        </is>
      </c>
      <c r="B70" s="35" t="inlineStr">
        <is>
          <t>RHOPRESSA 0.02 % OPHTHALMIC SOLUTION</t>
        </is>
      </c>
      <c r="C70" s="34" t="n">
        <v>2.5</v>
      </c>
      <c r="D70" s="36" t="n">
        <v>0</v>
      </c>
      <c r="E70" s="36" t="n">
        <v>-6</v>
      </c>
      <c r="F70" s="36" t="n">
        <v>0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64764080530</t>
        </is>
      </c>
      <c r="B71" s="35" t="inlineStr">
        <is>
          <t>ROZEREM 8MG TABLET</t>
        </is>
      </c>
      <c r="C71" s="34" t="n">
        <v>30</v>
      </c>
      <c r="D71" s="36" t="n">
        <v>2</v>
      </c>
      <c r="E71" s="36" t="n">
        <v>2</v>
      </c>
      <c r="F71" s="36" t="n">
        <v>2</v>
      </c>
      <c r="G71" s="36" t="n">
        <v>2</v>
      </c>
      <c r="H71" s="36" t="n">
        <v>2</v>
      </c>
      <c r="I71" s="36" t="n">
        <v>-1</v>
      </c>
      <c r="J71" s="36" t="n">
        <v>2</v>
      </c>
      <c r="K71" s="36" t="n">
        <v>2</v>
      </c>
      <c r="L71" s="36" t="n">
        <v>2</v>
      </c>
      <c r="M71" s="37" t="n">
        <v>1</v>
      </c>
      <c r="N71" s="38" t="inlineStr">
        <is>
          <t> </t>
        </is>
      </c>
      <c r="O71" s="39" t="n">
        <v>378</v>
      </c>
      <c r="P71" s="40" t="n">
        <v>378</v>
      </c>
      <c r="Q71" s="41" t="n"/>
      <c r="R71" s="41" t="n"/>
    </row>
    <row r="72" ht="20" customHeight="1">
      <c r="A72" s="34" t="inlineStr">
        <is>
          <t>00169430330</t>
        </is>
      </c>
      <c r="B72" s="35" t="inlineStr">
        <is>
          <t>RYBELSUS 3MG TABLET</t>
        </is>
      </c>
      <c r="C72" s="34" t="n">
        <v>30</v>
      </c>
      <c r="D72" s="36" t="n">
        <v>0</v>
      </c>
      <c r="E72" s="36" t="n">
        <v>-16</v>
      </c>
      <c r="F72" s="36" t="n">
        <v>0</v>
      </c>
      <c r="G72" s="36" t="n">
        <v>0</v>
      </c>
      <c r="H72" s="36" t="n">
        <v>0</v>
      </c>
      <c r="I72" s="36" t="n">
        <v>0</v>
      </c>
      <c r="J72" s="36" t="n">
        <v>0</v>
      </c>
      <c r="K72" s="36" t="n">
        <v>0</v>
      </c>
      <c r="L72" s="36" t="n">
        <v>0</v>
      </c>
      <c r="M72" s="37" t="n">
        <v>16</v>
      </c>
      <c r="N72" s="38" t="inlineStr">
        <is>
          <t> </t>
        </is>
      </c>
      <c r="O72" s="39" t="n">
        <v>0</v>
      </c>
      <c r="P72" s="40" t="n">
        <v>0</v>
      </c>
      <c r="Q72" s="41" t="n"/>
      <c r="R72" s="41" t="n"/>
    </row>
    <row r="73" ht="20" customHeight="1">
      <c r="A73" s="34" t="inlineStr">
        <is>
          <t>00169430730</t>
        </is>
      </c>
      <c r="B73" s="35" t="inlineStr">
        <is>
          <t>RYBELSUS 7MG TABLET</t>
        </is>
      </c>
      <c r="C73" s="34" t="n">
        <v>30</v>
      </c>
      <c r="D73" s="36" t="n">
        <v>7</v>
      </c>
      <c r="E73" s="36" t="n">
        <v>-2</v>
      </c>
      <c r="F73" s="36" t="n">
        <v>2</v>
      </c>
      <c r="G73" s="36" t="n">
        <v>7</v>
      </c>
      <c r="H73" s="36" t="n">
        <v>7</v>
      </c>
      <c r="I73" s="36" t="n">
        <v>7</v>
      </c>
      <c r="J73" s="36" t="n">
        <v>7</v>
      </c>
      <c r="K73" s="36" t="n">
        <v>7</v>
      </c>
      <c r="L73" s="36" t="n">
        <v>7</v>
      </c>
      <c r="M73" s="37" t="n">
        <v>2</v>
      </c>
      <c r="N73" s="38" t="inlineStr">
        <is>
          <t> </t>
        </is>
      </c>
      <c r="O73" s="39" t="n">
        <v>992</v>
      </c>
      <c r="P73" s="40" t="n">
        <v>1984</v>
      </c>
      <c r="Q73" s="41" t="n"/>
      <c r="R73" s="41" t="n"/>
    </row>
    <row r="74" ht="20" customHeight="1">
      <c r="A74" s="34" t="inlineStr">
        <is>
          <t>50484001090</t>
        </is>
      </c>
      <c r="B74" s="35" t="inlineStr">
        <is>
          <t>SANTYL 250 UNIT/GM EXTERNAL OINTMENT</t>
        </is>
      </c>
      <c r="C74" s="34" t="n">
        <v>90</v>
      </c>
      <c r="D74" s="36" t="n">
        <v>1</v>
      </c>
      <c r="E74" s="36" t="n">
        <v>-1</v>
      </c>
      <c r="F74" s="36" t="n">
        <v>1</v>
      </c>
      <c r="G74" s="36" t="n">
        <v>1</v>
      </c>
      <c r="H74" s="36" t="n">
        <v>1</v>
      </c>
      <c r="I74" s="36" t="n">
        <v>1</v>
      </c>
      <c r="J74" s="36" t="n">
        <v>1</v>
      </c>
      <c r="K74" s="36" t="n">
        <v>1</v>
      </c>
      <c r="L74" s="36" t="n">
        <v>1</v>
      </c>
      <c r="M74" s="37" t="n">
        <v>1</v>
      </c>
      <c r="N74" s="38" t="inlineStr">
        <is>
          <t> </t>
        </is>
      </c>
      <c r="O74" s="39" t="n">
        <v>924</v>
      </c>
      <c r="P74" s="40" t="n">
        <v>924</v>
      </c>
      <c r="Q74" s="41" t="n"/>
      <c r="R74" s="41" t="n"/>
    </row>
    <row r="75" ht="20" customHeight="1">
      <c r="A75" s="34" t="inlineStr">
        <is>
          <t>00006537303</t>
        </is>
      </c>
      <c r="B75" s="35" t="inlineStr">
        <is>
          <t>SEGLUROMET 2.5-1000MG TABLET</t>
        </is>
      </c>
      <c r="C75" s="34" t="n">
        <v>60</v>
      </c>
      <c r="D75" s="36" t="n">
        <v>1</v>
      </c>
      <c r="E75" s="36" t="n">
        <v>1</v>
      </c>
      <c r="F75" s="36" t="n">
        <v>1</v>
      </c>
      <c r="G75" s="36" t="n">
        <v>1</v>
      </c>
      <c r="H75" s="36" t="n">
        <v>1</v>
      </c>
      <c r="I75" s="36" t="n">
        <v>-2</v>
      </c>
      <c r="J75" s="36" t="n">
        <v>1</v>
      </c>
      <c r="K75" s="36" t="n">
        <v>1</v>
      </c>
      <c r="L75" s="36" t="n">
        <v>1</v>
      </c>
      <c r="M75" s="37" t="n">
        <v>2</v>
      </c>
      <c r="N75" s="38" t="inlineStr">
        <is>
          <t> </t>
        </is>
      </c>
      <c r="O75" s="39" t="n">
        <v>345</v>
      </c>
      <c r="P75" s="40" t="n">
        <v>690</v>
      </c>
      <c r="Q75" s="41" t="n"/>
      <c r="R75" s="41" t="n"/>
    </row>
    <row r="76" ht="20" customHeight="1">
      <c r="A76" s="34" t="inlineStr">
        <is>
          <t>58160082311</t>
        </is>
      </c>
      <c r="B76" s="35" t="inlineStr">
        <is>
          <t>SHINGRIX 50 MCG/0.5ML IM SUSP RECON</t>
        </is>
      </c>
      <c r="C76" s="34" t="n">
        <v>10</v>
      </c>
      <c r="D76" s="36" t="n">
        <v>0</v>
      </c>
      <c r="E76" s="36" t="n">
        <v>-0.3</v>
      </c>
      <c r="F76" s="36" t="n">
        <v>-0.1</v>
      </c>
      <c r="G76" s="36" t="n">
        <v>0</v>
      </c>
      <c r="H76" s="36" t="n">
        <v>-0.2</v>
      </c>
      <c r="I76" s="36" t="n">
        <v>-0.2</v>
      </c>
      <c r="J76" s="36" t="n">
        <v>-0.1</v>
      </c>
      <c r="K76" s="36" t="n">
        <v>0</v>
      </c>
      <c r="L76" s="36" t="n">
        <v>0</v>
      </c>
      <c r="M76" s="37" t="n">
        <v>0.3</v>
      </c>
      <c r="N76" s="38" t="inlineStr">
        <is>
          <t> </t>
        </is>
      </c>
      <c r="O76" s="39" t="n">
        <v>0</v>
      </c>
      <c r="P76" s="40" t="n">
        <v>0</v>
      </c>
      <c r="Q76" s="41" t="n"/>
      <c r="R76" s="41" t="n"/>
    </row>
    <row r="77" ht="20" customHeight="1">
      <c r="A77" s="34" t="inlineStr">
        <is>
          <t>00065414727</t>
        </is>
      </c>
      <c r="B77" s="35" t="inlineStr">
        <is>
          <t>SIMBRINZA 1-0.2 % OPHTHALMIC SUSPENSION</t>
        </is>
      </c>
      <c r="C77" s="34" t="n">
        <v>8</v>
      </c>
      <c r="D77" s="36" t="n">
        <v>1</v>
      </c>
      <c r="E77" s="36" t="n">
        <v>1</v>
      </c>
      <c r="F77" s="36" t="n">
        <v>1</v>
      </c>
      <c r="G77" s="36" t="n">
        <v>1</v>
      </c>
      <c r="H77" s="36" t="n">
        <v>1</v>
      </c>
      <c r="I77" s="36" t="n">
        <v>0</v>
      </c>
      <c r="J77" s="36" t="n">
        <v>-2</v>
      </c>
      <c r="K77" s="36" t="n">
        <v>1</v>
      </c>
      <c r="L77" s="36" t="n">
        <v>1</v>
      </c>
      <c r="M77" s="37" t="n">
        <v>2</v>
      </c>
      <c r="N77" s="38" t="inlineStr">
        <is>
          <t> </t>
        </is>
      </c>
      <c r="O77" s="39" t="n">
        <v>210</v>
      </c>
      <c r="P77" s="40" t="n">
        <v>420</v>
      </c>
      <c r="Q77" s="41" t="n"/>
      <c r="R77" s="41" t="n"/>
    </row>
    <row r="78" ht="20" customHeight="1">
      <c r="A78" s="34" t="inlineStr">
        <is>
          <t>00597007541</t>
        </is>
      </c>
      <c r="B78" s="35" t="inlineStr">
        <is>
          <t>SPIRIVA HANDIHALER 18MCG CAPSULE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-3</v>
      </c>
      <c r="J78" s="36" t="n">
        <v>0</v>
      </c>
      <c r="K78" s="36" t="n">
        <v>0</v>
      </c>
      <c r="L78" s="36" t="n">
        <v>0</v>
      </c>
      <c r="M78" s="37" t="n">
        <v>3</v>
      </c>
      <c r="N78" s="38" t="inlineStr">
        <is>
          <t> </t>
        </is>
      </c>
      <c r="O78" s="39" t="n">
        <v>0</v>
      </c>
      <c r="P78" s="40" t="n">
        <v>0</v>
      </c>
      <c r="Q78" s="41" t="n"/>
      <c r="R78" s="41" t="n"/>
    </row>
    <row r="79" ht="20" customHeight="1">
      <c r="A79" s="34" t="inlineStr">
        <is>
          <t>00186037020</t>
        </is>
      </c>
      <c r="B79" s="35" t="inlineStr">
        <is>
          <t>SYMBICORT 160-4.5MCG/ACT AEROSOL</t>
        </is>
      </c>
      <c r="C79" s="34" t="n">
        <v>10.2</v>
      </c>
      <c r="D79" s="36" t="n">
        <v>15</v>
      </c>
      <c r="E79" s="36" t="n">
        <v>15</v>
      </c>
      <c r="F79" s="36" t="n">
        <v>15</v>
      </c>
      <c r="G79" s="36" t="n">
        <v>15</v>
      </c>
      <c r="H79" s="36" t="n">
        <v>15</v>
      </c>
      <c r="I79" s="36" t="n">
        <v>-15</v>
      </c>
      <c r="J79" s="36" t="n">
        <v>15</v>
      </c>
      <c r="K79" s="36" t="n">
        <v>15</v>
      </c>
      <c r="L79" s="36" t="n">
        <v>15</v>
      </c>
      <c r="M79" s="37" t="n">
        <v>15</v>
      </c>
      <c r="N79" s="38" t="inlineStr">
        <is>
          <t> </t>
        </is>
      </c>
      <c r="O79" s="39" t="n">
        <v>226</v>
      </c>
      <c r="P79" s="40" t="n">
        <v>3390</v>
      </c>
      <c r="Q79" s="41" t="n"/>
      <c r="R79" s="41" t="n"/>
    </row>
    <row r="80" ht="20" customHeight="1">
      <c r="A80" s="34" t="inlineStr">
        <is>
          <t>00186037220</t>
        </is>
      </c>
      <c r="B80" s="35" t="inlineStr">
        <is>
          <t>SYMBICORT 80-4.5MCG/ACT AEROSOL</t>
        </is>
      </c>
      <c r="C80" s="34" t="n">
        <v>10.2</v>
      </c>
      <c r="D80" s="36" t="n">
        <v>0</v>
      </c>
      <c r="E80" s="36" t="n">
        <v>0</v>
      </c>
      <c r="F80" s="36" t="n">
        <v>0</v>
      </c>
      <c r="G80" s="36" t="n">
        <v>0</v>
      </c>
      <c r="H80" s="36" t="n">
        <v>0</v>
      </c>
      <c r="I80" s="36" t="n">
        <v>-6</v>
      </c>
      <c r="J80" s="36" t="n">
        <v>-1</v>
      </c>
      <c r="K80" s="36" t="n">
        <v>0</v>
      </c>
      <c r="L80" s="36" t="n">
        <v>0</v>
      </c>
      <c r="M80" s="37" t="n">
        <v>6</v>
      </c>
      <c r="N80" s="38" t="inlineStr">
        <is>
          <t> </t>
        </is>
      </c>
      <c r="O80" s="39" t="n">
        <v>0</v>
      </c>
      <c r="P80" s="40" t="n">
        <v>0</v>
      </c>
      <c r="Q80" s="41" t="n"/>
      <c r="R80" s="41" t="n"/>
    </row>
    <row r="81" ht="20" customHeight="1">
      <c r="A81" s="34" t="inlineStr">
        <is>
          <t>00597029588</t>
        </is>
      </c>
      <c r="B81" s="35" t="inlineStr">
        <is>
          <t>SYNJARDY XR 25-1000MG TABLET</t>
        </is>
      </c>
      <c r="C81" s="34" t="n">
        <v>30</v>
      </c>
      <c r="D81" s="36" t="n">
        <v>0</v>
      </c>
      <c r="E81" s="36" t="n">
        <v>-1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0</v>
      </c>
      <c r="K81" s="36" t="n">
        <v>0</v>
      </c>
      <c r="L81" s="36" t="n">
        <v>0</v>
      </c>
      <c r="M81" s="37" t="n">
        <v>1</v>
      </c>
      <c r="N81" s="38" t="inlineStr">
        <is>
          <t> </t>
        </is>
      </c>
      <c r="O81" s="39" t="n">
        <v>0</v>
      </c>
      <c r="P81" s="40" t="n">
        <v>0</v>
      </c>
      <c r="Q81" s="41" t="n"/>
      <c r="R81" s="41" t="n"/>
    </row>
    <row r="82" ht="20" customHeight="1">
      <c r="A82" s="34" t="inlineStr">
        <is>
          <t>00024586903</t>
        </is>
      </c>
      <c r="B82" s="35" t="inlineStr">
        <is>
          <t>TOUJEO SOLOSTAR 300UNIT/ML INJECTION</t>
        </is>
      </c>
      <c r="C82" s="34" t="n">
        <v>4.5</v>
      </c>
      <c r="D82" s="36" t="n">
        <v>0</v>
      </c>
      <c r="E82" s="36" t="n">
        <v>-1</v>
      </c>
      <c r="F82" s="36" t="n">
        <v>0</v>
      </c>
      <c r="G82" s="36" t="n">
        <v>0</v>
      </c>
      <c r="H82" s="36" t="n">
        <v>0</v>
      </c>
      <c r="I82" s="36" t="n">
        <v>0</v>
      </c>
      <c r="J82" s="36" t="n">
        <v>0</v>
      </c>
      <c r="K82" s="36" t="n">
        <v>0</v>
      </c>
      <c r="L82" s="36" t="n">
        <v>0</v>
      </c>
      <c r="M82" s="37" t="n">
        <v>1</v>
      </c>
      <c r="N82" s="38" t="inlineStr">
        <is>
          <t> </t>
        </is>
      </c>
      <c r="O82" s="39" t="n">
        <v>0</v>
      </c>
      <c r="P82" s="40" t="n">
        <v>0</v>
      </c>
      <c r="Q82" s="41" t="n"/>
      <c r="R82" s="41" t="n"/>
    </row>
    <row r="83" ht="20" customHeight="1">
      <c r="A83" s="34" t="inlineStr">
        <is>
          <t>00169266015</t>
        </is>
      </c>
      <c r="B83" s="35" t="inlineStr">
        <is>
          <t>TRESIBA FLEXTOUCH 100UNIT/ML INJECTION</t>
        </is>
      </c>
      <c r="C83" s="34" t="n">
        <v>15</v>
      </c>
      <c r="D83" s="36" t="n">
        <v>0</v>
      </c>
      <c r="E83" s="36" t="n">
        <v>-2.6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7" t="n">
        <v>2.6</v>
      </c>
      <c r="N83" s="38" t="inlineStr">
        <is>
          <t> </t>
        </is>
      </c>
      <c r="O83" s="39" t="n">
        <v>0</v>
      </c>
      <c r="P83" s="40" t="n">
        <v>0</v>
      </c>
      <c r="Q83" s="41" t="n"/>
      <c r="R83" s="41" t="n"/>
    </row>
    <row r="84" ht="20" customHeight="1">
      <c r="A84" s="34" t="inlineStr">
        <is>
          <t>00002223680</t>
        </is>
      </c>
      <c r="B84" s="35" t="inlineStr">
        <is>
          <t>TRULICITY 3MG/0.5ML INJECTION</t>
        </is>
      </c>
      <c r="C84" s="34" t="n">
        <v>2</v>
      </c>
      <c r="D84" s="36" t="n">
        <v>9</v>
      </c>
      <c r="E84" s="36" t="n">
        <v>-3</v>
      </c>
      <c r="F84" s="36" t="n">
        <v>9</v>
      </c>
      <c r="G84" s="36" t="n">
        <v>9</v>
      </c>
      <c r="H84" s="36" t="n">
        <v>9</v>
      </c>
      <c r="I84" s="36" t="n">
        <v>9</v>
      </c>
      <c r="J84" s="36" t="n">
        <v>9</v>
      </c>
      <c r="K84" s="36" t="n">
        <v>9</v>
      </c>
      <c r="L84" s="36" t="n">
        <v>9</v>
      </c>
      <c r="M84" s="37" t="n">
        <v>3</v>
      </c>
      <c r="N84" s="38" t="inlineStr">
        <is>
          <t> </t>
        </is>
      </c>
      <c r="O84" s="39" t="n">
        <v>979</v>
      </c>
      <c r="P84" s="40" t="n">
        <v>2937</v>
      </c>
      <c r="Q84" s="41" t="n"/>
      <c r="R84" s="41" t="n"/>
    </row>
    <row r="85" ht="20" customHeight="1">
      <c r="A85" s="34" t="inlineStr">
        <is>
          <t>00023649810</t>
        </is>
      </c>
      <c r="B85" s="35" t="inlineStr">
        <is>
          <t>UBRELVY 50 MG ORAL TABLET</t>
        </is>
      </c>
      <c r="C85" s="34" t="n">
        <v>10</v>
      </c>
      <c r="D85" s="36" t="n">
        <v>1</v>
      </c>
      <c r="E85" s="36" t="n">
        <v>-3</v>
      </c>
      <c r="F85" s="36" t="n">
        <v>1</v>
      </c>
      <c r="G85" s="36" t="n">
        <v>1</v>
      </c>
      <c r="H85" s="36" t="n">
        <v>1</v>
      </c>
      <c r="I85" s="36" t="n">
        <v>0</v>
      </c>
      <c r="J85" s="36" t="n">
        <v>1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1099</v>
      </c>
      <c r="P85" s="40" t="n">
        <v>3297</v>
      </c>
      <c r="Q85" s="41" t="n"/>
      <c r="R85" s="41" t="n"/>
    </row>
    <row r="86" ht="20" customHeight="1">
      <c r="A86" s="34" t="inlineStr">
        <is>
          <t>52937000340</t>
        </is>
      </c>
      <c r="B86" s="35" t="inlineStr">
        <is>
          <t>VASCEPA 0.5 GM ORAL CAPSULE</t>
        </is>
      </c>
      <c r="C86" s="34" t="n">
        <v>240</v>
      </c>
      <c r="D86" s="36" t="n">
        <v>0</v>
      </c>
      <c r="E86" s="36" t="n">
        <v>-0.75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0</v>
      </c>
      <c r="K86" s="36" t="n">
        <v>0</v>
      </c>
      <c r="L86" s="36" t="n">
        <v>0</v>
      </c>
      <c r="M86" s="37" t="n">
        <v>0.75</v>
      </c>
      <c r="N86" s="38" t="inlineStr">
        <is>
          <t> </t>
        </is>
      </c>
      <c r="O86" s="39" t="n">
        <v>0</v>
      </c>
      <c r="P86" s="40" t="n">
        <v>0</v>
      </c>
      <c r="Q86" s="41" t="n"/>
      <c r="R86" s="41" t="n"/>
    </row>
    <row r="87" ht="20" customHeight="1">
      <c r="A87" s="34" t="inlineStr">
        <is>
          <t>00173068220</t>
        </is>
      </c>
      <c r="B87" s="35" t="inlineStr">
        <is>
          <t xml:space="preserve">VENTOLIN HFA 108 (90 BASE) </t>
        </is>
      </c>
      <c r="C87" s="34" t="n">
        <v>18</v>
      </c>
      <c r="D87" s="36" t="n">
        <v>0</v>
      </c>
      <c r="E87" s="36" t="n">
        <v>-3</v>
      </c>
      <c r="F87" s="36" t="n">
        <v>0</v>
      </c>
      <c r="G87" s="36" t="n">
        <v>0</v>
      </c>
      <c r="H87" s="36" t="n">
        <v>0</v>
      </c>
      <c r="I87" s="36" t="n">
        <v>-1</v>
      </c>
      <c r="J87" s="36" t="n">
        <v>0</v>
      </c>
      <c r="K87" s="36" t="n">
        <v>0</v>
      </c>
      <c r="L87" s="36" t="n">
        <v>0</v>
      </c>
      <c r="M87" s="37" t="n">
        <v>3</v>
      </c>
      <c r="N87" s="38" t="inlineStr">
        <is>
          <t> </t>
        </is>
      </c>
      <c r="O87" s="39" t="n">
        <v>0</v>
      </c>
      <c r="P87" s="40" t="n">
        <v>0</v>
      </c>
      <c r="Q87" s="41" t="n"/>
      <c r="R87" s="41" t="n"/>
    </row>
    <row r="88" ht="20" customHeight="1">
      <c r="A88" s="34" t="inlineStr">
        <is>
          <t>00469266030</t>
        </is>
      </c>
      <c r="B88" s="35" t="inlineStr">
        <is>
          <t>VEOZAH 45 MG ORAL TABLET</t>
        </is>
      </c>
      <c r="C88" s="34" t="n">
        <v>30</v>
      </c>
      <c r="D88" s="36" t="n">
        <v>0</v>
      </c>
      <c r="E88" s="36" t="n">
        <v>-1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0</v>
      </c>
      <c r="K88" s="36" t="n">
        <v>0</v>
      </c>
      <c r="L88" s="36" t="n">
        <v>0</v>
      </c>
      <c r="M88" s="37" t="n">
        <v>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61874013030</t>
        </is>
      </c>
      <c r="B89" s="35" t="inlineStr">
        <is>
          <t>VRAYLAR 3MG CAPSULE</t>
        </is>
      </c>
      <c r="C89" s="34" t="n">
        <v>30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1462</v>
      </c>
      <c r="P89" s="40" t="n">
        <v>1462</v>
      </c>
      <c r="Q89" s="41" t="n"/>
      <c r="R89" s="41" t="n"/>
    </row>
    <row r="90" ht="20" customHeight="1">
      <c r="A90" s="34" t="inlineStr">
        <is>
          <t>24208050402</t>
        </is>
      </c>
      <c r="B90" s="35" t="inlineStr">
        <is>
          <t>VYZULTA 0.024 % OPHTHALMIC SOLUTION</t>
        </is>
      </c>
      <c r="C90" s="34" t="n">
        <v>2.5</v>
      </c>
      <c r="D90" s="36" t="n">
        <v>0</v>
      </c>
      <c r="E90" s="36" t="n">
        <v>-11</v>
      </c>
      <c r="F90" s="36" t="n">
        <v>0</v>
      </c>
      <c r="G90" s="36" t="n">
        <v>0</v>
      </c>
      <c r="H90" s="36" t="n">
        <v>-2</v>
      </c>
      <c r="I90" s="36" t="n">
        <v>0</v>
      </c>
      <c r="J90" s="36" t="n">
        <v>-1</v>
      </c>
      <c r="K90" s="36" t="n">
        <v>0</v>
      </c>
      <c r="L90" s="36" t="n">
        <v>0</v>
      </c>
      <c r="M90" s="37" t="n">
        <v>11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00169451714</t>
        </is>
      </c>
      <c r="B91" s="35" t="inlineStr">
        <is>
          <t>WEGOVY 1.7 MG/0.75ML AUTO-INJECTOR</t>
        </is>
      </c>
      <c r="C91" s="34" t="n">
        <v>3</v>
      </c>
      <c r="D91" s="36" t="n">
        <v>1</v>
      </c>
      <c r="E91" s="36" t="n">
        <v>-2</v>
      </c>
      <c r="F91" s="36" t="n">
        <v>1</v>
      </c>
      <c r="G91" s="36" t="n">
        <v>1</v>
      </c>
      <c r="H91" s="36" t="n">
        <v>1</v>
      </c>
      <c r="I91" s="36" t="n">
        <v>1</v>
      </c>
      <c r="J91" s="36" t="n">
        <v>1</v>
      </c>
      <c r="K91" s="36" t="n">
        <v>1</v>
      </c>
      <c r="L91" s="36" t="n">
        <v>1</v>
      </c>
      <c r="M91" s="37" t="n">
        <v>2</v>
      </c>
      <c r="N91" s="38" t="inlineStr">
        <is>
          <t> </t>
        </is>
      </c>
      <c r="O91" s="39" t="n">
        <v>1312</v>
      </c>
      <c r="P91" s="40" t="n">
        <v>2624</v>
      </c>
      <c r="Q91" s="41" t="n"/>
      <c r="R91" s="41" t="n"/>
    </row>
    <row r="92" ht="20" customHeight="1">
      <c r="A92" s="34" t="inlineStr">
        <is>
          <t>00378932232</t>
        </is>
      </c>
      <c r="B92" s="35" t="inlineStr">
        <is>
          <t>WIXELA INHUB 500-50 MCG/ACT INH AEROSOL</t>
        </is>
      </c>
      <c r="C92" s="34" t="n">
        <v>60</v>
      </c>
      <c r="D92" s="36" t="n">
        <v>0</v>
      </c>
      <c r="E92" s="36" t="n">
        <v>-4</v>
      </c>
      <c r="F92" s="36" t="n">
        <v>0</v>
      </c>
      <c r="G92" s="36" t="n">
        <v>0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7" t="n">
        <v>4</v>
      </c>
      <c r="N92" s="38" t="inlineStr">
        <is>
          <t> </t>
        </is>
      </c>
      <c r="O92" s="39" t="n">
        <v>0</v>
      </c>
      <c r="P92" s="40" t="n">
        <v>0</v>
      </c>
      <c r="Q92" s="41" t="n"/>
      <c r="R92" s="41" t="n"/>
    </row>
    <row r="93" ht="20" customHeight="1">
      <c r="A93" s="34" t="inlineStr">
        <is>
          <t>50458057830</t>
        </is>
      </c>
      <c r="B93" s="35" t="inlineStr">
        <is>
          <t>XARELTO 15MG TAB</t>
        </is>
      </c>
      <c r="C93" s="34" t="n">
        <v>30</v>
      </c>
      <c r="D93" s="36" t="n">
        <v>5</v>
      </c>
      <c r="E93" s="36" t="n">
        <v>-1</v>
      </c>
      <c r="F93" s="36" t="n">
        <v>-1</v>
      </c>
      <c r="G93" s="36" t="n">
        <v>5</v>
      </c>
      <c r="H93" s="36" t="n">
        <v>5</v>
      </c>
      <c r="I93" s="36" t="n">
        <v>5</v>
      </c>
      <c r="J93" s="36" t="n">
        <v>5</v>
      </c>
      <c r="K93" s="36" t="n">
        <v>5</v>
      </c>
      <c r="L93" s="36" t="n">
        <v>5</v>
      </c>
      <c r="M93" s="37" t="n">
        <v>1</v>
      </c>
      <c r="N93" s="38" t="inlineStr">
        <is>
          <t> </t>
        </is>
      </c>
      <c r="O93" s="39" t="n">
        <v>577</v>
      </c>
      <c r="P93" s="40" t="n">
        <v>577</v>
      </c>
      <c r="Q93" s="41" t="n"/>
      <c r="R93" s="41" t="n"/>
    </row>
    <row r="94" ht="20" customHeight="1">
      <c r="A94" s="34" t="inlineStr">
        <is>
          <t>50458057760</t>
        </is>
      </c>
      <c r="B94" s="35" t="inlineStr">
        <is>
          <t>XARELTO 2.5 MG TABLET</t>
        </is>
      </c>
      <c r="C94" s="34" t="n">
        <v>60</v>
      </c>
      <c r="D94" s="36" t="n">
        <v>1</v>
      </c>
      <c r="E94" s="36" t="n">
        <v>1</v>
      </c>
      <c r="F94" s="36" t="n">
        <v>-2</v>
      </c>
      <c r="G94" s="36" t="n">
        <v>1</v>
      </c>
      <c r="H94" s="36" t="n">
        <v>1</v>
      </c>
      <c r="I94" s="36" t="n">
        <v>1</v>
      </c>
      <c r="J94" s="36" t="n">
        <v>1</v>
      </c>
      <c r="K94" s="36" t="n">
        <v>1</v>
      </c>
      <c r="L94" s="36" t="n">
        <v>1</v>
      </c>
      <c r="M94" s="37" t="n">
        <v>2</v>
      </c>
      <c r="N94" s="38" t="inlineStr">
        <is>
          <t> </t>
        </is>
      </c>
      <c r="O94" s="39" t="n">
        <v>577</v>
      </c>
      <c r="P94" s="40" t="n">
        <v>1154</v>
      </c>
      <c r="Q94" s="41" t="n"/>
      <c r="R94" s="41" t="n"/>
    </row>
    <row r="95" ht="20" customHeight="1">
      <c r="A95" s="34" t="inlineStr">
        <is>
          <t>71143037501</t>
        </is>
      </c>
      <c r="B95" s="35" t="inlineStr">
        <is>
          <t>XHANCE 93 MCG/ACT NASAL EXHALER SUSPENSION</t>
        </is>
      </c>
      <c r="C95" s="34" t="n">
        <v>16</v>
      </c>
      <c r="D95" s="36" t="n">
        <v>1</v>
      </c>
      <c r="E95" s="36" t="n">
        <v>1</v>
      </c>
      <c r="F95" s="36" t="n">
        <v>1</v>
      </c>
      <c r="G95" s="36" t="n">
        <v>1</v>
      </c>
      <c r="H95" s="36" t="n">
        <v>1</v>
      </c>
      <c r="I95" s="36" t="n">
        <v>-3</v>
      </c>
      <c r="J95" s="36" t="n">
        <v>1</v>
      </c>
      <c r="K95" s="36" t="n">
        <v>1</v>
      </c>
      <c r="L95" s="36" t="n">
        <v>1</v>
      </c>
      <c r="M95" s="37" t="n">
        <v>3</v>
      </c>
      <c r="N95" s="38" t="inlineStr">
        <is>
          <t> </t>
        </is>
      </c>
      <c r="O95" s="39" t="n">
        <v>632</v>
      </c>
      <c r="P95" s="40" t="n">
        <v>1896</v>
      </c>
      <c r="Q95" s="41" t="n"/>
      <c r="R95" s="41" t="n"/>
    </row>
    <row r="96" ht="20" customHeight="1">
      <c r="A96" s="34" t="inlineStr">
        <is>
          <t>00310625030</t>
        </is>
      </c>
      <c r="B96" s="35" t="inlineStr">
        <is>
          <t>XIGDUO XR 5-500MG TABLET EXTENDED RELEASE</t>
        </is>
      </c>
      <c r="C96" s="34" t="n">
        <v>30</v>
      </c>
      <c r="D96" s="36" t="n">
        <v>2</v>
      </c>
      <c r="E96" s="36" t="n">
        <v>-4</v>
      </c>
      <c r="F96" s="36" t="n">
        <v>2</v>
      </c>
      <c r="G96" s="36" t="n">
        <v>2</v>
      </c>
      <c r="H96" s="36" t="n">
        <v>2</v>
      </c>
      <c r="I96" s="36" t="n">
        <v>2</v>
      </c>
      <c r="J96" s="36" t="n">
        <v>2</v>
      </c>
      <c r="K96" s="36" t="n">
        <v>2</v>
      </c>
      <c r="L96" s="36" t="n">
        <v>2</v>
      </c>
      <c r="M96" s="37" t="n">
        <v>4</v>
      </c>
      <c r="N96" s="38" t="inlineStr">
        <is>
          <t> </t>
        </is>
      </c>
      <c r="O96" s="39" t="n">
        <v>579</v>
      </c>
      <c r="P96" s="40" t="n">
        <v>2316</v>
      </c>
      <c r="Q96" s="41" t="n"/>
      <c r="R96" s="41" t="n"/>
    </row>
    <row r="97" ht="20" customHeight="1">
      <c r="A97" s="34" t="inlineStr">
        <is>
          <t>65162035803</t>
        </is>
      </c>
      <c r="B97" s="35" t="inlineStr">
        <is>
          <t>ZAFEMY 150-35 MCG/24HR TRANSDERMAL PATCH WEEKLY</t>
        </is>
      </c>
      <c r="C97" s="34" t="n">
        <v>3</v>
      </c>
      <c r="D97" s="36" t="n">
        <v>1</v>
      </c>
      <c r="E97" s="36" t="n">
        <v>1</v>
      </c>
      <c r="F97" s="36" t="n">
        <v>1</v>
      </c>
      <c r="G97" s="36" t="n">
        <v>1</v>
      </c>
      <c r="H97" s="36" t="n">
        <v>1</v>
      </c>
      <c r="I97" s="36" t="n">
        <v>-2</v>
      </c>
      <c r="J97" s="36" t="n">
        <v>1</v>
      </c>
      <c r="K97" s="36" t="n">
        <v>1</v>
      </c>
      <c r="L97" s="36" t="n">
        <v>1</v>
      </c>
      <c r="M97" s="37" t="n">
        <v>2</v>
      </c>
      <c r="N97" s="38" t="inlineStr">
        <is>
          <t> </t>
        </is>
      </c>
      <c r="O97" s="39" t="n">
        <v>71</v>
      </c>
      <c r="P97" s="40" t="n">
        <v>142</v>
      </c>
      <c r="Q97" s="41" t="n"/>
      <c r="R97" s="41" t="n"/>
    </row>
    <row r="98" ht="20" customHeight="1">
      <c r="A98" s="34" t="inlineStr">
        <is>
          <t>73562011401</t>
        </is>
      </c>
      <c r="B98" s="35" t="inlineStr">
        <is>
          <t>ZENPEP 40000-126000U CAPSULE DR</t>
        </is>
      </c>
      <c r="C98" s="34" t="n">
        <v>100</v>
      </c>
      <c r="D98" s="36" t="n">
        <v>3</v>
      </c>
      <c r="E98" s="36" t="n">
        <v>-0.6</v>
      </c>
      <c r="F98" s="36" t="n">
        <v>3</v>
      </c>
      <c r="G98" s="36" t="n">
        <v>3</v>
      </c>
      <c r="H98" s="36" t="n">
        <v>3</v>
      </c>
      <c r="I98" s="36" t="n">
        <v>3</v>
      </c>
      <c r="J98" s="36" t="n">
        <v>3</v>
      </c>
      <c r="K98" s="36" t="n">
        <v>3</v>
      </c>
      <c r="L98" s="36" t="n">
        <v>3</v>
      </c>
      <c r="M98" s="37" t="n">
        <v>0.6</v>
      </c>
      <c r="N98" s="38" t="inlineStr">
        <is>
          <t> </t>
        </is>
      </c>
      <c r="O98" s="39" t="n">
        <v>1635</v>
      </c>
      <c r="P98" s="40" t="n">
        <v>981</v>
      </c>
      <c r="Q98" s="41" t="n"/>
      <c r="R98" s="41" t="n"/>
    </row>
    <row r="99" ht="20" customHeight="1">
      <c r="A99" s="34" t="inlineStr">
        <is>
          <t>80610013060</t>
        </is>
      </c>
      <c r="B99" s="35" t="inlineStr">
        <is>
          <t>ZORYVE 0.3 % EXTERNAL CREAM</t>
        </is>
      </c>
      <c r="C99" s="34" t="n">
        <v>60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-2</v>
      </c>
      <c r="J99" s="36" t="n">
        <v>1</v>
      </c>
      <c r="K99" s="36" t="n">
        <v>1</v>
      </c>
      <c r="L99" s="36" t="n">
        <v>1</v>
      </c>
      <c r="M99" s="37" t="n">
        <v>2</v>
      </c>
      <c r="N99" s="38" t="inlineStr">
        <is>
          <t> </t>
        </is>
      </c>
      <c r="O99" s="39" t="n">
        <v>932</v>
      </c>
      <c r="P99" s="40" t="n">
        <v>1864</v>
      </c>
      <c r="Q99" s="41" t="n"/>
      <c r="R99" s="41" t="n"/>
    </row>
    <row r="100" ht="20" customHeight="1">
      <c r="A100" s="34" t="inlineStr">
        <is>
          <t>80610043060</t>
        </is>
      </c>
      <c r="B100" s="35" t="inlineStr">
        <is>
          <t>ZORYVE 0.3 % EXTERNAL FOAM</t>
        </is>
      </c>
      <c r="C100" s="34" t="n">
        <v>60</v>
      </c>
      <c r="D100" s="36" t="n">
        <v>0</v>
      </c>
      <c r="E100" s="36" t="n">
        <v>-3</v>
      </c>
      <c r="F100" s="36" t="n">
        <v>0</v>
      </c>
      <c r="G100" s="36" t="n">
        <v>0</v>
      </c>
      <c r="H100" s="36" t="n">
        <v>0</v>
      </c>
      <c r="I100" s="36" t="n">
        <v>-1</v>
      </c>
      <c r="J100" s="36" t="n">
        <v>0</v>
      </c>
      <c r="K100" s="36" t="n">
        <v>0</v>
      </c>
      <c r="L100" s="36" t="n">
        <v>0</v>
      </c>
      <c r="M100" s="37" t="n">
        <v>3</v>
      </c>
      <c r="N100" s="38" t="inlineStr">
        <is>
          <t> </t>
        </is>
      </c>
      <c r="O100" s="39" t="n">
        <v>0</v>
      </c>
      <c r="P100" s="40" t="n">
        <v>0</v>
      </c>
      <c r="Q100" s="41" t="n"/>
      <c r="R100" s="41" t="n"/>
    </row>
    <row r="101" ht="20" customHeight="1">
      <c r="A101" s="34" t="inlineStr">
        <is>
          <t>69557011130</t>
        </is>
      </c>
      <c r="B101" s="35" t="inlineStr">
        <is>
          <t>ZTLIDO 1.8 % EXTERNAL PATCH</t>
        </is>
      </c>
      <c r="C101" s="34" t="n">
        <v>30</v>
      </c>
      <c r="D101" s="36" t="n">
        <v>4</v>
      </c>
      <c r="E101" s="36" t="n">
        <v>-2</v>
      </c>
      <c r="F101" s="36" t="n">
        <v>4</v>
      </c>
      <c r="G101" s="36" t="n">
        <v>4</v>
      </c>
      <c r="H101" s="36" t="n">
        <v>4</v>
      </c>
      <c r="I101" s="36" t="n">
        <v>4</v>
      </c>
      <c r="J101" s="36" t="n">
        <v>4</v>
      </c>
      <c r="K101" s="36" t="n">
        <v>4</v>
      </c>
      <c r="L101" s="36" t="n">
        <v>4</v>
      </c>
      <c r="M101" s="37" t="n">
        <v>2</v>
      </c>
      <c r="N101" s="38" t="inlineStr">
        <is>
          <t> </t>
        </is>
      </c>
      <c r="O101" s="39" t="n">
        <v>372</v>
      </c>
      <c r="P101" s="40" t="n">
        <v>744</v>
      </c>
      <c r="Q101" s="41" t="n"/>
      <c r="R101" s="41" t="n"/>
    </row>
    <row r="102" ht="20" customHeight="1"/>
    <row r="103" ht="20" customHeight="1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3" t="inlineStr">
        <is>
          <t>Grand Total</t>
        </is>
      </c>
      <c r="P103" s="43">
        <f>SUBTOTAL(109,P3:P101)</f>
        <v/>
      </c>
    </row>
  </sheetData>
  <autoFilter ref="A2:P101"/>
  <mergeCells count="1">
    <mergeCell ref="A1:P1"/>
  </mergeCells>
  <conditionalFormatting sqref="D3:D101">
    <cfRule type="cellIs" priority="1" operator="lessThan" dxfId="3" stopIfTrue="0">
      <formula>0</formula>
    </cfRule>
  </conditionalFormatting>
  <conditionalFormatting sqref="E3:E101">
    <cfRule type="cellIs" priority="2" operator="lessThan" dxfId="3" stopIfTrue="0">
      <formula>0</formula>
    </cfRule>
  </conditionalFormatting>
  <conditionalFormatting sqref="F3:F101">
    <cfRule type="cellIs" priority="3" operator="lessThan" dxfId="3" stopIfTrue="0">
      <formula>0</formula>
    </cfRule>
  </conditionalFormatting>
  <conditionalFormatting sqref="G3:G101">
    <cfRule type="cellIs" priority="4" operator="lessThan" dxfId="3" stopIfTrue="0">
      <formula>0</formula>
    </cfRule>
  </conditionalFormatting>
  <conditionalFormatting sqref="H3:H101">
    <cfRule type="cellIs" priority="5" operator="lessThan" dxfId="3" stopIfTrue="0">
      <formula>0</formula>
    </cfRule>
  </conditionalFormatting>
  <conditionalFormatting sqref="I3:I101">
    <cfRule type="cellIs" priority="6" operator="lessThan" dxfId="3" stopIfTrue="0">
      <formula>0</formula>
    </cfRule>
  </conditionalFormatting>
  <conditionalFormatting sqref="J3:J101">
    <cfRule type="cellIs" priority="7" operator="lessThan" dxfId="3" stopIfTrue="0">
      <formula>0</formula>
    </cfRule>
  </conditionalFormatting>
  <conditionalFormatting sqref="K3:K101">
    <cfRule type="cellIs" priority="8" operator="lessThan" dxfId="3" stopIfTrue="0">
      <formula>0</formula>
    </cfRule>
  </conditionalFormatting>
  <conditionalFormatting sqref="L3:L101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Hil (hh)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2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2</v>
      </c>
      <c r="N3" s="48" t="inlineStr">
        <is>
          <t> </t>
        </is>
      </c>
    </row>
    <row r="4" ht="20" customHeight="1">
      <c r="A4" s="45" t="inlineStr">
        <is>
          <t>00310908012</t>
        </is>
      </c>
      <c r="B4" s="46" t="inlineStr">
        <is>
          <t>AIRSUPRA 90-80 MCG/ACT INHALATION AEROSOL</t>
        </is>
      </c>
      <c r="C4" s="45" t="n">
        <v>10.7</v>
      </c>
      <c r="D4" s="47" t="n">
        <v>4</v>
      </c>
      <c r="E4" s="47" t="n">
        <v>1</v>
      </c>
      <c r="F4" s="47" t="n">
        <v>3</v>
      </c>
      <c r="G4" s="47" t="n">
        <v>4</v>
      </c>
      <c r="H4" s="47" t="n">
        <v>4</v>
      </c>
      <c r="I4" s="47" t="n">
        <v>1</v>
      </c>
      <c r="J4" s="47" t="n">
        <v>4</v>
      </c>
      <c r="K4" s="47" t="n">
        <v>4</v>
      </c>
      <c r="L4" s="47" t="n">
        <v>4</v>
      </c>
      <c r="M4" s="45" t="n">
        <v>1</v>
      </c>
      <c r="N4" s="48" t="inlineStr">
        <is>
          <t> </t>
        </is>
      </c>
    </row>
    <row r="5" ht="20" customHeight="1">
      <c r="A5" s="45" t="inlineStr">
        <is>
          <t>00173086910</t>
        </is>
      </c>
      <c r="B5" s="46" t="inlineStr">
        <is>
          <t>ANORO ELLIPTA 62.5-25MCG/INH AEROSOL 60EA</t>
        </is>
      </c>
      <c r="C5" s="45" t="n">
        <v>60</v>
      </c>
      <c r="D5" s="47" t="n">
        <v>3</v>
      </c>
      <c r="E5" s="47" t="n">
        <v>1</v>
      </c>
      <c r="F5" s="47" t="n">
        <v>3</v>
      </c>
      <c r="G5" s="47" t="n">
        <v>3</v>
      </c>
      <c r="H5" s="47" t="n">
        <v>3</v>
      </c>
      <c r="I5" s="47" t="n">
        <v>3</v>
      </c>
      <c r="J5" s="47" t="n">
        <v>3</v>
      </c>
      <c r="K5" s="47" t="n">
        <v>3</v>
      </c>
      <c r="L5" s="47" t="n">
        <v>3</v>
      </c>
      <c r="M5" s="45" t="n">
        <v>1</v>
      </c>
      <c r="N5" s="48" t="inlineStr">
        <is>
          <t> </t>
        </is>
      </c>
    </row>
    <row r="6" ht="20" customHeight="1">
      <c r="A6" s="45" t="inlineStr">
        <is>
          <t>58160084811</t>
        </is>
      </c>
      <c r="B6" s="46" t="inlineStr">
        <is>
          <t>AREXVY 120 MCG/0.5ML INTRAMUSCULAR SUSPENSION RECONSTITUTED</t>
        </is>
      </c>
      <c r="C6" s="45" t="n">
        <v>10</v>
      </c>
      <c r="D6" s="47" t="n">
        <v>1</v>
      </c>
      <c r="E6" s="47" t="n">
        <v>0.8</v>
      </c>
      <c r="F6" s="47" t="n">
        <v>1</v>
      </c>
      <c r="G6" s="47" t="n">
        <v>1</v>
      </c>
      <c r="H6" s="47" t="n">
        <v>1</v>
      </c>
      <c r="I6" s="47" t="n">
        <v>1</v>
      </c>
      <c r="J6" s="47" t="n">
        <v>1</v>
      </c>
      <c r="K6" s="47" t="n">
        <v>1</v>
      </c>
      <c r="L6" s="47" t="n">
        <v>1</v>
      </c>
      <c r="M6" s="45" t="n">
        <v>0.8</v>
      </c>
      <c r="N6" s="48" t="inlineStr">
        <is>
          <t> </t>
        </is>
      </c>
    </row>
    <row r="7" ht="20" customHeight="1">
      <c r="A7" s="45" t="inlineStr">
        <is>
          <t>00002771559</t>
        </is>
      </c>
      <c r="B7" s="46" t="inlineStr">
        <is>
          <t>BASAGLAR KWIKPEN 100UNIT/ML INJECTION</t>
        </is>
      </c>
      <c r="C7" s="45" t="n">
        <v>15</v>
      </c>
      <c r="D7" s="47" t="n">
        <v>45</v>
      </c>
      <c r="E7" s="47" t="n">
        <v>9.4</v>
      </c>
      <c r="F7" s="47" t="n">
        <v>43.2</v>
      </c>
      <c r="G7" s="47" t="n">
        <v>45</v>
      </c>
      <c r="H7" s="47" t="n">
        <v>45</v>
      </c>
      <c r="I7" s="47" t="n">
        <v>43.8</v>
      </c>
      <c r="J7" s="47" t="n">
        <v>45</v>
      </c>
      <c r="K7" s="47" t="n">
        <v>45</v>
      </c>
      <c r="L7" s="47" t="n">
        <v>45</v>
      </c>
      <c r="M7" s="45" t="n">
        <v>9.4</v>
      </c>
      <c r="N7" s="48" t="inlineStr">
        <is>
          <t> </t>
        </is>
      </c>
    </row>
    <row r="8" ht="20" customHeight="1">
      <c r="A8" s="45" t="inlineStr">
        <is>
          <t>61958250101</t>
        </is>
      </c>
      <c r="B8" s="46" t="inlineStr">
        <is>
          <t>BIKTARVY 50-200-25MG TABLET</t>
        </is>
      </c>
      <c r="C8" s="45" t="n">
        <v>30</v>
      </c>
      <c r="D8" s="47" t="n">
        <v>7</v>
      </c>
      <c r="E8" s="47" t="n">
        <v>7</v>
      </c>
      <c r="F8" s="47" t="n">
        <v>6</v>
      </c>
      <c r="G8" s="47" t="n">
        <v>7</v>
      </c>
      <c r="H8" s="47" t="n">
        <v>5</v>
      </c>
      <c r="I8" s="47" t="n">
        <v>3</v>
      </c>
      <c r="J8" s="47" t="n">
        <v>7</v>
      </c>
      <c r="K8" s="47" t="n">
        <v>7</v>
      </c>
      <c r="L8" s="47" t="n">
        <v>4</v>
      </c>
      <c r="M8" s="45" t="n">
        <v>3</v>
      </c>
      <c r="N8" s="48" t="inlineStr">
        <is>
          <t> </t>
        </is>
      </c>
    </row>
    <row r="9" ht="20" customHeight="1">
      <c r="A9" s="45" t="inlineStr">
        <is>
          <t>00173088210</t>
        </is>
      </c>
      <c r="B9" s="46" t="inlineStr">
        <is>
          <t>BREO ELLIPTA 200-25MCG/INH AEROSOL 60EA</t>
        </is>
      </c>
      <c r="C9" s="45" t="n">
        <v>60</v>
      </c>
      <c r="D9" s="47" t="n">
        <v>10</v>
      </c>
      <c r="E9" s="47" t="n">
        <v>8</v>
      </c>
      <c r="F9" s="47" t="n">
        <v>10</v>
      </c>
      <c r="G9" s="47" t="n">
        <v>10</v>
      </c>
      <c r="H9" s="47" t="n">
        <v>10</v>
      </c>
      <c r="I9" s="47" t="n">
        <v>10</v>
      </c>
      <c r="J9" s="47" t="n">
        <v>10</v>
      </c>
      <c r="K9" s="47" t="n">
        <v>10</v>
      </c>
      <c r="L9" s="47" t="n">
        <v>10</v>
      </c>
      <c r="M9" s="45" t="n">
        <v>8</v>
      </c>
      <c r="N9" s="48" t="inlineStr">
        <is>
          <t> </t>
        </is>
      </c>
    </row>
    <row r="10" ht="20" customHeight="1">
      <c r="A10" s="45" t="inlineStr">
        <is>
          <t>00310461612</t>
        </is>
      </c>
      <c r="B10" s="46" t="inlineStr">
        <is>
          <t>BREZTRI AEROSPHERE 160-9-4.8 MCG/ACT INHALATION AEROSOL</t>
        </is>
      </c>
      <c r="C10" s="45" t="n">
        <v>10.7</v>
      </c>
      <c r="D10" s="47" t="n">
        <v>8</v>
      </c>
      <c r="E10" s="47" t="n">
        <v>1</v>
      </c>
      <c r="F10" s="47" t="n">
        <v>5</v>
      </c>
      <c r="G10" s="47" t="n">
        <v>8</v>
      </c>
      <c r="H10" s="47" t="n">
        <v>7</v>
      </c>
      <c r="I10" s="47" t="n">
        <v>5</v>
      </c>
      <c r="J10" s="47" t="n">
        <v>5</v>
      </c>
      <c r="K10" s="47" t="n">
        <v>8</v>
      </c>
      <c r="L10" s="47" t="n">
        <v>8</v>
      </c>
      <c r="M10" s="45" t="n">
        <v>1</v>
      </c>
      <c r="N10" s="48" t="inlineStr">
        <is>
          <t> </t>
        </is>
      </c>
    </row>
    <row r="11" ht="20" customHeight="1">
      <c r="A11" s="45" t="inlineStr">
        <is>
          <t>00032263601</t>
        </is>
      </c>
      <c r="B11" s="46" t="inlineStr">
        <is>
          <t>CREON 24000-76000 UNIT CAPSULE DR</t>
        </is>
      </c>
      <c r="C11" s="45" t="n">
        <v>100</v>
      </c>
      <c r="D11" s="47" t="n">
        <v>3</v>
      </c>
      <c r="E11" s="47" t="n">
        <v>0.3</v>
      </c>
      <c r="F11" s="47" t="n">
        <v>3</v>
      </c>
      <c r="G11" s="47" t="n">
        <v>3</v>
      </c>
      <c r="H11" s="47" t="n">
        <v>3</v>
      </c>
      <c r="I11" s="47" t="n">
        <v>3</v>
      </c>
      <c r="J11" s="47" t="n">
        <v>3</v>
      </c>
      <c r="K11" s="47" t="n">
        <v>3</v>
      </c>
      <c r="L11" s="47" t="n">
        <v>3</v>
      </c>
      <c r="M11" s="45" t="n">
        <v>0.3</v>
      </c>
      <c r="N11" s="48" t="inlineStr">
        <is>
          <t> </t>
        </is>
      </c>
    </row>
    <row r="12" ht="20" customHeight="1">
      <c r="A12" s="45" t="inlineStr">
        <is>
          <t>00032301613</t>
        </is>
      </c>
      <c r="B12" s="46" t="inlineStr">
        <is>
          <t>CREON 36000UNIT CAPSULE</t>
        </is>
      </c>
      <c r="C12" s="45" t="n">
        <v>100</v>
      </c>
      <c r="D12" s="47" t="n">
        <v>3</v>
      </c>
      <c r="E12" s="47" t="n">
        <v>0.3</v>
      </c>
      <c r="F12" s="47" t="n">
        <v>3</v>
      </c>
      <c r="G12" s="47" t="n">
        <v>3</v>
      </c>
      <c r="H12" s="47" t="n">
        <v>3</v>
      </c>
      <c r="I12" s="47" t="n">
        <v>3</v>
      </c>
      <c r="J12" s="47" t="n">
        <v>3</v>
      </c>
      <c r="K12" s="47" t="n">
        <v>3</v>
      </c>
      <c r="L12" s="47" t="n">
        <v>3</v>
      </c>
      <c r="M12" s="45" t="n">
        <v>0.3</v>
      </c>
      <c r="N12" s="48" t="inlineStr">
        <is>
          <t> </t>
        </is>
      </c>
    </row>
    <row r="13" ht="20" customHeight="1">
      <c r="A13" s="45" t="inlineStr">
        <is>
          <t>00074732713</t>
        </is>
      </c>
      <c r="B13" s="46" t="inlineStr">
        <is>
          <t>DEPAKOTE 500MG TABLET DELAYED RELEASE</t>
        </is>
      </c>
      <c r="C13" s="45" t="n">
        <v>100</v>
      </c>
      <c r="D13" s="47" t="n">
        <v>2</v>
      </c>
      <c r="E13" s="47" t="n">
        <v>2</v>
      </c>
      <c r="F13" s="47" t="n">
        <v>2</v>
      </c>
      <c r="G13" s="47" t="n">
        <v>2</v>
      </c>
      <c r="H13" s="47" t="n">
        <v>2</v>
      </c>
      <c r="I13" s="47" t="n">
        <v>0.2</v>
      </c>
      <c r="J13" s="47" t="n">
        <v>2</v>
      </c>
      <c r="K13" s="47" t="n">
        <v>2</v>
      </c>
      <c r="L13" s="47" t="n">
        <v>2</v>
      </c>
      <c r="M13" s="45" t="n">
        <v>0.2</v>
      </c>
      <c r="N13" s="48" t="inlineStr">
        <is>
          <t> </t>
        </is>
      </c>
    </row>
    <row r="14" ht="20" customHeight="1">
      <c r="A14" s="45" t="inlineStr">
        <is>
          <t>00074740113</t>
        </is>
      </c>
      <c r="B14" s="46" t="inlineStr">
        <is>
          <t>DEPAKOTE ER 250 MG TABLET</t>
        </is>
      </c>
      <c r="C14" s="45" t="n">
        <v>100</v>
      </c>
      <c r="D14" s="47" t="n">
        <v>2</v>
      </c>
      <c r="E14" s="47" t="n">
        <v>2</v>
      </c>
      <c r="F14" s="47" t="n">
        <v>2</v>
      </c>
      <c r="G14" s="47" t="n">
        <v>2</v>
      </c>
      <c r="H14" s="47" t="n">
        <v>2</v>
      </c>
      <c r="I14" s="47" t="n">
        <v>1.1</v>
      </c>
      <c r="J14" s="47" t="n">
        <v>2</v>
      </c>
      <c r="K14" s="47" t="n">
        <v>2</v>
      </c>
      <c r="L14" s="47" t="n">
        <v>2</v>
      </c>
      <c r="M14" s="45" t="n">
        <v>1.1</v>
      </c>
      <c r="N14" s="48" t="inlineStr">
        <is>
          <t> </t>
        </is>
      </c>
    </row>
    <row r="15" ht="20" customHeight="1">
      <c r="A15" s="45" t="inlineStr">
        <is>
          <t>08627007701</t>
        </is>
      </c>
      <c r="B15" s="46" t="inlineStr">
        <is>
          <t>DEXCOM G7 SENSOR</t>
        </is>
      </c>
      <c r="C15" s="45" t="n">
        <v>1</v>
      </c>
      <c r="D15" s="47" t="n">
        <v>32</v>
      </c>
      <c r="E15" s="47" t="n">
        <v>23</v>
      </c>
      <c r="F15" s="47" t="n">
        <v>23</v>
      </c>
      <c r="G15" s="47" t="n">
        <v>32</v>
      </c>
      <c r="H15" s="47" t="n">
        <v>32</v>
      </c>
      <c r="I15" s="47" t="n">
        <v>14</v>
      </c>
      <c r="J15" s="47" t="n">
        <v>23</v>
      </c>
      <c r="K15" s="47" t="n">
        <v>32</v>
      </c>
      <c r="L15" s="47" t="n">
        <v>32</v>
      </c>
      <c r="M15" s="45" t="n">
        <v>14</v>
      </c>
      <c r="N15" s="48" t="inlineStr">
        <is>
          <t> </t>
        </is>
      </c>
    </row>
    <row r="16" ht="20" customHeight="1">
      <c r="A16" s="45" t="inlineStr">
        <is>
          <t>49702024613</t>
        </is>
      </c>
      <c r="B16" s="46" t="inlineStr">
        <is>
          <t>DOVATO 50-300 MG ORAL TABLET</t>
        </is>
      </c>
      <c r="C16" s="45" t="n">
        <v>30</v>
      </c>
      <c r="D16" s="47" t="n">
        <v>3</v>
      </c>
      <c r="E16" s="47" t="n">
        <v>1</v>
      </c>
      <c r="F16" s="47" t="n">
        <v>3</v>
      </c>
      <c r="G16" s="47" t="n">
        <v>3</v>
      </c>
      <c r="H16" s="47" t="n">
        <v>2</v>
      </c>
      <c r="I16" s="47" t="n">
        <v>3</v>
      </c>
      <c r="J16" s="47" t="n">
        <v>3</v>
      </c>
      <c r="K16" s="47" t="n">
        <v>3</v>
      </c>
      <c r="L16" s="47" t="n">
        <v>3</v>
      </c>
      <c r="M16" s="45" t="n">
        <v>1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30</v>
      </c>
      <c r="E17" s="47" t="n">
        <v>14</v>
      </c>
      <c r="F17" s="47" t="n">
        <v>30</v>
      </c>
      <c r="G17" s="47" t="n">
        <v>30</v>
      </c>
      <c r="H17" s="47" t="n">
        <v>30</v>
      </c>
      <c r="I17" s="47" t="n">
        <v>24</v>
      </c>
      <c r="J17" s="47" t="n">
        <v>30</v>
      </c>
      <c r="K17" s="47" t="n">
        <v>30</v>
      </c>
      <c r="L17" s="47" t="n">
        <v>30</v>
      </c>
      <c r="M17" s="45" t="n">
        <v>14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50</v>
      </c>
      <c r="E18" s="47" t="n">
        <v>10</v>
      </c>
      <c r="F18" s="47" t="n">
        <v>43</v>
      </c>
      <c r="G18" s="47" t="n">
        <v>50</v>
      </c>
      <c r="H18" s="47" t="n">
        <v>38</v>
      </c>
      <c r="I18" s="47" t="n">
        <v>44</v>
      </c>
      <c r="J18" s="47" t="n">
        <v>48</v>
      </c>
      <c r="K18" s="47" t="n">
        <v>50</v>
      </c>
      <c r="L18" s="47" t="n">
        <v>50</v>
      </c>
      <c r="M18" s="45" t="n">
        <v>10</v>
      </c>
      <c r="N18" s="48" t="inlineStr">
        <is>
          <t> </t>
        </is>
      </c>
    </row>
    <row r="19" ht="20" customHeight="1">
      <c r="A19" s="45" t="inlineStr">
        <is>
          <t>00310620530</t>
        </is>
      </c>
      <c r="B19" s="46" t="inlineStr">
        <is>
          <t>FARXIGA 5MG TABLET</t>
        </is>
      </c>
      <c r="C19" s="45" t="n">
        <v>30</v>
      </c>
      <c r="D19" s="47" t="n">
        <v>13</v>
      </c>
      <c r="E19" s="47" t="n">
        <v>2</v>
      </c>
      <c r="F19" s="47" t="n">
        <v>13</v>
      </c>
      <c r="G19" s="47" t="n">
        <v>13</v>
      </c>
      <c r="H19" s="47" t="n">
        <v>13</v>
      </c>
      <c r="I19" s="47" t="n">
        <v>13</v>
      </c>
      <c r="J19" s="47" t="n">
        <v>13</v>
      </c>
      <c r="K19" s="47" t="n">
        <v>13</v>
      </c>
      <c r="L19" s="47" t="n">
        <v>13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00006057761</t>
        </is>
      </c>
      <c r="B20" s="46" t="inlineStr">
        <is>
          <t>JANUMET 50-1000MG TABLET</t>
        </is>
      </c>
      <c r="C20" s="45" t="n">
        <v>60</v>
      </c>
      <c r="D20" s="47" t="n">
        <v>61</v>
      </c>
      <c r="E20" s="47" t="n">
        <v>13</v>
      </c>
      <c r="F20" s="47" t="n">
        <v>59</v>
      </c>
      <c r="G20" s="47" t="n">
        <v>61</v>
      </c>
      <c r="H20" s="47" t="n">
        <v>61</v>
      </c>
      <c r="I20" s="47" t="n">
        <v>61</v>
      </c>
      <c r="J20" s="47" t="n">
        <v>61</v>
      </c>
      <c r="K20" s="47" t="n">
        <v>61</v>
      </c>
      <c r="L20" s="47" t="n">
        <v>61</v>
      </c>
      <c r="M20" s="45" t="n">
        <v>13</v>
      </c>
      <c r="N20" s="48" t="inlineStr">
        <is>
          <t> </t>
        </is>
      </c>
    </row>
    <row r="21" ht="20" customHeight="1">
      <c r="A21" s="45" t="inlineStr">
        <is>
          <t>00006008131</t>
        </is>
      </c>
      <c r="B21" s="46" t="inlineStr">
        <is>
          <t>JANUMET XR 100-1000MG TABLET</t>
        </is>
      </c>
      <c r="C21" s="45" t="n">
        <v>30</v>
      </c>
      <c r="D21" s="47" t="n">
        <v>8</v>
      </c>
      <c r="E21" s="47" t="n">
        <v>2</v>
      </c>
      <c r="F21" s="47" t="n">
        <v>8</v>
      </c>
      <c r="G21" s="47" t="n">
        <v>8</v>
      </c>
      <c r="H21" s="47" t="n">
        <v>5</v>
      </c>
      <c r="I21" s="47" t="n">
        <v>8</v>
      </c>
      <c r="J21" s="47" t="n">
        <v>8</v>
      </c>
      <c r="K21" s="47" t="n">
        <v>8</v>
      </c>
      <c r="L21" s="47" t="n">
        <v>8</v>
      </c>
      <c r="M21" s="45" t="n">
        <v>2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63</v>
      </c>
      <c r="E22" s="47" t="n">
        <v>4</v>
      </c>
      <c r="F22" s="47" t="n">
        <v>53</v>
      </c>
      <c r="G22" s="47" t="n">
        <v>63</v>
      </c>
      <c r="H22" s="47" t="n">
        <v>54</v>
      </c>
      <c r="I22" s="47" t="n">
        <v>57</v>
      </c>
      <c r="J22" s="47" t="n">
        <v>63</v>
      </c>
      <c r="K22" s="47" t="n">
        <v>63</v>
      </c>
      <c r="L22" s="47" t="n">
        <v>63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11</v>
      </c>
      <c r="E23" s="47" t="n">
        <v>7</v>
      </c>
      <c r="F23" s="47" t="n">
        <v>7</v>
      </c>
      <c r="G23" s="47" t="n">
        <v>11</v>
      </c>
      <c r="H23" s="47" t="n">
        <v>11</v>
      </c>
      <c r="I23" s="47" t="n">
        <v>11</v>
      </c>
      <c r="J23" s="47" t="n">
        <v>11</v>
      </c>
      <c r="K23" s="47" t="n">
        <v>11</v>
      </c>
      <c r="L23" s="47" t="n">
        <v>11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33</v>
      </c>
      <c r="E24" s="47" t="n">
        <v>11</v>
      </c>
      <c r="F24" s="47" t="n">
        <v>27</v>
      </c>
      <c r="G24" s="47" t="n">
        <v>35</v>
      </c>
      <c r="H24" s="47" t="n">
        <v>32</v>
      </c>
      <c r="I24" s="47" t="n">
        <v>33</v>
      </c>
      <c r="J24" s="47" t="n">
        <v>35</v>
      </c>
      <c r="K24" s="47" t="n">
        <v>32</v>
      </c>
      <c r="L24" s="47" t="n">
        <v>35</v>
      </c>
      <c r="M24" s="45" t="n">
        <v>11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98</v>
      </c>
      <c r="E25" s="47" t="n">
        <v>4</v>
      </c>
      <c r="F25" s="47" t="n">
        <v>78</v>
      </c>
      <c r="G25" s="47" t="n">
        <v>98</v>
      </c>
      <c r="H25" s="47" t="n">
        <v>92</v>
      </c>
      <c r="I25" s="47" t="n">
        <v>66</v>
      </c>
      <c r="J25" s="47" t="n">
        <v>95</v>
      </c>
      <c r="K25" s="47" t="n">
        <v>95</v>
      </c>
      <c r="L25" s="47" t="n">
        <v>98</v>
      </c>
      <c r="M25" s="45" t="n">
        <v>4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139</v>
      </c>
      <c r="E26" s="47" t="n">
        <v>7</v>
      </c>
      <c r="F26" s="47" t="n">
        <v>124</v>
      </c>
      <c r="G26" s="47" t="n">
        <v>139</v>
      </c>
      <c r="H26" s="47" t="n">
        <v>124</v>
      </c>
      <c r="I26" s="47" t="n">
        <v>112</v>
      </c>
      <c r="J26" s="47" t="n">
        <v>136</v>
      </c>
      <c r="K26" s="47" t="n">
        <v>139</v>
      </c>
      <c r="L26" s="47" t="n">
        <v>139</v>
      </c>
      <c r="M26" s="45" t="n">
        <v>7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4</v>
      </c>
      <c r="E27" s="47" t="n">
        <v>1</v>
      </c>
      <c r="F27" s="47" t="n">
        <v>4</v>
      </c>
      <c r="G27" s="47" t="n">
        <v>4</v>
      </c>
      <c r="H27" s="47" t="n">
        <v>4</v>
      </c>
      <c r="I27" s="47" t="n">
        <v>1</v>
      </c>
      <c r="J27" s="47" t="n">
        <v>4</v>
      </c>
      <c r="K27" s="47" t="n">
        <v>4</v>
      </c>
      <c r="L27" s="47" t="n">
        <v>4</v>
      </c>
      <c r="M27" s="45" t="n">
        <v>1</v>
      </c>
      <c r="N27" s="48" t="inlineStr">
        <is>
          <t> </t>
        </is>
      </c>
    </row>
    <row r="28" ht="20" customHeight="1">
      <c r="A28" s="45" t="inlineStr">
        <is>
          <t>50419054001</t>
        </is>
      </c>
      <c r="B28" s="46" t="inlineStr">
        <is>
          <t>KERENDIA 10 MG TABLET</t>
        </is>
      </c>
      <c r="C28" s="45" t="n">
        <v>30</v>
      </c>
      <c r="D28" s="47" t="n">
        <v>31</v>
      </c>
      <c r="E28" s="47" t="n">
        <v>4</v>
      </c>
      <c r="F28" s="47" t="n">
        <v>31</v>
      </c>
      <c r="G28" s="47" t="n">
        <v>31</v>
      </c>
      <c r="H28" s="47" t="n">
        <v>31</v>
      </c>
      <c r="I28" s="47" t="n">
        <v>28</v>
      </c>
      <c r="J28" s="47" t="n">
        <v>31</v>
      </c>
      <c r="K28" s="47" t="n">
        <v>31</v>
      </c>
      <c r="L28" s="47" t="n">
        <v>31</v>
      </c>
      <c r="M28" s="45" t="n">
        <v>4</v>
      </c>
      <c r="N28" s="48" t="inlineStr">
        <is>
          <t> </t>
        </is>
      </c>
    </row>
    <row r="29" ht="20" customHeight="1">
      <c r="A29" s="45" t="inlineStr">
        <is>
          <t>50419054101</t>
        </is>
      </c>
      <c r="B29" s="46" t="inlineStr">
        <is>
          <t>KERENDIA 20MG TABLET</t>
        </is>
      </c>
      <c r="C29" s="45" t="n">
        <v>30</v>
      </c>
      <c r="D29" s="47" t="n">
        <v>6</v>
      </c>
      <c r="E29" s="47" t="n">
        <v>6</v>
      </c>
      <c r="F29" s="47" t="n">
        <v>3</v>
      </c>
      <c r="G29" s="47" t="n">
        <v>6</v>
      </c>
      <c r="H29" s="47" t="n">
        <v>6</v>
      </c>
      <c r="I29" s="47" t="n">
        <v>3</v>
      </c>
      <c r="J29" s="47" t="n">
        <v>6</v>
      </c>
      <c r="K29" s="47" t="n">
        <v>6</v>
      </c>
      <c r="L29" s="47" t="n">
        <v>6</v>
      </c>
      <c r="M29" s="45" t="n">
        <v>3</v>
      </c>
      <c r="N29" s="48" t="inlineStr">
        <is>
          <t> </t>
        </is>
      </c>
    </row>
    <row r="30" ht="20" customHeight="1">
      <c r="A30" s="45" t="inlineStr">
        <is>
          <t>59467067901</t>
        </is>
      </c>
      <c r="B30" s="46" t="inlineStr">
        <is>
          <t>KLOXXADO 8 MG/0.1ML NASAL LIQUID</t>
        </is>
      </c>
      <c r="C30" s="45" t="n">
        <v>2</v>
      </c>
      <c r="D30" s="47" t="n">
        <v>8</v>
      </c>
      <c r="E30" s="47" t="n">
        <v>4</v>
      </c>
      <c r="F30" s="47" t="n">
        <v>7</v>
      </c>
      <c r="G30" s="47" t="n">
        <v>8</v>
      </c>
      <c r="H30" s="47" t="n">
        <v>5</v>
      </c>
      <c r="I30" s="47" t="n">
        <v>2</v>
      </c>
      <c r="J30" s="47" t="n">
        <v>7</v>
      </c>
      <c r="K30" s="47" t="n">
        <v>8</v>
      </c>
      <c r="L30" s="47" t="n">
        <v>8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00456120230</t>
        </is>
      </c>
      <c r="B31" s="46" t="inlineStr">
        <is>
          <t xml:space="preserve">LINZESS 290MCG CAP </t>
        </is>
      </c>
      <c r="C31" s="45" t="n">
        <v>30</v>
      </c>
      <c r="D31" s="47" t="n">
        <v>28</v>
      </c>
      <c r="E31" s="47" t="n">
        <v>2</v>
      </c>
      <c r="F31" s="47" t="n">
        <v>21</v>
      </c>
      <c r="G31" s="47" t="n">
        <v>28</v>
      </c>
      <c r="H31" s="47" t="n">
        <v>26</v>
      </c>
      <c r="I31" s="47" t="n">
        <v>17</v>
      </c>
      <c r="J31" s="47" t="n">
        <v>28</v>
      </c>
      <c r="K31" s="47" t="n">
        <v>28</v>
      </c>
      <c r="L31" s="47" t="n">
        <v>28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00456120330</t>
        </is>
      </c>
      <c r="B32" s="46" t="inlineStr">
        <is>
          <t>LINZESS 72 MCG ORAL CAPSULE</t>
        </is>
      </c>
      <c r="C32" s="45" t="n">
        <v>30</v>
      </c>
      <c r="D32" s="47" t="n">
        <v>14</v>
      </c>
      <c r="E32" s="47" t="n">
        <v>1</v>
      </c>
      <c r="F32" s="47" t="n">
        <v>14</v>
      </c>
      <c r="G32" s="47" t="n">
        <v>14</v>
      </c>
      <c r="H32" s="47" t="n">
        <v>13</v>
      </c>
      <c r="I32" s="47" t="n">
        <v>1</v>
      </c>
      <c r="J32" s="47" t="n">
        <v>14</v>
      </c>
      <c r="K32" s="47" t="n">
        <v>14</v>
      </c>
      <c r="L32" s="47" t="n">
        <v>14</v>
      </c>
      <c r="M32" s="45" t="n">
        <v>1</v>
      </c>
      <c r="N32" s="48" t="inlineStr">
        <is>
          <t> </t>
        </is>
      </c>
    </row>
    <row r="33" ht="20" customHeight="1">
      <c r="A33" s="45" t="inlineStr">
        <is>
          <t>59630075050</t>
        </is>
      </c>
      <c r="B33" s="46" t="inlineStr">
        <is>
          <t>METHYLIN 5 MG/5ML ORAL SOLUTION</t>
        </is>
      </c>
      <c r="C33" s="45" t="n">
        <v>500</v>
      </c>
      <c r="D33" s="47" t="n">
        <v>2</v>
      </c>
      <c r="E33" s="47" t="n">
        <v>2</v>
      </c>
      <c r="F33" s="47" t="n">
        <v>2</v>
      </c>
      <c r="G33" s="47" t="n">
        <v>2</v>
      </c>
      <c r="H33" s="47" t="n">
        <v>2</v>
      </c>
      <c r="I33" s="47" t="n">
        <v>0.8</v>
      </c>
      <c r="J33" s="47" t="n">
        <v>2</v>
      </c>
      <c r="K33" s="47" t="n">
        <v>2</v>
      </c>
      <c r="L33" s="47" t="n">
        <v>2</v>
      </c>
      <c r="M33" s="45" t="n">
        <v>0.8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9</v>
      </c>
      <c r="E34" s="47" t="n">
        <v>2</v>
      </c>
      <c r="F34" s="47" t="n">
        <v>6</v>
      </c>
      <c r="G34" s="47" t="n">
        <v>9</v>
      </c>
      <c r="H34" s="47" t="n">
        <v>9</v>
      </c>
      <c r="I34" s="47" t="n">
        <v>9</v>
      </c>
      <c r="J34" s="47" t="n">
        <v>7</v>
      </c>
      <c r="K34" s="47" t="n">
        <v>9</v>
      </c>
      <c r="L34" s="47" t="n">
        <v>9</v>
      </c>
      <c r="M34" s="45" t="n">
        <v>2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8</v>
      </c>
      <c r="E35" s="47" t="n">
        <v>2</v>
      </c>
      <c r="F35" s="47" t="n">
        <v>8</v>
      </c>
      <c r="G35" s="47" t="n">
        <v>8</v>
      </c>
      <c r="H35" s="47" t="n">
        <v>8</v>
      </c>
      <c r="I35" s="47" t="n">
        <v>5</v>
      </c>
      <c r="J35" s="47" t="n">
        <v>8</v>
      </c>
      <c r="K35" s="47" t="n">
        <v>8</v>
      </c>
      <c r="L35" s="47" t="n">
        <v>8</v>
      </c>
      <c r="M35" s="45" t="n">
        <v>2</v>
      </c>
      <c r="N35" s="48" t="inlineStr">
        <is>
          <t> </t>
        </is>
      </c>
    </row>
    <row r="36" ht="20" customHeight="1">
      <c r="A36" s="45" t="inlineStr">
        <is>
          <t>00002149580</t>
        </is>
      </c>
      <c r="B36" s="46" t="inlineStr">
        <is>
          <t>MOUNJARO 5 MG/0.5ML PEN-INJECTOR</t>
        </is>
      </c>
      <c r="C36" s="45" t="n">
        <v>2</v>
      </c>
      <c r="D36" s="47" t="n">
        <v>24</v>
      </c>
      <c r="E36" s="47" t="n">
        <v>2</v>
      </c>
      <c r="F36" s="47" t="n">
        <v>18</v>
      </c>
      <c r="G36" s="47" t="n">
        <v>24</v>
      </c>
      <c r="H36" s="47" t="n">
        <v>24</v>
      </c>
      <c r="I36" s="47" t="n">
        <v>12</v>
      </c>
      <c r="J36" s="47" t="n">
        <v>24</v>
      </c>
      <c r="K36" s="47" t="n">
        <v>24</v>
      </c>
      <c r="L36" s="47" t="n">
        <v>24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00002148480</t>
        </is>
      </c>
      <c r="B37" s="46" t="inlineStr">
        <is>
          <t>MOUNJARO 7.5 MG/0.5ML PEN-INJECTOR</t>
        </is>
      </c>
      <c r="C37" s="45" t="n">
        <v>2</v>
      </c>
      <c r="D37" s="47" t="n">
        <v>27</v>
      </c>
      <c r="E37" s="47" t="n">
        <v>7</v>
      </c>
      <c r="F37" s="47" t="n">
        <v>27</v>
      </c>
      <c r="G37" s="47" t="n">
        <v>27</v>
      </c>
      <c r="H37" s="47" t="n">
        <v>24</v>
      </c>
      <c r="I37" s="47" t="n">
        <v>25</v>
      </c>
      <c r="J37" s="47" t="n">
        <v>27</v>
      </c>
      <c r="K37" s="47" t="n">
        <v>27</v>
      </c>
      <c r="L37" s="47" t="n">
        <v>27</v>
      </c>
      <c r="M37" s="45" t="n">
        <v>7</v>
      </c>
      <c r="N37" s="48" t="inlineStr">
        <is>
          <t> </t>
        </is>
      </c>
    </row>
    <row r="38" ht="20" customHeight="1">
      <c r="A38" s="45" t="inlineStr">
        <is>
          <t>00169183411</t>
        </is>
      </c>
      <c r="B38" s="46" t="inlineStr">
        <is>
          <t>NOVOLIN N 100UNIT/ML SUSPENSION</t>
        </is>
      </c>
      <c r="C38" s="45" t="n">
        <v>10</v>
      </c>
      <c r="D38" s="47" t="n">
        <v>5</v>
      </c>
      <c r="E38" s="47" t="n">
        <v>1</v>
      </c>
      <c r="F38" s="47" t="n">
        <v>5</v>
      </c>
      <c r="G38" s="47" t="n">
        <v>5</v>
      </c>
      <c r="H38" s="47" t="n">
        <v>5</v>
      </c>
      <c r="I38" s="47" t="n">
        <v>5</v>
      </c>
      <c r="J38" s="47" t="n">
        <v>5</v>
      </c>
      <c r="K38" s="47" t="n">
        <v>5</v>
      </c>
      <c r="L38" s="47" t="n">
        <v>5</v>
      </c>
      <c r="M38" s="45" t="n">
        <v>1</v>
      </c>
      <c r="N38" s="48" t="inlineStr">
        <is>
          <t> </t>
        </is>
      </c>
    </row>
    <row r="39" ht="20" customHeight="1">
      <c r="A39" s="45" t="inlineStr">
        <is>
          <t>53885024450</t>
        </is>
      </c>
      <c r="B39" s="46" t="inlineStr">
        <is>
          <t>ONETOUCH ULTRA BLUE  STRIP</t>
        </is>
      </c>
      <c r="C39" s="45" t="n">
        <v>50</v>
      </c>
      <c r="D39" s="47" t="n">
        <v>24</v>
      </c>
      <c r="E39" s="47" t="n">
        <v>12</v>
      </c>
      <c r="F39" s="47" t="n">
        <v>18</v>
      </c>
      <c r="G39" s="47" t="n">
        <v>24</v>
      </c>
      <c r="H39" s="47" t="n">
        <v>24</v>
      </c>
      <c r="I39" s="47" t="n">
        <v>24</v>
      </c>
      <c r="J39" s="47" t="n">
        <v>24</v>
      </c>
      <c r="K39" s="47" t="n">
        <v>24</v>
      </c>
      <c r="L39" s="47" t="n">
        <v>24</v>
      </c>
      <c r="M39" s="45" t="n">
        <v>12</v>
      </c>
      <c r="N39" s="48" t="inlineStr">
        <is>
          <t> </t>
        </is>
      </c>
    </row>
    <row r="40" ht="20" customHeight="1">
      <c r="A40" s="45" t="inlineStr">
        <is>
          <t>00169413013</t>
        </is>
      </c>
      <c r="B40" s="46" t="inlineStr">
        <is>
          <t>OZEMPIC (1 MG/DOSE) 4MG/3ML INJECTION</t>
        </is>
      </c>
      <c r="C40" s="45" t="n">
        <v>3</v>
      </c>
      <c r="D40" s="47" t="n">
        <v>47</v>
      </c>
      <c r="E40" s="47" t="n">
        <v>5</v>
      </c>
      <c r="F40" s="47" t="n">
        <v>47</v>
      </c>
      <c r="G40" s="47" t="n">
        <v>47</v>
      </c>
      <c r="H40" s="47" t="n">
        <v>41</v>
      </c>
      <c r="I40" s="47" t="n">
        <v>32</v>
      </c>
      <c r="J40" s="47" t="n">
        <v>47</v>
      </c>
      <c r="K40" s="47" t="n">
        <v>47</v>
      </c>
      <c r="L40" s="47" t="n">
        <v>47</v>
      </c>
      <c r="M40" s="45" t="n">
        <v>5</v>
      </c>
      <c r="N40" s="48" t="inlineStr">
        <is>
          <t> </t>
        </is>
      </c>
    </row>
    <row r="41" ht="20" customHeight="1">
      <c r="A41" s="45" t="inlineStr">
        <is>
          <t>00169477212</t>
        </is>
      </c>
      <c r="B41" s="46" t="inlineStr">
        <is>
          <t>OZEMPIC (2 MG/DOSE) 8 MG/3ML PEN-INJECTOR</t>
        </is>
      </c>
      <c r="C41" s="45" t="n">
        <v>3</v>
      </c>
      <c r="D41" s="47" t="n">
        <v>32</v>
      </c>
      <c r="E41" s="47" t="n">
        <v>9</v>
      </c>
      <c r="F41" s="47" t="n">
        <v>21</v>
      </c>
      <c r="G41" s="47" t="n">
        <v>32</v>
      </c>
      <c r="H41" s="47" t="n">
        <v>32</v>
      </c>
      <c r="I41" s="47" t="n">
        <v>19</v>
      </c>
      <c r="J41" s="47" t="n">
        <v>32</v>
      </c>
      <c r="K41" s="47" t="n">
        <v>32</v>
      </c>
      <c r="L41" s="47" t="n">
        <v>32</v>
      </c>
      <c r="M41" s="45" t="n">
        <v>9</v>
      </c>
      <c r="N41" s="48" t="inlineStr">
        <is>
          <t> </t>
        </is>
      </c>
    </row>
    <row r="42" ht="20" customHeight="1">
      <c r="A42" s="45" t="inlineStr">
        <is>
          <t>17772013230</t>
        </is>
      </c>
      <c r="B42" s="46" t="inlineStr">
        <is>
          <t>QELBREE 150MG CAPSULE ER</t>
        </is>
      </c>
      <c r="C42" s="45" t="n">
        <v>30</v>
      </c>
      <c r="D42" s="47" t="n">
        <v>3</v>
      </c>
      <c r="E42" s="47" t="n">
        <v>3</v>
      </c>
      <c r="F42" s="47" t="n">
        <v>3</v>
      </c>
      <c r="G42" s="47" t="n">
        <v>3</v>
      </c>
      <c r="H42" s="47" t="n">
        <v>3</v>
      </c>
      <c r="I42" s="47" t="n">
        <v>2</v>
      </c>
      <c r="J42" s="47" t="n">
        <v>3</v>
      </c>
      <c r="K42" s="47" t="n">
        <v>3</v>
      </c>
      <c r="L42" s="47" t="n">
        <v>3</v>
      </c>
      <c r="M42" s="45" t="n">
        <v>2</v>
      </c>
      <c r="N42" s="48" t="inlineStr">
        <is>
          <t> </t>
        </is>
      </c>
    </row>
    <row r="43" ht="20" customHeight="1">
      <c r="A43" s="45" t="inlineStr">
        <is>
          <t>00023916360</t>
        </is>
      </c>
      <c r="B43" s="46" t="inlineStr">
        <is>
          <t xml:space="preserve">RESTASIS 0.05% EMULSION </t>
        </is>
      </c>
      <c r="C43" s="45" t="n">
        <v>60</v>
      </c>
      <c r="D43" s="47" t="n">
        <v>176</v>
      </c>
      <c r="E43" s="47" t="n">
        <v>68</v>
      </c>
      <c r="F43" s="47" t="n">
        <v>172</v>
      </c>
      <c r="G43" s="47" t="n">
        <v>176</v>
      </c>
      <c r="H43" s="47" t="n">
        <v>176</v>
      </c>
      <c r="I43" s="47" t="n">
        <v>149</v>
      </c>
      <c r="J43" s="47" t="n">
        <v>171</v>
      </c>
      <c r="K43" s="47" t="n">
        <v>176</v>
      </c>
      <c r="L43" s="47" t="n">
        <v>176</v>
      </c>
      <c r="M43" s="45" t="n">
        <v>68</v>
      </c>
      <c r="N43" s="48" t="inlineStr">
        <is>
          <t> </t>
        </is>
      </c>
    </row>
    <row r="44" ht="20" customHeight="1">
      <c r="A44" s="45" t="inlineStr">
        <is>
          <t>00169431430</t>
        </is>
      </c>
      <c r="B44" s="46" t="inlineStr">
        <is>
          <t>RYBELSUS 14MG TABLET</t>
        </is>
      </c>
      <c r="C44" s="45" t="n">
        <v>30</v>
      </c>
      <c r="D44" s="47" t="n">
        <v>15</v>
      </c>
      <c r="E44" s="47" t="n">
        <v>3</v>
      </c>
      <c r="F44" s="47" t="n">
        <v>9</v>
      </c>
      <c r="G44" s="47" t="n">
        <v>15</v>
      </c>
      <c r="H44" s="47" t="n">
        <v>12</v>
      </c>
      <c r="I44" s="47" t="n">
        <v>15</v>
      </c>
      <c r="J44" s="47" t="n">
        <v>12</v>
      </c>
      <c r="K44" s="47" t="n">
        <v>15</v>
      </c>
      <c r="L44" s="47" t="n">
        <v>15</v>
      </c>
      <c r="M44" s="45" t="n">
        <v>3</v>
      </c>
      <c r="N44" s="48" t="inlineStr">
        <is>
          <t> </t>
        </is>
      </c>
    </row>
    <row r="45" ht="20" customHeight="1">
      <c r="A45" s="45" t="inlineStr">
        <is>
          <t>00597016860</t>
        </is>
      </c>
      <c r="B45" s="46" t="inlineStr">
        <is>
          <t>SYNJARDY 12.5-1000MG TABLET</t>
        </is>
      </c>
      <c r="C45" s="45" t="n">
        <v>60</v>
      </c>
      <c r="D45" s="47" t="n">
        <v>7</v>
      </c>
      <c r="E45" s="47" t="n">
        <v>1.5</v>
      </c>
      <c r="F45" s="47" t="n">
        <v>7</v>
      </c>
      <c r="G45" s="47" t="n">
        <v>7</v>
      </c>
      <c r="H45" s="47" t="n">
        <v>7</v>
      </c>
      <c r="I45" s="47" t="n">
        <v>7</v>
      </c>
      <c r="J45" s="47" t="n">
        <v>7</v>
      </c>
      <c r="K45" s="47" t="n">
        <v>7</v>
      </c>
      <c r="L45" s="47" t="n">
        <v>7</v>
      </c>
      <c r="M45" s="45" t="n">
        <v>1.5</v>
      </c>
      <c r="N45" s="48" t="inlineStr">
        <is>
          <t> </t>
        </is>
      </c>
    </row>
    <row r="46" ht="20" customHeight="1">
      <c r="A46" s="45" t="inlineStr">
        <is>
          <t>00597030045</t>
        </is>
      </c>
      <c r="B46" s="46" t="inlineStr">
        <is>
          <t>SYNJARDY XR 12.5-1000 MG TABLET ER</t>
        </is>
      </c>
      <c r="C46" s="45" t="n">
        <v>60</v>
      </c>
      <c r="D46" s="47" t="n">
        <v>7</v>
      </c>
      <c r="E46" s="47" t="n">
        <v>4</v>
      </c>
      <c r="F46" s="47" t="n">
        <v>7</v>
      </c>
      <c r="G46" s="47" t="n">
        <v>7</v>
      </c>
      <c r="H46" s="47" t="n">
        <v>7</v>
      </c>
      <c r="I46" s="47" t="n">
        <v>2.5</v>
      </c>
      <c r="J46" s="47" t="n">
        <v>7</v>
      </c>
      <c r="K46" s="47" t="n">
        <v>7</v>
      </c>
      <c r="L46" s="47" t="n">
        <v>7</v>
      </c>
      <c r="M46" s="45" t="n">
        <v>2.5</v>
      </c>
      <c r="N46" s="48" t="inlineStr">
        <is>
          <t> </t>
        </is>
      </c>
    </row>
    <row r="47" ht="20" customHeight="1">
      <c r="A47" s="45" t="inlineStr">
        <is>
          <t>00074706890</t>
        </is>
      </c>
      <c r="B47" s="46" t="inlineStr">
        <is>
          <t>SYNTHROID 125 MCG ORAL TABLET</t>
        </is>
      </c>
      <c r="C47" s="45" t="n">
        <v>90</v>
      </c>
      <c r="D47" s="47" t="n">
        <v>1</v>
      </c>
      <c r="E47" s="47" t="n">
        <v>0.67</v>
      </c>
      <c r="F47" s="47" t="n">
        <v>1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5" t="n">
        <v>0.67</v>
      </c>
      <c r="N47" s="48" t="inlineStr">
        <is>
          <t> </t>
        </is>
      </c>
    </row>
    <row r="48" ht="20" customHeight="1">
      <c r="A48" s="45" t="inlineStr">
        <is>
          <t>00074455290</t>
        </is>
      </c>
      <c r="B48" s="46" t="inlineStr">
        <is>
          <t>SYNTHROID 50MCG TABLET</t>
        </is>
      </c>
      <c r="C48" s="45" t="n">
        <v>90</v>
      </c>
      <c r="D48" s="47" t="n">
        <v>2</v>
      </c>
      <c r="E48" s="47" t="n">
        <v>1</v>
      </c>
      <c r="F48" s="47" t="n">
        <v>2</v>
      </c>
      <c r="G48" s="47" t="n">
        <v>2</v>
      </c>
      <c r="H48" s="47" t="n">
        <v>2</v>
      </c>
      <c r="I48" s="47" t="n">
        <v>1</v>
      </c>
      <c r="J48" s="47" t="n">
        <v>2</v>
      </c>
      <c r="K48" s="47" t="n">
        <v>2</v>
      </c>
      <c r="L48" s="47" t="n">
        <v>2</v>
      </c>
      <c r="M48" s="45" t="n">
        <v>1</v>
      </c>
      <c r="N48" s="48" t="inlineStr">
        <is>
          <t> </t>
        </is>
      </c>
    </row>
    <row r="49" ht="20" customHeight="1">
      <c r="A49" s="45" t="inlineStr">
        <is>
          <t>00597014030</t>
        </is>
      </c>
      <c r="B49" s="46" t="inlineStr">
        <is>
          <t xml:space="preserve">TRADJENTA 5MG TAB </t>
        </is>
      </c>
      <c r="C49" s="45" t="n">
        <v>30</v>
      </c>
      <c r="D49" s="47" t="n">
        <v>25</v>
      </c>
      <c r="E49" s="47" t="n">
        <v>10</v>
      </c>
      <c r="F49" s="47" t="n">
        <v>22</v>
      </c>
      <c r="G49" s="47" t="n">
        <v>25</v>
      </c>
      <c r="H49" s="47" t="n">
        <v>25</v>
      </c>
      <c r="I49" s="47" t="n">
        <v>25</v>
      </c>
      <c r="J49" s="47" t="n">
        <v>25</v>
      </c>
      <c r="K49" s="47" t="n">
        <v>25</v>
      </c>
      <c r="L49" s="47" t="n">
        <v>25</v>
      </c>
      <c r="M49" s="45" t="n">
        <v>10</v>
      </c>
      <c r="N49" s="48" t="inlineStr">
        <is>
          <t> </t>
        </is>
      </c>
    </row>
    <row r="50" ht="20" customHeight="1">
      <c r="A50" s="45" t="inlineStr">
        <is>
          <t>00002143380</t>
        </is>
      </c>
      <c r="B50" s="46" t="inlineStr">
        <is>
          <t>TRULICITY 0.75MG/0.5ML INJECTION</t>
        </is>
      </c>
      <c r="C50" s="45" t="n">
        <v>2</v>
      </c>
      <c r="D50" s="47" t="n">
        <v>23</v>
      </c>
      <c r="E50" s="47" t="n">
        <v>11</v>
      </c>
      <c r="F50" s="47" t="n">
        <v>23</v>
      </c>
      <c r="G50" s="47" t="n">
        <v>23</v>
      </c>
      <c r="H50" s="47" t="n">
        <v>23</v>
      </c>
      <c r="I50" s="47" t="n">
        <v>17</v>
      </c>
      <c r="J50" s="47" t="n">
        <v>23</v>
      </c>
      <c r="K50" s="47" t="n">
        <v>23</v>
      </c>
      <c r="L50" s="47" t="n">
        <v>23</v>
      </c>
      <c r="M50" s="45" t="n">
        <v>11</v>
      </c>
      <c r="N50" s="48" t="inlineStr">
        <is>
          <t> </t>
        </is>
      </c>
    </row>
    <row r="51" ht="20" customHeight="1">
      <c r="A51" s="45" t="inlineStr">
        <is>
          <t>00002318280</t>
        </is>
      </c>
      <c r="B51" s="46" t="inlineStr">
        <is>
          <t>TRULICITY 4.5 MG/0.5ML SOLUTION</t>
        </is>
      </c>
      <c r="C51" s="45" t="n">
        <v>2</v>
      </c>
      <c r="D51" s="47" t="n">
        <v>10</v>
      </c>
      <c r="E51" s="47" t="n">
        <v>1</v>
      </c>
      <c r="F51" s="47" t="n">
        <v>7</v>
      </c>
      <c r="G51" s="47" t="n">
        <v>10</v>
      </c>
      <c r="H51" s="47" t="n">
        <v>10</v>
      </c>
      <c r="I51" s="47" t="n">
        <v>10</v>
      </c>
      <c r="J51" s="47" t="n">
        <v>10</v>
      </c>
      <c r="K51" s="47" t="n">
        <v>10</v>
      </c>
      <c r="L51" s="47" t="n">
        <v>10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52937000120</t>
        </is>
      </c>
      <c r="B52" s="46" t="inlineStr">
        <is>
          <t>VASCEPA 1GM CAPSULE</t>
        </is>
      </c>
      <c r="C52" s="45" t="n">
        <v>120</v>
      </c>
      <c r="D52" s="47" t="n">
        <v>21</v>
      </c>
      <c r="E52" s="47" t="n">
        <v>6.75</v>
      </c>
      <c r="F52" s="47" t="n">
        <v>21</v>
      </c>
      <c r="G52" s="47" t="n">
        <v>21</v>
      </c>
      <c r="H52" s="47" t="n">
        <v>21</v>
      </c>
      <c r="I52" s="47" t="n">
        <v>21</v>
      </c>
      <c r="J52" s="47" t="n">
        <v>21</v>
      </c>
      <c r="K52" s="47" t="n">
        <v>21</v>
      </c>
      <c r="L52" s="47" t="n">
        <v>21</v>
      </c>
      <c r="M52" s="45" t="n">
        <v>6.75</v>
      </c>
      <c r="N52" s="48" t="inlineStr">
        <is>
          <t> </t>
        </is>
      </c>
    </row>
    <row r="53" ht="20" customHeight="1">
      <c r="A53" s="45" t="inlineStr">
        <is>
          <t>00169452414</t>
        </is>
      </c>
      <c r="B53" s="46" t="inlineStr">
        <is>
          <t>WEGOVY 2.4 MG/0.75ML AUTO-INJECTOR</t>
        </is>
      </c>
      <c r="C53" s="45" t="n">
        <v>3</v>
      </c>
      <c r="D53" s="47" t="n">
        <v>5</v>
      </c>
      <c r="E53" s="47" t="n">
        <v>1</v>
      </c>
      <c r="F53" s="47" t="n">
        <v>5</v>
      </c>
      <c r="G53" s="47" t="n">
        <v>5</v>
      </c>
      <c r="H53" s="47" t="n">
        <v>5</v>
      </c>
      <c r="I53" s="47" t="n">
        <v>5</v>
      </c>
      <c r="J53" s="47" t="n">
        <v>5</v>
      </c>
      <c r="K53" s="47" t="n">
        <v>5</v>
      </c>
      <c r="L53" s="47" t="n">
        <v>5</v>
      </c>
      <c r="M53" s="45" t="n">
        <v>1</v>
      </c>
      <c r="N53" s="48" t="inlineStr">
        <is>
          <t> </t>
        </is>
      </c>
    </row>
    <row r="54" ht="20" customHeight="1">
      <c r="A54" s="45" t="inlineStr">
        <is>
          <t>50458057930</t>
        </is>
      </c>
      <c r="B54" s="46" t="inlineStr">
        <is>
          <t>XARELTO 20MG TAB</t>
        </is>
      </c>
      <c r="C54" s="45" t="n">
        <v>30</v>
      </c>
      <c r="D54" s="47" t="n">
        <v>23</v>
      </c>
      <c r="E54" s="47" t="n">
        <v>2</v>
      </c>
      <c r="F54" s="47" t="n">
        <v>17</v>
      </c>
      <c r="G54" s="47" t="n">
        <v>23</v>
      </c>
      <c r="H54" s="47" t="n">
        <v>23</v>
      </c>
      <c r="I54" s="47" t="n">
        <v>23</v>
      </c>
      <c r="J54" s="47" t="n">
        <v>20</v>
      </c>
      <c r="K54" s="47" t="n">
        <v>23</v>
      </c>
      <c r="L54" s="47" t="n">
        <v>23</v>
      </c>
      <c r="M54" s="45" t="n">
        <v>2</v>
      </c>
      <c r="N54" s="48" t="inlineStr">
        <is>
          <t> </t>
        </is>
      </c>
    </row>
    <row r="55" ht="20" customHeight="1">
      <c r="A55" s="45" t="inlineStr">
        <is>
          <t>00310628030</t>
        </is>
      </c>
      <c r="B55" s="46" t="inlineStr">
        <is>
          <t>XIGDUO XR 10-1000MG TABLET</t>
        </is>
      </c>
      <c r="C55" s="45" t="n">
        <v>30</v>
      </c>
      <c r="D55" s="47" t="n">
        <v>8</v>
      </c>
      <c r="E55" s="47" t="n">
        <v>2</v>
      </c>
      <c r="F55" s="47" t="n">
        <v>8</v>
      </c>
      <c r="G55" s="47" t="n">
        <v>8</v>
      </c>
      <c r="H55" s="47" t="n">
        <v>5</v>
      </c>
      <c r="I55" s="47" t="n">
        <v>8</v>
      </c>
      <c r="J55" s="47" t="n">
        <v>8</v>
      </c>
      <c r="K55" s="47" t="n">
        <v>8</v>
      </c>
      <c r="L55" s="47" t="n">
        <v>8</v>
      </c>
      <c r="M55" s="45" t="n">
        <v>2</v>
      </c>
      <c r="N55" s="48" t="inlineStr">
        <is>
          <t> </t>
        </is>
      </c>
    </row>
    <row r="56" ht="20" customHeight="1">
      <c r="A56" s="45" t="inlineStr">
        <is>
          <t>24208091112</t>
        </is>
      </c>
      <c r="B56" s="46" t="inlineStr">
        <is>
          <t>XIIDRA 5 % OPHTHALMIC SOLUTION</t>
        </is>
      </c>
      <c r="C56" s="45" t="n">
        <v>60</v>
      </c>
      <c r="D56" s="47" t="n">
        <v>84</v>
      </c>
      <c r="E56" s="47" t="n">
        <v>37</v>
      </c>
      <c r="F56" s="47" t="n">
        <v>76</v>
      </c>
      <c r="G56" s="47" t="n">
        <v>84</v>
      </c>
      <c r="H56" s="47" t="n">
        <v>72</v>
      </c>
      <c r="I56" s="47" t="n">
        <v>70</v>
      </c>
      <c r="J56" s="47" t="n">
        <v>82</v>
      </c>
      <c r="K56" s="47" t="n">
        <v>84</v>
      </c>
      <c r="L56" s="47" t="n">
        <v>84</v>
      </c>
      <c r="M56" s="45" t="n">
        <v>37</v>
      </c>
      <c r="N56" s="48" t="inlineStr">
        <is>
          <t> </t>
        </is>
      </c>
    </row>
    <row r="57" ht="20" customHeight="1">
      <c r="A57" s="45" t="inlineStr">
        <is>
          <t>00002248480</t>
        </is>
      </c>
      <c r="B57" s="46" t="inlineStr">
        <is>
          <t>ZEPBOUND 7.5 MG/0.5ML AUTO-INJECTOR</t>
        </is>
      </c>
      <c r="C57" s="45" t="n">
        <v>2</v>
      </c>
      <c r="D57" s="47" t="n">
        <v>2</v>
      </c>
      <c r="E57" s="47" t="n">
        <v>1</v>
      </c>
      <c r="F57" s="47" t="n">
        <v>2</v>
      </c>
      <c r="G57" s="47" t="n">
        <v>2</v>
      </c>
      <c r="H57" s="47" t="n">
        <v>2</v>
      </c>
      <c r="I57" s="47" t="n">
        <v>2</v>
      </c>
      <c r="J57" s="47" t="n">
        <v>1</v>
      </c>
      <c r="K57" s="47" t="n">
        <v>2</v>
      </c>
      <c r="L57" s="47" t="n">
        <v>2</v>
      </c>
      <c r="M57" s="45" t="n">
        <v>1</v>
      </c>
      <c r="N57" s="48" t="inlineStr">
        <is>
          <t> </t>
        </is>
      </c>
    </row>
  </sheetData>
  <autoFilter ref="A2:N5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Hil (hh)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AFLURIA PRESERVATIVE FREE 0.5 ML INTRAMUSCULAR SUSPENSION PREFILLED SYRINGE</t>
        </is>
      </c>
      <c r="B3" s="45" t="inlineStr">
        <is>
          <t>33332002503</t>
        </is>
      </c>
      <c r="C3" s="45" t="n">
        <v>5</v>
      </c>
      <c r="D3" s="45" t="n">
        <v>0</v>
      </c>
      <c r="E3" s="47" t="n">
        <v>0.3</v>
      </c>
    </row>
    <row r="4" ht="20" customHeight="1">
      <c r="A4" s="46" t="inlineStr">
        <is>
          <t>ALPHAGAN P 0.15 % OPHTHALMIC SOLUTION</t>
        </is>
      </c>
      <c r="B4" s="45" t="inlineStr">
        <is>
          <t>00023917715</t>
        </is>
      </c>
      <c r="C4" s="45" t="n">
        <v>15</v>
      </c>
      <c r="D4" s="45" t="n">
        <v>0</v>
      </c>
      <c r="E4" s="47" t="n">
        <v>1</v>
      </c>
    </row>
    <row r="5" ht="20" customHeight="1">
      <c r="A5" s="46" t="inlineStr">
        <is>
          <t>ARNUITY ELLIPTA 50 MCG/ACT INHAEROSOL</t>
        </is>
      </c>
      <c r="B5" s="45" t="inlineStr">
        <is>
          <t>00173088810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CHOLESTYRAMINE LIGHT 4GM PACK</t>
        </is>
      </c>
      <c r="B6" s="45" t="inlineStr">
        <is>
          <t>68382052960</t>
        </is>
      </c>
      <c r="C6" s="45" t="n">
        <v>60</v>
      </c>
      <c r="D6" s="45" t="n">
        <v>0</v>
      </c>
      <c r="E6" s="47" t="n">
        <v>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4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6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2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431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1</v>
      </c>
    </row>
    <row r="13" ht="20" customHeight="1">
      <c r="A13" s="46" t="inlineStr">
        <is>
          <t>ELLA 30 MG ORAL TABLET</t>
        </is>
      </c>
      <c r="B13" s="45" t="inlineStr">
        <is>
          <t>73302045601</t>
        </is>
      </c>
      <c r="C13" s="45" t="n">
        <v>1</v>
      </c>
      <c r="D13" s="45" t="n">
        <v>0</v>
      </c>
      <c r="E13" s="47" t="n">
        <v>1</v>
      </c>
    </row>
    <row r="14" ht="20" customHeight="1">
      <c r="A14" s="46" t="inlineStr">
        <is>
          <t>EPINEPHRINE (JR) 0.15MG/0.3ML INJECTION 2ML</t>
        </is>
      </c>
      <c r="B14" s="45" t="inlineStr">
        <is>
          <t>49502010102</t>
        </is>
      </c>
      <c r="C14" s="45" t="n">
        <v>2</v>
      </c>
      <c r="D14" s="45" t="n">
        <v>0</v>
      </c>
      <c r="E14" s="47" t="n">
        <v>2</v>
      </c>
    </row>
    <row r="15" ht="20" customHeight="1">
      <c r="A15" s="46" t="inlineStr">
        <is>
          <t>EUCRISA 2% OINTMENT</t>
        </is>
      </c>
      <c r="B15" s="45" t="inlineStr">
        <is>
          <t>55724021121</t>
        </is>
      </c>
      <c r="C15" s="45" t="n">
        <v>60</v>
      </c>
      <c r="D15" s="45" t="n">
        <v>0</v>
      </c>
      <c r="E15" s="47" t="n">
        <v>2</v>
      </c>
    </row>
    <row r="16" ht="20" customHeight="1">
      <c r="A16" s="46" t="inlineStr">
        <is>
          <t>FREESTYLE FREEDOM LITE  KIT KINRAY</t>
        </is>
      </c>
      <c r="B16" s="45" t="inlineStr">
        <is>
          <t>99073070914</t>
        </is>
      </c>
      <c r="C16" s="45" t="n">
        <v>1</v>
      </c>
      <c r="D16" s="45" t="n">
        <v>0</v>
      </c>
      <c r="E16" s="47" t="n">
        <v>1</v>
      </c>
    </row>
    <row r="17" ht="20" customHeight="1">
      <c r="A17" s="46" t="inlineStr">
        <is>
          <t>FREESTYLE LIBRE 3 PLUS SENSOR</t>
        </is>
      </c>
      <c r="B17" s="45" t="inlineStr">
        <is>
          <t>57599084400</t>
        </is>
      </c>
      <c r="C17" s="45" t="n">
        <v>1</v>
      </c>
      <c r="D17" s="45" t="n">
        <v>0</v>
      </c>
      <c r="E17" s="47" t="n">
        <v>8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INTRAROSA 6.5 MG VAGINAL INSERT</t>
        </is>
      </c>
      <c r="B20" s="45" t="inlineStr">
        <is>
          <t>72495040128</t>
        </is>
      </c>
      <c r="C20" s="45" t="n">
        <v>28</v>
      </c>
      <c r="D20" s="45" t="n">
        <v>0</v>
      </c>
      <c r="E20" s="47" t="n">
        <v>1</v>
      </c>
    </row>
    <row r="21" ht="20" customHeight="1">
      <c r="A21" s="46" t="inlineStr">
        <is>
          <t>JANUMET XR 50-1000MG TABLET</t>
        </is>
      </c>
      <c r="B21" s="45" t="inlineStr">
        <is>
          <t>00006008061</t>
        </is>
      </c>
      <c r="C21" s="45" t="n">
        <v>60</v>
      </c>
      <c r="D21" s="45" t="n">
        <v>0</v>
      </c>
      <c r="E21" s="47" t="n">
        <v>1</v>
      </c>
    </row>
    <row r="22" ht="20" customHeight="1">
      <c r="A22" s="46" t="inlineStr">
        <is>
          <t>LUMIGAN 0.01% SOLUTION</t>
        </is>
      </c>
      <c r="B22" s="45" t="inlineStr">
        <is>
          <t>00023320503</t>
        </is>
      </c>
      <c r="C22" s="45" t="n">
        <v>2.5</v>
      </c>
      <c r="D22" s="45" t="n">
        <v>0</v>
      </c>
      <c r="E22" s="47" t="n">
        <v>1</v>
      </c>
    </row>
    <row r="23" ht="20" customHeight="1">
      <c r="A23" s="46" t="inlineStr">
        <is>
          <t>MYRBETRIQ 25MG TABLET</t>
        </is>
      </c>
      <c r="B23" s="45" t="inlineStr">
        <is>
          <t>00469260130</t>
        </is>
      </c>
      <c r="C23" s="45" t="n">
        <v>30</v>
      </c>
      <c r="D23" s="45" t="n">
        <v>0</v>
      </c>
      <c r="E23" s="47" t="n">
        <v>3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0.8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0.38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1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0.5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PROLIA 60 MG/ML SUBCUTANEOUS SOLUTION PREFILLED SYRINGE</t>
        </is>
      </c>
      <c r="B30" s="45" t="inlineStr">
        <is>
          <t>55513071021</t>
        </is>
      </c>
      <c r="C30" s="45" t="n">
        <v>1</v>
      </c>
      <c r="D30" s="45" t="n">
        <v>0</v>
      </c>
      <c r="E30" s="47" t="n">
        <v>1</v>
      </c>
    </row>
    <row r="31" ht="20" customHeight="1">
      <c r="A31" s="46" t="inlineStr">
        <is>
          <t>QULIPTA 30 MG ORAL TABLET</t>
        </is>
      </c>
      <c r="B31" s="45" t="inlineStr">
        <is>
          <t>00074709630</t>
        </is>
      </c>
      <c r="C31" s="45" t="n">
        <v>30</v>
      </c>
      <c r="D31" s="45" t="n">
        <v>0</v>
      </c>
      <c r="E31" s="47" t="n">
        <v>2</v>
      </c>
    </row>
    <row r="32" ht="20" customHeight="1">
      <c r="A32" s="46" t="inlineStr">
        <is>
          <t>QVAR REDIHALER 40MCG/ACT AEROSOL</t>
        </is>
      </c>
      <c r="B32" s="45" t="inlineStr">
        <is>
          <t>59310030240</t>
        </is>
      </c>
      <c r="C32" s="45" t="n">
        <v>10.6</v>
      </c>
      <c r="D32" s="45" t="n">
        <v>0</v>
      </c>
      <c r="E32" s="47" t="n">
        <v>6</v>
      </c>
    </row>
    <row r="33" ht="20" customHeight="1">
      <c r="A33" s="46" t="inlineStr">
        <is>
          <t>RHOPRESSA 0.02 % OPHTHALMIC SOLUTION</t>
        </is>
      </c>
      <c r="B33" s="45" t="inlineStr">
        <is>
          <t>70727049725</t>
        </is>
      </c>
      <c r="C33" s="45" t="n">
        <v>2.5</v>
      </c>
      <c r="D33" s="45" t="n">
        <v>0</v>
      </c>
      <c r="E33" s="47" t="n">
        <v>6</v>
      </c>
    </row>
    <row r="34" ht="20" customHeight="1">
      <c r="A34" s="46" t="inlineStr">
        <is>
          <t>RYBELSUS 3MG TABLET</t>
        </is>
      </c>
      <c r="B34" s="45" t="inlineStr">
        <is>
          <t>00169430330</t>
        </is>
      </c>
      <c r="C34" s="45" t="n">
        <v>30</v>
      </c>
      <c r="D34" s="45" t="n">
        <v>0</v>
      </c>
      <c r="E34" s="47" t="n">
        <v>16</v>
      </c>
    </row>
    <row r="35" ht="20" customHeight="1">
      <c r="A35" s="46" t="inlineStr">
        <is>
          <t>SHINGRIX 50 MCG/0.5ML IM SUSP RECON</t>
        </is>
      </c>
      <c r="B35" s="45" t="inlineStr">
        <is>
          <t>58160082311</t>
        </is>
      </c>
      <c r="C35" s="45" t="n">
        <v>10</v>
      </c>
      <c r="D35" s="45" t="n">
        <v>0</v>
      </c>
      <c r="E35" s="47" t="n">
        <v>0.9</v>
      </c>
    </row>
    <row r="36" ht="20" customHeight="1">
      <c r="A36" s="46" t="inlineStr">
        <is>
          <t>SPIRIVA HANDIHALER 18MCG CAPSULE</t>
        </is>
      </c>
      <c r="B36" s="45" t="inlineStr">
        <is>
          <t>00597007541</t>
        </is>
      </c>
      <c r="C36" s="45" t="n">
        <v>30</v>
      </c>
      <c r="D36" s="45" t="n">
        <v>0</v>
      </c>
      <c r="E36" s="47" t="n">
        <v>3</v>
      </c>
    </row>
    <row r="37" ht="20" customHeight="1">
      <c r="A37" s="46" t="inlineStr">
        <is>
          <t>SYMBICORT 80-4.5MCG/ACT AEROSOL</t>
        </is>
      </c>
      <c r="B37" s="45" t="inlineStr">
        <is>
          <t>00186037220</t>
        </is>
      </c>
      <c r="C37" s="45" t="n">
        <v>10.2</v>
      </c>
      <c r="D37" s="45" t="n">
        <v>0</v>
      </c>
      <c r="E37" s="47" t="n">
        <v>7</v>
      </c>
    </row>
    <row r="38" ht="20" customHeight="1">
      <c r="A38" s="46" t="inlineStr">
        <is>
          <t>SYNJARDY XR 25-1000MG TABLET</t>
        </is>
      </c>
      <c r="B38" s="45" t="inlineStr">
        <is>
          <t>00597029588</t>
        </is>
      </c>
      <c r="C38" s="45" t="n">
        <v>30</v>
      </c>
      <c r="D38" s="45" t="n">
        <v>0</v>
      </c>
      <c r="E38" s="47" t="n">
        <v>1</v>
      </c>
    </row>
    <row r="39" ht="20" customHeight="1">
      <c r="A39" s="46" t="inlineStr">
        <is>
          <t>TOUJEO SOLOSTAR 300UNIT/ML INJECTION</t>
        </is>
      </c>
      <c r="B39" s="45" t="inlineStr">
        <is>
          <t>00024586903</t>
        </is>
      </c>
      <c r="C39" s="45" t="n">
        <v>4.5</v>
      </c>
      <c r="D39" s="45" t="n">
        <v>0</v>
      </c>
      <c r="E39" s="47" t="n">
        <v>1</v>
      </c>
    </row>
    <row r="40" ht="20" customHeight="1">
      <c r="A40" s="46" t="inlineStr">
        <is>
          <t>TRESIBA FLEXTOUCH 100UNIT/ML INJECTION</t>
        </is>
      </c>
      <c r="B40" s="45" t="inlineStr">
        <is>
          <t>00169266015</t>
        </is>
      </c>
      <c r="C40" s="45" t="n">
        <v>15</v>
      </c>
      <c r="D40" s="45" t="n">
        <v>0</v>
      </c>
      <c r="E40" s="47" t="n">
        <v>2.6</v>
      </c>
    </row>
    <row r="41" ht="20" customHeight="1">
      <c r="A41" s="46" t="inlineStr">
        <is>
          <t>VASCEPA 0.5 GM ORAL CAPSULE</t>
        </is>
      </c>
      <c r="B41" s="45" t="inlineStr">
        <is>
          <t>52937000340</t>
        </is>
      </c>
      <c r="C41" s="45" t="n">
        <v>240</v>
      </c>
      <c r="D41" s="45" t="n">
        <v>0</v>
      </c>
      <c r="E41" s="47" t="n">
        <v>0.75</v>
      </c>
    </row>
    <row r="42" ht="20" customHeight="1">
      <c r="A42" s="46" t="inlineStr">
        <is>
          <t xml:space="preserve">VENTOLIN HFA 108 (90 BASE) </t>
        </is>
      </c>
      <c r="B42" s="45" t="inlineStr">
        <is>
          <t>00173068220</t>
        </is>
      </c>
      <c r="C42" s="45" t="n">
        <v>18</v>
      </c>
      <c r="D42" s="45" t="n">
        <v>0</v>
      </c>
      <c r="E42" s="47" t="n">
        <v>4</v>
      </c>
    </row>
    <row r="43" ht="20" customHeight="1">
      <c r="A43" s="46" t="inlineStr">
        <is>
          <t>VEOZAH 45 MG ORAL TABLET</t>
        </is>
      </c>
      <c r="B43" s="45" t="inlineStr">
        <is>
          <t>00469266030</t>
        </is>
      </c>
      <c r="C43" s="45" t="n">
        <v>30</v>
      </c>
      <c r="D43" s="45" t="n">
        <v>0</v>
      </c>
      <c r="E43" s="47" t="n">
        <v>1</v>
      </c>
    </row>
    <row r="44" ht="20" customHeight="1">
      <c r="A44" s="46" t="inlineStr">
        <is>
          <t>VYZULTA 0.024 % OPHTHALMIC SOLUTION</t>
        </is>
      </c>
      <c r="B44" s="45" t="inlineStr">
        <is>
          <t>24208050402</t>
        </is>
      </c>
      <c r="C44" s="45" t="n">
        <v>2.5</v>
      </c>
      <c r="D44" s="45" t="n">
        <v>0</v>
      </c>
      <c r="E44" s="47" t="n">
        <v>14</v>
      </c>
    </row>
    <row r="45" ht="20" customHeight="1">
      <c r="A45" s="46" t="inlineStr">
        <is>
          <t>WIXELA INHUB 500-50 MCG/ACT INH AEROSOL</t>
        </is>
      </c>
      <c r="B45" s="45" t="inlineStr">
        <is>
          <t>00378932232</t>
        </is>
      </c>
      <c r="C45" s="45" t="n">
        <v>60</v>
      </c>
      <c r="D45" s="45" t="n">
        <v>0</v>
      </c>
      <c r="E45" s="47" t="n">
        <v>4</v>
      </c>
    </row>
    <row r="46" ht="20" customHeight="1">
      <c r="A46" s="46" t="inlineStr">
        <is>
          <t>ZORYVE 0.3 % EXTERNAL FOAM</t>
        </is>
      </c>
      <c r="B46" s="45" t="inlineStr">
        <is>
          <t>80610043060</t>
        </is>
      </c>
      <c r="C46" s="45" t="n">
        <v>60</v>
      </c>
      <c r="D46" s="45" t="n">
        <v>0</v>
      </c>
      <c r="E46" s="47" t="n">
        <v>4</v>
      </c>
    </row>
  </sheetData>
  <autoFilter ref="A2:E46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8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46049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563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7.77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133477</t>
        </is>
      </c>
      <c r="B5" s="52" t="n">
        <v>46021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568.37</v>
      </c>
      <c r="J5" s="55" t="n">
        <v>0</v>
      </c>
      <c r="K5" s="55" t="n">
        <v>0</v>
      </c>
      <c r="L5" s="55" t="n">
        <v>568.37</v>
      </c>
      <c r="M5" s="55" t="n">
        <v>6.37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144533</t>
        </is>
      </c>
      <c r="B6" s="52" t="n">
        <v>46077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563</v>
      </c>
      <c r="I6" s="55" t="n">
        <v>570.77</v>
      </c>
      <c r="J6" s="55" t="n">
        <v>0</v>
      </c>
      <c r="K6" s="55" t="n">
        <v>0</v>
      </c>
      <c r="L6" s="55" t="n">
        <v>570.77</v>
      </c>
      <c r="M6" s="55" t="n">
        <v>7.77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124727</t>
        </is>
      </c>
      <c r="B7" s="52" t="n">
        <v>46009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37.37</v>
      </c>
      <c r="J7" s="55" t="n">
        <v>0</v>
      </c>
      <c r="K7" s="55" t="n">
        <v>0</v>
      </c>
      <c r="L7" s="55" t="n">
        <v>37.37</v>
      </c>
      <c r="M7" s="55" t="n">
        <v>-2.63</v>
      </c>
      <c r="N7" s="36" t="inlineStr">
        <is>
          <t>004336</t>
        </is>
      </c>
      <c r="O7" s="36" t="inlineStr">
        <is>
          <t>CAREMARK</t>
        </is>
      </c>
      <c r="P7" s="36" t="inlineStr">
        <is>
          <t>ADV</t>
        </is>
      </c>
      <c r="Q7" s="36" t="inlineStr">
        <is>
          <t>RX23MD</t>
        </is>
      </c>
    </row>
    <row r="8">
      <c r="A8" s="36" t="inlineStr">
        <is>
          <t>124196</t>
        </is>
      </c>
      <c r="B8" s="52" t="n">
        <v>46062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100</v>
      </c>
      <c r="G8" s="54" t="n">
        <v>2</v>
      </c>
      <c r="H8" s="55" t="n">
        <v>40</v>
      </c>
      <c r="I8" s="55" t="n">
        <v>35.38</v>
      </c>
      <c r="J8" s="55" t="n">
        <v>0</v>
      </c>
      <c r="K8" s="55" t="n">
        <v>0</v>
      </c>
      <c r="L8" s="55" t="n">
        <v>35.38</v>
      </c>
      <c r="M8" s="55" t="n">
        <v>-4.62</v>
      </c>
      <c r="N8" s="36" t="inlineStr">
        <is>
          <t>610014</t>
        </is>
      </c>
      <c r="O8" s="36" t="inlineStr">
        <is>
          <t>EXPRESS</t>
        </is>
      </c>
      <c r="P8" s="36" t="inlineStr">
        <is>
          <t>MEDDPRIME</t>
        </is>
      </c>
      <c r="Q8" s="36" t="inlineStr">
        <is>
          <t>2FFA</t>
        </is>
      </c>
    </row>
    <row r="9">
      <c r="A9" s="36" t="inlineStr">
        <is>
          <t>123286</t>
        </is>
      </c>
      <c r="B9" s="52" t="n">
        <v>46077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28.61</v>
      </c>
      <c r="J9" s="55" t="n">
        <v>0</v>
      </c>
      <c r="K9" s="55" t="n">
        <v>7.15</v>
      </c>
      <c r="L9" s="55" t="n">
        <v>35.76</v>
      </c>
      <c r="M9" s="55" t="n">
        <v>-4.24</v>
      </c>
      <c r="N9" s="36" t="inlineStr">
        <is>
          <t>610014</t>
        </is>
      </c>
      <c r="O9" s="36" t="inlineStr">
        <is>
          <t>EXPRESS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134364</t>
        </is>
      </c>
      <c r="B10" s="52" t="n">
        <v>46028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39.07</v>
      </c>
      <c r="J10" s="55" t="n">
        <v>0</v>
      </c>
      <c r="K10" s="55" t="n">
        <v>0</v>
      </c>
      <c r="L10" s="55" t="n">
        <v>39.07</v>
      </c>
      <c r="M10" s="55" t="n">
        <v>-0.93</v>
      </c>
      <c r="N10" s="36" t="inlineStr">
        <is>
          <t>610502</t>
        </is>
      </c>
      <c r="O10" s="36" t="inlineStr">
        <is>
          <t>CAREMARK</t>
        </is>
      </c>
      <c r="P10" s="36" t="inlineStr">
        <is>
          <t>MEDDAET</t>
        </is>
      </c>
      <c r="Q10" s="36" t="inlineStr">
        <is>
          <t>RXAETD</t>
        </is>
      </c>
    </row>
    <row r="11">
      <c r="A11" s="36" t="inlineStr">
        <is>
          <t>142639</t>
        </is>
      </c>
      <c r="B11" s="52" t="n">
        <v>46063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28.61</v>
      </c>
      <c r="J11" s="55" t="n">
        <v>0</v>
      </c>
      <c r="K11" s="55" t="n">
        <v>7.15</v>
      </c>
      <c r="L11" s="55" t="n">
        <v>35.76</v>
      </c>
      <c r="M11" s="55" t="n">
        <v>-4.24</v>
      </c>
      <c r="N11" s="36" t="inlineStr">
        <is>
          <t>610014</t>
        </is>
      </c>
      <c r="O11" s="36" t="inlineStr">
        <is>
          <t>EXPRESS</t>
        </is>
      </c>
      <c r="P11" s="36" t="inlineStr">
        <is>
          <t>MEDDPRIME</t>
        </is>
      </c>
      <c r="Q11" s="36" t="inlineStr">
        <is>
          <t>2FFA</t>
        </is>
      </c>
    </row>
    <row r="12">
      <c r="A12" s="36" t="inlineStr">
        <is>
          <t>107242</t>
        </is>
      </c>
      <c r="B12" s="52" t="n">
        <v>46062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100</v>
      </c>
      <c r="G12" s="54" t="n">
        <v>2</v>
      </c>
      <c r="H12" s="55" t="n">
        <v>40</v>
      </c>
      <c r="I12" s="55" t="n">
        <v>39.07</v>
      </c>
      <c r="J12" s="55" t="n">
        <v>0</v>
      </c>
      <c r="K12" s="55" t="n">
        <v>0</v>
      </c>
      <c r="L12" s="55" t="n">
        <v>39.07</v>
      </c>
      <c r="M12" s="55" t="n">
        <v>-0.93</v>
      </c>
      <c r="N12" s="36" t="inlineStr">
        <is>
          <t>610502</t>
        </is>
      </c>
      <c r="O12" s="36" t="inlineStr">
        <is>
          <t>CAREMARK</t>
        </is>
      </c>
      <c r="P12" s="36" t="inlineStr">
        <is>
          <t>MEDDAET</t>
        </is>
      </c>
      <c r="Q12" s="36" t="inlineStr">
        <is>
          <t>RXAETD</t>
        </is>
      </c>
    </row>
    <row r="13">
      <c r="A13" s="36" t="inlineStr">
        <is>
          <t>123286</t>
        </is>
      </c>
      <c r="B13" s="52" t="n">
        <v>46030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28.61</v>
      </c>
      <c r="J13" s="55" t="n">
        <v>0</v>
      </c>
      <c r="K13" s="55" t="n">
        <v>7.15</v>
      </c>
      <c r="L13" s="55" t="n">
        <v>35.76</v>
      </c>
      <c r="M13" s="55" t="n">
        <v>-4.24</v>
      </c>
      <c r="N13" s="36" t="inlineStr">
        <is>
          <t>610014</t>
        </is>
      </c>
      <c r="O13" s="36" t="inlineStr">
        <is>
          <t>EXPRESS</t>
        </is>
      </c>
      <c r="P13" s="36" t="inlineStr">
        <is>
          <t>MEDDPRIME</t>
        </is>
      </c>
      <c r="Q13" s="36" t="inlineStr">
        <is>
          <t>2FFA</t>
        </is>
      </c>
    </row>
    <row r="14">
      <c r="A14" s="36" t="inlineStr">
        <is>
          <t>130956</t>
        </is>
      </c>
      <c r="B14" s="52" t="n">
        <v>46060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71.52</v>
      </c>
      <c r="J14" s="55" t="n">
        <v>0</v>
      </c>
      <c r="K14" s="55" t="n">
        <v>0</v>
      </c>
      <c r="L14" s="55" t="n">
        <v>71.52</v>
      </c>
      <c r="M14" s="55" t="n">
        <v>-8.48</v>
      </c>
      <c r="N14" s="36" t="inlineStr">
        <is>
          <t>610014</t>
        </is>
      </c>
      <c r="O14" s="36" t="inlineStr">
        <is>
          <t>EXPRESS</t>
        </is>
      </c>
      <c r="P14" s="36" t="inlineStr">
        <is>
          <t>MEDDPRIME</t>
        </is>
      </c>
      <c r="Q14" s="36" t="inlineStr">
        <is>
          <t>2FFA</t>
        </is>
      </c>
    </row>
    <row r="15">
      <c r="A15" s="36" t="inlineStr">
        <is>
          <t>139769</t>
        </is>
      </c>
      <c r="B15" s="52" t="n">
        <v>46042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200</v>
      </c>
      <c r="G15" s="54" t="n">
        <v>4</v>
      </c>
      <c r="H15" s="55" t="n">
        <v>80</v>
      </c>
      <c r="I15" s="55" t="n">
        <v>71.52</v>
      </c>
      <c r="J15" s="55" t="n">
        <v>0</v>
      </c>
      <c r="K15" s="55" t="n">
        <v>0</v>
      </c>
      <c r="L15" s="55" t="n">
        <v>71.52</v>
      </c>
      <c r="M15" s="55" t="n">
        <v>-8.48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139610</t>
        </is>
      </c>
      <c r="B16" s="52" t="n">
        <v>46041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37.37</v>
      </c>
      <c r="J16" s="55" t="n">
        <v>0</v>
      </c>
      <c r="K16" s="55" t="n">
        <v>0</v>
      </c>
      <c r="L16" s="55" t="n">
        <v>37.37</v>
      </c>
      <c r="M16" s="55" t="n">
        <v>-2.63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RX23MD</t>
        </is>
      </c>
    </row>
    <row r="17">
      <c r="A17" s="36" t="inlineStr">
        <is>
          <t>107242</t>
        </is>
      </c>
      <c r="B17" s="52" t="n">
        <v>46034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39.07</v>
      </c>
      <c r="J17" s="55" t="n">
        <v>0</v>
      </c>
      <c r="K17" s="55" t="n">
        <v>0</v>
      </c>
      <c r="L17" s="55" t="n">
        <v>39.07</v>
      </c>
      <c r="M17" s="55" t="n">
        <v>-0.93</v>
      </c>
      <c r="N17" s="36" t="inlineStr">
        <is>
          <t>610502</t>
        </is>
      </c>
      <c r="O17" s="36" t="inlineStr">
        <is>
          <t>CAREMARK</t>
        </is>
      </c>
      <c r="P17" s="36" t="inlineStr">
        <is>
          <t>MEDDAET</t>
        </is>
      </c>
      <c r="Q17" s="36" t="inlineStr">
        <is>
          <t>RXAETD</t>
        </is>
      </c>
    </row>
    <row r="18">
      <c r="A18" s="36" t="inlineStr">
        <is>
          <t>124196</t>
        </is>
      </c>
      <c r="B18" s="52" t="n">
        <v>46007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35.76</v>
      </c>
      <c r="J18" s="55" t="n">
        <v>0</v>
      </c>
      <c r="K18" s="55" t="n">
        <v>0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118726</t>
        </is>
      </c>
      <c r="B19" s="52" t="n">
        <v>45992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28.61</v>
      </c>
      <c r="J19" s="55" t="n">
        <v>0</v>
      </c>
      <c r="K19" s="55" t="n">
        <v>7.15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123286</t>
        </is>
      </c>
      <c r="B20" s="52" t="n">
        <v>46014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40.85</v>
      </c>
      <c r="J20" s="55" t="n">
        <v>0</v>
      </c>
      <c r="K20" s="55" t="n">
        <v>0</v>
      </c>
      <c r="L20" s="55" t="n">
        <v>40.85</v>
      </c>
      <c r="M20" s="55" t="n">
        <v>0.85</v>
      </c>
      <c r="N20" s="36" t="inlineStr">
        <is>
          <t>610097</t>
        </is>
      </c>
      <c r="O20" s="36" t="inlineStr">
        <is>
          <t>OPTUM</t>
        </is>
      </c>
      <c r="P20" s="36" t="inlineStr">
        <is>
          <t>9999</t>
        </is>
      </c>
      <c r="Q20" s="36" t="n">
        <v/>
      </c>
    </row>
    <row r="21">
      <c r="A21" s="36" t="inlineStr">
        <is>
          <t>100762</t>
        </is>
      </c>
      <c r="B21" s="52" t="n">
        <v>45992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200</v>
      </c>
      <c r="G21" s="54" t="n">
        <v>4</v>
      </c>
      <c r="H21" s="55" t="n">
        <v>80</v>
      </c>
      <c r="I21" s="55" t="n">
        <v>67.95</v>
      </c>
      <c r="J21" s="55" t="n">
        <v>0</v>
      </c>
      <c r="K21" s="55" t="n">
        <v>7.55</v>
      </c>
      <c r="L21" s="55" t="n">
        <v>75.5</v>
      </c>
      <c r="M21" s="55" t="n">
        <v>-4.5</v>
      </c>
      <c r="N21" s="36" t="inlineStr">
        <is>
          <t>015581</t>
        </is>
      </c>
      <c r="O21" s="36" t="inlineStr">
        <is>
          <t>ARG/HUM</t>
        </is>
      </c>
      <c r="P21" s="36" t="inlineStr">
        <is>
          <t>03200000</t>
        </is>
      </c>
      <c r="Q21" s="36" t="inlineStr">
        <is>
          <t>Y9035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110585</t>
        </is>
      </c>
      <c r="B23" s="52" t="n">
        <v>46013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15.51</v>
      </c>
      <c r="J23" s="55" t="n">
        <v>0</v>
      </c>
      <c r="K23" s="55" t="n">
        <v>29.99</v>
      </c>
      <c r="L23" s="55" t="n">
        <v>45.5</v>
      </c>
      <c r="M23" s="55" t="n">
        <v>5.5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RX7682</t>
        </is>
      </c>
    </row>
    <row r="24">
      <c r="A24" s="36" t="inlineStr">
        <is>
          <t>124196</t>
        </is>
      </c>
      <c r="B24" s="52" t="n">
        <v>46035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100</v>
      </c>
      <c r="G24" s="54" t="n">
        <v>2</v>
      </c>
      <c r="H24" s="55" t="n">
        <v>40</v>
      </c>
      <c r="I24" s="55" t="n">
        <v>35.38</v>
      </c>
      <c r="J24" s="55" t="n">
        <v>0</v>
      </c>
      <c r="K24" s="55" t="n">
        <v>0</v>
      </c>
      <c r="L24" s="55" t="n">
        <v>35.38</v>
      </c>
      <c r="M24" s="55" t="n">
        <v>-4.62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143274</t>
        </is>
      </c>
      <c r="B25" s="52" t="n">
        <v>46066</v>
      </c>
      <c r="C25" s="36" t="inlineStr">
        <is>
          <t>65702072910</t>
        </is>
      </c>
      <c r="D25" s="53" t="inlineStr">
        <is>
          <t>ACCU-CHEK GUIDE W/DEVICE KIT</t>
        </is>
      </c>
      <c r="E25" s="36" t="n">
        <v>1</v>
      </c>
      <c r="F25" s="54" t="n">
        <v>1</v>
      </c>
      <c r="G25" s="54" t="n">
        <v>1</v>
      </c>
      <c r="H25" s="55" t="n">
        <v>26</v>
      </c>
      <c r="I25" s="55" t="n">
        <v>21.18</v>
      </c>
      <c r="J25" s="55" t="n">
        <v>0</v>
      </c>
      <c r="K25" s="55" t="n">
        <v>0</v>
      </c>
      <c r="L25" s="55" t="n">
        <v>21.18</v>
      </c>
      <c r="M25" s="55" t="n">
        <v>-4.82</v>
      </c>
      <c r="N25" s="36" t="inlineStr">
        <is>
          <t>610014</t>
        </is>
      </c>
      <c r="O25" s="36" t="inlineStr">
        <is>
          <t>EXPRESS</t>
        </is>
      </c>
      <c r="P25" s="36" t="inlineStr">
        <is>
          <t>MEDDPRIME</t>
        </is>
      </c>
      <c r="Q25" s="36" t="inlineStr">
        <is>
          <t>2FFA</t>
        </is>
      </c>
    </row>
    <row r="26">
      <c r="A26" s="36" t="inlineStr">
        <is>
          <t>132679</t>
        </is>
      </c>
      <c r="B26" s="52" t="n">
        <v>46036</v>
      </c>
      <c r="C26" s="36" t="inlineStr">
        <is>
          <t>50242014301</t>
        </is>
      </c>
      <c r="D26" s="53" t="inlineStr">
        <is>
          <t>ACTEMRA ACTPEN 162 MG/0.9ML SUBCUTANEOUS SOLUTION AUTO-INJECTOR</t>
        </is>
      </c>
      <c r="E26" s="36" t="n">
        <v>0.9</v>
      </c>
      <c r="F26" s="54" t="n">
        <v>1.8</v>
      </c>
      <c r="G26" s="54" t="n">
        <v>2</v>
      </c>
      <c r="H26" s="55" t="n">
        <v>2292</v>
      </c>
      <c r="I26" s="55" t="n">
        <v>2312.48</v>
      </c>
      <c r="J26" s="55" t="n">
        <v>0</v>
      </c>
      <c r="K26" s="55" t="n">
        <v>0</v>
      </c>
      <c r="L26" s="55" t="n">
        <v>2312.48</v>
      </c>
      <c r="M26" s="55" t="n">
        <v>20.48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132679</t>
        </is>
      </c>
      <c r="B27" s="52" t="n">
        <v>46073</v>
      </c>
      <c r="C27" s="36" t="inlineStr">
        <is>
          <t>50242014301</t>
        </is>
      </c>
      <c r="D27" s="53" t="inlineStr">
        <is>
          <t>ACTEMRA ACTPEN 162 MG/0.9ML SUBCUTANEOUS SOLUTION AUTO-INJECTOR</t>
        </is>
      </c>
      <c r="E27" s="36" t="n">
        <v>0.9</v>
      </c>
      <c r="F27" s="54" t="n">
        <v>1.8</v>
      </c>
      <c r="G27" s="54" t="n">
        <v>2</v>
      </c>
      <c r="H27" s="55" t="n">
        <v>2290</v>
      </c>
      <c r="I27" s="55" t="n">
        <v>2312.48</v>
      </c>
      <c r="J27" s="55" t="n">
        <v>0</v>
      </c>
      <c r="K27" s="55" t="n">
        <v>0</v>
      </c>
      <c r="L27" s="55" t="n">
        <v>2312.48</v>
      </c>
      <c r="M27" s="55" t="n">
        <v>22.48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132679</t>
        </is>
      </c>
      <c r="B28" s="52" t="n">
        <v>46010</v>
      </c>
      <c r="C28" s="36" t="inlineStr">
        <is>
          <t>50242014301</t>
        </is>
      </c>
      <c r="D28" s="53" t="inlineStr">
        <is>
          <t>ACTEMRA ACTPEN 162 MG/0.9ML SUBCUTANEOUS SOLUTION AUTO-INJECTOR</t>
        </is>
      </c>
      <c r="E28" s="36" t="n">
        <v>0.9</v>
      </c>
      <c r="F28" s="54" t="n">
        <v>1.8</v>
      </c>
      <c r="G28" s="54" t="n">
        <v>2</v>
      </c>
      <c r="H28" s="55" t="n">
        <v>2290</v>
      </c>
      <c r="I28" s="55" t="n">
        <v>2302.26</v>
      </c>
      <c r="J28" s="55" t="n">
        <v>0</v>
      </c>
      <c r="K28" s="55" t="n">
        <v>0</v>
      </c>
      <c r="L28" s="55" t="n">
        <v>2302.26</v>
      </c>
      <c r="M28" s="55" t="n">
        <v>12.26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141921</t>
        </is>
      </c>
      <c r="B29" s="52" t="n">
        <v>46057</v>
      </c>
      <c r="C29" s="36" t="inlineStr">
        <is>
          <t>00173069600</t>
        </is>
      </c>
      <c r="D29" s="53" t="inlineStr">
        <is>
          <t>ADVAIR DISKUS 250-50MCG/DOSE AEROSOL 60EA</t>
        </is>
      </c>
      <c r="E29" s="36" t="n">
        <v>60</v>
      </c>
      <c r="F29" s="54" t="n">
        <v>180</v>
      </c>
      <c r="G29" s="54" t="n">
        <v>3</v>
      </c>
      <c r="H29" s="55" t="n">
        <v>570</v>
      </c>
      <c r="I29" s="55" t="n">
        <v>535.3200000000001</v>
      </c>
      <c r="J29" s="55" t="n">
        <v>0</v>
      </c>
      <c r="K29" s="55" t="n">
        <v>0</v>
      </c>
      <c r="L29" s="55" t="n">
        <v>535.3200000000001</v>
      </c>
      <c r="M29" s="55" t="n">
        <v>-34.68</v>
      </c>
      <c r="N29" s="36" t="inlineStr">
        <is>
          <t>004336</t>
        </is>
      </c>
      <c r="O29" s="36" t="inlineStr">
        <is>
          <t>CAREMARK</t>
        </is>
      </c>
      <c r="P29" s="36" t="inlineStr">
        <is>
          <t>MEDDADV</t>
        </is>
      </c>
      <c r="Q29" s="36" t="inlineStr">
        <is>
          <t>RX8585</t>
        </is>
      </c>
    </row>
    <row r="30">
      <c r="A30" s="36" t="inlineStr">
        <is>
          <t>120744</t>
        </is>
      </c>
      <c r="B30" s="52" t="n">
        <v>46007</v>
      </c>
      <c r="C30" s="36" t="inlineStr">
        <is>
          <t>00173071720</t>
        </is>
      </c>
      <c r="D30" s="53" t="inlineStr">
        <is>
          <t>ADVAIR HFA 230-21 MCG/ACT INHALATION AEROSOL</t>
        </is>
      </c>
      <c r="E30" s="36" t="n">
        <v>12</v>
      </c>
      <c r="F30" s="54" t="n">
        <v>12</v>
      </c>
      <c r="G30" s="54" t="n">
        <v>1</v>
      </c>
      <c r="H30" s="55" t="n">
        <v>424</v>
      </c>
      <c r="I30" s="55" t="n">
        <v>430.91</v>
      </c>
      <c r="J30" s="55" t="n">
        <v>0</v>
      </c>
      <c r="K30" s="55" t="n">
        <v>0</v>
      </c>
      <c r="L30" s="55" t="n">
        <v>430.91</v>
      </c>
      <c r="M30" s="55" t="n">
        <v>6.91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143441</t>
        </is>
      </c>
      <c r="B31" s="52" t="n">
        <v>46069</v>
      </c>
      <c r="C31" s="36" t="inlineStr">
        <is>
          <t>00173071720</t>
        </is>
      </c>
      <c r="D31" s="53" t="inlineStr">
        <is>
          <t>ADVAIR HFA 230-21 MCG/ACT INHALATION AEROSOL</t>
        </is>
      </c>
      <c r="E31" s="36" t="n">
        <v>12</v>
      </c>
      <c r="F31" s="54" t="n">
        <v>12</v>
      </c>
      <c r="G31" s="54" t="n">
        <v>1</v>
      </c>
      <c r="H31" s="55" t="n">
        <v>428</v>
      </c>
      <c r="I31" s="55" t="n">
        <v>430.83</v>
      </c>
      <c r="J31" s="55" t="n">
        <v>0</v>
      </c>
      <c r="K31" s="55" t="n">
        <v>0</v>
      </c>
      <c r="L31" s="55" t="n">
        <v>430.83</v>
      </c>
      <c r="M31" s="55" t="n">
        <v>2.83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120744</t>
        </is>
      </c>
      <c r="B32" s="52" t="n">
        <v>46034</v>
      </c>
      <c r="C32" s="36" t="inlineStr">
        <is>
          <t>00173071720</t>
        </is>
      </c>
      <c r="D32" s="53" t="inlineStr">
        <is>
          <t>ADVAIR HFA 230-21 MCG/ACT INHALATION AEROSOL</t>
        </is>
      </c>
      <c r="E32" s="36" t="n">
        <v>12</v>
      </c>
      <c r="F32" s="54" t="n">
        <v>12</v>
      </c>
      <c r="G32" s="54" t="n">
        <v>1</v>
      </c>
      <c r="H32" s="55" t="n">
        <v>424</v>
      </c>
      <c r="I32" s="55" t="n">
        <v>430.86</v>
      </c>
      <c r="J32" s="55" t="n">
        <v>0</v>
      </c>
      <c r="K32" s="55" t="n">
        <v>0</v>
      </c>
      <c r="L32" s="55" t="n">
        <v>430.86</v>
      </c>
      <c r="M32" s="55" t="n">
        <v>6.86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134992</t>
        </is>
      </c>
      <c r="B33" s="52" t="n">
        <v>46003</v>
      </c>
      <c r="C33" s="36" t="inlineStr">
        <is>
          <t>33332002503</t>
        </is>
      </c>
      <c r="D33" s="53" t="inlineStr">
        <is>
          <t>AFLURIA PRESERVATIVE FREE 0.5 ML INTRAMUSCULAR SUSPENSION PREFILLED SYRINGE</t>
        </is>
      </c>
      <c r="E33" s="36" t="n">
        <v>5</v>
      </c>
      <c r="F33" s="54" t="n">
        <v>0.5</v>
      </c>
      <c r="G33" s="54" t="n">
        <v>0.1</v>
      </c>
      <c r="H33" s="55" t="n">
        <v>0</v>
      </c>
      <c r="I33" s="55" t="n">
        <v>20.79</v>
      </c>
      <c r="J33" s="55" t="n">
        <v>0</v>
      </c>
      <c r="K33" s="55" t="n">
        <v>0</v>
      </c>
      <c r="L33" s="55" t="n">
        <v>20.79</v>
      </c>
      <c r="M33" s="55" t="n">
        <v>0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MEDDADV</t>
        </is>
      </c>
      <c r="Q33" s="36" t="inlineStr">
        <is>
          <t>RX1110</t>
        </is>
      </c>
    </row>
    <row r="34">
      <c r="A34" s="36" t="inlineStr">
        <is>
          <t>138657</t>
        </is>
      </c>
      <c r="B34" s="52" t="n">
        <v>46034</v>
      </c>
      <c r="C34" s="36" t="inlineStr">
        <is>
          <t>33332002503</t>
        </is>
      </c>
      <c r="D34" s="53" t="inlineStr">
        <is>
          <t>AFLURIA PRESERVATIVE FREE 0.5 ML INTRAMUSCULAR SUSPENSION PREFILLED SYRINGE</t>
        </is>
      </c>
      <c r="E34" s="36" t="n">
        <v>5</v>
      </c>
      <c r="F34" s="54" t="n">
        <v>0.5</v>
      </c>
      <c r="G34" s="54" t="n">
        <v>0.1</v>
      </c>
      <c r="H34" s="55" t="n">
        <v>0</v>
      </c>
      <c r="I34" s="55" t="n">
        <v>20.98</v>
      </c>
      <c r="J34" s="55" t="n">
        <v>0</v>
      </c>
      <c r="K34" s="55" t="n">
        <v>0</v>
      </c>
      <c r="L34" s="55" t="n">
        <v>20.98</v>
      </c>
      <c r="M34" s="55" t="n">
        <v>0</v>
      </c>
      <c r="N34" s="36" t="inlineStr">
        <is>
          <t>004336</t>
        </is>
      </c>
      <c r="O34" s="36" t="inlineStr">
        <is>
          <t>CAREMARK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134597</t>
        </is>
      </c>
      <c r="B35" s="52" t="n">
        <v>46001</v>
      </c>
      <c r="C35" s="36" t="inlineStr">
        <is>
          <t>33332002503</t>
        </is>
      </c>
      <c r="D35" s="53" t="inlineStr">
        <is>
          <t>AFLURIA PRESERVATIVE FREE 0.5 ML INTRAMUSCULAR SUSPENSION PREFILLED SYRINGE</t>
        </is>
      </c>
      <c r="E35" s="36" t="n">
        <v>5</v>
      </c>
      <c r="F35" s="54" t="n">
        <v>0.5</v>
      </c>
      <c r="G35" s="54" t="n">
        <v>0.1</v>
      </c>
      <c r="H35" s="55" t="n">
        <v>0</v>
      </c>
      <c r="I35" s="55" t="n">
        <v>20.79</v>
      </c>
      <c r="J35" s="55" t="n">
        <v>0</v>
      </c>
      <c r="K35" s="55" t="n">
        <v>0</v>
      </c>
      <c r="L35" s="55" t="n">
        <v>20.79</v>
      </c>
      <c r="M35" s="55" t="n">
        <v>0</v>
      </c>
      <c r="N35" s="36" t="inlineStr">
        <is>
          <t>004336</t>
        </is>
      </c>
      <c r="O35" s="36" t="inlineStr">
        <is>
          <t>CAREMARK</t>
        </is>
      </c>
      <c r="P35" s="36" t="inlineStr">
        <is>
          <t>MEDDADV</t>
        </is>
      </c>
      <c r="Q35" s="36" t="inlineStr">
        <is>
          <t>RX1110</t>
        </is>
      </c>
    </row>
    <row r="36">
      <c r="A36" s="36" t="inlineStr">
        <is>
          <t>142197</t>
        </is>
      </c>
      <c r="B36" s="52" t="n">
        <v>46059</v>
      </c>
      <c r="C36" s="36" t="inlineStr">
        <is>
          <t>00310908012</t>
        </is>
      </c>
      <c r="D36" s="53" t="inlineStr">
        <is>
          <t>AIRSUPRA 90-80 MCG/ACT INHALATION AEROSOL</t>
        </is>
      </c>
      <c r="E36" s="36" t="n">
        <v>10.7</v>
      </c>
      <c r="F36" s="54" t="n">
        <v>10.7</v>
      </c>
      <c r="G36" s="54" t="n">
        <v>1</v>
      </c>
      <c r="H36" s="55" t="n">
        <v>490</v>
      </c>
      <c r="I36" s="55" t="n">
        <v>436.54</v>
      </c>
      <c r="J36" s="55" t="n">
        <v>0</v>
      </c>
      <c r="K36" s="55" t="n">
        <v>30</v>
      </c>
      <c r="L36" s="55" t="n">
        <v>466.54</v>
      </c>
      <c r="M36" s="55" t="n">
        <v>-23.46</v>
      </c>
      <c r="N36" s="36" t="inlineStr">
        <is>
          <t>610014</t>
        </is>
      </c>
      <c r="O36" s="36" t="inlineStr">
        <is>
          <t>EXPRESS</t>
        </is>
      </c>
      <c r="P36" s="36" t="n">
        <v/>
      </c>
      <c r="Q36" s="36" t="inlineStr">
        <is>
          <t>LOCAL74</t>
        </is>
      </c>
    </row>
    <row r="37">
      <c r="A37" s="36" t="inlineStr">
        <is>
          <t>140593</t>
        </is>
      </c>
      <c r="B37" s="52" t="n">
        <v>46049</v>
      </c>
      <c r="C37" s="36" t="inlineStr">
        <is>
          <t>00310908012</t>
        </is>
      </c>
      <c r="D37" s="53" t="inlineStr">
        <is>
          <t>AIRSUPRA 90-80 MCG/ACT INHALATION AEROSOL</t>
        </is>
      </c>
      <c r="E37" s="36" t="n">
        <v>10.7</v>
      </c>
      <c r="F37" s="54" t="n">
        <v>10.7</v>
      </c>
      <c r="G37" s="54" t="n">
        <v>1</v>
      </c>
      <c r="H37" s="55" t="n">
        <v>486</v>
      </c>
      <c r="I37" s="55" t="n">
        <v>479.3</v>
      </c>
      <c r="J37" s="55" t="n">
        <v>0</v>
      </c>
      <c r="K37" s="55" t="n">
        <v>0</v>
      </c>
      <c r="L37" s="55" t="n">
        <v>479.3</v>
      </c>
      <c r="M37" s="55" t="n">
        <v>-6.7</v>
      </c>
      <c r="N37" s="36" t="inlineStr">
        <is>
          <t>004336</t>
        </is>
      </c>
      <c r="O37" s="36" t="inlineStr">
        <is>
          <t>CAREMARK</t>
        </is>
      </c>
      <c r="P37" s="36" t="inlineStr">
        <is>
          <t>MEDDADV</t>
        </is>
      </c>
      <c r="Q37" s="36" t="inlineStr">
        <is>
          <t>RX1110</t>
        </is>
      </c>
    </row>
    <row r="38">
      <c r="A38" s="36" t="inlineStr">
        <is>
          <t>130078</t>
        </is>
      </c>
      <c r="B38" s="52" t="n">
        <v>45995</v>
      </c>
      <c r="C38" s="36" t="inlineStr">
        <is>
          <t>00310908012</t>
        </is>
      </c>
      <c r="D38" s="53" t="inlineStr">
        <is>
          <t>AIRSUPRA 90-80 MCG/ACT INHALATION AEROSOL</t>
        </is>
      </c>
      <c r="E38" s="36" t="n">
        <v>10.7</v>
      </c>
      <c r="F38" s="54" t="n">
        <v>10.7</v>
      </c>
      <c r="G38" s="54" t="n">
        <v>1</v>
      </c>
      <c r="H38" s="55" t="n">
        <v>486</v>
      </c>
      <c r="I38" s="55" t="n">
        <v>479.37</v>
      </c>
      <c r="J38" s="55" t="n">
        <v>0</v>
      </c>
      <c r="K38" s="55" t="n">
        <v>0</v>
      </c>
      <c r="L38" s="55" t="n">
        <v>479.37</v>
      </c>
      <c r="M38" s="55" t="n">
        <v>-6.63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137179</t>
        </is>
      </c>
      <c r="B39" s="52" t="n">
        <v>46024</v>
      </c>
      <c r="C39" s="36" t="inlineStr">
        <is>
          <t>00310908012</t>
        </is>
      </c>
      <c r="D39" s="53" t="inlineStr">
        <is>
          <t>AIRSUPRA 90-80 MCG/ACT INHALATION AEROSOL</t>
        </is>
      </c>
      <c r="E39" s="36" t="n">
        <v>10.7</v>
      </c>
      <c r="F39" s="54" t="n">
        <v>10.7</v>
      </c>
      <c r="G39" s="54" t="n">
        <v>1</v>
      </c>
      <c r="H39" s="55" t="n">
        <v>486</v>
      </c>
      <c r="I39" s="55" t="n">
        <v>479.45</v>
      </c>
      <c r="J39" s="55" t="n">
        <v>0</v>
      </c>
      <c r="K39" s="55" t="n">
        <v>0</v>
      </c>
      <c r="L39" s="55" t="n">
        <v>479.45</v>
      </c>
      <c r="M39" s="55" t="n">
        <v>-6.55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138774</t>
        </is>
      </c>
      <c r="B40" s="52" t="n">
        <v>46034</v>
      </c>
      <c r="C40" s="36" t="inlineStr">
        <is>
          <t>00310908012</t>
        </is>
      </c>
      <c r="D40" s="53" t="inlineStr">
        <is>
          <t>AIRSUPRA 90-80 MCG/ACT INHALATION AEROSOL</t>
        </is>
      </c>
      <c r="E40" s="36" t="n">
        <v>10.7</v>
      </c>
      <c r="F40" s="54" t="n">
        <v>10.7</v>
      </c>
      <c r="G40" s="54" t="n">
        <v>1</v>
      </c>
      <c r="H40" s="55" t="n">
        <v>486</v>
      </c>
      <c r="I40" s="55" t="n">
        <v>474.4</v>
      </c>
      <c r="J40" s="55" t="n">
        <v>0</v>
      </c>
      <c r="K40" s="55" t="n">
        <v>4.9</v>
      </c>
      <c r="L40" s="55" t="n">
        <v>479.3</v>
      </c>
      <c r="M40" s="55" t="n">
        <v>-6.7</v>
      </c>
      <c r="N40" s="36" t="inlineStr">
        <is>
          <t>004336</t>
        </is>
      </c>
      <c r="O40" s="36" t="inlineStr">
        <is>
          <t>CAREMARK</t>
        </is>
      </c>
      <c r="P40" s="36" t="inlineStr">
        <is>
          <t>MEDDADV</t>
        </is>
      </c>
      <c r="Q40" s="36" t="inlineStr">
        <is>
          <t>RX1110</t>
        </is>
      </c>
    </row>
    <row r="41">
      <c r="A41" s="36" t="inlineStr">
        <is>
          <t>142975</t>
        </is>
      </c>
      <c r="B41" s="52" t="n">
        <v>46065</v>
      </c>
      <c r="C41" s="36" t="inlineStr">
        <is>
          <t>00310908012</t>
        </is>
      </c>
      <c r="D41" s="53" t="inlineStr">
        <is>
          <t>AIRSUPRA 90-80 MCG/ACT INHALATION AEROSOL</t>
        </is>
      </c>
      <c r="E41" s="36" t="n">
        <v>10.7</v>
      </c>
      <c r="F41" s="54" t="n">
        <v>10.7</v>
      </c>
      <c r="G41" s="54" t="n">
        <v>1</v>
      </c>
      <c r="H41" s="55" t="n">
        <v>490</v>
      </c>
      <c r="I41" s="55" t="n">
        <v>474.4</v>
      </c>
      <c r="J41" s="55" t="n">
        <v>0</v>
      </c>
      <c r="K41" s="55" t="n">
        <v>4.9</v>
      </c>
      <c r="L41" s="55" t="n">
        <v>479.3</v>
      </c>
      <c r="M41" s="55" t="n">
        <v>-10.7</v>
      </c>
      <c r="N41" s="36" t="inlineStr">
        <is>
          <t>004336</t>
        </is>
      </c>
      <c r="O41" s="36" t="inlineStr">
        <is>
          <t>CAREMARK</t>
        </is>
      </c>
      <c r="P41" s="36" t="inlineStr">
        <is>
          <t>MEDDADV</t>
        </is>
      </c>
      <c r="Q41" s="36" t="inlineStr">
        <is>
          <t>RX1110</t>
        </is>
      </c>
    </row>
    <row r="42">
      <c r="A42" s="36" t="inlineStr">
        <is>
          <t>143556</t>
        </is>
      </c>
      <c r="B42" s="52" t="n">
        <v>46069</v>
      </c>
      <c r="C42" s="36" t="inlineStr">
        <is>
          <t>00310908012</t>
        </is>
      </c>
      <c r="D42" s="53" t="inlineStr">
        <is>
          <t>AIRSUPRA 90-80 MCG/ACT INHALATION AEROSOL</t>
        </is>
      </c>
      <c r="E42" s="36" t="n">
        <v>10.7</v>
      </c>
      <c r="F42" s="54" t="n">
        <v>10.7</v>
      </c>
      <c r="G42" s="54" t="n">
        <v>1</v>
      </c>
      <c r="H42" s="55" t="n">
        <v>490</v>
      </c>
      <c r="I42" s="55" t="n">
        <v>493.53</v>
      </c>
      <c r="J42" s="55" t="n">
        <v>0</v>
      </c>
      <c r="K42" s="55" t="n">
        <v>0</v>
      </c>
      <c r="L42" s="55" t="n">
        <v>493.53</v>
      </c>
      <c r="M42" s="55" t="n">
        <v>3.53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121867</t>
        </is>
      </c>
      <c r="B43" s="52" t="n">
        <v>46050</v>
      </c>
      <c r="C43" s="36" t="inlineStr">
        <is>
          <t>00023917715</t>
        </is>
      </c>
      <c r="D43" s="53" t="inlineStr">
        <is>
          <t>ALPHAGAN P 0.15 % OPHTHALMIC SOLUTION</t>
        </is>
      </c>
      <c r="E43" s="36" t="n">
        <v>15</v>
      </c>
      <c r="F43" s="54" t="n">
        <v>15</v>
      </c>
      <c r="G43" s="54" t="n">
        <v>1</v>
      </c>
      <c r="H43" s="55" t="n">
        <v>0</v>
      </c>
      <c r="I43" s="55" t="n">
        <v>607.64</v>
      </c>
      <c r="J43" s="55" t="n">
        <v>0</v>
      </c>
      <c r="K43" s="55" t="n">
        <v>0</v>
      </c>
      <c r="L43" s="55" t="n">
        <v>607.64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140708</t>
        </is>
      </c>
      <c r="B44" s="52" t="n">
        <v>46049</v>
      </c>
      <c r="C44" s="36" t="inlineStr">
        <is>
          <t>00173086910</t>
        </is>
      </c>
      <c r="D44" s="53" t="inlineStr">
        <is>
          <t>ANORO ELLIPTA 62.5-25MCG/INH AEROSOL 60EA</t>
        </is>
      </c>
      <c r="E44" s="36" t="n">
        <v>60</v>
      </c>
      <c r="F44" s="54" t="n">
        <v>60</v>
      </c>
      <c r="G44" s="54" t="n">
        <v>1</v>
      </c>
      <c r="H44" s="55" t="n">
        <v>471</v>
      </c>
      <c r="I44" s="55" t="n">
        <v>465.18</v>
      </c>
      <c r="J44" s="55" t="n">
        <v>0</v>
      </c>
      <c r="K44" s="55" t="n">
        <v>0</v>
      </c>
      <c r="L44" s="55" t="n">
        <v>465.18</v>
      </c>
      <c r="M44" s="55" t="n">
        <v>-5.82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RX1110</t>
        </is>
      </c>
    </row>
    <row r="45">
      <c r="A45" s="36" t="inlineStr">
        <is>
          <t>140708</t>
        </is>
      </c>
      <c r="B45" s="52" t="n">
        <v>46077</v>
      </c>
      <c r="C45" s="36" t="inlineStr">
        <is>
          <t>00173086910</t>
        </is>
      </c>
      <c r="D45" s="53" t="inlineStr">
        <is>
          <t>ANORO ELLIPTA 62.5-25MCG/INH AEROSOL 60EA</t>
        </is>
      </c>
      <c r="E45" s="36" t="n">
        <v>60</v>
      </c>
      <c r="F45" s="54" t="n">
        <v>60</v>
      </c>
      <c r="G45" s="54" t="n">
        <v>1</v>
      </c>
      <c r="H45" s="55" t="n">
        <v>471</v>
      </c>
      <c r="I45" s="55" t="n">
        <v>465.18</v>
      </c>
      <c r="J45" s="55" t="n">
        <v>0</v>
      </c>
      <c r="K45" s="55" t="n">
        <v>0</v>
      </c>
      <c r="L45" s="55" t="n">
        <v>465.18</v>
      </c>
      <c r="M45" s="55" t="n">
        <v>-5.82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RX1110</t>
        </is>
      </c>
    </row>
    <row r="46">
      <c r="A46" s="36" t="inlineStr">
        <is>
          <t>133599</t>
        </is>
      </c>
      <c r="B46" s="52" t="n">
        <v>45994</v>
      </c>
      <c r="C46" s="36" t="inlineStr">
        <is>
          <t>58160084811</t>
        </is>
      </c>
      <c r="D46" s="53" t="inlineStr">
        <is>
          <t>AREXVY 120 MCG/0.5ML INTRAMUSCULAR SUSPENSION RECONSTITUTED</t>
        </is>
      </c>
      <c r="E46" s="36" t="n">
        <v>10</v>
      </c>
      <c r="F46" s="54" t="n">
        <v>1</v>
      </c>
      <c r="G46" s="54" t="n">
        <v>0.1</v>
      </c>
      <c r="H46" s="55" t="n">
        <v>294.9</v>
      </c>
      <c r="I46" s="55" t="n">
        <v>288.71</v>
      </c>
      <c r="J46" s="55" t="n">
        <v>0</v>
      </c>
      <c r="K46" s="55" t="n">
        <v>0</v>
      </c>
      <c r="L46" s="55" t="n">
        <v>288.71</v>
      </c>
      <c r="M46" s="55" t="n">
        <v>-6.19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134877</t>
        </is>
      </c>
      <c r="B47" s="52" t="n">
        <v>46003</v>
      </c>
      <c r="C47" s="36" t="inlineStr">
        <is>
          <t>58160084811</t>
        </is>
      </c>
      <c r="D47" s="53" t="inlineStr">
        <is>
          <t>AREXVY 120 MCG/0.5ML INTRAMUSCULAR SUSPENSION RECONSTITUTED</t>
        </is>
      </c>
      <c r="E47" s="36" t="n">
        <v>10</v>
      </c>
      <c r="F47" s="54" t="n">
        <v>1</v>
      </c>
      <c r="G47" s="54" t="n">
        <v>0.1</v>
      </c>
      <c r="H47" s="55" t="n">
        <v>294.9</v>
      </c>
      <c r="I47" s="55" t="n">
        <v>306.19</v>
      </c>
      <c r="J47" s="55" t="n">
        <v>0</v>
      </c>
      <c r="K47" s="55" t="n">
        <v>0</v>
      </c>
      <c r="L47" s="55" t="n">
        <v>306.19</v>
      </c>
      <c r="M47" s="55" t="n">
        <v>11.29</v>
      </c>
      <c r="N47" s="36" t="inlineStr">
        <is>
          <t>004336</t>
        </is>
      </c>
      <c r="O47" s="36" t="inlineStr">
        <is>
          <t>CAREMARK</t>
        </is>
      </c>
      <c r="P47" s="36" t="inlineStr">
        <is>
          <t>ADV</t>
        </is>
      </c>
      <c r="Q47" s="36" t="inlineStr">
        <is>
          <t>RX23MD</t>
        </is>
      </c>
    </row>
    <row r="48">
      <c r="A48" s="36" t="inlineStr">
        <is>
          <t>140988</t>
        </is>
      </c>
      <c r="B48" s="52" t="n">
        <v>46051</v>
      </c>
      <c r="C48" s="36" t="inlineStr">
        <is>
          <t>00173087410</t>
        </is>
      </c>
      <c r="D48" s="53" t="inlineStr">
        <is>
          <t>ARNUITY ELLIPTA 100 MCG/ACT INH AEROSOL</t>
        </is>
      </c>
      <c r="E48" s="36" t="n">
        <v>30</v>
      </c>
      <c r="F48" s="54" t="n">
        <v>90</v>
      </c>
      <c r="G48" s="54" t="n">
        <v>3</v>
      </c>
      <c r="H48" s="55" t="n">
        <v>609</v>
      </c>
      <c r="I48" s="55" t="n">
        <v>583.5</v>
      </c>
      <c r="J48" s="55" t="n">
        <v>0</v>
      </c>
      <c r="K48" s="55" t="n">
        <v>1.6</v>
      </c>
      <c r="L48" s="55" t="n">
        <v>585.1</v>
      </c>
      <c r="M48" s="55" t="n">
        <v>-23.9</v>
      </c>
      <c r="N48" s="36" t="inlineStr">
        <is>
          <t>004336</t>
        </is>
      </c>
      <c r="O48" s="36" t="inlineStr">
        <is>
          <t>CAREMARK</t>
        </is>
      </c>
      <c r="P48" s="36" t="inlineStr">
        <is>
          <t>MEDDADV</t>
        </is>
      </c>
      <c r="Q48" s="36" t="inlineStr">
        <is>
          <t>RX1110</t>
        </is>
      </c>
    </row>
    <row r="49">
      <c r="A49" s="36" t="inlineStr">
        <is>
          <t>142457</t>
        </is>
      </c>
      <c r="B49" s="52" t="n">
        <v>46062</v>
      </c>
      <c r="C49" s="36" t="inlineStr">
        <is>
          <t>00173088810</t>
        </is>
      </c>
      <c r="D49" s="53" t="inlineStr">
        <is>
          <t>ARNUITY ELLIPTA 50 MCG/ACT INHAEROSOL</t>
        </is>
      </c>
      <c r="E49" s="36" t="n">
        <v>30</v>
      </c>
      <c r="F49" s="54" t="n">
        <v>30</v>
      </c>
      <c r="G49" s="54" t="n">
        <v>1</v>
      </c>
      <c r="H49" s="55" t="n">
        <v>0</v>
      </c>
      <c r="I49" s="55" t="n">
        <v>209.76</v>
      </c>
      <c r="J49" s="55" t="n">
        <v>0</v>
      </c>
      <c r="K49" s="55" t="n">
        <v>0</v>
      </c>
      <c r="L49" s="55" t="n">
        <v>209.76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133676</t>
        </is>
      </c>
      <c r="B50" s="52" t="n">
        <v>45995</v>
      </c>
      <c r="C50" s="36" t="inlineStr">
        <is>
          <t>00002771559</t>
        </is>
      </c>
      <c r="D50" s="53" t="inlineStr">
        <is>
          <t>BASAGLAR KWIKPEN 100UNIT/ML INJECTION</t>
        </is>
      </c>
      <c r="E50" s="36" t="n">
        <v>15</v>
      </c>
      <c r="F50" s="54" t="n">
        <v>9</v>
      </c>
      <c r="G50" s="54" t="n">
        <v>0.6</v>
      </c>
      <c r="H50" s="55" t="n">
        <v>188.4</v>
      </c>
      <c r="I50" s="55" t="n">
        <v>181.77</v>
      </c>
      <c r="J50" s="55" t="n">
        <v>0</v>
      </c>
      <c r="K50" s="55" t="n">
        <v>0</v>
      </c>
      <c r="L50" s="55" t="n">
        <v>181.77</v>
      </c>
      <c r="M50" s="55" t="n">
        <v>-6.63</v>
      </c>
      <c r="N50" s="36" t="inlineStr">
        <is>
          <t>004336</t>
        </is>
      </c>
      <c r="O50" s="36" t="inlineStr">
        <is>
          <t>CAREMARK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135405</t>
        </is>
      </c>
      <c r="B51" s="52" t="n">
        <v>46008</v>
      </c>
      <c r="C51" s="36" t="inlineStr">
        <is>
          <t>00002771559</t>
        </is>
      </c>
      <c r="D51" s="53" t="inlineStr">
        <is>
          <t>BASAGLAR KWIKPEN 100UNIT/ML INJECTION</t>
        </is>
      </c>
      <c r="E51" s="36" t="n">
        <v>15</v>
      </c>
      <c r="F51" s="54" t="n">
        <v>15</v>
      </c>
      <c r="G51" s="54" t="n">
        <v>1</v>
      </c>
      <c r="H51" s="55" t="n">
        <v>314</v>
      </c>
      <c r="I51" s="55" t="n">
        <v>303.17</v>
      </c>
      <c r="J51" s="55" t="n">
        <v>0</v>
      </c>
      <c r="K51" s="55" t="n">
        <v>0</v>
      </c>
      <c r="L51" s="55" t="n">
        <v>303.17</v>
      </c>
      <c r="M51" s="55" t="n">
        <v>-10.83</v>
      </c>
      <c r="N51" s="36" t="inlineStr">
        <is>
          <t>004336</t>
        </is>
      </c>
      <c r="O51" s="36" t="inlineStr">
        <is>
          <t>CAREMARK</t>
        </is>
      </c>
      <c r="P51" s="36" t="inlineStr">
        <is>
          <t>MEDDADV</t>
        </is>
      </c>
      <c r="Q51" s="36" t="inlineStr">
        <is>
          <t>RX1110</t>
        </is>
      </c>
    </row>
    <row r="52">
      <c r="A52" s="36" t="inlineStr">
        <is>
          <t>111641</t>
        </is>
      </c>
      <c r="B52" s="52" t="n">
        <v>45996</v>
      </c>
      <c r="C52" s="36" t="inlineStr">
        <is>
          <t>00002771559</t>
        </is>
      </c>
      <c r="D52" s="53" t="inlineStr">
        <is>
          <t>BASAGLAR KWIKPEN 100UNIT/ML INJECTION</t>
        </is>
      </c>
      <c r="E52" s="36" t="n">
        <v>15</v>
      </c>
      <c r="F52" s="54" t="n">
        <v>9</v>
      </c>
      <c r="G52" s="54" t="n">
        <v>0.6</v>
      </c>
      <c r="H52" s="55" t="n">
        <v>188.4</v>
      </c>
      <c r="I52" s="55" t="n">
        <v>198.55</v>
      </c>
      <c r="J52" s="55" t="n">
        <v>0</v>
      </c>
      <c r="K52" s="55" t="n">
        <v>0</v>
      </c>
      <c r="L52" s="55" t="n">
        <v>198.55</v>
      </c>
      <c r="M52" s="55" t="n">
        <v>10.15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143642</t>
        </is>
      </c>
      <c r="B53" s="52" t="n">
        <v>46070</v>
      </c>
      <c r="C53" s="36" t="inlineStr">
        <is>
          <t>00002771559</t>
        </is>
      </c>
      <c r="D53" s="53" t="inlineStr">
        <is>
          <t>BASAGLAR KWIKPEN 100UNIT/ML INJECTION</t>
        </is>
      </c>
      <c r="E53" s="36" t="n">
        <v>15</v>
      </c>
      <c r="F53" s="54" t="n">
        <v>3</v>
      </c>
      <c r="G53" s="54" t="n">
        <v>0.2</v>
      </c>
      <c r="H53" s="55" t="n">
        <v>63.4</v>
      </c>
      <c r="I53" s="55" t="n">
        <v>72.97</v>
      </c>
      <c r="J53" s="55" t="n">
        <v>0</v>
      </c>
      <c r="K53" s="55" t="n">
        <v>0</v>
      </c>
      <c r="L53" s="55" t="n">
        <v>72.97</v>
      </c>
      <c r="M53" s="55" t="n">
        <v>9.57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138079</t>
        </is>
      </c>
      <c r="B54" s="52" t="n">
        <v>46058</v>
      </c>
      <c r="C54" s="36" t="inlineStr">
        <is>
          <t>00002771559</t>
        </is>
      </c>
      <c r="D54" s="53" t="inlineStr">
        <is>
          <t>BASAGLAR KWIKPEN 100UNIT/ML INJECTION</t>
        </is>
      </c>
      <c r="E54" s="36" t="n">
        <v>15</v>
      </c>
      <c r="F54" s="54" t="n">
        <v>15</v>
      </c>
      <c r="G54" s="54" t="n">
        <v>1</v>
      </c>
      <c r="H54" s="55" t="n">
        <v>317</v>
      </c>
      <c r="I54" s="55" t="n">
        <v>309.68</v>
      </c>
      <c r="J54" s="55" t="n">
        <v>0</v>
      </c>
      <c r="K54" s="55" t="n">
        <v>0</v>
      </c>
      <c r="L54" s="55" t="n">
        <v>309.68</v>
      </c>
      <c r="M54" s="55" t="n">
        <v>-7.32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ADV</t>
        </is>
      </c>
      <c r="Q54" s="36" t="inlineStr">
        <is>
          <t>RX1103</t>
        </is>
      </c>
    </row>
    <row r="55">
      <c r="A55" s="36" t="inlineStr">
        <is>
          <t>135233</t>
        </is>
      </c>
      <c r="B55" s="52" t="n">
        <v>46007</v>
      </c>
      <c r="C55" s="36" t="inlineStr">
        <is>
          <t>00002771559</t>
        </is>
      </c>
      <c r="D55" s="53" t="inlineStr">
        <is>
          <t>BASAGLAR KWIKPEN 100UNIT/ML INJECTION</t>
        </is>
      </c>
      <c r="E55" s="36" t="n">
        <v>15</v>
      </c>
      <c r="F55" s="54" t="n">
        <v>18</v>
      </c>
      <c r="G55" s="54" t="n">
        <v>1.2</v>
      </c>
      <c r="H55" s="55" t="n">
        <v>376.8</v>
      </c>
      <c r="I55" s="55" t="n">
        <v>363.88</v>
      </c>
      <c r="J55" s="55" t="n">
        <v>0</v>
      </c>
      <c r="K55" s="55" t="n">
        <v>0</v>
      </c>
      <c r="L55" s="55" t="n">
        <v>363.88</v>
      </c>
      <c r="M55" s="55" t="n">
        <v>-12.92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135422</t>
        </is>
      </c>
      <c r="B56" s="52" t="n">
        <v>46008</v>
      </c>
      <c r="C56" s="36" t="inlineStr">
        <is>
          <t>00002771559</t>
        </is>
      </c>
      <c r="D56" s="53" t="inlineStr">
        <is>
          <t>BASAGLAR KWIKPEN 100UNIT/ML INJECTION</t>
        </is>
      </c>
      <c r="E56" s="36" t="n">
        <v>15</v>
      </c>
      <c r="F56" s="54" t="n">
        <v>6</v>
      </c>
      <c r="G56" s="54" t="n">
        <v>0.4</v>
      </c>
      <c r="H56" s="55" t="n">
        <v>125.6</v>
      </c>
      <c r="I56" s="55" t="n">
        <v>122.89</v>
      </c>
      <c r="J56" s="55" t="n">
        <v>0</v>
      </c>
      <c r="K56" s="55" t="n">
        <v>0</v>
      </c>
      <c r="L56" s="55" t="n">
        <v>122.89</v>
      </c>
      <c r="M56" s="55" t="n">
        <v>-2.71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135066</t>
        </is>
      </c>
      <c r="B57" s="52" t="n">
        <v>46062</v>
      </c>
      <c r="C57" s="36" t="inlineStr">
        <is>
          <t>00002771559</t>
        </is>
      </c>
      <c r="D57" s="53" t="inlineStr">
        <is>
          <t>BASAGLAR KWIKPEN 100UNIT/ML INJECTION</t>
        </is>
      </c>
      <c r="E57" s="36" t="n">
        <v>15</v>
      </c>
      <c r="F57" s="54" t="n">
        <v>6</v>
      </c>
      <c r="G57" s="54" t="n">
        <v>0.4</v>
      </c>
      <c r="H57" s="55" t="n">
        <v>126.8</v>
      </c>
      <c r="I57" s="55" t="n">
        <v>95.08</v>
      </c>
      <c r="J57" s="55" t="n">
        <v>0</v>
      </c>
      <c r="K57" s="55" t="n">
        <v>30</v>
      </c>
      <c r="L57" s="55" t="n">
        <v>125.08</v>
      </c>
      <c r="M57" s="55" t="n">
        <v>-1.72</v>
      </c>
      <c r="N57" s="36" t="inlineStr">
        <is>
          <t>004336</t>
        </is>
      </c>
      <c r="O57" s="36" t="inlineStr">
        <is>
          <t>CAREMARK</t>
        </is>
      </c>
      <c r="P57" s="36" t="inlineStr">
        <is>
          <t>MEDDADV</t>
        </is>
      </c>
      <c r="Q57" s="36" t="inlineStr">
        <is>
          <t>RXCVSD</t>
        </is>
      </c>
    </row>
    <row r="58">
      <c r="A58" s="36" t="inlineStr">
        <is>
          <t>135066</t>
        </is>
      </c>
      <c r="B58" s="52" t="n">
        <v>46006</v>
      </c>
      <c r="C58" s="36" t="inlineStr">
        <is>
          <t>00002771559</t>
        </is>
      </c>
      <c r="D58" s="53" t="inlineStr">
        <is>
          <t>BASAGLAR KWIKPEN 100UNIT/ML INJECTION</t>
        </is>
      </c>
      <c r="E58" s="36" t="n">
        <v>15</v>
      </c>
      <c r="F58" s="54" t="n">
        <v>6</v>
      </c>
      <c r="G58" s="54" t="n">
        <v>0.4</v>
      </c>
      <c r="H58" s="55" t="n">
        <v>125.6</v>
      </c>
      <c r="I58" s="55" t="n">
        <v>124.3</v>
      </c>
      <c r="J58" s="55" t="n">
        <v>0</v>
      </c>
      <c r="K58" s="55" t="n">
        <v>0</v>
      </c>
      <c r="L58" s="55" t="n">
        <v>124.3</v>
      </c>
      <c r="M58" s="55" t="n">
        <v>-1.3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RXCVSD</t>
        </is>
      </c>
    </row>
    <row r="59">
      <c r="A59" s="36" t="inlineStr">
        <is>
          <t>135033</t>
        </is>
      </c>
      <c r="B59" s="52" t="n">
        <v>46006</v>
      </c>
      <c r="C59" s="36" t="inlineStr">
        <is>
          <t>00002771559</t>
        </is>
      </c>
      <c r="D59" s="53" t="inlineStr">
        <is>
          <t>BASAGLAR KWIKPEN 100UNIT/ML INJECTION</t>
        </is>
      </c>
      <c r="E59" s="36" t="n">
        <v>15</v>
      </c>
      <c r="F59" s="54" t="n">
        <v>9</v>
      </c>
      <c r="G59" s="54" t="n">
        <v>0.6</v>
      </c>
      <c r="H59" s="55" t="n">
        <v>188.4</v>
      </c>
      <c r="I59" s="55" t="n">
        <v>181.77</v>
      </c>
      <c r="J59" s="55" t="n">
        <v>0</v>
      </c>
      <c r="K59" s="55" t="n">
        <v>0</v>
      </c>
      <c r="L59" s="55" t="n">
        <v>181.77</v>
      </c>
      <c r="M59" s="55" t="n">
        <v>-6.63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130848</t>
        </is>
      </c>
      <c r="B60" s="52" t="n">
        <v>46060</v>
      </c>
      <c r="C60" s="36" t="inlineStr">
        <is>
          <t>00002771559</t>
        </is>
      </c>
      <c r="D60" s="53" t="inlineStr">
        <is>
          <t>BASAGLAR KWIKPEN 100UNIT/ML INJECTION</t>
        </is>
      </c>
      <c r="E60" s="36" t="n">
        <v>15</v>
      </c>
      <c r="F60" s="54" t="n">
        <v>6</v>
      </c>
      <c r="G60" s="54" t="n">
        <v>0.4</v>
      </c>
      <c r="H60" s="55" t="n">
        <v>126.8</v>
      </c>
      <c r="I60" s="55" t="n">
        <v>119.08</v>
      </c>
      <c r="J60" s="55" t="n">
        <v>0</v>
      </c>
      <c r="K60" s="55" t="n">
        <v>4.9</v>
      </c>
      <c r="L60" s="55" t="n">
        <v>123.98</v>
      </c>
      <c r="M60" s="55" t="n">
        <v>-2.82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MEDDADV</t>
        </is>
      </c>
      <c r="Q60" s="36" t="inlineStr">
        <is>
          <t>RX1110</t>
        </is>
      </c>
    </row>
    <row r="61">
      <c r="A61" s="36" t="inlineStr">
        <is>
          <t>123487</t>
        </is>
      </c>
      <c r="B61" s="52" t="n">
        <v>46001</v>
      </c>
      <c r="C61" s="36" t="inlineStr">
        <is>
          <t>00002771559</t>
        </is>
      </c>
      <c r="D61" s="53" t="inlineStr">
        <is>
          <t>BASAGLAR KWIKPEN 100UNIT/ML INJECTION</t>
        </is>
      </c>
      <c r="E61" s="36" t="n">
        <v>15</v>
      </c>
      <c r="F61" s="54" t="n">
        <v>15</v>
      </c>
      <c r="G61" s="54" t="n">
        <v>1</v>
      </c>
      <c r="H61" s="55" t="n">
        <v>314</v>
      </c>
      <c r="I61" s="55" t="n">
        <v>304.98</v>
      </c>
      <c r="J61" s="55" t="n">
        <v>0</v>
      </c>
      <c r="K61" s="55" t="n">
        <v>0</v>
      </c>
      <c r="L61" s="55" t="n">
        <v>304.98</v>
      </c>
      <c r="M61" s="55" t="n">
        <v>-9.02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127204</t>
        </is>
      </c>
      <c r="B62" s="52" t="n">
        <v>46001</v>
      </c>
      <c r="C62" s="36" t="inlineStr">
        <is>
          <t>00002771559</t>
        </is>
      </c>
      <c r="D62" s="53" t="inlineStr">
        <is>
          <t>BASAGLAR KWIKPEN 100UNIT/ML INJECTION</t>
        </is>
      </c>
      <c r="E62" s="36" t="n">
        <v>15</v>
      </c>
      <c r="F62" s="54" t="n">
        <v>3</v>
      </c>
      <c r="G62" s="54" t="n">
        <v>0.2</v>
      </c>
      <c r="H62" s="55" t="n">
        <v>62.8</v>
      </c>
      <c r="I62" s="55" t="n">
        <v>61.33</v>
      </c>
      <c r="J62" s="55" t="n">
        <v>0</v>
      </c>
      <c r="K62" s="55" t="n">
        <v>0</v>
      </c>
      <c r="L62" s="55" t="n">
        <v>61.33</v>
      </c>
      <c r="M62" s="55" t="n">
        <v>-1.47</v>
      </c>
      <c r="N62" s="36" t="inlineStr">
        <is>
          <t>004336</t>
        </is>
      </c>
      <c r="O62" s="36" t="inlineStr">
        <is>
          <t>CAREMARK</t>
        </is>
      </c>
      <c r="P62" s="36" t="inlineStr">
        <is>
          <t>MEDDADV</t>
        </is>
      </c>
      <c r="Q62" s="36" t="inlineStr">
        <is>
          <t>RX1110</t>
        </is>
      </c>
    </row>
    <row r="63">
      <c r="A63" s="36" t="inlineStr">
        <is>
          <t>134566</t>
        </is>
      </c>
      <c r="B63" s="52" t="n">
        <v>46001</v>
      </c>
      <c r="C63" s="36" t="inlineStr">
        <is>
          <t>00002771559</t>
        </is>
      </c>
      <c r="D63" s="53" t="inlineStr">
        <is>
          <t>BASAGLAR KWIKPEN 100UNIT/ML INJECTION</t>
        </is>
      </c>
      <c r="E63" s="36" t="n">
        <v>15</v>
      </c>
      <c r="F63" s="54" t="n">
        <v>27</v>
      </c>
      <c r="G63" s="54" t="n">
        <v>1.8</v>
      </c>
      <c r="H63" s="55" t="n">
        <v>565.2</v>
      </c>
      <c r="I63" s="55" t="n">
        <v>545.98</v>
      </c>
      <c r="J63" s="55" t="n">
        <v>0</v>
      </c>
      <c r="K63" s="55" t="n">
        <v>0</v>
      </c>
      <c r="L63" s="55" t="n">
        <v>545.98</v>
      </c>
      <c r="M63" s="55" t="n">
        <v>-19.22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123965</t>
        </is>
      </c>
      <c r="B64" s="52" t="n">
        <v>46006</v>
      </c>
      <c r="C64" s="36" t="inlineStr">
        <is>
          <t>00002771559</t>
        </is>
      </c>
      <c r="D64" s="53" t="inlineStr">
        <is>
          <t>BASAGLAR KWIKPEN 100UNIT/ML INJECTION</t>
        </is>
      </c>
      <c r="E64" s="36" t="n">
        <v>15</v>
      </c>
      <c r="F64" s="54" t="n">
        <v>15</v>
      </c>
      <c r="G64" s="54" t="n">
        <v>1</v>
      </c>
      <c r="H64" s="55" t="n">
        <v>314</v>
      </c>
      <c r="I64" s="55" t="n">
        <v>311.89</v>
      </c>
      <c r="J64" s="55" t="n">
        <v>0</v>
      </c>
      <c r="K64" s="55" t="n">
        <v>0</v>
      </c>
      <c r="L64" s="55" t="n">
        <v>311.89</v>
      </c>
      <c r="M64" s="55" t="n">
        <v>-2.11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RX8541</t>
        </is>
      </c>
    </row>
    <row r="65">
      <c r="A65" s="36" t="inlineStr">
        <is>
          <t>103280</t>
        </is>
      </c>
      <c r="B65" s="52" t="n">
        <v>45995</v>
      </c>
      <c r="C65" s="36" t="inlineStr">
        <is>
          <t>00002771559</t>
        </is>
      </c>
      <c r="D65" s="53" t="inlineStr">
        <is>
          <t>BASAGLAR KWIKPEN 100UNIT/ML INJECTION</t>
        </is>
      </c>
      <c r="E65" s="36" t="n">
        <v>15</v>
      </c>
      <c r="F65" s="54" t="n">
        <v>27</v>
      </c>
      <c r="G65" s="54" t="n">
        <v>1.8</v>
      </c>
      <c r="H65" s="55" t="n">
        <v>565.2</v>
      </c>
      <c r="I65" s="55" t="n">
        <v>533.86</v>
      </c>
      <c r="J65" s="55" t="n">
        <v>0</v>
      </c>
      <c r="K65" s="55" t="n">
        <v>10</v>
      </c>
      <c r="L65" s="55" t="n">
        <v>543.86</v>
      </c>
      <c r="M65" s="55" t="n">
        <v>-21.34</v>
      </c>
      <c r="N65" s="36" t="inlineStr">
        <is>
          <t>610014</t>
        </is>
      </c>
      <c r="O65" s="36" t="inlineStr">
        <is>
          <t>EXPRESS</t>
        </is>
      </c>
      <c r="P65" s="36" t="inlineStr">
        <is>
          <t>PEU</t>
        </is>
      </c>
      <c r="Q65" s="36" t="inlineStr">
        <is>
          <t>CIGUG0002501443</t>
        </is>
      </c>
    </row>
    <row r="66">
      <c r="A66" s="36" t="inlineStr">
        <is>
          <t>134711</t>
        </is>
      </c>
      <c r="B66" s="52" t="n">
        <v>46002</v>
      </c>
      <c r="C66" s="36" t="inlineStr">
        <is>
          <t>00002771559</t>
        </is>
      </c>
      <c r="D66" s="53" t="inlineStr">
        <is>
          <t>BASAGLAR KWIKPEN 100UNIT/ML INJECTION</t>
        </is>
      </c>
      <c r="E66" s="36" t="n">
        <v>15</v>
      </c>
      <c r="F66" s="54" t="n">
        <v>27</v>
      </c>
      <c r="G66" s="54" t="n">
        <v>1.8</v>
      </c>
      <c r="H66" s="55" t="n">
        <v>565.2</v>
      </c>
      <c r="I66" s="55" t="n">
        <v>545.98</v>
      </c>
      <c r="J66" s="55" t="n">
        <v>0</v>
      </c>
      <c r="K66" s="55" t="n">
        <v>0</v>
      </c>
      <c r="L66" s="55" t="n">
        <v>545.98</v>
      </c>
      <c r="M66" s="55" t="n">
        <v>-19.22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131663</t>
        </is>
      </c>
      <c r="B67" s="52" t="n">
        <v>46007</v>
      </c>
      <c r="C67" s="36" t="inlineStr">
        <is>
          <t>00002771559</t>
        </is>
      </c>
      <c r="D67" s="53" t="inlineStr">
        <is>
          <t>BASAGLAR KWIKPEN 100UNIT/ML INJECTION</t>
        </is>
      </c>
      <c r="E67" s="36" t="n">
        <v>15</v>
      </c>
      <c r="F67" s="54" t="n">
        <v>15</v>
      </c>
      <c r="G67" s="54" t="n">
        <v>1</v>
      </c>
      <c r="H67" s="55" t="n">
        <v>314</v>
      </c>
      <c r="I67" s="55" t="n">
        <v>278.06</v>
      </c>
      <c r="J67" s="55" t="n">
        <v>0</v>
      </c>
      <c r="K67" s="55" t="n">
        <v>35</v>
      </c>
      <c r="L67" s="55" t="n">
        <v>313.06</v>
      </c>
      <c r="M67" s="55" t="n">
        <v>-0.9399999999999999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RXCVSD</t>
        </is>
      </c>
    </row>
    <row r="68">
      <c r="A68" s="36" t="inlineStr">
        <is>
          <t>130907</t>
        </is>
      </c>
      <c r="B68" s="52" t="n">
        <v>46000</v>
      </c>
      <c r="C68" s="36" t="inlineStr">
        <is>
          <t>00002771559</t>
        </is>
      </c>
      <c r="D68" s="53" t="inlineStr">
        <is>
          <t>BASAGLAR KWIKPEN 100UNIT/ML INJECTION</t>
        </is>
      </c>
      <c r="E68" s="36" t="n">
        <v>15</v>
      </c>
      <c r="F68" s="54" t="n">
        <v>6</v>
      </c>
      <c r="G68" s="54" t="n">
        <v>0.4</v>
      </c>
      <c r="H68" s="55" t="n">
        <v>125.6</v>
      </c>
      <c r="I68" s="55" t="n">
        <v>122.89</v>
      </c>
      <c r="J68" s="55" t="n">
        <v>0</v>
      </c>
      <c r="K68" s="55" t="n">
        <v>0</v>
      </c>
      <c r="L68" s="55" t="n">
        <v>122.89</v>
      </c>
      <c r="M68" s="55" t="n">
        <v>-2.71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MEDDADV</t>
        </is>
      </c>
      <c r="Q68" s="36" t="inlineStr">
        <is>
          <t>RX1110</t>
        </is>
      </c>
    </row>
    <row r="69">
      <c r="A69" s="36" t="inlineStr">
        <is>
          <t>135066</t>
        </is>
      </c>
      <c r="B69" s="52" t="n">
        <v>46034</v>
      </c>
      <c r="C69" s="36" t="inlineStr">
        <is>
          <t>00002771559</t>
        </is>
      </c>
      <c r="D69" s="53" t="inlineStr">
        <is>
          <t>BASAGLAR KWIKPEN 100UNIT/ML INJECTION</t>
        </is>
      </c>
      <c r="E69" s="36" t="n">
        <v>15</v>
      </c>
      <c r="F69" s="54" t="n">
        <v>6</v>
      </c>
      <c r="G69" s="54" t="n">
        <v>0.4</v>
      </c>
      <c r="H69" s="55" t="n">
        <v>126</v>
      </c>
      <c r="I69" s="55" t="n">
        <v>95.08</v>
      </c>
      <c r="J69" s="55" t="n">
        <v>0</v>
      </c>
      <c r="K69" s="55" t="n">
        <v>30</v>
      </c>
      <c r="L69" s="55" t="n">
        <v>125.08</v>
      </c>
      <c r="M69" s="55" t="n">
        <v>-0.92</v>
      </c>
      <c r="N69" s="36" t="inlineStr">
        <is>
          <t>004336</t>
        </is>
      </c>
      <c r="O69" s="36" t="inlineStr">
        <is>
          <t>CAREMARK</t>
        </is>
      </c>
      <c r="P69" s="36" t="inlineStr">
        <is>
          <t>MEDDADV</t>
        </is>
      </c>
      <c r="Q69" s="36" t="inlineStr">
        <is>
          <t>RXCVSD</t>
        </is>
      </c>
    </row>
    <row r="70">
      <c r="A70" s="36" t="inlineStr">
        <is>
          <t>117328</t>
        </is>
      </c>
      <c r="B70" s="52" t="n">
        <v>46044</v>
      </c>
      <c r="C70" s="36" t="inlineStr">
        <is>
          <t>00002771559</t>
        </is>
      </c>
      <c r="D70" s="53" t="inlineStr">
        <is>
          <t>BASAGLAR KWIKPEN 100UNIT/ML INJECTION</t>
        </is>
      </c>
      <c r="E70" s="36" t="n">
        <v>15</v>
      </c>
      <c r="F70" s="54" t="n">
        <v>9</v>
      </c>
      <c r="G70" s="54" t="n">
        <v>0.6</v>
      </c>
      <c r="H70" s="55" t="n">
        <v>189</v>
      </c>
      <c r="I70" s="55" t="n">
        <v>178.04</v>
      </c>
      <c r="J70" s="55" t="n">
        <v>0</v>
      </c>
      <c r="K70" s="55" t="n">
        <v>4.9</v>
      </c>
      <c r="L70" s="55" t="n">
        <v>182.94</v>
      </c>
      <c r="M70" s="55" t="n">
        <v>-6.06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123965</t>
        </is>
      </c>
      <c r="B71" s="52" t="n">
        <v>46034</v>
      </c>
      <c r="C71" s="36" t="inlineStr">
        <is>
          <t>00002771559</t>
        </is>
      </c>
      <c r="D71" s="53" t="inlineStr">
        <is>
          <t>BASAGLAR KWIKPEN 100UNIT/ML INJECTION</t>
        </is>
      </c>
      <c r="E71" s="36" t="n">
        <v>15</v>
      </c>
      <c r="F71" s="54" t="n">
        <v>15</v>
      </c>
      <c r="G71" s="54" t="n">
        <v>1</v>
      </c>
      <c r="H71" s="55" t="n">
        <v>315</v>
      </c>
      <c r="I71" s="55" t="n">
        <v>307.38</v>
      </c>
      <c r="J71" s="55" t="n">
        <v>0</v>
      </c>
      <c r="K71" s="55" t="n">
        <v>4.9</v>
      </c>
      <c r="L71" s="55" t="n">
        <v>312.28</v>
      </c>
      <c r="M71" s="55" t="n">
        <v>-2.72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RX8541</t>
        </is>
      </c>
    </row>
    <row r="72">
      <c r="A72" s="36" t="inlineStr">
        <is>
          <t>116171</t>
        </is>
      </c>
      <c r="B72" s="52" t="n">
        <v>46035</v>
      </c>
      <c r="C72" s="36" t="inlineStr">
        <is>
          <t>00002771559</t>
        </is>
      </c>
      <c r="D72" s="53" t="inlineStr">
        <is>
          <t>BASAGLAR KWIKPEN 100UNIT/ML INJECTION</t>
        </is>
      </c>
      <c r="E72" s="36" t="n">
        <v>15</v>
      </c>
      <c r="F72" s="54" t="n">
        <v>9</v>
      </c>
      <c r="G72" s="54" t="n">
        <v>0.6</v>
      </c>
      <c r="H72" s="55" t="n">
        <v>189</v>
      </c>
      <c r="I72" s="55" t="n">
        <v>182.94</v>
      </c>
      <c r="J72" s="55" t="n">
        <v>0</v>
      </c>
      <c r="K72" s="55" t="n">
        <v>0</v>
      </c>
      <c r="L72" s="55" t="n">
        <v>182.94</v>
      </c>
      <c r="M72" s="55" t="n">
        <v>-6.06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131663</t>
        </is>
      </c>
      <c r="B73" s="52" t="n">
        <v>46035</v>
      </c>
      <c r="C73" s="36" t="inlineStr">
        <is>
          <t>00002771559</t>
        </is>
      </c>
      <c r="D73" s="53" t="inlineStr">
        <is>
          <t>BASAGLAR KWIKPEN 100UNIT/ML INJECTION</t>
        </is>
      </c>
      <c r="E73" s="36" t="n">
        <v>15</v>
      </c>
      <c r="F73" s="54" t="n">
        <v>15</v>
      </c>
      <c r="G73" s="54" t="n">
        <v>1</v>
      </c>
      <c r="H73" s="55" t="n">
        <v>315</v>
      </c>
      <c r="I73" s="55" t="n">
        <v>278.85</v>
      </c>
      <c r="J73" s="55" t="n">
        <v>0</v>
      </c>
      <c r="K73" s="55" t="n">
        <v>35</v>
      </c>
      <c r="L73" s="55" t="n">
        <v>313.85</v>
      </c>
      <c r="M73" s="55" t="n">
        <v>-1.15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138079</t>
        </is>
      </c>
      <c r="B74" s="52" t="n">
        <v>46030</v>
      </c>
      <c r="C74" s="36" t="inlineStr">
        <is>
          <t>00002771559</t>
        </is>
      </c>
      <c r="D74" s="53" t="inlineStr">
        <is>
          <t>BASAGLAR KWIKPEN 100UNIT/ML INJECTION</t>
        </is>
      </c>
      <c r="E74" s="36" t="n">
        <v>15</v>
      </c>
      <c r="F74" s="54" t="n">
        <v>15</v>
      </c>
      <c r="G74" s="54" t="n">
        <v>1</v>
      </c>
      <c r="H74" s="55" t="n">
        <v>315</v>
      </c>
      <c r="I74" s="55" t="n">
        <v>309.68</v>
      </c>
      <c r="J74" s="55" t="n">
        <v>0</v>
      </c>
      <c r="K74" s="55" t="n">
        <v>0</v>
      </c>
      <c r="L74" s="55" t="n">
        <v>309.68</v>
      </c>
      <c r="M74" s="55" t="n">
        <v>-5.32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127115</t>
        </is>
      </c>
      <c r="B75" s="52" t="n">
        <v>46030</v>
      </c>
      <c r="C75" s="36" t="inlineStr">
        <is>
          <t>00002771559</t>
        </is>
      </c>
      <c r="D75" s="53" t="inlineStr">
        <is>
          <t>BASAGLAR KWIKPEN 100UNIT/ML INJECTION</t>
        </is>
      </c>
      <c r="E75" s="36" t="n">
        <v>15</v>
      </c>
      <c r="F75" s="54" t="n">
        <v>15</v>
      </c>
      <c r="G75" s="54" t="n">
        <v>1</v>
      </c>
      <c r="H75" s="55" t="n">
        <v>315</v>
      </c>
      <c r="I75" s="55" t="n">
        <v>305.13</v>
      </c>
      <c r="J75" s="55" t="n">
        <v>0</v>
      </c>
      <c r="K75" s="55" t="n">
        <v>0</v>
      </c>
      <c r="L75" s="55" t="n">
        <v>305.13</v>
      </c>
      <c r="M75" s="55" t="n">
        <v>-9.869999999999999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135422</t>
        </is>
      </c>
      <c r="B76" s="52" t="n">
        <v>46036</v>
      </c>
      <c r="C76" s="36" t="inlineStr">
        <is>
          <t>00002771559</t>
        </is>
      </c>
      <c r="D76" s="53" t="inlineStr">
        <is>
          <t>BASAGLAR KWIKPEN 100UNIT/ML INJECTION</t>
        </is>
      </c>
      <c r="E76" s="36" t="n">
        <v>15</v>
      </c>
      <c r="F76" s="54" t="n">
        <v>6</v>
      </c>
      <c r="G76" s="54" t="n">
        <v>0.4</v>
      </c>
      <c r="H76" s="55" t="n">
        <v>126</v>
      </c>
      <c r="I76" s="55" t="n">
        <v>123.98</v>
      </c>
      <c r="J76" s="55" t="n">
        <v>0</v>
      </c>
      <c r="K76" s="55" t="n">
        <v>0</v>
      </c>
      <c r="L76" s="55" t="n">
        <v>123.98</v>
      </c>
      <c r="M76" s="55" t="n">
        <v>-2.02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127204</t>
        </is>
      </c>
      <c r="B77" s="52" t="n">
        <v>46029</v>
      </c>
      <c r="C77" s="36" t="inlineStr">
        <is>
          <t>00002771559</t>
        </is>
      </c>
      <c r="D77" s="53" t="inlineStr">
        <is>
          <t>BASAGLAR KWIKPEN 100UNIT/ML INJECTION</t>
        </is>
      </c>
      <c r="E77" s="36" t="n">
        <v>15</v>
      </c>
      <c r="F77" s="54" t="n">
        <v>3</v>
      </c>
      <c r="G77" s="54" t="n">
        <v>0.2</v>
      </c>
      <c r="H77" s="55" t="n">
        <v>63</v>
      </c>
      <c r="I77" s="55" t="n">
        <v>56.98</v>
      </c>
      <c r="J77" s="55" t="n">
        <v>0</v>
      </c>
      <c r="K77" s="55" t="n">
        <v>4.9</v>
      </c>
      <c r="L77" s="55" t="n">
        <v>61.88</v>
      </c>
      <c r="M77" s="55" t="n">
        <v>-1.12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RX1110</t>
        </is>
      </c>
    </row>
    <row r="78">
      <c r="A78" s="36" t="inlineStr">
        <is>
          <t>130907</t>
        </is>
      </c>
      <c r="B78" s="52" t="n">
        <v>46028</v>
      </c>
      <c r="C78" s="36" t="inlineStr">
        <is>
          <t>00002771559</t>
        </is>
      </c>
      <c r="D78" s="53" t="inlineStr">
        <is>
          <t>BASAGLAR KWIKPEN 100UNIT/ML INJECTION</t>
        </is>
      </c>
      <c r="E78" s="36" t="n">
        <v>15</v>
      </c>
      <c r="F78" s="54" t="n">
        <v>6</v>
      </c>
      <c r="G78" s="54" t="n">
        <v>0.4</v>
      </c>
      <c r="H78" s="55" t="n">
        <v>126</v>
      </c>
      <c r="I78" s="55" t="n">
        <v>119.08</v>
      </c>
      <c r="J78" s="55" t="n">
        <v>0</v>
      </c>
      <c r="K78" s="55" t="n">
        <v>4.9</v>
      </c>
      <c r="L78" s="55" t="n">
        <v>123.98</v>
      </c>
      <c r="M78" s="55" t="n">
        <v>-2.02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133096</t>
        </is>
      </c>
      <c r="B79" s="52" t="n">
        <v>45992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15</v>
      </c>
      <c r="G79" s="54" t="n">
        <v>1</v>
      </c>
      <c r="H79" s="55" t="n">
        <v>314</v>
      </c>
      <c r="I79" s="55" t="n">
        <v>303.17</v>
      </c>
      <c r="J79" s="55" t="n">
        <v>0</v>
      </c>
      <c r="K79" s="55" t="n">
        <v>0</v>
      </c>
      <c r="L79" s="55" t="n">
        <v>303.17</v>
      </c>
      <c r="M79" s="55" t="n">
        <v>-10.83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120446</t>
        </is>
      </c>
      <c r="B80" s="52" t="n">
        <v>46039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3</v>
      </c>
      <c r="G80" s="54" t="n">
        <v>0.2</v>
      </c>
      <c r="H80" s="55" t="n">
        <v>63</v>
      </c>
      <c r="I80" s="55" t="n">
        <v>72.97</v>
      </c>
      <c r="J80" s="55" t="n">
        <v>0</v>
      </c>
      <c r="K80" s="55" t="n">
        <v>0</v>
      </c>
      <c r="L80" s="55" t="n">
        <v>72.97</v>
      </c>
      <c r="M80" s="55" t="n">
        <v>9.970000000000001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118919</t>
        </is>
      </c>
      <c r="B81" s="52" t="n">
        <v>46057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190.2</v>
      </c>
      <c r="I81" s="55" t="n">
        <v>178.24</v>
      </c>
      <c r="J81" s="55" t="n">
        <v>0</v>
      </c>
      <c r="K81" s="55" t="n">
        <v>0</v>
      </c>
      <c r="L81" s="55" t="n">
        <v>178.24</v>
      </c>
      <c r="M81" s="55" t="n">
        <v>-11.96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RX8585</t>
        </is>
      </c>
    </row>
    <row r="82">
      <c r="A82" s="36" t="inlineStr">
        <is>
          <t>126683</t>
        </is>
      </c>
      <c r="B82" s="52" t="n">
        <v>46022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314</v>
      </c>
      <c r="I82" s="55" t="n">
        <v>307.58</v>
      </c>
      <c r="J82" s="55" t="n">
        <v>0</v>
      </c>
      <c r="K82" s="55" t="n">
        <v>0</v>
      </c>
      <c r="L82" s="55" t="n">
        <v>307.58</v>
      </c>
      <c r="M82" s="55" t="n">
        <v>-6.42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133260</t>
        </is>
      </c>
      <c r="B83" s="52" t="n">
        <v>46021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188.4</v>
      </c>
      <c r="I83" s="55" t="n">
        <v>184.45</v>
      </c>
      <c r="J83" s="55" t="n">
        <v>0</v>
      </c>
      <c r="K83" s="55" t="n">
        <v>0</v>
      </c>
      <c r="L83" s="55" t="n">
        <v>184.45</v>
      </c>
      <c r="M83" s="55" t="n">
        <v>-3.95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MEDDADV</t>
        </is>
      </c>
      <c r="Q83" s="36" t="inlineStr">
        <is>
          <t>RX1110</t>
        </is>
      </c>
    </row>
    <row r="84">
      <c r="A84" s="36" t="inlineStr">
        <is>
          <t>133260</t>
        </is>
      </c>
      <c r="B84" s="52" t="n">
        <v>46049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9</v>
      </c>
      <c r="G84" s="54" t="n">
        <v>0.6</v>
      </c>
      <c r="H84" s="55" t="n">
        <v>189</v>
      </c>
      <c r="I84" s="55" t="n">
        <v>181.2</v>
      </c>
      <c r="J84" s="55" t="n">
        <v>0</v>
      </c>
      <c r="K84" s="55" t="n">
        <v>4.9</v>
      </c>
      <c r="L84" s="55" t="n">
        <v>186.1</v>
      </c>
      <c r="M84" s="55" t="n">
        <v>-2.9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RX1110</t>
        </is>
      </c>
    </row>
    <row r="85">
      <c r="A85" s="36" t="inlineStr">
        <is>
          <t>125568</t>
        </is>
      </c>
      <c r="B85" s="52" t="n">
        <v>46020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63</v>
      </c>
      <c r="G85" s="54" t="n">
        <v>4.2</v>
      </c>
      <c r="H85" s="55" t="n">
        <v>1318.8</v>
      </c>
      <c r="I85" s="55" t="n">
        <v>1256.46</v>
      </c>
      <c r="J85" s="55" t="n">
        <v>0</v>
      </c>
      <c r="K85" s="55" t="n">
        <v>4.8</v>
      </c>
      <c r="L85" s="55" t="n">
        <v>1261.26</v>
      </c>
      <c r="M85" s="55" t="n">
        <v>-57.54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MEDDADV</t>
        </is>
      </c>
      <c r="Q85" s="36" t="inlineStr">
        <is>
          <t>RX8585</t>
        </is>
      </c>
    </row>
    <row r="86">
      <c r="A86" s="36" t="inlineStr">
        <is>
          <t>120446</t>
        </is>
      </c>
      <c r="B86" s="52" t="n">
        <v>46013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3</v>
      </c>
      <c r="G86" s="54" t="n">
        <v>0.2</v>
      </c>
      <c r="H86" s="55" t="n">
        <v>62.8</v>
      </c>
      <c r="I86" s="55" t="n">
        <v>72.97</v>
      </c>
      <c r="J86" s="55" t="n">
        <v>0</v>
      </c>
      <c r="K86" s="55" t="n">
        <v>0</v>
      </c>
      <c r="L86" s="55" t="n">
        <v>72.97</v>
      </c>
      <c r="M86" s="55" t="n">
        <v>10.17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124453</t>
        </is>
      </c>
      <c r="B87" s="52" t="n">
        <v>46011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27</v>
      </c>
      <c r="G87" s="54" t="n">
        <v>1.8</v>
      </c>
      <c r="H87" s="55" t="n">
        <v>565.2</v>
      </c>
      <c r="I87" s="55" t="n">
        <v>545.98</v>
      </c>
      <c r="J87" s="55" t="n">
        <v>0</v>
      </c>
      <c r="K87" s="55" t="n">
        <v>0</v>
      </c>
      <c r="L87" s="55" t="n">
        <v>545.98</v>
      </c>
      <c r="M87" s="55" t="n">
        <v>-19.22</v>
      </c>
      <c r="N87" s="36" t="inlineStr">
        <is>
          <t>004336</t>
        </is>
      </c>
      <c r="O87" s="36" t="inlineStr">
        <is>
          <t>CAREMARK</t>
        </is>
      </c>
      <c r="P87" s="36" t="inlineStr">
        <is>
          <t>MEDDADV</t>
        </is>
      </c>
      <c r="Q87" s="36" t="inlineStr">
        <is>
          <t>RX1110</t>
        </is>
      </c>
    </row>
    <row r="88">
      <c r="A88" s="36" t="inlineStr">
        <is>
          <t>136551</t>
        </is>
      </c>
      <c r="B88" s="52" t="n">
        <v>46017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24</v>
      </c>
      <c r="G88" s="54" t="n">
        <v>1.6</v>
      </c>
      <c r="H88" s="55" t="n">
        <v>502.4</v>
      </c>
      <c r="I88" s="55" t="n">
        <v>485.28</v>
      </c>
      <c r="J88" s="55" t="n">
        <v>0</v>
      </c>
      <c r="K88" s="55" t="n">
        <v>0</v>
      </c>
      <c r="L88" s="55" t="n">
        <v>485.28</v>
      </c>
      <c r="M88" s="55" t="n">
        <v>-17.12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125147</t>
        </is>
      </c>
      <c r="B89" s="52" t="n">
        <v>46013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6</v>
      </c>
      <c r="G89" s="54" t="n">
        <v>0.4</v>
      </c>
      <c r="H89" s="55" t="n">
        <v>125.6</v>
      </c>
      <c r="I89" s="55" t="n">
        <v>119.34</v>
      </c>
      <c r="J89" s="55" t="n">
        <v>0</v>
      </c>
      <c r="K89" s="55" t="n">
        <v>4.8</v>
      </c>
      <c r="L89" s="55" t="n">
        <v>124.14</v>
      </c>
      <c r="M89" s="55" t="n">
        <v>-1.46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124918</t>
        </is>
      </c>
      <c r="B90" s="52" t="n">
        <v>46017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33</v>
      </c>
      <c r="G90" s="54" t="n">
        <v>2.2</v>
      </c>
      <c r="H90" s="55" t="n">
        <v>690.8</v>
      </c>
      <c r="I90" s="55" t="n">
        <v>660.5</v>
      </c>
      <c r="J90" s="55" t="n">
        <v>0</v>
      </c>
      <c r="K90" s="55" t="n">
        <v>0</v>
      </c>
      <c r="L90" s="55" t="n">
        <v>660.5</v>
      </c>
      <c r="M90" s="55" t="n">
        <v>-30.3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RX8585</t>
        </is>
      </c>
    </row>
    <row r="91">
      <c r="A91" s="36" t="inlineStr">
        <is>
          <t>141043</t>
        </is>
      </c>
      <c r="B91" s="52" t="n">
        <v>46051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189</v>
      </c>
      <c r="I91" s="55" t="n">
        <v>177.76</v>
      </c>
      <c r="J91" s="55" t="n">
        <v>0</v>
      </c>
      <c r="K91" s="55" t="n">
        <v>0</v>
      </c>
      <c r="L91" s="55" t="n">
        <v>177.76</v>
      </c>
      <c r="M91" s="55" t="n">
        <v>-11.24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ADV</t>
        </is>
      </c>
      <c r="Q91" s="36" t="inlineStr">
        <is>
          <t>RX7682</t>
        </is>
      </c>
    </row>
    <row r="92">
      <c r="A92" s="36" t="inlineStr">
        <is>
          <t>133260</t>
        </is>
      </c>
      <c r="B92" s="52" t="n">
        <v>45993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9</v>
      </c>
      <c r="G92" s="54" t="n">
        <v>0.6</v>
      </c>
      <c r="H92" s="55" t="n">
        <v>188.4</v>
      </c>
      <c r="I92" s="55" t="n">
        <v>184.45</v>
      </c>
      <c r="J92" s="55" t="n">
        <v>0</v>
      </c>
      <c r="K92" s="55" t="n">
        <v>0</v>
      </c>
      <c r="L92" s="55" t="n">
        <v>184.45</v>
      </c>
      <c r="M92" s="55" t="n">
        <v>-3.95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129638</t>
        </is>
      </c>
      <c r="B93" s="52" t="n">
        <v>46051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9</v>
      </c>
      <c r="G93" s="54" t="n">
        <v>0.6</v>
      </c>
      <c r="H93" s="55" t="n">
        <v>189</v>
      </c>
      <c r="I93" s="55" t="n">
        <v>178.04</v>
      </c>
      <c r="J93" s="55" t="n">
        <v>0</v>
      </c>
      <c r="K93" s="55" t="n">
        <v>4.9</v>
      </c>
      <c r="L93" s="55" t="n">
        <v>182.94</v>
      </c>
      <c r="M93" s="55" t="n">
        <v>-6.06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RX1110</t>
        </is>
      </c>
    </row>
    <row r="94">
      <c r="A94" s="36" t="inlineStr">
        <is>
          <t>129795</t>
        </is>
      </c>
      <c r="B94" s="52" t="n">
        <v>45994</v>
      </c>
      <c r="C94" s="36" t="inlineStr">
        <is>
          <t>61958250101</t>
        </is>
      </c>
      <c r="D94" s="53" t="inlineStr">
        <is>
          <t>BIKTARVY 50-200-25MG TABLET</t>
        </is>
      </c>
      <c r="E94" s="36" t="n">
        <v>30</v>
      </c>
      <c r="F94" s="54" t="n">
        <v>30</v>
      </c>
      <c r="G94" s="54" t="n">
        <v>1</v>
      </c>
      <c r="H94" s="55" t="n">
        <v>4111</v>
      </c>
      <c r="I94" s="55" t="n">
        <v>4111.21</v>
      </c>
      <c r="J94" s="55" t="n">
        <v>0</v>
      </c>
      <c r="K94" s="55" t="n">
        <v>0</v>
      </c>
      <c r="L94" s="55" t="n">
        <v>4111.21</v>
      </c>
      <c r="M94" s="55" t="n">
        <v>0.21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135421</t>
        </is>
      </c>
      <c r="B95" s="52" t="n">
        <v>46008</v>
      </c>
      <c r="C95" s="36" t="inlineStr">
        <is>
          <t>61958250101</t>
        </is>
      </c>
      <c r="D95" s="53" t="inlineStr">
        <is>
          <t>BIKTARVY 50-200-25MG TABLET</t>
        </is>
      </c>
      <c r="E95" s="36" t="n">
        <v>30</v>
      </c>
      <c r="F95" s="54" t="n">
        <v>30</v>
      </c>
      <c r="G95" s="54" t="n">
        <v>1</v>
      </c>
      <c r="H95" s="55" t="n">
        <v>4111</v>
      </c>
      <c r="I95" s="55" t="n">
        <v>3769.19</v>
      </c>
      <c r="J95" s="55" t="n">
        <v>0</v>
      </c>
      <c r="K95" s="55" t="n">
        <v>0</v>
      </c>
      <c r="L95" s="55" t="n">
        <v>3769.19</v>
      </c>
      <c r="M95" s="55" t="n">
        <v>-341.81</v>
      </c>
      <c r="N95" s="36" t="inlineStr">
        <is>
          <t>610014</t>
        </is>
      </c>
      <c r="O95" s="36" t="inlineStr">
        <is>
          <t>EXPRESS</t>
        </is>
      </c>
      <c r="P95" s="36" t="inlineStr">
        <is>
          <t>MEDDPRIME</t>
        </is>
      </c>
      <c r="Q95" s="36" t="n">
        <v/>
      </c>
    </row>
    <row r="96">
      <c r="A96" s="36" t="inlineStr">
        <is>
          <t>134334</t>
        </is>
      </c>
      <c r="B96" s="52" t="n">
        <v>46000</v>
      </c>
      <c r="C96" s="36" t="inlineStr">
        <is>
          <t>61958250101</t>
        </is>
      </c>
      <c r="D96" s="53" t="inlineStr">
        <is>
          <t>BIKTARVY 50-200-25MG TABLET</t>
        </is>
      </c>
      <c r="E96" s="36" t="n">
        <v>30</v>
      </c>
      <c r="F96" s="54" t="n">
        <v>30</v>
      </c>
      <c r="G96" s="54" t="n">
        <v>1</v>
      </c>
      <c r="H96" s="55" t="n">
        <v>4111</v>
      </c>
      <c r="I96" s="55" t="n">
        <v>4202.74</v>
      </c>
      <c r="J96" s="55" t="n">
        <v>0</v>
      </c>
      <c r="K96" s="55" t="n">
        <v>0</v>
      </c>
      <c r="L96" s="55" t="n">
        <v>4202.74</v>
      </c>
      <c r="M96" s="55" t="n">
        <v>91.73999999999999</v>
      </c>
      <c r="N96" s="36" t="inlineStr">
        <is>
          <t>610490</t>
        </is>
      </c>
      <c r="O96" s="36" t="inlineStr">
        <is>
          <t>RELAYHLTH</t>
        </is>
      </c>
      <c r="P96" s="36" t="inlineStr">
        <is>
          <t>ADAP01</t>
        </is>
      </c>
      <c r="Q96" s="36" t="n">
        <v/>
      </c>
    </row>
    <row r="97">
      <c r="A97" s="36" t="inlineStr">
        <is>
          <t>137695</t>
        </is>
      </c>
      <c r="B97" s="52" t="n">
        <v>46028</v>
      </c>
      <c r="C97" s="36" t="inlineStr">
        <is>
          <t>61958250101</t>
        </is>
      </c>
      <c r="D97" s="53" t="inlineStr">
        <is>
          <t>BIKTARVY 50-200-25MG TABLET</t>
        </is>
      </c>
      <c r="E97" s="36" t="n">
        <v>30</v>
      </c>
      <c r="F97" s="54" t="n">
        <v>30</v>
      </c>
      <c r="G97" s="54" t="n">
        <v>1</v>
      </c>
      <c r="H97" s="55" t="n">
        <v>4111</v>
      </c>
      <c r="I97" s="55" t="n">
        <v>4202.74</v>
      </c>
      <c r="J97" s="55" t="n">
        <v>0</v>
      </c>
      <c r="K97" s="55" t="n">
        <v>0</v>
      </c>
      <c r="L97" s="55" t="n">
        <v>4202.74</v>
      </c>
      <c r="M97" s="55" t="n">
        <v>91.73999999999999</v>
      </c>
      <c r="N97" s="36" t="inlineStr">
        <is>
          <t>610490</t>
        </is>
      </c>
      <c r="O97" s="36" t="inlineStr">
        <is>
          <t>RELAYHLTH</t>
        </is>
      </c>
      <c r="P97" s="36" t="inlineStr">
        <is>
          <t>ADAP01</t>
        </is>
      </c>
      <c r="Q97" s="36" t="n">
        <v/>
      </c>
    </row>
    <row r="98">
      <c r="A98" s="36" t="inlineStr">
        <is>
          <t>135421</t>
        </is>
      </c>
      <c r="B98" s="52" t="n">
        <v>46051</v>
      </c>
      <c r="C98" s="36" t="inlineStr">
        <is>
          <t>61958250101</t>
        </is>
      </c>
      <c r="D98" s="53" t="inlineStr">
        <is>
          <t>BIKTARVY 50-200-25MG TABLET</t>
        </is>
      </c>
      <c r="E98" s="36" t="n">
        <v>30</v>
      </c>
      <c r="F98" s="54" t="n">
        <v>30</v>
      </c>
      <c r="G98" s="54" t="n">
        <v>1</v>
      </c>
      <c r="H98" s="55" t="n">
        <v>4111</v>
      </c>
      <c r="I98" s="55" t="n">
        <v>3992.11</v>
      </c>
      <c r="J98" s="55" t="n">
        <v>0</v>
      </c>
      <c r="K98" s="55" t="n">
        <v>4.9</v>
      </c>
      <c r="L98" s="55" t="n">
        <v>3997.01</v>
      </c>
      <c r="M98" s="55" t="n">
        <v>-113.99</v>
      </c>
      <c r="N98" s="36" t="inlineStr">
        <is>
          <t>015574</t>
        </is>
      </c>
      <c r="O98" s="36" t="inlineStr">
        <is>
          <t>MEDIMP</t>
        </is>
      </c>
      <c r="P98" s="36" t="inlineStr">
        <is>
          <t>ASPROD1</t>
        </is>
      </c>
      <c r="Q98" s="36" t="inlineStr">
        <is>
          <t>VNS01</t>
        </is>
      </c>
    </row>
    <row r="99">
      <c r="A99" s="36" t="inlineStr">
        <is>
          <t>141611</t>
        </is>
      </c>
      <c r="B99" s="52" t="n">
        <v>46056</v>
      </c>
      <c r="C99" s="36" t="inlineStr">
        <is>
          <t>61958250101</t>
        </is>
      </c>
      <c r="D99" s="53" t="inlineStr">
        <is>
          <t>BIKTARVY 50-200-25MG TABLET</t>
        </is>
      </c>
      <c r="E99" s="36" t="n">
        <v>30</v>
      </c>
      <c r="F99" s="54" t="n">
        <v>30</v>
      </c>
      <c r="G99" s="54" t="n">
        <v>1</v>
      </c>
      <c r="H99" s="55" t="n">
        <v>4111</v>
      </c>
      <c r="I99" s="55" t="n">
        <v>4202.74</v>
      </c>
      <c r="J99" s="55" t="n">
        <v>0</v>
      </c>
      <c r="K99" s="55" t="n">
        <v>0</v>
      </c>
      <c r="L99" s="55" t="n">
        <v>4202.74</v>
      </c>
      <c r="M99" s="55" t="n">
        <v>91.73999999999999</v>
      </c>
      <c r="N99" s="36" t="inlineStr">
        <is>
          <t>610490</t>
        </is>
      </c>
      <c r="O99" s="36" t="inlineStr">
        <is>
          <t>RELAYHLTH</t>
        </is>
      </c>
      <c r="P99" s="36" t="inlineStr">
        <is>
          <t>ADAP01</t>
        </is>
      </c>
      <c r="Q99" s="36" t="n">
        <v/>
      </c>
    </row>
    <row r="100">
      <c r="A100" s="36" t="inlineStr">
        <is>
          <t>135421</t>
        </is>
      </c>
      <c r="B100" s="52" t="n">
        <v>46024</v>
      </c>
      <c r="C100" s="36" t="inlineStr">
        <is>
          <t>61958250101</t>
        </is>
      </c>
      <c r="D100" s="53" t="inlineStr">
        <is>
          <t>BIKTARVY 50-200-25MG TABLET</t>
        </is>
      </c>
      <c r="E100" s="36" t="n">
        <v>30</v>
      </c>
      <c r="F100" s="54" t="n">
        <v>30</v>
      </c>
      <c r="G100" s="54" t="n">
        <v>1</v>
      </c>
      <c r="H100" s="55" t="n">
        <v>4111</v>
      </c>
      <c r="I100" s="55" t="n">
        <v>3992.11</v>
      </c>
      <c r="J100" s="55" t="n">
        <v>0</v>
      </c>
      <c r="K100" s="55" t="n">
        <v>4.9</v>
      </c>
      <c r="L100" s="55" t="n">
        <v>3997.01</v>
      </c>
      <c r="M100" s="55" t="n">
        <v>-113.99</v>
      </c>
      <c r="N100" s="36" t="inlineStr">
        <is>
          <t>015574</t>
        </is>
      </c>
      <c r="O100" s="36" t="inlineStr">
        <is>
          <t>MEDIMP</t>
        </is>
      </c>
      <c r="P100" s="36" t="inlineStr">
        <is>
          <t>ASPROD1</t>
        </is>
      </c>
      <c r="Q100" s="36" t="inlineStr">
        <is>
          <t>VNS01</t>
        </is>
      </c>
    </row>
    <row r="101">
      <c r="A101" s="36" t="inlineStr">
        <is>
          <t>129795</t>
        </is>
      </c>
      <c r="B101" s="52" t="n">
        <v>46022</v>
      </c>
      <c r="C101" s="36" t="inlineStr">
        <is>
          <t>61958250101</t>
        </is>
      </c>
      <c r="D101" s="53" t="inlineStr">
        <is>
          <t>BIKTARVY 50-200-25MG TABLET</t>
        </is>
      </c>
      <c r="E101" s="36" t="n">
        <v>30</v>
      </c>
      <c r="F101" s="54" t="n">
        <v>30</v>
      </c>
      <c r="G101" s="54" t="n">
        <v>1</v>
      </c>
      <c r="H101" s="55" t="n">
        <v>4111</v>
      </c>
      <c r="I101" s="55" t="n">
        <v>4111.27</v>
      </c>
      <c r="J101" s="55" t="n">
        <v>0</v>
      </c>
      <c r="K101" s="55" t="n">
        <v>0</v>
      </c>
      <c r="L101" s="55" t="n">
        <v>4111.27</v>
      </c>
      <c r="M101" s="55" t="n">
        <v>0.27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140799</t>
        </is>
      </c>
      <c r="B102" s="52" t="n">
        <v>46050</v>
      </c>
      <c r="C102" s="36" t="inlineStr">
        <is>
          <t>61958250101</t>
        </is>
      </c>
      <c r="D102" s="53" t="inlineStr">
        <is>
          <t>BIKTARVY 50-200-25MG TABLET</t>
        </is>
      </c>
      <c r="E102" s="36" t="n">
        <v>30</v>
      </c>
      <c r="F102" s="54" t="n">
        <v>30</v>
      </c>
      <c r="G102" s="54" t="n">
        <v>1</v>
      </c>
      <c r="H102" s="55" t="n">
        <v>4111</v>
      </c>
      <c r="I102" s="55" t="n">
        <v>4111.27</v>
      </c>
      <c r="J102" s="55" t="n">
        <v>0</v>
      </c>
      <c r="K102" s="55" t="n">
        <v>0</v>
      </c>
      <c r="L102" s="55" t="n">
        <v>4111.27</v>
      </c>
      <c r="M102" s="55" t="n">
        <v>0.27</v>
      </c>
      <c r="N102" s="36" t="inlineStr">
        <is>
          <t>004740</t>
        </is>
      </c>
      <c r="O102" s="36" t="inlineStr">
        <is>
          <t>NYM</t>
        </is>
      </c>
      <c r="P102" s="36" t="inlineStr">
        <is>
          <t>9314DA31</t>
        </is>
      </c>
      <c r="Q102" s="36" t="n">
        <v/>
      </c>
    </row>
    <row r="103">
      <c r="A103" s="36" t="inlineStr">
        <is>
          <t>103554</t>
        </is>
      </c>
      <c r="B103" s="52" t="n">
        <v>46045</v>
      </c>
      <c r="C103" s="36" t="inlineStr">
        <is>
          <t>61958250101</t>
        </is>
      </c>
      <c r="D103" s="53" t="inlineStr">
        <is>
          <t>BIKTARVY 50-200-25MG TABLET</t>
        </is>
      </c>
      <c r="E103" s="36" t="n">
        <v>30</v>
      </c>
      <c r="F103" s="54" t="n">
        <v>30</v>
      </c>
      <c r="G103" s="54" t="n">
        <v>1</v>
      </c>
      <c r="H103" s="55" t="n">
        <v>4111</v>
      </c>
      <c r="I103" s="55" t="n">
        <v>4111.27</v>
      </c>
      <c r="J103" s="55" t="n">
        <v>0</v>
      </c>
      <c r="K103" s="55" t="n">
        <v>0</v>
      </c>
      <c r="L103" s="55" t="n">
        <v>4111.27</v>
      </c>
      <c r="M103" s="55" t="n">
        <v>0.27</v>
      </c>
      <c r="N103" s="36" t="inlineStr">
        <is>
          <t>004740</t>
        </is>
      </c>
      <c r="O103" s="36" t="inlineStr">
        <is>
          <t>NYM</t>
        </is>
      </c>
      <c r="P103" s="36" t="inlineStr">
        <is>
          <t>9314DA31</t>
        </is>
      </c>
      <c r="Q103" s="36" t="n">
        <v/>
      </c>
    </row>
    <row r="104">
      <c r="A104" s="36" t="inlineStr">
        <is>
          <t>143455</t>
        </is>
      </c>
      <c r="B104" s="52" t="n">
        <v>46069</v>
      </c>
      <c r="C104" s="36" t="inlineStr">
        <is>
          <t>00173085910</t>
        </is>
      </c>
      <c r="D104" s="53" t="inlineStr">
        <is>
          <t>BREO ELLIPTA 100-25 MCG/ACT INH AEROSOL</t>
        </is>
      </c>
      <c r="E104" s="36" t="n">
        <v>60</v>
      </c>
      <c r="F104" s="54" t="n">
        <v>60</v>
      </c>
      <c r="G104" s="54" t="n">
        <v>1</v>
      </c>
      <c r="H104" s="55" t="n">
        <v>393</v>
      </c>
      <c r="I104" s="55" t="n">
        <v>387.27</v>
      </c>
      <c r="J104" s="55" t="n">
        <v>0</v>
      </c>
      <c r="K104" s="55" t="n">
        <v>0</v>
      </c>
      <c r="L104" s="55" t="n">
        <v>387.27</v>
      </c>
      <c r="M104" s="55" t="n">
        <v>-5.73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132801</t>
        </is>
      </c>
      <c r="B105" s="52" t="n">
        <v>46034</v>
      </c>
      <c r="C105" s="36" t="inlineStr">
        <is>
          <t>00173085910</t>
        </is>
      </c>
      <c r="D105" s="53" t="inlineStr">
        <is>
          <t>BREO ELLIPTA 100-25 MCG/ACT INH AEROSOL</t>
        </is>
      </c>
      <c r="E105" s="36" t="n">
        <v>60</v>
      </c>
      <c r="F105" s="54" t="n">
        <v>60</v>
      </c>
      <c r="G105" s="54" t="n">
        <v>1</v>
      </c>
      <c r="H105" s="55" t="n">
        <v>393</v>
      </c>
      <c r="I105" s="55" t="n">
        <v>383.09</v>
      </c>
      <c r="J105" s="55" t="n">
        <v>0</v>
      </c>
      <c r="K105" s="55" t="n">
        <v>0</v>
      </c>
      <c r="L105" s="55" t="n">
        <v>383.09</v>
      </c>
      <c r="M105" s="55" t="n">
        <v>-9.91</v>
      </c>
      <c r="N105" s="36" t="inlineStr">
        <is>
          <t>015599</t>
        </is>
      </c>
      <c r="O105" s="36" t="inlineStr">
        <is>
          <t>ARG/HUM</t>
        </is>
      </c>
      <c r="P105" s="36" t="inlineStr">
        <is>
          <t>05440000</t>
        </is>
      </c>
      <c r="Q105" s="36" t="n">
        <v/>
      </c>
    </row>
    <row r="106">
      <c r="A106" s="36" t="inlineStr">
        <is>
          <t>132801</t>
        </is>
      </c>
      <c r="B106" s="52" t="n">
        <v>46070</v>
      </c>
      <c r="C106" s="36" t="inlineStr">
        <is>
          <t>00173085910</t>
        </is>
      </c>
      <c r="D106" s="53" t="inlineStr">
        <is>
          <t>BREO ELLIPTA 100-25 MCG/ACT INH AEROSOL</t>
        </is>
      </c>
      <c r="E106" s="36" t="n">
        <v>60</v>
      </c>
      <c r="F106" s="54" t="n">
        <v>60</v>
      </c>
      <c r="G106" s="54" t="n">
        <v>1</v>
      </c>
      <c r="H106" s="55" t="n">
        <v>393</v>
      </c>
      <c r="I106" s="55" t="n">
        <v>360.14</v>
      </c>
      <c r="J106" s="55" t="n">
        <v>0</v>
      </c>
      <c r="K106" s="55" t="n">
        <v>0</v>
      </c>
      <c r="L106" s="55" t="n">
        <v>360.14</v>
      </c>
      <c r="M106" s="55" t="n">
        <v>-32.86</v>
      </c>
      <c r="N106" s="36" t="inlineStr">
        <is>
          <t>610014</t>
        </is>
      </c>
      <c r="O106" s="36" t="inlineStr">
        <is>
          <t>EXPRESS</t>
        </is>
      </c>
      <c r="P106" s="36" t="inlineStr">
        <is>
          <t>MEDDPRIME</t>
        </is>
      </c>
      <c r="Q106" s="36" t="inlineStr">
        <is>
          <t>2FFA</t>
        </is>
      </c>
    </row>
    <row r="107">
      <c r="A107" s="36" t="inlineStr">
        <is>
          <t>121121</t>
        </is>
      </c>
      <c r="B107" s="52" t="n">
        <v>46072</v>
      </c>
      <c r="C107" s="36" t="inlineStr">
        <is>
          <t>00173085910</t>
        </is>
      </c>
      <c r="D107" s="53" t="inlineStr">
        <is>
          <t>BREO ELLIPTA 100-25 MCG/ACT INH AEROSOL</t>
        </is>
      </c>
      <c r="E107" s="36" t="n">
        <v>60</v>
      </c>
      <c r="F107" s="54" t="n">
        <v>180</v>
      </c>
      <c r="G107" s="54" t="n">
        <v>3</v>
      </c>
      <c r="H107" s="55" t="n">
        <v>1179</v>
      </c>
      <c r="I107" s="55" t="n">
        <v>1143.12</v>
      </c>
      <c r="J107" s="55" t="n">
        <v>0</v>
      </c>
      <c r="K107" s="55" t="n">
        <v>0</v>
      </c>
      <c r="L107" s="55" t="n">
        <v>1143.12</v>
      </c>
      <c r="M107" s="55" t="n">
        <v>-35.88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140750</t>
        </is>
      </c>
      <c r="B108" s="52" t="n">
        <v>46049</v>
      </c>
      <c r="C108" s="36" t="inlineStr">
        <is>
          <t>00173085910</t>
        </is>
      </c>
      <c r="D108" s="53" t="inlineStr">
        <is>
          <t>BREO ELLIPTA 100-25 MCG/ACT INH AEROSOL</t>
        </is>
      </c>
      <c r="E108" s="36" t="n">
        <v>60</v>
      </c>
      <c r="F108" s="54" t="n">
        <v>180</v>
      </c>
      <c r="G108" s="54" t="n">
        <v>3</v>
      </c>
      <c r="H108" s="55" t="n">
        <v>1179</v>
      </c>
      <c r="I108" s="55" t="n">
        <v>1143.12</v>
      </c>
      <c r="J108" s="55" t="n">
        <v>0</v>
      </c>
      <c r="K108" s="55" t="n">
        <v>0</v>
      </c>
      <c r="L108" s="55" t="n">
        <v>1143.12</v>
      </c>
      <c r="M108" s="55" t="n">
        <v>-35.88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133067</t>
        </is>
      </c>
      <c r="B109" s="52" t="n">
        <v>45992</v>
      </c>
      <c r="C109" s="36" t="inlineStr">
        <is>
          <t>00173085910</t>
        </is>
      </c>
      <c r="D109" s="53" t="inlineStr">
        <is>
          <t>BREO ELLIPTA 100-25 MCG/ACT INH AEROSOL</t>
        </is>
      </c>
      <c r="E109" s="36" t="n">
        <v>60</v>
      </c>
      <c r="F109" s="54" t="n">
        <v>180</v>
      </c>
      <c r="G109" s="54" t="n">
        <v>3</v>
      </c>
      <c r="H109" s="55" t="n">
        <v>1176</v>
      </c>
      <c r="I109" s="55" t="n">
        <v>1135.79</v>
      </c>
      <c r="J109" s="55" t="n">
        <v>0</v>
      </c>
      <c r="K109" s="55" t="n">
        <v>0</v>
      </c>
      <c r="L109" s="55" t="n">
        <v>1135.79</v>
      </c>
      <c r="M109" s="55" t="n">
        <v>-40.21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123729</t>
        </is>
      </c>
      <c r="B110" s="52" t="n">
        <v>46006</v>
      </c>
      <c r="C110" s="36" t="inlineStr">
        <is>
          <t>00173085910</t>
        </is>
      </c>
      <c r="D110" s="53" t="inlineStr">
        <is>
          <t>BREO ELLIPTA 100-25 MCG/ACT INH AEROSOL</t>
        </is>
      </c>
      <c r="E110" s="36" t="n">
        <v>60</v>
      </c>
      <c r="F110" s="54" t="n">
        <v>180</v>
      </c>
      <c r="G110" s="54" t="n">
        <v>3</v>
      </c>
      <c r="H110" s="55" t="n">
        <v>1176</v>
      </c>
      <c r="I110" s="55" t="n">
        <v>1135.79</v>
      </c>
      <c r="J110" s="55" t="n">
        <v>0</v>
      </c>
      <c r="K110" s="55" t="n">
        <v>0</v>
      </c>
      <c r="L110" s="55" t="n">
        <v>1135.79</v>
      </c>
      <c r="M110" s="55" t="n">
        <v>-40.21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121349</t>
        </is>
      </c>
      <c r="B111" s="52" t="n">
        <v>46014</v>
      </c>
      <c r="C111" s="36" t="inlineStr">
        <is>
          <t>00173088210</t>
        </is>
      </c>
      <c r="D111" s="53" t="inlineStr">
        <is>
          <t>BREO ELLIPTA 200-25MCG/INH AEROSOL 60EA</t>
        </is>
      </c>
      <c r="E111" s="36" t="n">
        <v>60</v>
      </c>
      <c r="F111" s="54" t="n">
        <v>60</v>
      </c>
      <c r="G111" s="54" t="n">
        <v>1</v>
      </c>
      <c r="H111" s="55" t="n">
        <v>392</v>
      </c>
      <c r="I111" s="55" t="n">
        <v>383.85</v>
      </c>
      <c r="J111" s="55" t="n">
        <v>0</v>
      </c>
      <c r="K111" s="55" t="n">
        <v>0</v>
      </c>
      <c r="L111" s="55" t="n">
        <v>383.85</v>
      </c>
      <c r="M111" s="55" t="n">
        <v>-8.15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121349</t>
        </is>
      </c>
      <c r="B112" s="52" t="n">
        <v>46048</v>
      </c>
      <c r="C112" s="36" t="inlineStr">
        <is>
          <t>00173088210</t>
        </is>
      </c>
      <c r="D112" s="53" t="inlineStr">
        <is>
          <t>BREO ELLIPTA 200-25MCG/INH AEROSOL 60EA</t>
        </is>
      </c>
      <c r="E112" s="36" t="n">
        <v>60</v>
      </c>
      <c r="F112" s="54" t="n">
        <v>60</v>
      </c>
      <c r="G112" s="54" t="n">
        <v>1</v>
      </c>
      <c r="H112" s="55" t="n">
        <v>392</v>
      </c>
      <c r="I112" s="55" t="n">
        <v>387.27</v>
      </c>
      <c r="J112" s="55" t="n">
        <v>0</v>
      </c>
      <c r="K112" s="55" t="n">
        <v>0</v>
      </c>
      <c r="L112" s="55" t="n">
        <v>387.27</v>
      </c>
      <c r="M112" s="55" t="n">
        <v>-4.73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136231</t>
        </is>
      </c>
      <c r="B113" s="52" t="n">
        <v>46070</v>
      </c>
      <c r="C113" s="36" t="inlineStr">
        <is>
          <t>00310461612</t>
        </is>
      </c>
      <c r="D113" s="53" t="inlineStr">
        <is>
          <t>BREZTRI AEROSPHERE 160-9-4.8 MCG/ACT INHALATION AEROSOL</t>
        </is>
      </c>
      <c r="E113" s="36" t="n">
        <v>10.7</v>
      </c>
      <c r="F113" s="54" t="n">
        <v>10.7</v>
      </c>
      <c r="G113" s="54" t="n">
        <v>1</v>
      </c>
      <c r="H113" s="55" t="n">
        <v>666</v>
      </c>
      <c r="I113" s="55" t="n">
        <v>665.62</v>
      </c>
      <c r="J113" s="55" t="n">
        <v>0</v>
      </c>
      <c r="K113" s="55" t="n">
        <v>0</v>
      </c>
      <c r="L113" s="55" t="n">
        <v>665.62</v>
      </c>
      <c r="M113" s="55" t="n">
        <v>-0.38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107350</t>
        </is>
      </c>
      <c r="B114" s="52" t="n">
        <v>46009</v>
      </c>
      <c r="C114" s="36" t="inlineStr">
        <is>
          <t>00310461612</t>
        </is>
      </c>
      <c r="D114" s="53" t="inlineStr">
        <is>
          <t>BREZTRI AEROSPHERE 160-9-4.8 MCG/ACT INHALATION AEROSOL</t>
        </is>
      </c>
      <c r="E114" s="36" t="n">
        <v>10.7</v>
      </c>
      <c r="F114" s="54" t="n">
        <v>10.7</v>
      </c>
      <c r="G114" s="54" t="n">
        <v>1</v>
      </c>
      <c r="H114" s="55" t="n">
        <v>640</v>
      </c>
      <c r="I114" s="55" t="n">
        <v>626.51</v>
      </c>
      <c r="J114" s="55" t="n">
        <v>0</v>
      </c>
      <c r="K114" s="55" t="n">
        <v>0</v>
      </c>
      <c r="L114" s="55" t="n">
        <v>626.51</v>
      </c>
      <c r="M114" s="55" t="n">
        <v>-13.49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131361</t>
        </is>
      </c>
      <c r="B115" s="52" t="n">
        <v>46034</v>
      </c>
      <c r="C115" s="36" t="inlineStr">
        <is>
          <t>00310461612</t>
        </is>
      </c>
      <c r="D115" s="53" t="inlineStr">
        <is>
          <t>BREZTRI AEROSPHERE 160-9-4.8 MCG/ACT INHALATION AEROSOL</t>
        </is>
      </c>
      <c r="E115" s="36" t="n">
        <v>10.7</v>
      </c>
      <c r="F115" s="54" t="n">
        <v>10.7</v>
      </c>
      <c r="G115" s="54" t="n">
        <v>1</v>
      </c>
      <c r="H115" s="55" t="n">
        <v>640</v>
      </c>
      <c r="I115" s="55" t="n">
        <v>651.0700000000001</v>
      </c>
      <c r="J115" s="55" t="n">
        <v>0</v>
      </c>
      <c r="K115" s="55" t="n">
        <v>0</v>
      </c>
      <c r="L115" s="55" t="n">
        <v>651.0700000000001</v>
      </c>
      <c r="M115" s="55" t="n">
        <v>11.07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115351</t>
        </is>
      </c>
      <c r="B116" s="52" t="n">
        <v>46034</v>
      </c>
      <c r="C116" s="36" t="inlineStr">
        <is>
          <t>00310461612</t>
        </is>
      </c>
      <c r="D116" s="53" t="inlineStr">
        <is>
          <t>BREZTRI AEROSPHERE 160-9-4.8 MCG/ACT INHALATION AEROSOL</t>
        </is>
      </c>
      <c r="E116" s="36" t="n">
        <v>10.7</v>
      </c>
      <c r="F116" s="54" t="n">
        <v>10.7</v>
      </c>
      <c r="G116" s="54" t="n">
        <v>1</v>
      </c>
      <c r="H116" s="55" t="n">
        <v>640</v>
      </c>
      <c r="I116" s="55" t="n">
        <v>603.65</v>
      </c>
      <c r="J116" s="55" t="n">
        <v>0</v>
      </c>
      <c r="K116" s="55" t="n">
        <v>30</v>
      </c>
      <c r="L116" s="55" t="n">
        <v>633.65</v>
      </c>
      <c r="M116" s="55" t="n">
        <v>-6.35</v>
      </c>
      <c r="N116" s="36" t="inlineStr">
        <is>
          <t>610014</t>
        </is>
      </c>
      <c r="O116" s="36" t="inlineStr">
        <is>
          <t>EXPRESS</t>
        </is>
      </c>
      <c r="P116" s="36" t="n">
        <v/>
      </c>
      <c r="Q116" s="36" t="inlineStr">
        <is>
          <t>LOCAL74</t>
        </is>
      </c>
    </row>
    <row r="117">
      <c r="A117" s="36" t="inlineStr">
        <is>
          <t>136231</t>
        </is>
      </c>
      <c r="B117" s="52" t="n">
        <v>46042</v>
      </c>
      <c r="C117" s="36" t="inlineStr">
        <is>
          <t>00310461612</t>
        </is>
      </c>
      <c r="D117" s="53" t="inlineStr">
        <is>
          <t>BREZTRI AEROSPHERE 160-9-4.8 MCG/ACT INHALATION AEROSOL</t>
        </is>
      </c>
      <c r="E117" s="36" t="n">
        <v>10.7</v>
      </c>
      <c r="F117" s="54" t="n">
        <v>10.7</v>
      </c>
      <c r="G117" s="54" t="n">
        <v>1</v>
      </c>
      <c r="H117" s="55" t="n">
        <v>640</v>
      </c>
      <c r="I117" s="55" t="n">
        <v>665.62</v>
      </c>
      <c r="J117" s="55" t="n">
        <v>0</v>
      </c>
      <c r="K117" s="55" t="n">
        <v>0</v>
      </c>
      <c r="L117" s="55" t="n">
        <v>665.62</v>
      </c>
      <c r="M117" s="55" t="n">
        <v>25.62</v>
      </c>
      <c r="N117" s="36" t="inlineStr">
        <is>
          <t>004740</t>
        </is>
      </c>
      <c r="O117" s="36" t="inlineStr">
        <is>
          <t>NYM</t>
        </is>
      </c>
      <c r="P117" s="36" t="inlineStr">
        <is>
          <t>9314DA31</t>
        </is>
      </c>
      <c r="Q117" s="36" t="n">
        <v/>
      </c>
    </row>
    <row r="118">
      <c r="A118" s="36" t="inlineStr">
        <is>
          <t>107350</t>
        </is>
      </c>
      <c r="B118" s="52" t="n">
        <v>46036</v>
      </c>
      <c r="C118" s="36" t="inlineStr">
        <is>
          <t>00310461612</t>
        </is>
      </c>
      <c r="D118" s="53" t="inlineStr">
        <is>
          <t>BREZTRI AEROSPHERE 160-9-4.8 MCG/ACT INHALATION AEROSOL</t>
        </is>
      </c>
      <c r="E118" s="36" t="n">
        <v>10.7</v>
      </c>
      <c r="F118" s="54" t="n">
        <v>10.7</v>
      </c>
      <c r="G118" s="54" t="n">
        <v>1</v>
      </c>
      <c r="H118" s="55" t="n">
        <v>640</v>
      </c>
      <c r="I118" s="55" t="n">
        <v>651.0700000000001</v>
      </c>
      <c r="J118" s="55" t="n">
        <v>0</v>
      </c>
      <c r="K118" s="55" t="n">
        <v>0</v>
      </c>
      <c r="L118" s="55" t="n">
        <v>651.0700000000001</v>
      </c>
      <c r="M118" s="55" t="n">
        <v>11.07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115351</t>
        </is>
      </c>
      <c r="B119" s="52" t="n">
        <v>46062</v>
      </c>
      <c r="C119" s="36" t="inlineStr">
        <is>
          <t>00310461612</t>
        </is>
      </c>
      <c r="D119" s="53" t="inlineStr">
        <is>
          <t>BREZTRI AEROSPHERE 160-9-4.8 MCG/ACT INHALATION AEROSOL</t>
        </is>
      </c>
      <c r="E119" s="36" t="n">
        <v>10.7</v>
      </c>
      <c r="F119" s="54" t="n">
        <v>10.7</v>
      </c>
      <c r="G119" s="54" t="n">
        <v>1</v>
      </c>
      <c r="H119" s="55" t="n">
        <v>666</v>
      </c>
      <c r="I119" s="55" t="n">
        <v>603.65</v>
      </c>
      <c r="J119" s="55" t="n">
        <v>0</v>
      </c>
      <c r="K119" s="55" t="n">
        <v>30</v>
      </c>
      <c r="L119" s="55" t="n">
        <v>633.65</v>
      </c>
      <c r="M119" s="55" t="n">
        <v>-32.35</v>
      </c>
      <c r="N119" s="36" t="inlineStr">
        <is>
          <t>610014</t>
        </is>
      </c>
      <c r="O119" s="36" t="inlineStr">
        <is>
          <t>EXPRESS</t>
        </is>
      </c>
      <c r="P119" s="36" t="n">
        <v/>
      </c>
      <c r="Q119" s="36" t="inlineStr">
        <is>
          <t>LOCAL74</t>
        </is>
      </c>
    </row>
    <row r="120">
      <c r="A120" s="36" t="inlineStr">
        <is>
          <t>142387</t>
        </is>
      </c>
      <c r="B120" s="52" t="n">
        <v>46062</v>
      </c>
      <c r="C120" s="36" t="inlineStr">
        <is>
          <t>00310461612</t>
        </is>
      </c>
      <c r="D120" s="53" t="inlineStr">
        <is>
          <t>BREZTRI AEROSPHERE 160-9-4.8 MCG/ACT INHALATION AEROSOL</t>
        </is>
      </c>
      <c r="E120" s="36" t="n">
        <v>10.7</v>
      </c>
      <c r="F120" s="54" t="n">
        <v>10.7</v>
      </c>
      <c r="G120" s="54" t="n">
        <v>1</v>
      </c>
      <c r="H120" s="55" t="n">
        <v>666</v>
      </c>
      <c r="I120" s="55" t="n">
        <v>651.0700000000001</v>
      </c>
      <c r="J120" s="55" t="n">
        <v>0</v>
      </c>
      <c r="K120" s="55" t="n">
        <v>0</v>
      </c>
      <c r="L120" s="55" t="n">
        <v>651.0700000000001</v>
      </c>
      <c r="M120" s="55" t="n">
        <v>-14.93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136231</t>
        </is>
      </c>
      <c r="B121" s="52" t="n">
        <v>46014</v>
      </c>
      <c r="C121" s="36" t="inlineStr">
        <is>
          <t>00310461612</t>
        </is>
      </c>
      <c r="D121" s="53" t="inlineStr">
        <is>
          <t>BREZTRI AEROSPHERE 160-9-4.8 MCG/ACT INHALATION AEROSOL</t>
        </is>
      </c>
      <c r="E121" s="36" t="n">
        <v>10.7</v>
      </c>
      <c r="F121" s="54" t="n">
        <v>10.7</v>
      </c>
      <c r="G121" s="54" t="n">
        <v>1</v>
      </c>
      <c r="H121" s="55" t="n">
        <v>640</v>
      </c>
      <c r="I121" s="55" t="n">
        <v>646.52</v>
      </c>
      <c r="J121" s="55" t="n">
        <v>0</v>
      </c>
      <c r="K121" s="55" t="n">
        <v>0</v>
      </c>
      <c r="L121" s="55" t="n">
        <v>646.52</v>
      </c>
      <c r="M121" s="55" t="n">
        <v>6.52</v>
      </c>
      <c r="N121" s="36" t="inlineStr">
        <is>
          <t>004740</t>
        </is>
      </c>
      <c r="O121" s="36" t="inlineStr">
        <is>
          <t>NYM</t>
        </is>
      </c>
      <c r="P121" s="36" t="inlineStr">
        <is>
          <t>9314DA31</t>
        </is>
      </c>
      <c r="Q121" s="36" t="n">
        <v/>
      </c>
    </row>
    <row r="122">
      <c r="A122" s="36" t="inlineStr">
        <is>
          <t>131361</t>
        </is>
      </c>
      <c r="B122" s="52" t="n">
        <v>46006</v>
      </c>
      <c r="C122" s="36" t="inlineStr">
        <is>
          <t>00310461612</t>
        </is>
      </c>
      <c r="D122" s="53" t="inlineStr">
        <is>
          <t>BREZTRI AEROSPHERE 160-9-4.8 MCG/ACT INHALATION AEROSOL</t>
        </is>
      </c>
      <c r="E122" s="36" t="n">
        <v>10.7</v>
      </c>
      <c r="F122" s="54" t="n">
        <v>10.7</v>
      </c>
      <c r="G122" s="54" t="n">
        <v>1</v>
      </c>
      <c r="H122" s="55" t="n">
        <v>640</v>
      </c>
      <c r="I122" s="55" t="n">
        <v>626.51</v>
      </c>
      <c r="J122" s="55" t="n">
        <v>0</v>
      </c>
      <c r="K122" s="55" t="n">
        <v>0</v>
      </c>
      <c r="L122" s="55" t="n">
        <v>626.51</v>
      </c>
      <c r="M122" s="55" t="n">
        <v>-13.49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111478</t>
        </is>
      </c>
      <c r="B123" s="52" t="n">
        <v>46063</v>
      </c>
      <c r="C123" s="36" t="inlineStr">
        <is>
          <t>00310461612</t>
        </is>
      </c>
      <c r="D123" s="53" t="inlineStr">
        <is>
          <t>BREZTRI AEROSPHERE 160-9-4.8 MCG/ACT INHALATION AEROSOL</t>
        </is>
      </c>
      <c r="E123" s="36" t="n">
        <v>10.7</v>
      </c>
      <c r="F123" s="54" t="n">
        <v>10.7</v>
      </c>
      <c r="G123" s="54" t="n">
        <v>1</v>
      </c>
      <c r="H123" s="55" t="n">
        <v>666</v>
      </c>
      <c r="I123" s="55" t="n">
        <v>603.65</v>
      </c>
      <c r="J123" s="55" t="n">
        <v>0</v>
      </c>
      <c r="K123" s="55" t="n">
        <v>30</v>
      </c>
      <c r="L123" s="55" t="n">
        <v>633.65</v>
      </c>
      <c r="M123" s="55" t="n">
        <v>-32.35</v>
      </c>
      <c r="N123" s="36" t="inlineStr">
        <is>
          <t>610014</t>
        </is>
      </c>
      <c r="O123" s="36" t="inlineStr">
        <is>
          <t>EXPRESS</t>
        </is>
      </c>
      <c r="P123" s="36" t="inlineStr">
        <is>
          <t>PEU</t>
        </is>
      </c>
      <c r="Q123" s="36" t="inlineStr">
        <is>
          <t>UMBPHBP</t>
        </is>
      </c>
    </row>
    <row r="124">
      <c r="A124" s="36" t="inlineStr">
        <is>
          <t>132695</t>
        </is>
      </c>
      <c r="B124" s="52" t="n">
        <v>45999</v>
      </c>
      <c r="C124" s="36" t="inlineStr">
        <is>
          <t>00310461612</t>
        </is>
      </c>
      <c r="D124" s="53" t="inlineStr">
        <is>
          <t>BREZTRI AEROSPHERE 160-9-4.8 MCG/ACT INHALATION AEROSOL</t>
        </is>
      </c>
      <c r="E124" s="36" t="n">
        <v>10.7</v>
      </c>
      <c r="F124" s="54" t="n">
        <v>32.1</v>
      </c>
      <c r="G124" s="54" t="n">
        <v>3</v>
      </c>
      <c r="H124" s="55" t="n">
        <v>1920</v>
      </c>
      <c r="I124" s="55" t="n">
        <v>1999.41</v>
      </c>
      <c r="J124" s="55" t="n">
        <v>0</v>
      </c>
      <c r="K124" s="55" t="n">
        <v>0</v>
      </c>
      <c r="L124" s="55" t="n">
        <v>1999.41</v>
      </c>
      <c r="M124" s="55" t="n">
        <v>79.41</v>
      </c>
      <c r="N124" s="36" t="inlineStr">
        <is>
          <t>610097</t>
        </is>
      </c>
      <c r="O124" s="36" t="inlineStr">
        <is>
          <t>OPTUM</t>
        </is>
      </c>
      <c r="P124" s="36" t="inlineStr">
        <is>
          <t>9999</t>
        </is>
      </c>
      <c r="Q124" s="36" t="inlineStr">
        <is>
          <t>MPDCSP</t>
        </is>
      </c>
    </row>
    <row r="125">
      <c r="A125" s="36" t="inlineStr">
        <is>
          <t>107350</t>
        </is>
      </c>
      <c r="B125" s="52" t="n">
        <v>46064</v>
      </c>
      <c r="C125" s="36" t="inlineStr">
        <is>
          <t>00310461612</t>
        </is>
      </c>
      <c r="D125" s="53" t="inlineStr">
        <is>
          <t>BREZTRI AEROSPHERE 160-9-4.8 MCG/ACT INHALATION AEROSOL</t>
        </is>
      </c>
      <c r="E125" s="36" t="n">
        <v>10.7</v>
      </c>
      <c r="F125" s="54" t="n">
        <v>10.7</v>
      </c>
      <c r="G125" s="54" t="n">
        <v>1</v>
      </c>
      <c r="H125" s="55" t="n">
        <v>666</v>
      </c>
      <c r="I125" s="55" t="n">
        <v>651.0700000000001</v>
      </c>
      <c r="J125" s="55" t="n">
        <v>0</v>
      </c>
      <c r="K125" s="55" t="n">
        <v>0</v>
      </c>
      <c r="L125" s="55" t="n">
        <v>651.0700000000001</v>
      </c>
      <c r="M125" s="55" t="n">
        <v>-14.93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92368</t>
        </is>
      </c>
      <c r="B126" s="52" t="n">
        <v>45992</v>
      </c>
      <c r="C126" s="36" t="inlineStr">
        <is>
          <t>00310461612</t>
        </is>
      </c>
      <c r="D126" s="53" t="inlineStr">
        <is>
          <t>BREZTRI AEROSPHERE 160-9-4.8 MCG/ACT INHALATION AEROSOL</t>
        </is>
      </c>
      <c r="E126" s="36" t="n">
        <v>10.7</v>
      </c>
      <c r="F126" s="54" t="n">
        <v>10.7</v>
      </c>
      <c r="G126" s="54" t="n">
        <v>1</v>
      </c>
      <c r="H126" s="55" t="n">
        <v>640</v>
      </c>
      <c r="I126" s="55" t="n">
        <v>626.51</v>
      </c>
      <c r="J126" s="55" t="n">
        <v>0</v>
      </c>
      <c r="K126" s="55" t="n">
        <v>0</v>
      </c>
      <c r="L126" s="55" t="n">
        <v>626.51</v>
      </c>
      <c r="M126" s="55" t="n">
        <v>-13.49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144167</t>
        </is>
      </c>
      <c r="B127" s="52" t="n">
        <v>46073</v>
      </c>
      <c r="C127" s="36" t="inlineStr">
        <is>
          <t>00310461612</t>
        </is>
      </c>
      <c r="D127" s="53" t="inlineStr">
        <is>
          <t>BREZTRI AEROSPHERE 160-9-4.8 MCG/ACT INHALATION AEROSOL</t>
        </is>
      </c>
      <c r="E127" s="36" t="n">
        <v>10.7</v>
      </c>
      <c r="F127" s="54" t="n">
        <v>10.7</v>
      </c>
      <c r="G127" s="54" t="n">
        <v>1</v>
      </c>
      <c r="H127" s="55" t="n">
        <v>666</v>
      </c>
      <c r="I127" s="55" t="n">
        <v>648.99</v>
      </c>
      <c r="J127" s="55" t="n">
        <v>0</v>
      </c>
      <c r="K127" s="55" t="n">
        <v>0</v>
      </c>
      <c r="L127" s="55" t="n">
        <v>648.99</v>
      </c>
      <c r="M127" s="55" t="n">
        <v>-17.01</v>
      </c>
      <c r="N127" s="36" t="inlineStr">
        <is>
          <t>015574</t>
        </is>
      </c>
      <c r="O127" s="36" t="inlineStr">
        <is>
          <t>MEDIMP</t>
        </is>
      </c>
      <c r="P127" s="36" t="inlineStr">
        <is>
          <t>ASPROD1</t>
        </is>
      </c>
      <c r="Q127" s="36" t="inlineStr">
        <is>
          <t>VNS01</t>
        </is>
      </c>
    </row>
    <row r="128">
      <c r="A128" s="36" t="inlineStr">
        <is>
          <t>131073</t>
        </is>
      </c>
      <c r="B128" s="52" t="n">
        <v>46030</v>
      </c>
      <c r="C128" s="36" t="inlineStr">
        <is>
          <t>00310737220</t>
        </is>
      </c>
      <c r="D128" s="53" t="inlineStr">
        <is>
          <t>BUDESONIDE-FORMOTEROL FUMARATE 80-4.5MCG/ACT AEROSOL</t>
        </is>
      </c>
      <c r="E128" s="36" t="n">
        <v>10.2</v>
      </c>
      <c r="F128" s="54" t="n">
        <v>10.2</v>
      </c>
      <c r="G128" s="54" t="n">
        <v>1</v>
      </c>
      <c r="H128" s="55" t="n">
        <v>139</v>
      </c>
      <c r="I128" s="55" t="n">
        <v>154.41</v>
      </c>
      <c r="J128" s="55" t="n">
        <v>0</v>
      </c>
      <c r="K128" s="55" t="n">
        <v>1.6</v>
      </c>
      <c r="L128" s="55" t="n">
        <v>156.01</v>
      </c>
      <c r="M128" s="55" t="n">
        <v>17.01</v>
      </c>
      <c r="N128" s="36" t="inlineStr">
        <is>
          <t>015574</t>
        </is>
      </c>
      <c r="O128" s="36" t="inlineStr">
        <is>
          <t>MEDIMP</t>
        </is>
      </c>
      <c r="P128" s="36" t="inlineStr">
        <is>
          <t>ASPROD1</t>
        </is>
      </c>
      <c r="Q128" s="36" t="inlineStr">
        <is>
          <t>VNS01</t>
        </is>
      </c>
    </row>
    <row r="129">
      <c r="A129" s="36" t="inlineStr">
        <is>
          <t>132554</t>
        </is>
      </c>
      <c r="B129" s="52" t="n">
        <v>46014</v>
      </c>
      <c r="C129" s="36" t="inlineStr">
        <is>
          <t>00310737220</t>
        </is>
      </c>
      <c r="D129" s="53" t="inlineStr">
        <is>
          <t>BUDESONIDE-FORMOTEROL FUMARATE 80-4.5MCG/ACT AEROSOL</t>
        </is>
      </c>
      <c r="E129" s="36" t="n">
        <v>10.2</v>
      </c>
      <c r="F129" s="54" t="n">
        <v>10.2</v>
      </c>
      <c r="G129" s="54" t="n">
        <v>1</v>
      </c>
      <c r="H129" s="55" t="n">
        <v>139</v>
      </c>
      <c r="I129" s="55" t="n">
        <v>95.51000000000001</v>
      </c>
      <c r="J129" s="55" t="n">
        <v>0</v>
      </c>
      <c r="K129" s="55" t="n">
        <v>0</v>
      </c>
      <c r="L129" s="55" t="n">
        <v>95.51000000000001</v>
      </c>
      <c r="M129" s="55" t="n">
        <v>-43.49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141353</t>
        </is>
      </c>
      <c r="B130" s="52" t="n">
        <v>46053</v>
      </c>
      <c r="C130" s="36" t="inlineStr">
        <is>
          <t>00310737220</t>
        </is>
      </c>
      <c r="D130" s="53" t="inlineStr">
        <is>
          <t>BUDESONIDE-FORMOTEROL FUMARATE 80-4.5MCG/ACT AEROSOL</t>
        </is>
      </c>
      <c r="E130" s="36" t="n">
        <v>10.2</v>
      </c>
      <c r="F130" s="54" t="n">
        <v>10.2</v>
      </c>
      <c r="G130" s="54" t="n">
        <v>1</v>
      </c>
      <c r="H130" s="55" t="n">
        <v>139</v>
      </c>
      <c r="I130" s="55" t="n">
        <v>120.18</v>
      </c>
      <c r="J130" s="55" t="n">
        <v>0</v>
      </c>
      <c r="K130" s="55" t="n">
        <v>0</v>
      </c>
      <c r="L130" s="55" t="n">
        <v>120.18</v>
      </c>
      <c r="M130" s="55" t="n">
        <v>-18.82</v>
      </c>
      <c r="N130" s="36" t="inlineStr">
        <is>
          <t>610502</t>
        </is>
      </c>
      <c r="O130" s="36" t="inlineStr">
        <is>
          <t>CAREMARK</t>
        </is>
      </c>
      <c r="P130" s="36" t="inlineStr">
        <is>
          <t>MEDDAET</t>
        </is>
      </c>
      <c r="Q130" s="36" t="inlineStr">
        <is>
          <t>RXAETD</t>
        </is>
      </c>
    </row>
    <row r="131">
      <c r="A131" s="36" t="inlineStr">
        <is>
          <t>139689</t>
        </is>
      </c>
      <c r="B131" s="52" t="n">
        <v>46069</v>
      </c>
      <c r="C131" s="36" t="inlineStr">
        <is>
          <t>00310737220</t>
        </is>
      </c>
      <c r="D131" s="53" t="inlineStr">
        <is>
          <t>BUDESONIDE-FORMOTEROL FUMARATE 80-4.5MCG/ACT AEROSOL</t>
        </is>
      </c>
      <c r="E131" s="36" t="n">
        <v>10.2</v>
      </c>
      <c r="F131" s="54" t="n">
        <v>10.2</v>
      </c>
      <c r="G131" s="54" t="n">
        <v>1</v>
      </c>
      <c r="H131" s="55" t="n">
        <v>139</v>
      </c>
      <c r="I131" s="55" t="n">
        <v>92.7</v>
      </c>
      <c r="J131" s="55" t="n">
        <v>0</v>
      </c>
      <c r="K131" s="55" t="n">
        <v>5.1</v>
      </c>
      <c r="L131" s="55" t="n">
        <v>97.8</v>
      </c>
      <c r="M131" s="55" t="n">
        <v>-41.2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RX8585</t>
        </is>
      </c>
    </row>
    <row r="132">
      <c r="A132" s="36" t="inlineStr">
        <is>
          <t>141012</t>
        </is>
      </c>
      <c r="B132" s="52" t="n">
        <v>46051</v>
      </c>
      <c r="C132" s="36" t="inlineStr">
        <is>
          <t>00310737220</t>
        </is>
      </c>
      <c r="D132" s="53" t="inlineStr">
        <is>
          <t>BUDESONIDE-FORMOTEROL FUMARATE 80-4.5MCG/ACT AEROSOL</t>
        </is>
      </c>
      <c r="E132" s="36" t="n">
        <v>10.2</v>
      </c>
      <c r="F132" s="54" t="n">
        <v>10.2</v>
      </c>
      <c r="G132" s="54" t="n">
        <v>1</v>
      </c>
      <c r="H132" s="55" t="n">
        <v>139</v>
      </c>
      <c r="I132" s="55" t="n">
        <v>83.14</v>
      </c>
      <c r="J132" s="55" t="n">
        <v>0</v>
      </c>
      <c r="K132" s="55" t="n">
        <v>15</v>
      </c>
      <c r="L132" s="55" t="n">
        <v>98.14</v>
      </c>
      <c r="M132" s="55" t="n">
        <v>-40.86</v>
      </c>
      <c r="N132" s="36" t="inlineStr">
        <is>
          <t>020099</t>
        </is>
      </c>
      <c r="O132" s="36" t="inlineStr">
        <is>
          <t>CAREMARK</t>
        </is>
      </c>
      <c r="P132" s="36" t="inlineStr">
        <is>
          <t>WG</t>
        </is>
      </c>
      <c r="Q132" s="36" t="inlineStr">
        <is>
          <t>WLDA</t>
        </is>
      </c>
    </row>
    <row r="133">
      <c r="A133" s="36" t="inlineStr">
        <is>
          <t>137336</t>
        </is>
      </c>
      <c r="B133" s="52" t="n">
        <v>46024</v>
      </c>
      <c r="C133" s="36" t="inlineStr">
        <is>
          <t>00310737220</t>
        </is>
      </c>
      <c r="D133" s="53" t="inlineStr">
        <is>
          <t>BUDESONIDE-FORMOTEROL FUMARATE 80-4.5MCG/ACT AEROSOL</t>
        </is>
      </c>
      <c r="E133" s="36" t="n">
        <v>10.2</v>
      </c>
      <c r="F133" s="54" t="n">
        <v>10.2</v>
      </c>
      <c r="G133" s="54" t="n">
        <v>1</v>
      </c>
      <c r="H133" s="55" t="n">
        <v>139</v>
      </c>
      <c r="I133" s="55" t="n">
        <v>80.84999999999999</v>
      </c>
      <c r="J133" s="55" t="n">
        <v>357.59</v>
      </c>
      <c r="K133" s="55" t="n">
        <v>15</v>
      </c>
      <c r="L133" s="55" t="n">
        <v>453.44</v>
      </c>
      <c r="M133" s="55" t="n">
        <v>314.44</v>
      </c>
      <c r="N133" s="36" t="inlineStr">
        <is>
          <t>020099</t>
        </is>
      </c>
      <c r="O133" s="36" t="inlineStr">
        <is>
          <t>CAREMARK</t>
        </is>
      </c>
      <c r="P133" s="36" t="inlineStr">
        <is>
          <t>WG</t>
        </is>
      </c>
      <c r="Q133" s="36" t="inlineStr">
        <is>
          <t>WLDA</t>
        </is>
      </c>
    </row>
    <row r="134">
      <c r="A134" s="36" t="inlineStr">
        <is>
          <t>115952</t>
        </is>
      </c>
      <c r="B134" s="52" t="n">
        <v>45999</v>
      </c>
      <c r="C134" s="36" t="inlineStr">
        <is>
          <t>00310737220</t>
        </is>
      </c>
      <c r="D134" s="53" t="inlineStr">
        <is>
          <t>BUDESONIDE-FORMOTEROL FUMARATE 80-4.5MCG/ACT AEROSOL</t>
        </is>
      </c>
      <c r="E134" s="36" t="n">
        <v>10.2</v>
      </c>
      <c r="F134" s="54" t="n">
        <v>10.2</v>
      </c>
      <c r="G134" s="54" t="n">
        <v>1</v>
      </c>
      <c r="H134" s="55" t="n">
        <v>139</v>
      </c>
      <c r="I134" s="55" t="n">
        <v>93.76000000000001</v>
      </c>
      <c r="J134" s="55" t="n">
        <v>0</v>
      </c>
      <c r="K134" s="55" t="n">
        <v>0</v>
      </c>
      <c r="L134" s="55" t="n">
        <v>93.76000000000001</v>
      </c>
      <c r="M134" s="55" t="n">
        <v>-45.24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131073</t>
        </is>
      </c>
      <c r="B135" s="52" t="n">
        <v>46058</v>
      </c>
      <c r="C135" s="36" t="inlineStr">
        <is>
          <t>00310737220</t>
        </is>
      </c>
      <c r="D135" s="53" t="inlineStr">
        <is>
          <t>BUDESONIDE-FORMOTEROL FUMARATE 80-4.5MCG/ACT AEROSOL</t>
        </is>
      </c>
      <c r="E135" s="36" t="n">
        <v>10.2</v>
      </c>
      <c r="F135" s="54" t="n">
        <v>10.2</v>
      </c>
      <c r="G135" s="54" t="n">
        <v>1</v>
      </c>
      <c r="H135" s="55" t="n">
        <v>139</v>
      </c>
      <c r="I135" s="55" t="n">
        <v>154.41</v>
      </c>
      <c r="J135" s="55" t="n">
        <v>0</v>
      </c>
      <c r="K135" s="55" t="n">
        <v>1.6</v>
      </c>
      <c r="L135" s="55" t="n">
        <v>156.01</v>
      </c>
      <c r="M135" s="55" t="n">
        <v>17.01</v>
      </c>
      <c r="N135" s="36" t="inlineStr">
        <is>
          <t>015574</t>
        </is>
      </c>
      <c r="O135" s="36" t="inlineStr">
        <is>
          <t>MEDIMP</t>
        </is>
      </c>
      <c r="P135" s="36" t="inlineStr">
        <is>
          <t>ASPROD1</t>
        </is>
      </c>
      <c r="Q135" s="36" t="inlineStr">
        <is>
          <t>VNS01</t>
        </is>
      </c>
    </row>
    <row r="136">
      <c r="A136" s="36" t="inlineStr">
        <is>
          <t>134075</t>
        </is>
      </c>
      <c r="B136" s="52" t="n">
        <v>46025</v>
      </c>
      <c r="C136" s="36" t="inlineStr">
        <is>
          <t>00310737220</t>
        </is>
      </c>
      <c r="D136" s="53" t="inlineStr">
        <is>
          <t>BUDESONIDE-FORMOTEROL FUMARATE 80-4.5MCG/ACT AEROSOL</t>
        </is>
      </c>
      <c r="E136" s="36" t="n">
        <v>10.2</v>
      </c>
      <c r="F136" s="54" t="n">
        <v>10.2</v>
      </c>
      <c r="G136" s="54" t="n">
        <v>1</v>
      </c>
      <c r="H136" s="55" t="n">
        <v>139</v>
      </c>
      <c r="I136" s="55" t="n">
        <v>120.18</v>
      </c>
      <c r="J136" s="55" t="n">
        <v>0</v>
      </c>
      <c r="K136" s="55" t="n">
        <v>0</v>
      </c>
      <c r="L136" s="55" t="n">
        <v>120.18</v>
      </c>
      <c r="M136" s="55" t="n">
        <v>-18.82</v>
      </c>
      <c r="N136" s="36" t="inlineStr">
        <is>
          <t>610502</t>
        </is>
      </c>
      <c r="O136" s="36" t="inlineStr">
        <is>
          <t>CAREMARK</t>
        </is>
      </c>
      <c r="P136" s="36" t="inlineStr">
        <is>
          <t>MEDDAET</t>
        </is>
      </c>
      <c r="Q136" s="36" t="inlineStr">
        <is>
          <t>RXAETD</t>
        </is>
      </c>
    </row>
    <row r="137">
      <c r="A137" s="36" t="inlineStr">
        <is>
          <t>134075</t>
        </is>
      </c>
      <c r="B137" s="52" t="n">
        <v>45997</v>
      </c>
      <c r="C137" s="36" t="inlineStr">
        <is>
          <t>00310737220</t>
        </is>
      </c>
      <c r="D137" s="53" t="inlineStr">
        <is>
          <t>BUDESONIDE-FORMOTEROL FUMARATE 80-4.5MCG/ACT AEROSOL</t>
        </is>
      </c>
      <c r="E137" s="36" t="n">
        <v>10.2</v>
      </c>
      <c r="F137" s="54" t="n">
        <v>10.2</v>
      </c>
      <c r="G137" s="54" t="n">
        <v>1</v>
      </c>
      <c r="H137" s="55" t="n">
        <v>139</v>
      </c>
      <c r="I137" s="55" t="n">
        <v>190.61</v>
      </c>
      <c r="J137" s="55" t="n">
        <v>0</v>
      </c>
      <c r="K137" s="55" t="n">
        <v>0</v>
      </c>
      <c r="L137" s="55" t="n">
        <v>190.61</v>
      </c>
      <c r="M137" s="55" t="n">
        <v>51.61</v>
      </c>
      <c r="N137" s="36" t="inlineStr">
        <is>
          <t>610502</t>
        </is>
      </c>
      <c r="O137" s="36" t="inlineStr">
        <is>
          <t>CAREMARK</t>
        </is>
      </c>
      <c r="P137" s="36" t="inlineStr">
        <is>
          <t>MEDDAET</t>
        </is>
      </c>
      <c r="Q137" s="36" t="inlineStr">
        <is>
          <t>RXAETD</t>
        </is>
      </c>
    </row>
    <row r="138">
      <c r="A138" s="36" t="inlineStr">
        <is>
          <t>132554</t>
        </is>
      </c>
      <c r="B138" s="52" t="n">
        <v>46070</v>
      </c>
      <c r="C138" s="36" t="inlineStr">
        <is>
          <t>00310737220</t>
        </is>
      </c>
      <c r="D138" s="53" t="inlineStr">
        <is>
          <t>BUDESONIDE-FORMOTEROL FUMARATE 80-4.5MCG/ACT AEROSOL</t>
        </is>
      </c>
      <c r="E138" s="36" t="n">
        <v>10.2</v>
      </c>
      <c r="F138" s="54" t="n">
        <v>10.2</v>
      </c>
      <c r="G138" s="54" t="n">
        <v>1</v>
      </c>
      <c r="H138" s="55" t="n">
        <v>139</v>
      </c>
      <c r="I138" s="55" t="n">
        <v>96.54000000000001</v>
      </c>
      <c r="J138" s="55" t="n">
        <v>0</v>
      </c>
      <c r="K138" s="55" t="n">
        <v>1.6</v>
      </c>
      <c r="L138" s="55" t="n">
        <v>98.14</v>
      </c>
      <c r="M138" s="55" t="n">
        <v>-40.86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137969</t>
        </is>
      </c>
      <c r="B139" s="52" t="n">
        <v>46057</v>
      </c>
      <c r="C139" s="36" t="inlineStr">
        <is>
          <t>00310737220</t>
        </is>
      </c>
      <c r="D139" s="53" t="inlineStr">
        <is>
          <t>BUDESONIDE-FORMOTEROL FUMARATE 80-4.5MCG/ACT AEROSOL</t>
        </is>
      </c>
      <c r="E139" s="36" t="n">
        <v>10.2</v>
      </c>
      <c r="F139" s="54" t="n">
        <v>10.2</v>
      </c>
      <c r="G139" s="54" t="n">
        <v>1</v>
      </c>
      <c r="H139" s="55" t="n">
        <v>139</v>
      </c>
      <c r="I139" s="55" t="n">
        <v>140.1</v>
      </c>
      <c r="J139" s="55" t="n">
        <v>0</v>
      </c>
      <c r="K139" s="55" t="n">
        <v>1</v>
      </c>
      <c r="L139" s="55" t="n">
        <v>141.1</v>
      </c>
      <c r="M139" s="55" t="n">
        <v>2.1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ADV</t>
        </is>
      </c>
      <c r="Q139" s="36" t="inlineStr">
        <is>
          <t>RX1103</t>
        </is>
      </c>
    </row>
    <row r="140">
      <c r="A140" s="36" t="inlineStr">
        <is>
          <t>139689</t>
        </is>
      </c>
      <c r="B140" s="52" t="n">
        <v>46041</v>
      </c>
      <c r="C140" s="36" t="inlineStr">
        <is>
          <t>00310737220</t>
        </is>
      </c>
      <c r="D140" s="53" t="inlineStr">
        <is>
          <t>BUDESONIDE-FORMOTEROL FUMARATE 80-4.5MCG/ACT AEROSOL</t>
        </is>
      </c>
      <c r="E140" s="36" t="n">
        <v>10.2</v>
      </c>
      <c r="F140" s="54" t="n">
        <v>10.2</v>
      </c>
      <c r="G140" s="54" t="n">
        <v>1</v>
      </c>
      <c r="H140" s="55" t="n">
        <v>139</v>
      </c>
      <c r="I140" s="55" t="n">
        <v>88.66</v>
      </c>
      <c r="J140" s="55" t="n">
        <v>0</v>
      </c>
      <c r="K140" s="55" t="n">
        <v>5.1</v>
      </c>
      <c r="L140" s="55" t="n">
        <v>93.76000000000001</v>
      </c>
      <c r="M140" s="55" t="n">
        <v>-45.24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RX8585</t>
        </is>
      </c>
    </row>
    <row r="141">
      <c r="A141" s="36" t="inlineStr">
        <is>
          <t>130288</t>
        </is>
      </c>
      <c r="B141" s="52" t="n">
        <v>45996</v>
      </c>
      <c r="C141" s="36" t="inlineStr">
        <is>
          <t>00310737220</t>
        </is>
      </c>
      <c r="D141" s="53" t="inlineStr">
        <is>
          <t>BUDESONIDE-FORMOTEROL FUMARATE 80-4.5MCG/ACT AEROSOL</t>
        </is>
      </c>
      <c r="E141" s="36" t="n">
        <v>10.2</v>
      </c>
      <c r="F141" s="54" t="n">
        <v>10.2</v>
      </c>
      <c r="G141" s="54" t="n">
        <v>1</v>
      </c>
      <c r="H141" s="55" t="n">
        <v>139</v>
      </c>
      <c r="I141" s="55" t="n">
        <v>79.09999999999999</v>
      </c>
      <c r="J141" s="55" t="n">
        <v>0</v>
      </c>
      <c r="K141" s="55" t="n">
        <v>15</v>
      </c>
      <c r="L141" s="55" t="n">
        <v>94.09999999999999</v>
      </c>
      <c r="M141" s="55" t="n">
        <v>-44.9</v>
      </c>
      <c r="N141" s="36" t="inlineStr">
        <is>
          <t>020099</t>
        </is>
      </c>
      <c r="O141" s="36" t="inlineStr">
        <is>
          <t>CAREMARK</t>
        </is>
      </c>
      <c r="P141" s="36" t="inlineStr">
        <is>
          <t>WG</t>
        </is>
      </c>
      <c r="Q141" s="36" t="inlineStr">
        <is>
          <t>WLDA</t>
        </is>
      </c>
    </row>
    <row r="142">
      <c r="A142" s="36" t="inlineStr">
        <is>
          <t>137469</t>
        </is>
      </c>
      <c r="B142" s="52" t="n">
        <v>46055</v>
      </c>
      <c r="C142" s="36" t="inlineStr">
        <is>
          <t>00310737220</t>
        </is>
      </c>
      <c r="D142" s="53" t="inlineStr">
        <is>
          <t>BUDESONIDE-FORMOTEROL FUMARATE 80-4.5MCG/ACT AEROSOL</t>
        </is>
      </c>
      <c r="E142" s="36" t="n">
        <v>10.2</v>
      </c>
      <c r="F142" s="54" t="n">
        <v>10.2</v>
      </c>
      <c r="G142" s="54" t="n">
        <v>1</v>
      </c>
      <c r="H142" s="55" t="n">
        <v>139</v>
      </c>
      <c r="I142" s="55" t="n">
        <v>97.8</v>
      </c>
      <c r="J142" s="55" t="n">
        <v>0</v>
      </c>
      <c r="K142" s="55" t="n">
        <v>0</v>
      </c>
      <c r="L142" s="55" t="n">
        <v>97.8</v>
      </c>
      <c r="M142" s="55" t="n">
        <v>-41.2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137469</t>
        </is>
      </c>
      <c r="B143" s="52" t="n">
        <v>46027</v>
      </c>
      <c r="C143" s="36" t="inlineStr">
        <is>
          <t>00310737220</t>
        </is>
      </c>
      <c r="D143" s="53" t="inlineStr">
        <is>
          <t>BUDESONIDE-FORMOTEROL FUMARATE 80-4.5MCG/ACT AEROSOL</t>
        </is>
      </c>
      <c r="E143" s="36" t="n">
        <v>10.2</v>
      </c>
      <c r="F143" s="54" t="n">
        <v>10.2</v>
      </c>
      <c r="G143" s="54" t="n">
        <v>1</v>
      </c>
      <c r="H143" s="55" t="n">
        <v>139</v>
      </c>
      <c r="I143" s="55" t="n">
        <v>93.76000000000001</v>
      </c>
      <c r="J143" s="55" t="n">
        <v>0</v>
      </c>
      <c r="K143" s="55" t="n">
        <v>0</v>
      </c>
      <c r="L143" s="55" t="n">
        <v>93.76000000000001</v>
      </c>
      <c r="M143" s="55" t="n">
        <v>-45.24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110250</t>
        </is>
      </c>
      <c r="B144" s="52" t="n">
        <v>46072</v>
      </c>
      <c r="C144" s="36" t="inlineStr">
        <is>
          <t>00310737220</t>
        </is>
      </c>
      <c r="D144" s="53" t="inlineStr">
        <is>
          <t>BUDESONIDE-FORMOTEROL FUMARATE 80-4.5MCG/ACT AEROSOL</t>
        </is>
      </c>
      <c r="E144" s="36" t="n">
        <v>10.2</v>
      </c>
      <c r="F144" s="54" t="n">
        <v>30.6</v>
      </c>
      <c r="G144" s="54" t="n">
        <v>3</v>
      </c>
      <c r="H144" s="55" t="n">
        <v>417</v>
      </c>
      <c r="I144" s="55" t="n">
        <v>453.15</v>
      </c>
      <c r="J144" s="55" t="n">
        <v>0</v>
      </c>
      <c r="K144" s="55" t="n">
        <v>1.6</v>
      </c>
      <c r="L144" s="55" t="n">
        <v>454.75</v>
      </c>
      <c r="M144" s="55" t="n">
        <v>37.75</v>
      </c>
      <c r="N144" s="36" t="inlineStr">
        <is>
          <t>610014</t>
        </is>
      </c>
      <c r="O144" s="36" t="inlineStr">
        <is>
          <t>EXPRESS</t>
        </is>
      </c>
      <c r="P144" s="36" t="inlineStr">
        <is>
          <t>MEDDPRIME</t>
        </is>
      </c>
      <c r="Q144" s="36" t="inlineStr">
        <is>
          <t>2FFA</t>
        </is>
      </c>
    </row>
    <row r="145">
      <c r="A145" s="36" t="inlineStr">
        <is>
          <t>132554</t>
        </is>
      </c>
      <c r="B145" s="52" t="n">
        <v>46042</v>
      </c>
      <c r="C145" s="36" t="inlineStr">
        <is>
          <t>00310737220</t>
        </is>
      </c>
      <c r="D145" s="53" t="inlineStr">
        <is>
          <t>BUDESONIDE-FORMOTEROL FUMARATE 80-4.5MCG/ACT AEROSOL</t>
        </is>
      </c>
      <c r="E145" s="36" t="n">
        <v>10.2</v>
      </c>
      <c r="F145" s="54" t="n">
        <v>10.2</v>
      </c>
      <c r="G145" s="54" t="n">
        <v>1</v>
      </c>
      <c r="H145" s="55" t="n">
        <v>139</v>
      </c>
      <c r="I145" s="55" t="n">
        <v>92.16</v>
      </c>
      <c r="J145" s="55" t="n">
        <v>0</v>
      </c>
      <c r="K145" s="55" t="n">
        <v>1.6</v>
      </c>
      <c r="L145" s="55" t="n">
        <v>93.76000000000001</v>
      </c>
      <c r="M145" s="55" t="n">
        <v>-45.24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137969</t>
        </is>
      </c>
      <c r="B146" s="52" t="n">
        <v>46029</v>
      </c>
      <c r="C146" s="36" t="inlineStr">
        <is>
          <t>00310737220</t>
        </is>
      </c>
      <c r="D146" s="53" t="inlineStr">
        <is>
          <t>BUDESONIDE-FORMOTEROL FUMARATE 80-4.5MCG/ACT AEROSOL</t>
        </is>
      </c>
      <c r="E146" s="36" t="n">
        <v>10.2</v>
      </c>
      <c r="F146" s="54" t="n">
        <v>10.2</v>
      </c>
      <c r="G146" s="54" t="n">
        <v>1</v>
      </c>
      <c r="H146" s="55" t="n">
        <v>139</v>
      </c>
      <c r="I146" s="55" t="n">
        <v>135.1</v>
      </c>
      <c r="J146" s="55" t="n">
        <v>0</v>
      </c>
      <c r="K146" s="55" t="n">
        <v>6</v>
      </c>
      <c r="L146" s="55" t="n">
        <v>141.1</v>
      </c>
      <c r="M146" s="55" t="n">
        <v>2.1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134444</t>
        </is>
      </c>
      <c r="B147" s="52" t="n">
        <v>46056</v>
      </c>
      <c r="C147" s="36" t="inlineStr">
        <is>
          <t>00310737220</t>
        </is>
      </c>
      <c r="D147" s="53" t="inlineStr">
        <is>
          <t>BUDESONIDE-FORMOTEROL FUMARATE 80-4.5MCG/ACT AEROSOL</t>
        </is>
      </c>
      <c r="E147" s="36" t="n">
        <v>10.2</v>
      </c>
      <c r="F147" s="54" t="n">
        <v>10.2</v>
      </c>
      <c r="G147" s="54" t="n">
        <v>1</v>
      </c>
      <c r="H147" s="55" t="n">
        <v>139</v>
      </c>
      <c r="I147" s="55" t="n">
        <v>118.58</v>
      </c>
      <c r="J147" s="55" t="n">
        <v>0</v>
      </c>
      <c r="K147" s="55" t="n">
        <v>1.6</v>
      </c>
      <c r="L147" s="55" t="n">
        <v>120.18</v>
      </c>
      <c r="M147" s="55" t="n">
        <v>-18.82</v>
      </c>
      <c r="N147" s="36" t="inlineStr">
        <is>
          <t>610502</t>
        </is>
      </c>
      <c r="O147" s="36" t="inlineStr">
        <is>
          <t>CAREMARK</t>
        </is>
      </c>
      <c r="P147" s="36" t="inlineStr">
        <is>
          <t>MEDDAET</t>
        </is>
      </c>
      <c r="Q147" s="36" t="inlineStr">
        <is>
          <t>RXAETD</t>
        </is>
      </c>
    </row>
    <row r="148">
      <c r="A148" s="36" t="inlineStr">
        <is>
          <t>131073</t>
        </is>
      </c>
      <c r="B148" s="52" t="n">
        <v>46002</v>
      </c>
      <c r="C148" s="36" t="inlineStr">
        <is>
          <t>00310737220</t>
        </is>
      </c>
      <c r="D148" s="53" t="inlineStr">
        <is>
          <t>BUDESONIDE-FORMOTEROL FUMARATE 80-4.5MCG/ACT AEROSOL</t>
        </is>
      </c>
      <c r="E148" s="36" t="n">
        <v>10.2</v>
      </c>
      <c r="F148" s="54" t="n">
        <v>10.2</v>
      </c>
      <c r="G148" s="54" t="n">
        <v>1</v>
      </c>
      <c r="H148" s="55" t="n">
        <v>139</v>
      </c>
      <c r="I148" s="55" t="n">
        <v>156.06</v>
      </c>
      <c r="J148" s="55" t="n">
        <v>0</v>
      </c>
      <c r="K148" s="55" t="n">
        <v>0</v>
      </c>
      <c r="L148" s="55" t="n">
        <v>156.06</v>
      </c>
      <c r="M148" s="55" t="n">
        <v>17.06</v>
      </c>
      <c r="N148" s="36" t="inlineStr">
        <is>
          <t>015574</t>
        </is>
      </c>
      <c r="O148" s="36" t="inlineStr">
        <is>
          <t>MEDIMP</t>
        </is>
      </c>
      <c r="P148" s="36" t="inlineStr">
        <is>
          <t>ASPROD1</t>
        </is>
      </c>
      <c r="Q148" s="36" t="inlineStr">
        <is>
          <t>VNS01</t>
        </is>
      </c>
    </row>
    <row r="149">
      <c r="A149" s="36" t="inlineStr">
        <is>
          <t>134444</t>
        </is>
      </c>
      <c r="B149" s="52" t="n">
        <v>46028</v>
      </c>
      <c r="C149" s="36" t="inlineStr">
        <is>
          <t>00310737220</t>
        </is>
      </c>
      <c r="D149" s="53" t="inlineStr">
        <is>
          <t>BUDESONIDE-FORMOTEROL FUMARATE 80-4.5MCG/ACT AEROSOL</t>
        </is>
      </c>
      <c r="E149" s="36" t="n">
        <v>10.2</v>
      </c>
      <c r="F149" s="54" t="n">
        <v>10.2</v>
      </c>
      <c r="G149" s="54" t="n">
        <v>1</v>
      </c>
      <c r="H149" s="55" t="n">
        <v>139</v>
      </c>
      <c r="I149" s="55" t="n">
        <v>118.58</v>
      </c>
      <c r="J149" s="55" t="n">
        <v>0</v>
      </c>
      <c r="K149" s="55" t="n">
        <v>1.6</v>
      </c>
      <c r="L149" s="55" t="n">
        <v>120.18</v>
      </c>
      <c r="M149" s="55" t="n">
        <v>-18.82</v>
      </c>
      <c r="N149" s="36" t="inlineStr">
        <is>
          <t>610502</t>
        </is>
      </c>
      <c r="O149" s="36" t="inlineStr">
        <is>
          <t>CAREMARK</t>
        </is>
      </c>
      <c r="P149" s="36" t="inlineStr">
        <is>
          <t>MEDDAET</t>
        </is>
      </c>
      <c r="Q149" s="36" t="inlineStr">
        <is>
          <t>RXAETD</t>
        </is>
      </c>
    </row>
    <row r="150">
      <c r="A150" s="36" t="inlineStr">
        <is>
          <t>117882</t>
        </is>
      </c>
      <c r="B150" s="52" t="n">
        <v>46013</v>
      </c>
      <c r="C150" s="36" t="inlineStr">
        <is>
          <t>00310737020</t>
        </is>
      </c>
      <c r="D150" s="53" t="inlineStr">
        <is>
          <t>BUDESONIDE/FORMOTEROL 160 /4.5 MCG (SYMBICORT)</t>
        </is>
      </c>
      <c r="E150" s="36" t="n">
        <v>10.2</v>
      </c>
      <c r="F150" s="54" t="n">
        <v>10.2</v>
      </c>
      <c r="G150" s="54" t="n">
        <v>1</v>
      </c>
      <c r="H150" s="55" t="n">
        <v>300</v>
      </c>
      <c r="I150" s="55" t="n">
        <v>181.38</v>
      </c>
      <c r="J150" s="55" t="n">
        <v>0</v>
      </c>
      <c r="K150" s="55" t="n">
        <v>6</v>
      </c>
      <c r="L150" s="55" t="n">
        <v>187.38</v>
      </c>
      <c r="M150" s="55" t="n">
        <v>-112.62</v>
      </c>
      <c r="N150" s="36" t="inlineStr">
        <is>
          <t>003858</t>
        </is>
      </c>
      <c r="O150" s="36" t="inlineStr">
        <is>
          <t>EXPRESS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126223</t>
        </is>
      </c>
      <c r="B151" s="52" t="n">
        <v>46025</v>
      </c>
      <c r="C151" s="36" t="inlineStr">
        <is>
          <t>00310737020</t>
        </is>
      </c>
      <c r="D151" s="53" t="inlineStr">
        <is>
          <t>BUDESONIDE/FORMOTEROL 160 /4.5 MCG (SYMBICORT)</t>
        </is>
      </c>
      <c r="E151" s="36" t="n">
        <v>10.2</v>
      </c>
      <c r="F151" s="54" t="n">
        <v>30.6</v>
      </c>
      <c r="G151" s="54" t="n">
        <v>3</v>
      </c>
      <c r="H151" s="55" t="n">
        <v>900</v>
      </c>
      <c r="I151" s="55" t="n">
        <v>405.64</v>
      </c>
      <c r="J151" s="55" t="n">
        <v>0</v>
      </c>
      <c r="K151" s="55" t="n">
        <v>0</v>
      </c>
      <c r="L151" s="55" t="n">
        <v>405.64</v>
      </c>
      <c r="M151" s="55" t="n">
        <v>-494.36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134340</t>
        </is>
      </c>
      <c r="B152" s="52" t="n">
        <v>46000</v>
      </c>
      <c r="C152" s="36" t="inlineStr">
        <is>
          <t>00310737020</t>
        </is>
      </c>
      <c r="D152" s="53" t="inlineStr">
        <is>
          <t>BUDESONIDE/FORMOTEROL 160 /4.5 MCG (SYMBICORT)</t>
        </is>
      </c>
      <c r="E152" s="36" t="n">
        <v>10.2</v>
      </c>
      <c r="F152" s="54" t="n">
        <v>10.2</v>
      </c>
      <c r="G152" s="54" t="n">
        <v>1</v>
      </c>
      <c r="H152" s="55" t="n">
        <v>300</v>
      </c>
      <c r="I152" s="55" t="n">
        <v>219.2</v>
      </c>
      <c r="J152" s="55" t="n">
        <v>0</v>
      </c>
      <c r="K152" s="55" t="n">
        <v>0</v>
      </c>
      <c r="L152" s="55" t="n">
        <v>219.2</v>
      </c>
      <c r="M152" s="55" t="n">
        <v>-80.8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RXCVSD</t>
        </is>
      </c>
    </row>
    <row r="153">
      <c r="A153" s="36" t="inlineStr">
        <is>
          <t>136821</t>
        </is>
      </c>
      <c r="B153" s="52" t="n">
        <v>46048</v>
      </c>
      <c r="C153" s="36" t="inlineStr">
        <is>
          <t>00310737020</t>
        </is>
      </c>
      <c r="D153" s="53" t="inlineStr">
        <is>
          <t>BUDESONIDE/FORMOTEROL 160 /4.5 MCG (SYMBICORT)</t>
        </is>
      </c>
      <c r="E153" s="36" t="n">
        <v>10.2</v>
      </c>
      <c r="F153" s="54" t="n">
        <v>10.2</v>
      </c>
      <c r="G153" s="54" t="n">
        <v>1</v>
      </c>
      <c r="H153" s="55" t="n">
        <v>300</v>
      </c>
      <c r="I153" s="55" t="n">
        <v>135.09</v>
      </c>
      <c r="J153" s="55" t="n">
        <v>0</v>
      </c>
      <c r="K153" s="55" t="n">
        <v>0</v>
      </c>
      <c r="L153" s="55" t="n">
        <v>135.09</v>
      </c>
      <c r="M153" s="55" t="n">
        <v>-164.91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107813</t>
        </is>
      </c>
      <c r="B154" s="52" t="n">
        <v>45992</v>
      </c>
      <c r="C154" s="36" t="inlineStr">
        <is>
          <t>00310737020</t>
        </is>
      </c>
      <c r="D154" s="53" t="inlineStr">
        <is>
          <t>BUDESONIDE/FORMOTEROL 160 /4.5 MCG (SYMBICORT)</t>
        </is>
      </c>
      <c r="E154" s="36" t="n">
        <v>10.2</v>
      </c>
      <c r="F154" s="54" t="n">
        <v>10.2</v>
      </c>
      <c r="G154" s="54" t="n">
        <v>1</v>
      </c>
      <c r="H154" s="55" t="n">
        <v>300</v>
      </c>
      <c r="I154" s="55" t="n">
        <v>182.38</v>
      </c>
      <c r="J154" s="55" t="n">
        <v>0</v>
      </c>
      <c r="K154" s="55" t="n">
        <v>5</v>
      </c>
      <c r="L154" s="55" t="n">
        <v>187.38</v>
      </c>
      <c r="M154" s="55" t="n">
        <v>-112.62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PEU</t>
        </is>
      </c>
      <c r="Q154" s="36" t="inlineStr">
        <is>
          <t>SSEU371</t>
        </is>
      </c>
    </row>
    <row r="155">
      <c r="A155" s="36" t="inlineStr">
        <is>
          <t>133241</t>
        </is>
      </c>
      <c r="B155" s="52" t="n">
        <v>45992</v>
      </c>
      <c r="C155" s="36" t="inlineStr">
        <is>
          <t>00310737020</t>
        </is>
      </c>
      <c r="D155" s="53" t="inlineStr">
        <is>
          <t>BUDESONIDE/FORMOTEROL 160 /4.5 MCG (SYMBICORT)</t>
        </is>
      </c>
      <c r="E155" s="36" t="n">
        <v>10.2</v>
      </c>
      <c r="F155" s="54" t="n">
        <v>10.2</v>
      </c>
      <c r="G155" s="54" t="n">
        <v>1</v>
      </c>
      <c r="H155" s="55" t="n">
        <v>300</v>
      </c>
      <c r="I155" s="55" t="n">
        <v>135.09</v>
      </c>
      <c r="J155" s="55" t="n">
        <v>0</v>
      </c>
      <c r="K155" s="55" t="n">
        <v>0</v>
      </c>
      <c r="L155" s="55" t="n">
        <v>135.09</v>
      </c>
      <c r="M155" s="55" t="n">
        <v>-164.91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107813</t>
        </is>
      </c>
      <c r="B156" s="52" t="n">
        <v>46048</v>
      </c>
      <c r="C156" s="36" t="inlineStr">
        <is>
          <t>00310737020</t>
        </is>
      </c>
      <c r="D156" s="53" t="inlineStr">
        <is>
          <t>BUDESONIDE/FORMOTEROL 160 /4.5 MCG (SYMBICORT)</t>
        </is>
      </c>
      <c r="E156" s="36" t="n">
        <v>10.2</v>
      </c>
      <c r="F156" s="54" t="n">
        <v>10.2</v>
      </c>
      <c r="G156" s="54" t="n">
        <v>1</v>
      </c>
      <c r="H156" s="55" t="n">
        <v>300</v>
      </c>
      <c r="I156" s="55" t="n">
        <v>182.38</v>
      </c>
      <c r="J156" s="55" t="n">
        <v>0</v>
      </c>
      <c r="K156" s="55" t="n">
        <v>5</v>
      </c>
      <c r="L156" s="55" t="n">
        <v>187.38</v>
      </c>
      <c r="M156" s="55" t="n">
        <v>-112.62</v>
      </c>
      <c r="N156" s="36" t="inlineStr">
        <is>
          <t>610014</t>
        </is>
      </c>
      <c r="O156" s="36" t="inlineStr">
        <is>
          <t>EXPRESS</t>
        </is>
      </c>
      <c r="P156" s="36" t="inlineStr">
        <is>
          <t>PEU</t>
        </is>
      </c>
      <c r="Q156" s="36" t="inlineStr">
        <is>
          <t>SSEU371</t>
        </is>
      </c>
    </row>
    <row r="157">
      <c r="A157" s="36" t="inlineStr">
        <is>
          <t>134340</t>
        </is>
      </c>
      <c r="B157" s="52" t="n">
        <v>46028</v>
      </c>
      <c r="C157" s="36" t="inlineStr">
        <is>
          <t>00310737020</t>
        </is>
      </c>
      <c r="D157" s="53" t="inlineStr">
        <is>
          <t>BUDESONIDE/FORMOTEROL 160 /4.5 MCG (SYMBICORT)</t>
        </is>
      </c>
      <c r="E157" s="36" t="n">
        <v>10.2</v>
      </c>
      <c r="F157" s="54" t="n">
        <v>10.2</v>
      </c>
      <c r="G157" s="54" t="n">
        <v>1</v>
      </c>
      <c r="H157" s="55" t="n">
        <v>300</v>
      </c>
      <c r="I157" s="55" t="n">
        <v>209.2</v>
      </c>
      <c r="J157" s="55" t="n">
        <v>0</v>
      </c>
      <c r="K157" s="55" t="n">
        <v>10</v>
      </c>
      <c r="L157" s="55" t="n">
        <v>219.2</v>
      </c>
      <c r="M157" s="55" t="n">
        <v>-80.8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RXCVSD</t>
        </is>
      </c>
    </row>
    <row r="158">
      <c r="A158" s="36" t="inlineStr">
        <is>
          <t>119922</t>
        </is>
      </c>
      <c r="B158" s="52" t="n">
        <v>46006</v>
      </c>
      <c r="C158" s="36" t="inlineStr">
        <is>
          <t>00310737020</t>
        </is>
      </c>
      <c r="D158" s="53" t="inlineStr">
        <is>
          <t>BUDESONIDE/FORMOTEROL 160 /4.5 MCG (SYMBICORT)</t>
        </is>
      </c>
      <c r="E158" s="36" t="n">
        <v>10.2</v>
      </c>
      <c r="F158" s="54" t="n">
        <v>10.2</v>
      </c>
      <c r="G158" s="54" t="n">
        <v>1</v>
      </c>
      <c r="H158" s="55" t="n">
        <v>300</v>
      </c>
      <c r="I158" s="55" t="n">
        <v>224.79</v>
      </c>
      <c r="J158" s="55" t="n">
        <v>0</v>
      </c>
      <c r="K158" s="55" t="n">
        <v>5</v>
      </c>
      <c r="L158" s="55" t="n">
        <v>229.79</v>
      </c>
      <c r="M158" s="55" t="n">
        <v>-70.20999999999999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ADV</t>
        </is>
      </c>
      <c r="Q158" s="36" t="inlineStr">
        <is>
          <t>RX6027</t>
        </is>
      </c>
    </row>
    <row r="159">
      <c r="A159" s="36" t="inlineStr">
        <is>
          <t>107813</t>
        </is>
      </c>
      <c r="B159" s="52" t="n">
        <v>46020</v>
      </c>
      <c r="C159" s="36" t="inlineStr">
        <is>
          <t>00310737020</t>
        </is>
      </c>
      <c r="D159" s="53" t="inlineStr">
        <is>
          <t>BUDESONIDE/FORMOTEROL 160 /4.5 MCG (SYMBICORT)</t>
        </is>
      </c>
      <c r="E159" s="36" t="n">
        <v>10.2</v>
      </c>
      <c r="F159" s="54" t="n">
        <v>10.2</v>
      </c>
      <c r="G159" s="54" t="n">
        <v>1</v>
      </c>
      <c r="H159" s="55" t="n">
        <v>300</v>
      </c>
      <c r="I159" s="55" t="n">
        <v>182.38</v>
      </c>
      <c r="J159" s="55" t="n">
        <v>0</v>
      </c>
      <c r="K159" s="55" t="n">
        <v>5</v>
      </c>
      <c r="L159" s="55" t="n">
        <v>187.38</v>
      </c>
      <c r="M159" s="55" t="n">
        <v>-112.62</v>
      </c>
      <c r="N159" s="36" t="inlineStr">
        <is>
          <t>610014</t>
        </is>
      </c>
      <c r="O159" s="36" t="inlineStr">
        <is>
          <t>EXPRESS</t>
        </is>
      </c>
      <c r="P159" s="36" t="inlineStr">
        <is>
          <t>PEU</t>
        </is>
      </c>
      <c r="Q159" s="36" t="inlineStr">
        <is>
          <t>SSEU371</t>
        </is>
      </c>
    </row>
    <row r="160">
      <c r="A160" s="36" t="inlineStr">
        <is>
          <t>136821</t>
        </is>
      </c>
      <c r="B160" s="52" t="n">
        <v>46076</v>
      </c>
      <c r="C160" s="36" t="inlineStr">
        <is>
          <t>00310737020</t>
        </is>
      </c>
      <c r="D160" s="53" t="inlineStr">
        <is>
          <t>BUDESONIDE/FORMOTEROL 160 /4.5 MCG (SYMBICORT)</t>
        </is>
      </c>
      <c r="E160" s="36" t="n">
        <v>10.2</v>
      </c>
      <c r="F160" s="54" t="n">
        <v>10.2</v>
      </c>
      <c r="G160" s="54" t="n">
        <v>1</v>
      </c>
      <c r="H160" s="55" t="n">
        <v>180</v>
      </c>
      <c r="I160" s="55" t="n">
        <v>135.09</v>
      </c>
      <c r="J160" s="55" t="n">
        <v>0</v>
      </c>
      <c r="K160" s="55" t="n">
        <v>0</v>
      </c>
      <c r="L160" s="55" t="n">
        <v>135.09</v>
      </c>
      <c r="M160" s="55" t="n">
        <v>-44.91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134340</t>
        </is>
      </c>
      <c r="B161" s="52" t="n">
        <v>46056</v>
      </c>
      <c r="C161" s="36" t="inlineStr">
        <is>
          <t>00310737020</t>
        </is>
      </c>
      <c r="D161" s="53" t="inlineStr">
        <is>
          <t>BUDESONIDE/FORMOTEROL 160 /4.5 MCG (SYMBICORT)</t>
        </is>
      </c>
      <c r="E161" s="36" t="n">
        <v>10.2</v>
      </c>
      <c r="F161" s="54" t="n">
        <v>10.2</v>
      </c>
      <c r="G161" s="54" t="n">
        <v>1</v>
      </c>
      <c r="H161" s="55" t="n">
        <v>180</v>
      </c>
      <c r="I161" s="55" t="n">
        <v>209.2</v>
      </c>
      <c r="J161" s="55" t="n">
        <v>0</v>
      </c>
      <c r="K161" s="55" t="n">
        <v>10</v>
      </c>
      <c r="L161" s="55" t="n">
        <v>219.2</v>
      </c>
      <c r="M161" s="55" t="n">
        <v>39.2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RXCVSD</t>
        </is>
      </c>
    </row>
    <row r="162">
      <c r="A162" s="36" t="inlineStr">
        <is>
          <t>127629</t>
        </is>
      </c>
      <c r="B162" s="52" t="n">
        <v>46035</v>
      </c>
      <c r="C162" s="36" t="inlineStr">
        <is>
          <t>00310737020</t>
        </is>
      </c>
      <c r="D162" s="53" t="inlineStr">
        <is>
          <t>BUDESONIDE/FORMOTEROL 160 /4.5 MCG (SYMBICORT)</t>
        </is>
      </c>
      <c r="E162" s="36" t="n">
        <v>10.2</v>
      </c>
      <c r="F162" s="54" t="n">
        <v>30.6</v>
      </c>
      <c r="G162" s="54" t="n">
        <v>3</v>
      </c>
      <c r="H162" s="55" t="n">
        <v>900</v>
      </c>
      <c r="I162" s="55" t="n">
        <v>404.04</v>
      </c>
      <c r="J162" s="55" t="n">
        <v>0</v>
      </c>
      <c r="K162" s="55" t="n">
        <v>1.6</v>
      </c>
      <c r="L162" s="55" t="n">
        <v>405.64</v>
      </c>
      <c r="M162" s="55" t="n">
        <v>-494.36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126499</t>
        </is>
      </c>
      <c r="B163" s="52" t="n">
        <v>46027</v>
      </c>
      <c r="C163" s="36" t="inlineStr">
        <is>
          <t>00310737020</t>
        </is>
      </c>
      <c r="D163" s="53" t="inlineStr">
        <is>
          <t>BUDESONIDE/FORMOTEROL 160 /4.5 MCG (SYMBICORT)</t>
        </is>
      </c>
      <c r="E163" s="36" t="n">
        <v>10.2</v>
      </c>
      <c r="F163" s="54" t="n">
        <v>30.6</v>
      </c>
      <c r="G163" s="54" t="n">
        <v>3</v>
      </c>
      <c r="H163" s="55" t="n">
        <v>900</v>
      </c>
      <c r="I163" s="55" t="n">
        <v>404.04</v>
      </c>
      <c r="J163" s="55" t="n">
        <v>0</v>
      </c>
      <c r="K163" s="55" t="n">
        <v>1.6</v>
      </c>
      <c r="L163" s="55" t="n">
        <v>405.64</v>
      </c>
      <c r="M163" s="55" t="n">
        <v>-494.36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143119</t>
        </is>
      </c>
      <c r="B164" s="52" t="n">
        <v>46065</v>
      </c>
      <c r="C164" s="36" t="inlineStr">
        <is>
          <t>00310737020</t>
        </is>
      </c>
      <c r="D164" s="53" t="inlineStr">
        <is>
          <t>BUDESONIDE/FORMOTEROL 160 /4.5 MCG (SYMBICORT)</t>
        </is>
      </c>
      <c r="E164" s="36" t="n">
        <v>10.2</v>
      </c>
      <c r="F164" s="54" t="n">
        <v>30.6</v>
      </c>
      <c r="G164" s="54" t="n">
        <v>3</v>
      </c>
      <c r="H164" s="55" t="n">
        <v>540</v>
      </c>
      <c r="I164" s="55" t="n">
        <v>544.13</v>
      </c>
      <c r="J164" s="55" t="n">
        <v>0</v>
      </c>
      <c r="K164" s="55" t="n">
        <v>18</v>
      </c>
      <c r="L164" s="55" t="n">
        <v>562.13</v>
      </c>
      <c r="M164" s="55" t="n">
        <v>22.13</v>
      </c>
      <c r="N164" s="36" t="inlineStr">
        <is>
          <t>003858</t>
        </is>
      </c>
      <c r="O164" s="36" t="inlineStr">
        <is>
          <t>EXPRESS</t>
        </is>
      </c>
      <c r="P164" s="36" t="inlineStr">
        <is>
          <t>A4</t>
        </is>
      </c>
      <c r="Q164" s="36" t="inlineStr">
        <is>
          <t>2GKA</t>
        </is>
      </c>
    </row>
    <row r="165">
      <c r="A165" s="36" t="inlineStr">
        <is>
          <t>119922</t>
        </is>
      </c>
      <c r="B165" s="52" t="n">
        <v>46034</v>
      </c>
      <c r="C165" s="36" t="inlineStr">
        <is>
          <t>00310737020</t>
        </is>
      </c>
      <c r="D165" s="53" t="inlineStr">
        <is>
          <t>BUDESONIDE/FORMOTEROL 160 /4.5 MCG (SYMBICORT)</t>
        </is>
      </c>
      <c r="E165" s="36" t="n">
        <v>10.2</v>
      </c>
      <c r="F165" s="54" t="n">
        <v>10.2</v>
      </c>
      <c r="G165" s="54" t="n">
        <v>1</v>
      </c>
      <c r="H165" s="55" t="n">
        <v>300</v>
      </c>
      <c r="I165" s="55" t="n">
        <v>224.79</v>
      </c>
      <c r="J165" s="55" t="n">
        <v>0</v>
      </c>
      <c r="K165" s="55" t="n">
        <v>5</v>
      </c>
      <c r="L165" s="55" t="n">
        <v>229.79</v>
      </c>
      <c r="M165" s="55" t="n">
        <v>-70.20999999999999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ADV</t>
        </is>
      </c>
      <c r="Q165" s="36" t="inlineStr">
        <is>
          <t>RX6027</t>
        </is>
      </c>
    </row>
    <row r="166">
      <c r="A166" s="36" t="inlineStr">
        <is>
          <t>136821</t>
        </is>
      </c>
      <c r="B166" s="52" t="n">
        <v>46020</v>
      </c>
      <c r="C166" s="36" t="inlineStr">
        <is>
          <t>00310737020</t>
        </is>
      </c>
      <c r="D166" s="53" t="inlineStr">
        <is>
          <t>BUDESONIDE/FORMOTEROL 160 /4.5 MCG (SYMBICORT)</t>
        </is>
      </c>
      <c r="E166" s="36" t="n">
        <v>10.2</v>
      </c>
      <c r="F166" s="54" t="n">
        <v>10.2</v>
      </c>
      <c r="G166" s="54" t="n">
        <v>1</v>
      </c>
      <c r="H166" s="55" t="n">
        <v>300</v>
      </c>
      <c r="I166" s="55" t="n">
        <v>135.09</v>
      </c>
      <c r="J166" s="55" t="n">
        <v>0</v>
      </c>
      <c r="K166" s="55" t="n">
        <v>0</v>
      </c>
      <c r="L166" s="55" t="n">
        <v>135.09</v>
      </c>
      <c r="M166" s="55" t="n">
        <v>-164.91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143997</t>
        </is>
      </c>
      <c r="B167" s="52" t="n">
        <v>46072</v>
      </c>
      <c r="C167" s="36" t="inlineStr">
        <is>
          <t>00310737020</t>
        </is>
      </c>
      <c r="D167" s="53" t="inlineStr">
        <is>
          <t>BUDESONIDE/FORMOTEROL 160 /4.5 MCG (SYMBICORT)</t>
        </is>
      </c>
      <c r="E167" s="36" t="n">
        <v>10.2</v>
      </c>
      <c r="F167" s="54" t="n">
        <v>30.6</v>
      </c>
      <c r="G167" s="54" t="n">
        <v>3</v>
      </c>
      <c r="H167" s="55" t="n">
        <v>540</v>
      </c>
      <c r="I167" s="55" t="n">
        <v>404.04</v>
      </c>
      <c r="J167" s="55" t="n">
        <v>0</v>
      </c>
      <c r="K167" s="55" t="n">
        <v>1.6</v>
      </c>
      <c r="L167" s="55" t="n">
        <v>405.64</v>
      </c>
      <c r="M167" s="55" t="n">
        <v>-134.36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107813</t>
        </is>
      </c>
      <c r="B168" s="52" t="n">
        <v>46076</v>
      </c>
      <c r="C168" s="36" t="inlineStr">
        <is>
          <t>00310737020</t>
        </is>
      </c>
      <c r="D168" s="53" t="inlineStr">
        <is>
          <t>BUDESONIDE/FORMOTEROL 160 /4.5 MCG (SYMBICORT)</t>
        </is>
      </c>
      <c r="E168" s="36" t="n">
        <v>10.2</v>
      </c>
      <c r="F168" s="54" t="n">
        <v>10.2</v>
      </c>
      <c r="G168" s="54" t="n">
        <v>1</v>
      </c>
      <c r="H168" s="55" t="n">
        <v>180</v>
      </c>
      <c r="I168" s="55" t="n">
        <v>182.38</v>
      </c>
      <c r="J168" s="55" t="n">
        <v>0</v>
      </c>
      <c r="K168" s="55" t="n">
        <v>5</v>
      </c>
      <c r="L168" s="55" t="n">
        <v>187.38</v>
      </c>
      <c r="M168" s="55" t="n">
        <v>7.38</v>
      </c>
      <c r="N168" s="36" t="inlineStr">
        <is>
          <t>610014</t>
        </is>
      </c>
      <c r="O168" s="36" t="inlineStr">
        <is>
          <t>EXPRESS</t>
        </is>
      </c>
      <c r="P168" s="36" t="inlineStr">
        <is>
          <t>PEU</t>
        </is>
      </c>
      <c r="Q168" s="36" t="inlineStr">
        <is>
          <t>SSEU371</t>
        </is>
      </c>
    </row>
    <row r="169">
      <c r="A169" s="36" t="inlineStr">
        <is>
          <t>132782</t>
        </is>
      </c>
      <c r="B169" s="52" t="n">
        <v>46015</v>
      </c>
      <c r="C169" s="36" t="inlineStr">
        <is>
          <t>00310737020</t>
        </is>
      </c>
      <c r="D169" s="53" t="inlineStr">
        <is>
          <t>BUDESONIDE/FORMOTEROL 160 /4.5 MCG (SYMBICORT)</t>
        </is>
      </c>
      <c r="E169" s="36" t="n">
        <v>10.2</v>
      </c>
      <c r="F169" s="54" t="n">
        <v>10.2</v>
      </c>
      <c r="G169" s="54" t="n">
        <v>1</v>
      </c>
      <c r="H169" s="55" t="n">
        <v>300</v>
      </c>
      <c r="I169" s="55" t="n">
        <v>129.43</v>
      </c>
      <c r="J169" s="55" t="n">
        <v>0</v>
      </c>
      <c r="K169" s="55" t="n">
        <v>6</v>
      </c>
      <c r="L169" s="55" t="n">
        <v>135.43</v>
      </c>
      <c r="M169" s="55" t="n">
        <v>-164.57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114079</t>
        </is>
      </c>
      <c r="B170" s="52" t="n">
        <v>46021</v>
      </c>
      <c r="C170" s="36" t="inlineStr">
        <is>
          <t>00310737020</t>
        </is>
      </c>
      <c r="D170" s="53" t="inlineStr">
        <is>
          <t>BUDESONIDE/FORMOTEROL 160 /4.5 MCG (SYMBICORT)</t>
        </is>
      </c>
      <c r="E170" s="36" t="n">
        <v>10.2</v>
      </c>
      <c r="F170" s="54" t="n">
        <v>30.6</v>
      </c>
      <c r="G170" s="54" t="n">
        <v>3</v>
      </c>
      <c r="H170" s="55" t="n">
        <v>900</v>
      </c>
      <c r="I170" s="55" t="n">
        <v>591.8</v>
      </c>
      <c r="J170" s="55" t="n">
        <v>0</v>
      </c>
      <c r="K170" s="55" t="n">
        <v>0</v>
      </c>
      <c r="L170" s="55" t="n">
        <v>591.8</v>
      </c>
      <c r="M170" s="55" t="n">
        <v>-308.2</v>
      </c>
      <c r="N170" s="36" t="inlineStr">
        <is>
          <t>015574</t>
        </is>
      </c>
      <c r="O170" s="36" t="inlineStr">
        <is>
          <t>MEDIMP</t>
        </is>
      </c>
      <c r="P170" s="36" t="inlineStr">
        <is>
          <t>ASPROD1</t>
        </is>
      </c>
      <c r="Q170" s="36" t="inlineStr">
        <is>
          <t>VNS01</t>
        </is>
      </c>
    </row>
    <row r="171">
      <c r="A171" s="36" t="inlineStr">
        <is>
          <t>116158</t>
        </is>
      </c>
      <c r="B171" s="52" t="n">
        <v>46056</v>
      </c>
      <c r="C171" s="36" t="inlineStr">
        <is>
          <t>47335050696</t>
        </is>
      </c>
      <c r="D171" s="53" t="inlineStr">
        <is>
          <t>CEQUA 0.09% SOLUTION</t>
        </is>
      </c>
      <c r="E171" s="36" t="n">
        <v>60</v>
      </c>
      <c r="F171" s="54" t="n">
        <v>60</v>
      </c>
      <c r="G171" s="54" t="n">
        <v>1</v>
      </c>
      <c r="H171" s="55" t="n">
        <v>633</v>
      </c>
      <c r="I171" s="55" t="n">
        <v>619.62</v>
      </c>
      <c r="J171" s="55" t="n">
        <v>0</v>
      </c>
      <c r="K171" s="55" t="n">
        <v>0</v>
      </c>
      <c r="L171" s="55" t="n">
        <v>619.62</v>
      </c>
      <c r="M171" s="55" t="n">
        <v>-13.38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RX1110</t>
        </is>
      </c>
    </row>
    <row r="172">
      <c r="A172" s="36" t="inlineStr">
        <is>
          <t>109721</t>
        </is>
      </c>
      <c r="B172" s="52" t="n">
        <v>46066</v>
      </c>
      <c r="C172" s="36" t="inlineStr">
        <is>
          <t>47335050696</t>
        </is>
      </c>
      <c r="D172" s="53" t="inlineStr">
        <is>
          <t>CEQUA 0.09% SOLUTION</t>
        </is>
      </c>
      <c r="E172" s="36" t="n">
        <v>60</v>
      </c>
      <c r="F172" s="54" t="n">
        <v>180</v>
      </c>
      <c r="G172" s="54" t="n">
        <v>3</v>
      </c>
      <c r="H172" s="55" t="n">
        <v>1899</v>
      </c>
      <c r="I172" s="55" t="n">
        <v>1823.87</v>
      </c>
      <c r="J172" s="55" t="n">
        <v>0</v>
      </c>
      <c r="K172" s="55" t="n">
        <v>4.9</v>
      </c>
      <c r="L172" s="55" t="n">
        <v>1828.77</v>
      </c>
      <c r="M172" s="55" t="n">
        <v>-70.23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116158</t>
        </is>
      </c>
      <c r="B173" s="52" t="n">
        <v>46028</v>
      </c>
      <c r="C173" s="36" t="inlineStr">
        <is>
          <t>47335050696</t>
        </is>
      </c>
      <c r="D173" s="53" t="inlineStr">
        <is>
          <t>CEQUA 0.09% SOLUTION</t>
        </is>
      </c>
      <c r="E173" s="36" t="n">
        <v>60</v>
      </c>
      <c r="F173" s="54" t="n">
        <v>60</v>
      </c>
      <c r="G173" s="54" t="n">
        <v>1</v>
      </c>
      <c r="H173" s="55" t="n">
        <v>633</v>
      </c>
      <c r="I173" s="55" t="n">
        <v>600.12</v>
      </c>
      <c r="J173" s="55" t="n">
        <v>0</v>
      </c>
      <c r="K173" s="55" t="n">
        <v>0</v>
      </c>
      <c r="L173" s="55" t="n">
        <v>600.12</v>
      </c>
      <c r="M173" s="55" t="n">
        <v>-32.88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116158</t>
        </is>
      </c>
      <c r="B174" s="52" t="n">
        <v>46000</v>
      </c>
      <c r="C174" s="36" t="inlineStr">
        <is>
          <t>47335050696</t>
        </is>
      </c>
      <c r="D174" s="53" t="inlineStr">
        <is>
          <t>CEQUA 0.09% SOLUTION</t>
        </is>
      </c>
      <c r="E174" s="36" t="n">
        <v>60</v>
      </c>
      <c r="F174" s="54" t="n">
        <v>60</v>
      </c>
      <c r="G174" s="54" t="n">
        <v>1</v>
      </c>
      <c r="H174" s="55" t="n">
        <v>633</v>
      </c>
      <c r="I174" s="55" t="n">
        <v>594.8200000000001</v>
      </c>
      <c r="J174" s="55" t="n">
        <v>0</v>
      </c>
      <c r="K174" s="55" t="n">
        <v>0</v>
      </c>
      <c r="L174" s="55" t="n">
        <v>594.8200000000001</v>
      </c>
      <c r="M174" s="55" t="n">
        <v>-38.18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129356</t>
        </is>
      </c>
      <c r="B175" s="52" t="n">
        <v>46028</v>
      </c>
      <c r="C175" s="36" t="inlineStr">
        <is>
          <t>68382052960</t>
        </is>
      </c>
      <c r="D175" s="53" t="inlineStr">
        <is>
          <t>CHOLESTYRAMINE LIGHT 4GM PACK</t>
        </is>
      </c>
      <c r="E175" s="36" t="n">
        <v>60</v>
      </c>
      <c r="F175" s="54" t="n">
        <v>60</v>
      </c>
      <c r="G175" s="54" t="n">
        <v>1</v>
      </c>
      <c r="H175" s="55" t="n">
        <v>0</v>
      </c>
      <c r="I175" s="55" t="n">
        <v>88.64</v>
      </c>
      <c r="J175" s="55" t="n">
        <v>0</v>
      </c>
      <c r="K175" s="55" t="n">
        <v>1.6</v>
      </c>
      <c r="L175" s="55" t="n">
        <v>90.23999999999999</v>
      </c>
      <c r="M175" s="55" t="n">
        <v>0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123205</t>
        </is>
      </c>
      <c r="B176" s="52" t="n">
        <v>46059</v>
      </c>
      <c r="C176" s="36" t="inlineStr">
        <is>
          <t>00023921110</t>
        </is>
      </c>
      <c r="D176" s="53" t="inlineStr">
        <is>
          <t>COMBIGAN 0.2-0.5% OPTH SOLUTION 10ML</t>
        </is>
      </c>
      <c r="E176" s="36" t="n">
        <v>10</v>
      </c>
      <c r="F176" s="54" t="n">
        <v>10</v>
      </c>
      <c r="G176" s="54" t="n">
        <v>1</v>
      </c>
      <c r="H176" s="55" t="n">
        <v>0</v>
      </c>
      <c r="I176" s="55" t="n">
        <v>388.27</v>
      </c>
      <c r="J176" s="55" t="n">
        <v>0</v>
      </c>
      <c r="K176" s="55" t="n">
        <v>0</v>
      </c>
      <c r="L176" s="55" t="n">
        <v>388.27</v>
      </c>
      <c r="M176" s="55" t="n">
        <v>0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123205</t>
        </is>
      </c>
      <c r="B177" s="52" t="n">
        <v>46013</v>
      </c>
      <c r="C177" s="36" t="inlineStr">
        <is>
          <t>00023921110</t>
        </is>
      </c>
      <c r="D177" s="53" t="inlineStr">
        <is>
          <t>COMBIGAN 0.2-0.5% OPTH SOLUTION 10ML</t>
        </is>
      </c>
      <c r="E177" s="36" t="n">
        <v>10</v>
      </c>
      <c r="F177" s="54" t="n">
        <v>10</v>
      </c>
      <c r="G177" s="54" t="n">
        <v>1</v>
      </c>
      <c r="H177" s="55" t="n">
        <v>0</v>
      </c>
      <c r="I177" s="55" t="n">
        <v>384.84</v>
      </c>
      <c r="J177" s="55" t="n">
        <v>0</v>
      </c>
      <c r="K177" s="55" t="n">
        <v>0</v>
      </c>
      <c r="L177" s="55" t="n">
        <v>384.84</v>
      </c>
      <c r="M177" s="55" t="n">
        <v>0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RX1110</t>
        </is>
      </c>
    </row>
    <row r="178">
      <c r="A178" s="36" t="inlineStr">
        <is>
          <t>124411</t>
        </is>
      </c>
      <c r="B178" s="52" t="n">
        <v>46063</v>
      </c>
      <c r="C178" s="36" t="inlineStr">
        <is>
          <t>00023921110</t>
        </is>
      </c>
      <c r="D178" s="53" t="inlineStr">
        <is>
          <t>COMBIGAN 0.2-0.5% OPTH SOLUTION 10ML</t>
        </is>
      </c>
      <c r="E178" s="36" t="n">
        <v>10</v>
      </c>
      <c r="F178" s="54" t="n">
        <v>10</v>
      </c>
      <c r="G178" s="54" t="n">
        <v>1</v>
      </c>
      <c r="H178" s="55" t="n">
        <v>0</v>
      </c>
      <c r="I178" s="55" t="n">
        <v>380.92</v>
      </c>
      <c r="J178" s="55" t="n">
        <v>0</v>
      </c>
      <c r="K178" s="55" t="n">
        <v>0</v>
      </c>
      <c r="L178" s="55" t="n">
        <v>380.92</v>
      </c>
      <c r="M178" s="55" t="n">
        <v>0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RX8585</t>
        </is>
      </c>
    </row>
    <row r="179">
      <c r="A179" s="36" t="inlineStr">
        <is>
          <t>124411</t>
        </is>
      </c>
      <c r="B179" s="52" t="n">
        <v>46013</v>
      </c>
      <c r="C179" s="36" t="inlineStr">
        <is>
          <t>00023921110</t>
        </is>
      </c>
      <c r="D179" s="53" t="inlineStr">
        <is>
          <t>COMBIGAN 0.2-0.5% OPTH SOLUTION 10ML</t>
        </is>
      </c>
      <c r="E179" s="36" t="n">
        <v>10</v>
      </c>
      <c r="F179" s="54" t="n">
        <v>10</v>
      </c>
      <c r="G179" s="54" t="n">
        <v>1</v>
      </c>
      <c r="H179" s="55" t="n">
        <v>0</v>
      </c>
      <c r="I179" s="55" t="n">
        <v>388.76</v>
      </c>
      <c r="J179" s="55" t="n">
        <v>0</v>
      </c>
      <c r="K179" s="55" t="n">
        <v>0</v>
      </c>
      <c r="L179" s="55" t="n">
        <v>388.76</v>
      </c>
      <c r="M179" s="55" t="n">
        <v>0</v>
      </c>
      <c r="N179" s="36" t="inlineStr">
        <is>
          <t>004336</t>
        </is>
      </c>
      <c r="O179" s="36" t="inlineStr">
        <is>
          <t>CAREMARK</t>
        </is>
      </c>
      <c r="P179" s="36" t="inlineStr">
        <is>
          <t>MEDDADV</t>
        </is>
      </c>
      <c r="Q179" s="36" t="inlineStr">
        <is>
          <t>RX8585</t>
        </is>
      </c>
    </row>
    <row r="180">
      <c r="A180" s="36" t="inlineStr">
        <is>
          <t>137769</t>
        </is>
      </c>
      <c r="B180" s="52" t="n">
        <v>46028</v>
      </c>
      <c r="C180" s="36" t="inlineStr">
        <is>
          <t>00023921115</t>
        </is>
      </c>
      <c r="D180" s="53" t="inlineStr">
        <is>
          <t>COMBIGAN 0.2-0.5% OPTH SOLUTION 15ML</t>
        </is>
      </c>
      <c r="E180" s="36" t="n">
        <v>15</v>
      </c>
      <c r="F180" s="54" t="n">
        <v>15</v>
      </c>
      <c r="G180" s="54" t="n">
        <v>1</v>
      </c>
      <c r="H180" s="55" t="n">
        <v>0</v>
      </c>
      <c r="I180" s="55" t="n">
        <v>582.48</v>
      </c>
      <c r="J180" s="55" t="n">
        <v>0</v>
      </c>
      <c r="K180" s="55" t="n">
        <v>0</v>
      </c>
      <c r="L180" s="55" t="n">
        <v>582.48</v>
      </c>
      <c r="M180" s="55" t="n">
        <v>0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103208</t>
        </is>
      </c>
      <c r="B181" s="52" t="n">
        <v>46003</v>
      </c>
      <c r="C181" s="36" t="inlineStr">
        <is>
          <t>00023921115</t>
        </is>
      </c>
      <c r="D181" s="53" t="inlineStr">
        <is>
          <t>COMBIGAN 0.2-0.5% OPTH SOLUTION 15ML</t>
        </is>
      </c>
      <c r="E181" s="36" t="n">
        <v>15</v>
      </c>
      <c r="F181" s="54" t="n">
        <v>15</v>
      </c>
      <c r="G181" s="54" t="n">
        <v>1</v>
      </c>
      <c r="H181" s="55" t="n">
        <v>0</v>
      </c>
      <c r="I181" s="55" t="n">
        <v>577.34</v>
      </c>
      <c r="J181" s="55" t="n">
        <v>0</v>
      </c>
      <c r="K181" s="55" t="n">
        <v>0</v>
      </c>
      <c r="L181" s="55" t="n">
        <v>577.34</v>
      </c>
      <c r="M181" s="55" t="n">
        <v>0</v>
      </c>
      <c r="N181" s="36" t="inlineStr">
        <is>
          <t>004336</t>
        </is>
      </c>
      <c r="O181" s="36" t="inlineStr">
        <is>
          <t>CAREMARK</t>
        </is>
      </c>
      <c r="P181" s="36" t="inlineStr">
        <is>
          <t>MEDDADV</t>
        </is>
      </c>
      <c r="Q181" s="36" t="inlineStr">
        <is>
          <t>RX1110</t>
        </is>
      </c>
    </row>
    <row r="182">
      <c r="A182" s="36" t="inlineStr">
        <is>
          <t>143248</t>
        </is>
      </c>
      <c r="B182" s="52" t="n">
        <v>46066</v>
      </c>
      <c r="C182" s="36" t="inlineStr">
        <is>
          <t>00023921115</t>
        </is>
      </c>
      <c r="D182" s="53" t="inlineStr">
        <is>
          <t>COMBIGAN 0.2-0.5% OPTH SOLUTION 15ML</t>
        </is>
      </c>
      <c r="E182" s="36" t="n">
        <v>15</v>
      </c>
      <c r="F182" s="54" t="n">
        <v>15</v>
      </c>
      <c r="G182" s="54" t="n">
        <v>1</v>
      </c>
      <c r="H182" s="55" t="n">
        <v>0</v>
      </c>
      <c r="I182" s="55" t="n">
        <v>582.48</v>
      </c>
      <c r="J182" s="55" t="n">
        <v>0</v>
      </c>
      <c r="K182" s="55" t="n">
        <v>0</v>
      </c>
      <c r="L182" s="55" t="n">
        <v>582.48</v>
      </c>
      <c r="M182" s="55" t="n">
        <v>0</v>
      </c>
      <c r="N182" s="36" t="inlineStr">
        <is>
          <t>004336</t>
        </is>
      </c>
      <c r="O182" s="36" t="inlineStr">
        <is>
          <t>CAREMARK</t>
        </is>
      </c>
      <c r="P182" s="36" t="inlineStr">
        <is>
          <t>MEDDADV</t>
        </is>
      </c>
      <c r="Q182" s="36" t="inlineStr">
        <is>
          <t>RX1110</t>
        </is>
      </c>
    </row>
    <row r="183">
      <c r="A183" s="36" t="inlineStr">
        <is>
          <t>143524</t>
        </is>
      </c>
      <c r="B183" s="52" t="n">
        <v>46069</v>
      </c>
      <c r="C183" s="36" t="inlineStr">
        <is>
          <t>00023921115</t>
        </is>
      </c>
      <c r="D183" s="53" t="inlineStr">
        <is>
          <t>COMBIGAN 0.2-0.5% OPTH SOLUTION 15ML</t>
        </is>
      </c>
      <c r="E183" s="36" t="n">
        <v>15</v>
      </c>
      <c r="F183" s="54" t="n">
        <v>15</v>
      </c>
      <c r="G183" s="54" t="n">
        <v>1</v>
      </c>
      <c r="H183" s="55" t="n">
        <v>0</v>
      </c>
      <c r="I183" s="55" t="n">
        <v>582.48</v>
      </c>
      <c r="J183" s="55" t="n">
        <v>0</v>
      </c>
      <c r="K183" s="55" t="n">
        <v>0</v>
      </c>
      <c r="L183" s="55" t="n">
        <v>582.48</v>
      </c>
      <c r="M183" s="55" t="n">
        <v>0</v>
      </c>
      <c r="N183" s="36" t="inlineStr">
        <is>
          <t>004336</t>
        </is>
      </c>
      <c r="O183" s="36" t="inlineStr">
        <is>
          <t>CAREMARK</t>
        </is>
      </c>
      <c r="P183" s="36" t="inlineStr">
        <is>
          <t>MEDDADV</t>
        </is>
      </c>
      <c r="Q183" s="36" t="inlineStr">
        <is>
          <t>RX1110</t>
        </is>
      </c>
    </row>
    <row r="184">
      <c r="A184" s="36" t="inlineStr">
        <is>
          <t>144198</t>
        </is>
      </c>
      <c r="B184" s="52" t="n">
        <v>46073</v>
      </c>
      <c r="C184" s="36" t="inlineStr">
        <is>
          <t>00023921115</t>
        </is>
      </c>
      <c r="D184" s="53" t="inlineStr">
        <is>
          <t>COMBIGAN 0.2-0.5% OPTH SOLUTION 15ML</t>
        </is>
      </c>
      <c r="E184" s="36" t="n">
        <v>15</v>
      </c>
      <c r="F184" s="54" t="n">
        <v>15</v>
      </c>
      <c r="G184" s="54" t="n">
        <v>1</v>
      </c>
      <c r="H184" s="55" t="n">
        <v>0</v>
      </c>
      <c r="I184" s="55" t="n">
        <v>580.88</v>
      </c>
      <c r="J184" s="55" t="n">
        <v>0</v>
      </c>
      <c r="K184" s="55" t="n">
        <v>1.6</v>
      </c>
      <c r="L184" s="55" t="n">
        <v>582.48</v>
      </c>
      <c r="M184" s="55" t="n">
        <v>0</v>
      </c>
      <c r="N184" s="36" t="inlineStr">
        <is>
          <t>004336</t>
        </is>
      </c>
      <c r="O184" s="36" t="inlineStr">
        <is>
          <t>CAREMARK</t>
        </is>
      </c>
      <c r="P184" s="36" t="inlineStr">
        <is>
          <t>MEDDADV</t>
        </is>
      </c>
      <c r="Q184" s="36" t="inlineStr">
        <is>
          <t>RX1110</t>
        </is>
      </c>
    </row>
    <row r="185">
      <c r="A185" s="36" t="inlineStr">
        <is>
          <t>106851</t>
        </is>
      </c>
      <c r="B185" s="52" t="n">
        <v>46001</v>
      </c>
      <c r="C185" s="36" t="inlineStr">
        <is>
          <t>00023921115</t>
        </is>
      </c>
      <c r="D185" s="53" t="inlineStr">
        <is>
          <t>COMBIGAN 0.2-0.5% OPTH SOLUTION 15ML</t>
        </is>
      </c>
      <c r="E185" s="36" t="n">
        <v>15</v>
      </c>
      <c r="F185" s="54" t="n">
        <v>15</v>
      </c>
      <c r="G185" s="54" t="n">
        <v>1</v>
      </c>
      <c r="H185" s="55" t="n">
        <v>0</v>
      </c>
      <c r="I185" s="55" t="n">
        <v>577.34</v>
      </c>
      <c r="J185" s="55" t="n">
        <v>0</v>
      </c>
      <c r="K185" s="55" t="n">
        <v>0</v>
      </c>
      <c r="L185" s="55" t="n">
        <v>577.34</v>
      </c>
      <c r="M185" s="55" t="n">
        <v>0</v>
      </c>
      <c r="N185" s="36" t="inlineStr">
        <is>
          <t>004336</t>
        </is>
      </c>
      <c r="O185" s="36" t="inlineStr">
        <is>
          <t>CAREMARK</t>
        </is>
      </c>
      <c r="P185" s="36" t="inlineStr">
        <is>
          <t>MEDDADV</t>
        </is>
      </c>
      <c r="Q185" s="36" t="inlineStr">
        <is>
          <t>RX1110</t>
        </is>
      </c>
    </row>
    <row r="186">
      <c r="A186" s="36" t="inlineStr">
        <is>
          <t>124239</t>
        </is>
      </c>
      <c r="B186" s="52" t="n">
        <v>45999</v>
      </c>
      <c r="C186" s="36" t="inlineStr">
        <is>
          <t>00193730850</t>
        </is>
      </c>
      <c r="D186" s="53" t="inlineStr">
        <is>
          <t>CONTOUR NEXT STRIP DME</t>
        </is>
      </c>
      <c r="E186" s="36" t="n">
        <v>50</v>
      </c>
      <c r="F186" s="54" t="n">
        <v>100</v>
      </c>
      <c r="G186" s="54" t="n">
        <v>2</v>
      </c>
      <c r="H186" s="55" t="n">
        <v>0</v>
      </c>
      <c r="I186" s="55" t="n">
        <v>13.31</v>
      </c>
      <c r="J186" s="55" t="n">
        <v>0</v>
      </c>
      <c r="K186" s="55" t="n">
        <v>0</v>
      </c>
      <c r="L186" s="55" t="n">
        <v>13.31</v>
      </c>
      <c r="M186" s="55" t="n">
        <v>0</v>
      </c>
      <c r="N186" s="36" t="inlineStr">
        <is>
          <t>007895</t>
        </is>
      </c>
      <c r="O186" s="36" t="inlineStr">
        <is>
          <t>FDS</t>
        </is>
      </c>
      <c r="P186" s="36" t="inlineStr">
        <is>
          <t>001</t>
        </is>
      </c>
      <c r="Q186" s="36" t="n">
        <v/>
      </c>
    </row>
    <row r="187">
      <c r="A187" s="36" t="inlineStr">
        <is>
          <t>139201</t>
        </is>
      </c>
      <c r="B187" s="52" t="n">
        <v>46037</v>
      </c>
      <c r="C187" s="36" t="inlineStr">
        <is>
          <t>00193731150</t>
        </is>
      </c>
      <c r="D187" s="53" t="inlineStr">
        <is>
          <t>CONTOUR NEXT TEST  STRIPS</t>
        </is>
      </c>
      <c r="E187" s="36" t="n">
        <v>50</v>
      </c>
      <c r="F187" s="54" t="n">
        <v>100</v>
      </c>
      <c r="G187" s="54" t="n">
        <v>2</v>
      </c>
      <c r="H187" s="55" t="n">
        <v>0</v>
      </c>
      <c r="I187" s="55" t="n">
        <v>104.44</v>
      </c>
      <c r="J187" s="55" t="n">
        <v>0</v>
      </c>
      <c r="K187" s="55" t="n">
        <v>0</v>
      </c>
      <c r="L187" s="55" t="n">
        <v>104.44</v>
      </c>
      <c r="M187" s="55" t="n">
        <v>0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141161</t>
        </is>
      </c>
      <c r="B188" s="52" t="n">
        <v>46052</v>
      </c>
      <c r="C188" s="36" t="inlineStr">
        <is>
          <t>00193731150</t>
        </is>
      </c>
      <c r="D188" s="53" t="inlineStr">
        <is>
          <t>CONTOUR NEXT TEST  STRIPS</t>
        </is>
      </c>
      <c r="E188" s="36" t="n">
        <v>50</v>
      </c>
      <c r="F188" s="54" t="n">
        <v>100</v>
      </c>
      <c r="G188" s="54" t="n">
        <v>2</v>
      </c>
      <c r="H188" s="55" t="n">
        <v>0</v>
      </c>
      <c r="I188" s="55" t="n">
        <v>104.44</v>
      </c>
      <c r="J188" s="55" t="n">
        <v>0</v>
      </c>
      <c r="K188" s="55" t="n">
        <v>0</v>
      </c>
      <c r="L188" s="55" t="n">
        <v>104.44</v>
      </c>
      <c r="M188" s="55" t="n">
        <v>0</v>
      </c>
      <c r="N188" s="36" t="inlineStr">
        <is>
          <t>004336</t>
        </is>
      </c>
      <c r="O188" s="36" t="inlineStr">
        <is>
          <t>CAREMARK</t>
        </is>
      </c>
      <c r="P188" s="36" t="inlineStr">
        <is>
          <t>MEDDADV</t>
        </is>
      </c>
      <c r="Q188" s="36" t="inlineStr">
        <is>
          <t>RX1110</t>
        </is>
      </c>
    </row>
    <row r="189">
      <c r="A189" s="36" t="inlineStr">
        <is>
          <t>137190</t>
        </is>
      </c>
      <c r="B189" s="52" t="n">
        <v>46024</v>
      </c>
      <c r="C189" s="36" t="inlineStr">
        <is>
          <t>00193731150</t>
        </is>
      </c>
      <c r="D189" s="53" t="inlineStr">
        <is>
          <t>CONTOUR NEXT TEST  STRIPS</t>
        </is>
      </c>
      <c r="E189" s="36" t="n">
        <v>50</v>
      </c>
      <c r="F189" s="54" t="n">
        <v>100</v>
      </c>
      <c r="G189" s="54" t="n">
        <v>2</v>
      </c>
      <c r="H189" s="55" t="n">
        <v>0</v>
      </c>
      <c r="I189" s="55" t="n">
        <v>105.7</v>
      </c>
      <c r="J189" s="55" t="n">
        <v>0</v>
      </c>
      <c r="K189" s="55" t="n">
        <v>0</v>
      </c>
      <c r="L189" s="55" t="n">
        <v>105.7</v>
      </c>
      <c r="M189" s="55" t="n">
        <v>0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MEDDADV</t>
        </is>
      </c>
      <c r="Q189" s="36" t="inlineStr">
        <is>
          <t>RXCVSD</t>
        </is>
      </c>
    </row>
    <row r="190">
      <c r="A190" s="36" t="inlineStr">
        <is>
          <t>131235</t>
        </is>
      </c>
      <c r="B190" s="52" t="n">
        <v>46064</v>
      </c>
      <c r="C190" s="36" t="inlineStr">
        <is>
          <t>00193731150</t>
        </is>
      </c>
      <c r="D190" s="53" t="inlineStr">
        <is>
          <t>CONTOUR NEXT TEST  STRIPS</t>
        </is>
      </c>
      <c r="E190" s="36" t="n">
        <v>50</v>
      </c>
      <c r="F190" s="54" t="n">
        <v>100</v>
      </c>
      <c r="G190" s="54" t="n">
        <v>2</v>
      </c>
      <c r="H190" s="55" t="n">
        <v>0</v>
      </c>
      <c r="I190" s="55" t="n">
        <v>102.62</v>
      </c>
      <c r="J190" s="55" t="n">
        <v>0</v>
      </c>
      <c r="K190" s="55" t="n">
        <v>0</v>
      </c>
      <c r="L190" s="55" t="n">
        <v>102.62</v>
      </c>
      <c r="M190" s="55" t="n">
        <v>0</v>
      </c>
      <c r="N190" s="36" t="inlineStr">
        <is>
          <t>004336</t>
        </is>
      </c>
      <c r="O190" s="36" t="inlineStr">
        <is>
          <t>CAREMARK</t>
        </is>
      </c>
      <c r="P190" s="36" t="inlineStr">
        <is>
          <t>MEDDADV</t>
        </is>
      </c>
      <c r="Q190" s="36" t="inlineStr">
        <is>
          <t>RX1110</t>
        </is>
      </c>
    </row>
    <row r="191">
      <c r="A191" s="36" t="inlineStr">
        <is>
          <t>129745</t>
        </is>
      </c>
      <c r="B191" s="52" t="n">
        <v>46052</v>
      </c>
      <c r="C191" s="36" t="inlineStr">
        <is>
          <t>00193731150</t>
        </is>
      </c>
      <c r="D191" s="53" t="inlineStr">
        <is>
          <t>CONTOUR NEXT TEST  STRIPS</t>
        </is>
      </c>
      <c r="E191" s="36" t="n">
        <v>50</v>
      </c>
      <c r="F191" s="54" t="n">
        <v>200</v>
      </c>
      <c r="G191" s="54" t="n">
        <v>4</v>
      </c>
      <c r="H191" s="55" t="n">
        <v>0</v>
      </c>
      <c r="I191" s="55" t="n">
        <v>205.58</v>
      </c>
      <c r="J191" s="55" t="n">
        <v>0</v>
      </c>
      <c r="K191" s="55" t="n">
        <v>0</v>
      </c>
      <c r="L191" s="55" t="n">
        <v>205.58</v>
      </c>
      <c r="M191" s="55" t="n">
        <v>0</v>
      </c>
      <c r="N191" s="36" t="inlineStr">
        <is>
          <t>004336</t>
        </is>
      </c>
      <c r="O191" s="36" t="inlineStr">
        <is>
          <t>CAREMARK</t>
        </is>
      </c>
      <c r="P191" s="36" t="inlineStr">
        <is>
          <t>MEDDADV</t>
        </is>
      </c>
      <c r="Q191" s="36" t="inlineStr">
        <is>
          <t>RX1110</t>
        </is>
      </c>
    </row>
    <row r="192">
      <c r="A192" s="36" t="inlineStr">
        <is>
          <t>124239</t>
        </is>
      </c>
      <c r="B192" s="52" t="n">
        <v>46027</v>
      </c>
      <c r="C192" s="36" t="inlineStr">
        <is>
          <t>00193731150</t>
        </is>
      </c>
      <c r="D192" s="53" t="inlineStr">
        <is>
          <t>CONTOUR NEXT TEST  STRIPS</t>
        </is>
      </c>
      <c r="E192" s="36" t="n">
        <v>50</v>
      </c>
      <c r="F192" s="54" t="n">
        <v>100</v>
      </c>
      <c r="G192" s="54" t="n">
        <v>2</v>
      </c>
      <c r="H192" s="55" t="n">
        <v>0</v>
      </c>
      <c r="I192" s="55" t="n">
        <v>13.31</v>
      </c>
      <c r="J192" s="55" t="n">
        <v>0</v>
      </c>
      <c r="K192" s="55" t="n">
        <v>0</v>
      </c>
      <c r="L192" s="55" t="n">
        <v>13.31</v>
      </c>
      <c r="M192" s="55" t="n">
        <v>0</v>
      </c>
      <c r="N192" s="36" t="inlineStr">
        <is>
          <t>007895</t>
        </is>
      </c>
      <c r="O192" s="36" t="inlineStr">
        <is>
          <t>FDS</t>
        </is>
      </c>
      <c r="P192" s="36" t="inlineStr">
        <is>
          <t>001</t>
        </is>
      </c>
      <c r="Q192" s="36" t="n">
        <v/>
      </c>
    </row>
    <row r="193">
      <c r="A193" s="36" t="inlineStr">
        <is>
          <t>101047</t>
        </is>
      </c>
      <c r="B193" s="52" t="n">
        <v>45995</v>
      </c>
      <c r="C193" s="36" t="inlineStr">
        <is>
          <t>00193731150</t>
        </is>
      </c>
      <c r="D193" s="53" t="inlineStr">
        <is>
          <t>CONTOUR NEXT TEST  STRIPS</t>
        </is>
      </c>
      <c r="E193" s="36" t="n">
        <v>50</v>
      </c>
      <c r="F193" s="54" t="n">
        <v>100</v>
      </c>
      <c r="G193" s="54" t="n">
        <v>2</v>
      </c>
      <c r="H193" s="55" t="n">
        <v>0</v>
      </c>
      <c r="I193" s="55" t="n">
        <v>101.96</v>
      </c>
      <c r="J193" s="55" t="n">
        <v>0</v>
      </c>
      <c r="K193" s="55" t="n">
        <v>0</v>
      </c>
      <c r="L193" s="55" t="n">
        <v>101.96</v>
      </c>
      <c r="M193" s="55" t="n">
        <v>0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109075</t>
        </is>
      </c>
      <c r="B194" s="52" t="n">
        <v>46062</v>
      </c>
      <c r="C194" s="36" t="inlineStr">
        <is>
          <t>00193731150</t>
        </is>
      </c>
      <c r="D194" s="53" t="inlineStr">
        <is>
          <t>CONTOUR NEXT TEST  STRIPS</t>
        </is>
      </c>
      <c r="E194" s="36" t="n">
        <v>50</v>
      </c>
      <c r="F194" s="54" t="n">
        <v>100</v>
      </c>
      <c r="G194" s="54" t="n">
        <v>2</v>
      </c>
      <c r="H194" s="55" t="n">
        <v>0</v>
      </c>
      <c r="I194" s="55" t="n">
        <v>110</v>
      </c>
      <c r="J194" s="55" t="n">
        <v>0</v>
      </c>
      <c r="K194" s="55" t="n">
        <v>0</v>
      </c>
      <c r="L194" s="55" t="n">
        <v>110</v>
      </c>
      <c r="M194" s="55" t="n">
        <v>0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132852</t>
        </is>
      </c>
      <c r="B195" s="52" t="n">
        <v>46035</v>
      </c>
      <c r="C195" s="36" t="inlineStr">
        <is>
          <t>00193731150</t>
        </is>
      </c>
      <c r="D195" s="53" t="inlineStr">
        <is>
          <t>CONTOUR NEXT TEST  STRIPS</t>
        </is>
      </c>
      <c r="E195" s="36" t="n">
        <v>50</v>
      </c>
      <c r="F195" s="54" t="n">
        <v>100</v>
      </c>
      <c r="G195" s="54" t="n">
        <v>2</v>
      </c>
      <c r="H195" s="55" t="n">
        <v>0</v>
      </c>
      <c r="I195" s="55" t="n">
        <v>104.44</v>
      </c>
      <c r="J195" s="55" t="n">
        <v>0</v>
      </c>
      <c r="K195" s="55" t="n">
        <v>0</v>
      </c>
      <c r="L195" s="55" t="n">
        <v>104.44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MEDDADV</t>
        </is>
      </c>
      <c r="Q195" s="36" t="inlineStr">
        <is>
          <t>RX1110</t>
        </is>
      </c>
    </row>
    <row r="196">
      <c r="A196" s="36" t="inlineStr">
        <is>
          <t>142503</t>
        </is>
      </c>
      <c r="B196" s="52" t="n">
        <v>46063</v>
      </c>
      <c r="C196" s="36" t="inlineStr">
        <is>
          <t>00193731150</t>
        </is>
      </c>
      <c r="D196" s="53" t="inlineStr">
        <is>
          <t>CONTOUR NEXT TEST  STRIPS</t>
        </is>
      </c>
      <c r="E196" s="36" t="n">
        <v>50</v>
      </c>
      <c r="F196" s="54" t="n">
        <v>100</v>
      </c>
      <c r="G196" s="54" t="n">
        <v>2</v>
      </c>
      <c r="H196" s="55" t="n">
        <v>0</v>
      </c>
      <c r="I196" s="55" t="n">
        <v>102.62</v>
      </c>
      <c r="J196" s="55" t="n">
        <v>0</v>
      </c>
      <c r="K196" s="55" t="n">
        <v>0</v>
      </c>
      <c r="L196" s="55" t="n">
        <v>102.62</v>
      </c>
      <c r="M196" s="55" t="n">
        <v>0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141183</t>
        </is>
      </c>
      <c r="B197" s="52" t="n">
        <v>46052</v>
      </c>
      <c r="C197" s="36" t="inlineStr">
        <is>
          <t>00193731150</t>
        </is>
      </c>
      <c r="D197" s="53" t="inlineStr">
        <is>
          <t>CONTOUR NEXT TEST  STRIPS</t>
        </is>
      </c>
      <c r="E197" s="36" t="n">
        <v>50</v>
      </c>
      <c r="F197" s="54" t="n">
        <v>100</v>
      </c>
      <c r="G197" s="54" t="n">
        <v>2</v>
      </c>
      <c r="H197" s="55" t="n">
        <v>0</v>
      </c>
      <c r="I197" s="55" t="n">
        <v>104.43</v>
      </c>
      <c r="J197" s="55" t="n">
        <v>0</v>
      </c>
      <c r="K197" s="55" t="n">
        <v>0</v>
      </c>
      <c r="L197" s="55" t="n">
        <v>104.43</v>
      </c>
      <c r="M197" s="55" t="n">
        <v>0</v>
      </c>
      <c r="N197" s="36" t="inlineStr">
        <is>
          <t>015574</t>
        </is>
      </c>
      <c r="O197" s="36" t="inlineStr">
        <is>
          <t>MEDIMP</t>
        </is>
      </c>
      <c r="P197" s="36" t="inlineStr">
        <is>
          <t>ASPROD1</t>
        </is>
      </c>
      <c r="Q197" s="36" t="inlineStr">
        <is>
          <t>VNS01</t>
        </is>
      </c>
    </row>
    <row r="198">
      <c r="A198" s="36" t="inlineStr">
        <is>
          <t>116724</t>
        </is>
      </c>
      <c r="B198" s="52" t="n">
        <v>46015</v>
      </c>
      <c r="C198" s="36" t="inlineStr">
        <is>
          <t>00193731150</t>
        </is>
      </c>
      <c r="D198" s="53" t="inlineStr">
        <is>
          <t>CONTOUR NEXT TEST  STRIPS</t>
        </is>
      </c>
      <c r="E198" s="36" t="n">
        <v>50</v>
      </c>
      <c r="F198" s="54" t="n">
        <v>100</v>
      </c>
      <c r="G198" s="54" t="n">
        <v>2</v>
      </c>
      <c r="H198" s="55" t="n">
        <v>0</v>
      </c>
      <c r="I198" s="55" t="n">
        <v>103.51</v>
      </c>
      <c r="J198" s="55" t="n">
        <v>0</v>
      </c>
      <c r="K198" s="55" t="n">
        <v>0</v>
      </c>
      <c r="L198" s="55" t="n">
        <v>103.51</v>
      </c>
      <c r="M198" s="55" t="n">
        <v>0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131120</t>
        </is>
      </c>
      <c r="B199" s="52" t="n">
        <v>46052</v>
      </c>
      <c r="C199" s="36" t="inlineStr">
        <is>
          <t>00193731150</t>
        </is>
      </c>
      <c r="D199" s="53" t="inlineStr">
        <is>
          <t>CONTOUR NEXT TEST  STRIPS</t>
        </is>
      </c>
      <c r="E199" s="36" t="n">
        <v>50</v>
      </c>
      <c r="F199" s="54" t="n">
        <v>100</v>
      </c>
      <c r="G199" s="54" t="n">
        <v>2</v>
      </c>
      <c r="H199" s="55" t="n">
        <v>0</v>
      </c>
      <c r="I199" s="55" t="n">
        <v>102.62</v>
      </c>
      <c r="J199" s="55" t="n">
        <v>0</v>
      </c>
      <c r="K199" s="55" t="n">
        <v>0</v>
      </c>
      <c r="L199" s="55" t="n">
        <v>102.62</v>
      </c>
      <c r="M199" s="55" t="n">
        <v>0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142595</t>
        </is>
      </c>
      <c r="B200" s="52" t="n">
        <v>46063</v>
      </c>
      <c r="C200" s="36" t="inlineStr">
        <is>
          <t>00193731150</t>
        </is>
      </c>
      <c r="D200" s="53" t="inlineStr">
        <is>
          <t>CONTOUR NEXT TEST  STRIPS</t>
        </is>
      </c>
      <c r="E200" s="36" t="n">
        <v>50</v>
      </c>
      <c r="F200" s="54" t="n">
        <v>100</v>
      </c>
      <c r="G200" s="54" t="n">
        <v>2</v>
      </c>
      <c r="H200" s="55" t="n">
        <v>0</v>
      </c>
      <c r="I200" s="55" t="n">
        <v>102.62</v>
      </c>
      <c r="J200" s="55" t="n">
        <v>0</v>
      </c>
      <c r="K200" s="55" t="n">
        <v>0</v>
      </c>
      <c r="L200" s="55" t="n">
        <v>102.62</v>
      </c>
      <c r="M200" s="55" t="n">
        <v>0</v>
      </c>
      <c r="N200" s="36" t="inlineStr">
        <is>
          <t>004336</t>
        </is>
      </c>
      <c r="O200" s="36" t="inlineStr">
        <is>
          <t>CAREMARK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121264</t>
        </is>
      </c>
      <c r="B201" s="52" t="n">
        <v>46073</v>
      </c>
      <c r="C201" s="36" t="inlineStr">
        <is>
          <t>00193731150</t>
        </is>
      </c>
      <c r="D201" s="53" t="inlineStr">
        <is>
          <t>CONTOUR NEXT TEST  STRIPS</t>
        </is>
      </c>
      <c r="E201" s="36" t="n">
        <v>50</v>
      </c>
      <c r="F201" s="54" t="n">
        <v>300</v>
      </c>
      <c r="G201" s="54" t="n">
        <v>6</v>
      </c>
      <c r="H201" s="55" t="n">
        <v>0</v>
      </c>
      <c r="I201" s="55" t="n">
        <v>308.54</v>
      </c>
      <c r="J201" s="55" t="n">
        <v>0</v>
      </c>
      <c r="K201" s="55" t="n">
        <v>0</v>
      </c>
      <c r="L201" s="55" t="n">
        <v>308.54</v>
      </c>
      <c r="M201" s="55" t="n">
        <v>0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111325</t>
        </is>
      </c>
      <c r="B202" s="52" t="n">
        <v>45993</v>
      </c>
      <c r="C202" s="36" t="inlineStr">
        <is>
          <t>00193731150</t>
        </is>
      </c>
      <c r="D202" s="53" t="inlineStr">
        <is>
          <t>CONTOUR NEXT TEST  STRIPS</t>
        </is>
      </c>
      <c r="E202" s="36" t="n">
        <v>50</v>
      </c>
      <c r="F202" s="54" t="n">
        <v>300</v>
      </c>
      <c r="G202" s="54" t="n">
        <v>6</v>
      </c>
      <c r="H202" s="55" t="n">
        <v>0</v>
      </c>
      <c r="I202" s="55" t="n">
        <v>306.56</v>
      </c>
      <c r="J202" s="55" t="n">
        <v>0</v>
      </c>
      <c r="K202" s="55" t="n">
        <v>0</v>
      </c>
      <c r="L202" s="55" t="n">
        <v>306.56</v>
      </c>
      <c r="M202" s="55" t="n">
        <v>0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111677</t>
        </is>
      </c>
      <c r="B203" s="52" t="n">
        <v>45993</v>
      </c>
      <c r="C203" s="36" t="inlineStr">
        <is>
          <t>00193731150</t>
        </is>
      </c>
      <c r="D203" s="53" t="inlineStr">
        <is>
          <t>CONTOUR NEXT TEST  STRIPS</t>
        </is>
      </c>
      <c r="E203" s="36" t="n">
        <v>50</v>
      </c>
      <c r="F203" s="54" t="n">
        <v>300</v>
      </c>
      <c r="G203" s="54" t="n">
        <v>6</v>
      </c>
      <c r="H203" s="55" t="n">
        <v>0</v>
      </c>
      <c r="I203" s="55" t="n">
        <v>306.56</v>
      </c>
      <c r="J203" s="55" t="n">
        <v>0</v>
      </c>
      <c r="K203" s="55" t="n">
        <v>0</v>
      </c>
      <c r="L203" s="55" t="n">
        <v>306.56</v>
      </c>
      <c r="M203" s="55" t="n">
        <v>0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142403</t>
        </is>
      </c>
      <c r="B204" s="52" t="n">
        <v>46062</v>
      </c>
      <c r="C204" s="36" t="inlineStr">
        <is>
          <t>00193731150</t>
        </is>
      </c>
      <c r="D204" s="53" t="inlineStr">
        <is>
          <t>CONTOUR NEXT TEST  STRIPS</t>
        </is>
      </c>
      <c r="E204" s="36" t="n">
        <v>50</v>
      </c>
      <c r="F204" s="54" t="n">
        <v>200</v>
      </c>
      <c r="G204" s="54" t="n">
        <v>4</v>
      </c>
      <c r="H204" s="55" t="n">
        <v>0</v>
      </c>
      <c r="I204" s="55" t="n">
        <v>205.58</v>
      </c>
      <c r="J204" s="55" t="n">
        <v>0</v>
      </c>
      <c r="K204" s="55" t="n">
        <v>0</v>
      </c>
      <c r="L204" s="55" t="n">
        <v>205.58</v>
      </c>
      <c r="M204" s="55" t="n">
        <v>0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125484</t>
        </is>
      </c>
      <c r="B205" s="52" t="n">
        <v>46027</v>
      </c>
      <c r="C205" s="36" t="inlineStr">
        <is>
          <t>00193731150</t>
        </is>
      </c>
      <c r="D205" s="53" t="inlineStr">
        <is>
          <t>CONTOUR NEXT TEST  STRIPS</t>
        </is>
      </c>
      <c r="E205" s="36" t="n">
        <v>50</v>
      </c>
      <c r="F205" s="54" t="n">
        <v>100</v>
      </c>
      <c r="G205" s="54" t="n">
        <v>2</v>
      </c>
      <c r="H205" s="55" t="n">
        <v>0</v>
      </c>
      <c r="I205" s="55" t="n">
        <v>104.44</v>
      </c>
      <c r="J205" s="55" t="n">
        <v>0</v>
      </c>
      <c r="K205" s="55" t="n">
        <v>0</v>
      </c>
      <c r="L205" s="55" t="n">
        <v>104.44</v>
      </c>
      <c r="M205" s="55" t="n">
        <v>0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95258</t>
        </is>
      </c>
      <c r="B206" s="52" t="n">
        <v>46017</v>
      </c>
      <c r="C206" s="36" t="inlineStr">
        <is>
          <t>00193731150</t>
        </is>
      </c>
      <c r="D206" s="53" t="inlineStr">
        <is>
          <t>CONTOUR NEXT TEST  STRIPS</t>
        </is>
      </c>
      <c r="E206" s="36" t="n">
        <v>50</v>
      </c>
      <c r="F206" s="54" t="n">
        <v>100</v>
      </c>
      <c r="G206" s="54" t="n">
        <v>2</v>
      </c>
      <c r="H206" s="55" t="n">
        <v>0</v>
      </c>
      <c r="I206" s="55" t="n">
        <v>103.51</v>
      </c>
      <c r="J206" s="55" t="n">
        <v>0</v>
      </c>
      <c r="K206" s="55" t="n">
        <v>0</v>
      </c>
      <c r="L206" s="55" t="n">
        <v>103.51</v>
      </c>
      <c r="M206" s="55" t="n">
        <v>0</v>
      </c>
      <c r="N206" s="36" t="inlineStr">
        <is>
          <t>004336</t>
        </is>
      </c>
      <c r="O206" s="36" t="inlineStr">
        <is>
          <t>CAREMARK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134869</t>
        </is>
      </c>
      <c r="B207" s="52" t="n">
        <v>46003</v>
      </c>
      <c r="C207" s="36" t="inlineStr">
        <is>
          <t>00193731150</t>
        </is>
      </c>
      <c r="D207" s="53" t="inlineStr">
        <is>
          <t>CONTOUR NEXT TEST  STRIPS</t>
        </is>
      </c>
      <c r="E207" s="36" t="n">
        <v>50</v>
      </c>
      <c r="F207" s="54" t="n">
        <v>50</v>
      </c>
      <c r="G207" s="54" t="n">
        <v>1</v>
      </c>
      <c r="H207" s="55" t="n">
        <v>0</v>
      </c>
      <c r="I207" s="55" t="n">
        <v>51.48</v>
      </c>
      <c r="J207" s="55" t="n">
        <v>0</v>
      </c>
      <c r="K207" s="55" t="n">
        <v>0</v>
      </c>
      <c r="L207" s="55" t="n">
        <v>51.48</v>
      </c>
      <c r="M207" s="55" t="n">
        <v>0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ADV</t>
        </is>
      </c>
      <c r="Q207" s="36" t="inlineStr">
        <is>
          <t>RX1103</t>
        </is>
      </c>
    </row>
    <row r="208">
      <c r="A208" s="36" t="inlineStr">
        <is>
          <t>133279</t>
        </is>
      </c>
      <c r="B208" s="52" t="n">
        <v>45993</v>
      </c>
      <c r="C208" s="36" t="inlineStr">
        <is>
          <t>00193731150</t>
        </is>
      </c>
      <c r="D208" s="53" t="inlineStr">
        <is>
          <t>CONTOUR NEXT TEST  STRIPS</t>
        </is>
      </c>
      <c r="E208" s="36" t="n">
        <v>50</v>
      </c>
      <c r="F208" s="54" t="n">
        <v>100</v>
      </c>
      <c r="G208" s="54" t="n">
        <v>2</v>
      </c>
      <c r="H208" s="55" t="n">
        <v>0</v>
      </c>
      <c r="I208" s="55" t="n">
        <v>103.51</v>
      </c>
      <c r="J208" s="55" t="n">
        <v>0</v>
      </c>
      <c r="K208" s="55" t="n">
        <v>0</v>
      </c>
      <c r="L208" s="55" t="n">
        <v>103.51</v>
      </c>
      <c r="M208" s="55" t="n">
        <v>0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MEDDADV</t>
        </is>
      </c>
      <c r="Q208" s="36" t="inlineStr">
        <is>
          <t>RX1110</t>
        </is>
      </c>
    </row>
    <row r="209">
      <c r="A209" s="36" t="inlineStr">
        <is>
          <t>120053</t>
        </is>
      </c>
      <c r="B209" s="52" t="n">
        <v>46064</v>
      </c>
      <c r="C209" s="36" t="inlineStr">
        <is>
          <t>00193731150</t>
        </is>
      </c>
      <c r="D209" s="53" t="inlineStr">
        <is>
          <t>CONTOUR NEXT TEST  STRIPS</t>
        </is>
      </c>
      <c r="E209" s="36" t="n">
        <v>50</v>
      </c>
      <c r="F209" s="54" t="n">
        <v>100</v>
      </c>
      <c r="G209" s="54" t="n">
        <v>2</v>
      </c>
      <c r="H209" s="55" t="n">
        <v>0</v>
      </c>
      <c r="I209" s="55" t="n">
        <v>102.62</v>
      </c>
      <c r="J209" s="55" t="n">
        <v>0</v>
      </c>
      <c r="K209" s="55" t="n">
        <v>0</v>
      </c>
      <c r="L209" s="55" t="n">
        <v>102.62</v>
      </c>
      <c r="M209" s="55" t="n">
        <v>0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117976</t>
        </is>
      </c>
      <c r="B210" s="52" t="n">
        <v>46015</v>
      </c>
      <c r="C210" s="36" t="inlineStr">
        <is>
          <t>00193731150</t>
        </is>
      </c>
      <c r="D210" s="53" t="inlineStr">
        <is>
          <t>CONTOUR NEXT TEST  STRIPS</t>
        </is>
      </c>
      <c r="E210" s="36" t="n">
        <v>50</v>
      </c>
      <c r="F210" s="54" t="n">
        <v>100</v>
      </c>
      <c r="G210" s="54" t="n">
        <v>2</v>
      </c>
      <c r="H210" s="55" t="n">
        <v>0</v>
      </c>
      <c r="I210" s="55" t="n">
        <v>104.81</v>
      </c>
      <c r="J210" s="55" t="n">
        <v>0</v>
      </c>
      <c r="K210" s="55" t="n">
        <v>0</v>
      </c>
      <c r="L210" s="55" t="n">
        <v>104.81</v>
      </c>
      <c r="M210" s="55" t="n">
        <v>0</v>
      </c>
      <c r="N210" s="36" t="inlineStr">
        <is>
          <t>015574</t>
        </is>
      </c>
      <c r="O210" s="36" t="inlineStr">
        <is>
          <t>MEDIMP</t>
        </is>
      </c>
      <c r="P210" s="36" t="inlineStr">
        <is>
          <t>ASPROD1</t>
        </is>
      </c>
      <c r="Q210" s="36" t="inlineStr">
        <is>
          <t>VNS01</t>
        </is>
      </c>
    </row>
    <row r="211">
      <c r="A211" s="36" t="inlineStr">
        <is>
          <t>133319</t>
        </is>
      </c>
      <c r="B211" s="52" t="n">
        <v>46021</v>
      </c>
      <c r="C211" s="36" t="inlineStr">
        <is>
          <t>00193731150</t>
        </is>
      </c>
      <c r="D211" s="53" t="inlineStr">
        <is>
          <t>CONTOUR NEXT TEST  STRIPS</t>
        </is>
      </c>
      <c r="E211" s="36" t="n">
        <v>50</v>
      </c>
      <c r="F211" s="54" t="n">
        <v>100</v>
      </c>
      <c r="G211" s="54" t="n">
        <v>2</v>
      </c>
      <c r="H211" s="55" t="n">
        <v>0</v>
      </c>
      <c r="I211" s="55" t="n">
        <v>103.51</v>
      </c>
      <c r="J211" s="55" t="n">
        <v>0</v>
      </c>
      <c r="K211" s="55" t="n">
        <v>0</v>
      </c>
      <c r="L211" s="55" t="n">
        <v>103.51</v>
      </c>
      <c r="M211" s="55" t="n">
        <v>0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133561</t>
        </is>
      </c>
      <c r="B212" s="52" t="n">
        <v>45994</v>
      </c>
      <c r="C212" s="36" t="inlineStr">
        <is>
          <t>00193731150</t>
        </is>
      </c>
      <c r="D212" s="53" t="inlineStr">
        <is>
          <t>CONTOUR NEXT TEST  STRIPS</t>
        </is>
      </c>
      <c r="E212" s="36" t="n">
        <v>50</v>
      </c>
      <c r="F212" s="54" t="n">
        <v>100</v>
      </c>
      <c r="G212" s="54" t="n">
        <v>2</v>
      </c>
      <c r="H212" s="55" t="n">
        <v>0</v>
      </c>
      <c r="I212" s="55" t="n">
        <v>101.96</v>
      </c>
      <c r="J212" s="55" t="n">
        <v>0</v>
      </c>
      <c r="K212" s="55" t="n">
        <v>0</v>
      </c>
      <c r="L212" s="55" t="n">
        <v>101.96</v>
      </c>
      <c r="M212" s="55" t="n">
        <v>0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102033</t>
        </is>
      </c>
      <c r="B213" s="52" t="n">
        <v>46006</v>
      </c>
      <c r="C213" s="36" t="inlineStr">
        <is>
          <t>00193731150</t>
        </is>
      </c>
      <c r="D213" s="53" t="inlineStr">
        <is>
          <t>CONTOUR NEXT TEST  STRIPS</t>
        </is>
      </c>
      <c r="E213" s="36" t="n">
        <v>50</v>
      </c>
      <c r="F213" s="54" t="n">
        <v>100</v>
      </c>
      <c r="G213" s="54" t="n">
        <v>2</v>
      </c>
      <c r="H213" s="55" t="n">
        <v>0</v>
      </c>
      <c r="I213" s="55" t="n">
        <v>100.9</v>
      </c>
      <c r="J213" s="55" t="n">
        <v>0</v>
      </c>
      <c r="K213" s="55" t="n">
        <v>0</v>
      </c>
      <c r="L213" s="55" t="n">
        <v>100.9</v>
      </c>
      <c r="M213" s="55" t="n">
        <v>0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RX8585</t>
        </is>
      </c>
    </row>
    <row r="214">
      <c r="A214" s="36" t="inlineStr">
        <is>
          <t>108233</t>
        </is>
      </c>
      <c r="B214" s="52" t="n">
        <v>46073</v>
      </c>
      <c r="C214" s="36" t="inlineStr">
        <is>
          <t>00193731150</t>
        </is>
      </c>
      <c r="D214" s="53" t="inlineStr">
        <is>
          <t>CONTOUR NEXT TEST  STRIPS</t>
        </is>
      </c>
      <c r="E214" s="36" t="n">
        <v>50</v>
      </c>
      <c r="F214" s="54" t="n">
        <v>300</v>
      </c>
      <c r="G214" s="54" t="n">
        <v>6</v>
      </c>
      <c r="H214" s="55" t="n">
        <v>0</v>
      </c>
      <c r="I214" s="55" t="n">
        <v>330</v>
      </c>
      <c r="J214" s="55" t="n">
        <v>0</v>
      </c>
      <c r="K214" s="55" t="n">
        <v>0</v>
      </c>
      <c r="L214" s="55" t="n">
        <v>330</v>
      </c>
      <c r="M214" s="55" t="n">
        <v>0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112527</t>
        </is>
      </c>
      <c r="B215" s="52" t="n">
        <v>46003</v>
      </c>
      <c r="C215" s="36" t="inlineStr">
        <is>
          <t>00193731150</t>
        </is>
      </c>
      <c r="D215" s="53" t="inlineStr">
        <is>
          <t>CONTOUR NEXT TEST  STRIPS</t>
        </is>
      </c>
      <c r="E215" s="36" t="n">
        <v>50</v>
      </c>
      <c r="F215" s="54" t="n">
        <v>100</v>
      </c>
      <c r="G215" s="54" t="n">
        <v>2</v>
      </c>
      <c r="H215" s="55" t="n">
        <v>0</v>
      </c>
      <c r="I215" s="55" t="n">
        <v>101.96</v>
      </c>
      <c r="J215" s="55" t="n">
        <v>0</v>
      </c>
      <c r="K215" s="55" t="n">
        <v>0</v>
      </c>
      <c r="L215" s="55" t="n">
        <v>101.96</v>
      </c>
      <c r="M215" s="55" t="n">
        <v>0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RX1110</t>
        </is>
      </c>
    </row>
    <row r="216">
      <c r="A216" s="36" t="inlineStr">
        <is>
          <t>140121</t>
        </is>
      </c>
      <c r="B216" s="52" t="n">
        <v>46073</v>
      </c>
      <c r="C216" s="36" t="inlineStr">
        <is>
          <t>00193731150</t>
        </is>
      </c>
      <c r="D216" s="53" t="inlineStr">
        <is>
          <t>CONTOUR NEXT TEST  STRIPS</t>
        </is>
      </c>
      <c r="E216" s="36" t="n">
        <v>50</v>
      </c>
      <c r="F216" s="54" t="n">
        <v>100</v>
      </c>
      <c r="G216" s="54" t="n">
        <v>2</v>
      </c>
      <c r="H216" s="55" t="n">
        <v>0</v>
      </c>
      <c r="I216" s="55" t="n">
        <v>104.43</v>
      </c>
      <c r="J216" s="55" t="n">
        <v>0</v>
      </c>
      <c r="K216" s="55" t="n">
        <v>0</v>
      </c>
      <c r="L216" s="55" t="n">
        <v>104.43</v>
      </c>
      <c r="M216" s="55" t="n">
        <v>0</v>
      </c>
      <c r="N216" s="36" t="inlineStr">
        <is>
          <t>015574</t>
        </is>
      </c>
      <c r="O216" s="36" t="inlineStr">
        <is>
          <t>MEDIMP</t>
        </is>
      </c>
      <c r="P216" s="36" t="inlineStr">
        <is>
          <t>ASPROD1</t>
        </is>
      </c>
      <c r="Q216" s="36" t="inlineStr">
        <is>
          <t>VNS01</t>
        </is>
      </c>
    </row>
    <row r="217">
      <c r="A217" s="36" t="inlineStr">
        <is>
          <t>140187</t>
        </is>
      </c>
      <c r="B217" s="52" t="n">
        <v>46044</v>
      </c>
      <c r="C217" s="36" t="inlineStr">
        <is>
          <t>00193731150</t>
        </is>
      </c>
      <c r="D217" s="53" t="inlineStr">
        <is>
          <t>CONTOUR NEXT TEST  STRIPS</t>
        </is>
      </c>
      <c r="E217" s="36" t="n">
        <v>50</v>
      </c>
      <c r="F217" s="54" t="n">
        <v>100</v>
      </c>
      <c r="G217" s="54" t="n">
        <v>2</v>
      </c>
      <c r="H217" s="55" t="n">
        <v>0</v>
      </c>
      <c r="I217" s="55" t="n">
        <v>102.62</v>
      </c>
      <c r="J217" s="55" t="n">
        <v>0</v>
      </c>
      <c r="K217" s="55" t="n">
        <v>0</v>
      </c>
      <c r="L217" s="55" t="n">
        <v>102.62</v>
      </c>
      <c r="M217" s="55" t="n">
        <v>0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123571</t>
        </is>
      </c>
      <c r="B218" s="52" t="n">
        <v>46006</v>
      </c>
      <c r="C218" s="36" t="inlineStr">
        <is>
          <t>00193731150</t>
        </is>
      </c>
      <c r="D218" s="53" t="inlineStr">
        <is>
          <t>CONTOUR NEXT TEST  STRIPS</t>
        </is>
      </c>
      <c r="E218" s="36" t="n">
        <v>50</v>
      </c>
      <c r="F218" s="54" t="n">
        <v>100</v>
      </c>
      <c r="G218" s="54" t="n">
        <v>2</v>
      </c>
      <c r="H218" s="55" t="n">
        <v>0</v>
      </c>
      <c r="I218" s="55" t="n">
        <v>103.51</v>
      </c>
      <c r="J218" s="55" t="n">
        <v>0</v>
      </c>
      <c r="K218" s="55" t="n">
        <v>0</v>
      </c>
      <c r="L218" s="55" t="n">
        <v>103.51</v>
      </c>
      <c r="M218" s="55" t="n">
        <v>0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121940</t>
        </is>
      </c>
      <c r="B219" s="52" t="n">
        <v>46015</v>
      </c>
      <c r="C219" s="36" t="inlineStr">
        <is>
          <t>00193731150</t>
        </is>
      </c>
      <c r="D219" s="53" t="inlineStr">
        <is>
          <t>CONTOUR NEXT TEST  STRIPS</t>
        </is>
      </c>
      <c r="E219" s="36" t="n">
        <v>50</v>
      </c>
      <c r="F219" s="54" t="n">
        <v>100</v>
      </c>
      <c r="G219" s="54" t="n">
        <v>2</v>
      </c>
      <c r="H219" s="55" t="n">
        <v>0</v>
      </c>
      <c r="I219" s="55" t="n">
        <v>110</v>
      </c>
      <c r="J219" s="55" t="n">
        <v>0</v>
      </c>
      <c r="K219" s="55" t="n">
        <v>0</v>
      </c>
      <c r="L219" s="55" t="n">
        <v>110</v>
      </c>
      <c r="M219" s="55" t="n">
        <v>0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121940</t>
        </is>
      </c>
      <c r="B220" s="52" t="n">
        <v>46043</v>
      </c>
      <c r="C220" s="36" t="inlineStr">
        <is>
          <t>00193731150</t>
        </is>
      </c>
      <c r="D220" s="53" t="inlineStr">
        <is>
          <t>CONTOUR NEXT TEST  STRIPS</t>
        </is>
      </c>
      <c r="E220" s="36" t="n">
        <v>50</v>
      </c>
      <c r="F220" s="54" t="n">
        <v>100</v>
      </c>
      <c r="G220" s="54" t="n">
        <v>2</v>
      </c>
      <c r="H220" s="55" t="n">
        <v>0</v>
      </c>
      <c r="I220" s="55" t="n">
        <v>110</v>
      </c>
      <c r="J220" s="55" t="n">
        <v>0</v>
      </c>
      <c r="K220" s="55" t="n">
        <v>0</v>
      </c>
      <c r="L220" s="55" t="n">
        <v>110</v>
      </c>
      <c r="M220" s="55" t="n">
        <v>0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127025</t>
        </is>
      </c>
      <c r="B221" s="52" t="n">
        <v>46031</v>
      </c>
      <c r="C221" s="36" t="inlineStr">
        <is>
          <t>00193731150</t>
        </is>
      </c>
      <c r="D221" s="53" t="inlineStr">
        <is>
          <t>CONTOUR NEXT TEST  STRIPS</t>
        </is>
      </c>
      <c r="E221" s="36" t="n">
        <v>50</v>
      </c>
      <c r="F221" s="54" t="n">
        <v>300</v>
      </c>
      <c r="G221" s="54" t="n">
        <v>6</v>
      </c>
      <c r="H221" s="55" t="n">
        <v>0</v>
      </c>
      <c r="I221" s="55" t="n">
        <v>313.04</v>
      </c>
      <c r="J221" s="55" t="n">
        <v>0</v>
      </c>
      <c r="K221" s="55" t="n">
        <v>0</v>
      </c>
      <c r="L221" s="55" t="n">
        <v>313.04</v>
      </c>
      <c r="M221" s="55" t="n">
        <v>0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ADV</t>
        </is>
      </c>
      <c r="Q221" s="36" t="inlineStr">
        <is>
          <t>RX1104</t>
        </is>
      </c>
    </row>
    <row r="222">
      <c r="A222" s="36" t="inlineStr">
        <is>
          <t>142207</t>
        </is>
      </c>
      <c r="B222" s="52" t="n">
        <v>46059</v>
      </c>
      <c r="C222" s="36" t="inlineStr">
        <is>
          <t>00193731150</t>
        </is>
      </c>
      <c r="D222" s="53" t="inlineStr">
        <is>
          <t>CONTOUR NEXT TEST  STRIPS</t>
        </is>
      </c>
      <c r="E222" s="36" t="n">
        <v>50</v>
      </c>
      <c r="F222" s="54" t="n">
        <v>100</v>
      </c>
      <c r="G222" s="54" t="n">
        <v>2</v>
      </c>
      <c r="H222" s="55" t="n">
        <v>0</v>
      </c>
      <c r="I222" s="55" t="n">
        <v>102.62</v>
      </c>
      <c r="J222" s="55" t="n">
        <v>0</v>
      </c>
      <c r="K222" s="55" t="n">
        <v>0</v>
      </c>
      <c r="L222" s="55" t="n">
        <v>102.62</v>
      </c>
      <c r="M222" s="55" t="n">
        <v>0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121014</t>
        </is>
      </c>
      <c r="B223" s="52" t="n">
        <v>46074</v>
      </c>
      <c r="C223" s="36" t="inlineStr">
        <is>
          <t>00193731150</t>
        </is>
      </c>
      <c r="D223" s="53" t="inlineStr">
        <is>
          <t>CONTOUR NEXT TEST  STRIPS</t>
        </is>
      </c>
      <c r="E223" s="36" t="n">
        <v>50</v>
      </c>
      <c r="F223" s="54" t="n">
        <v>100</v>
      </c>
      <c r="G223" s="54" t="n">
        <v>2</v>
      </c>
      <c r="H223" s="55" t="n">
        <v>0</v>
      </c>
      <c r="I223" s="55" t="n">
        <v>110</v>
      </c>
      <c r="J223" s="55" t="n">
        <v>0</v>
      </c>
      <c r="K223" s="55" t="n">
        <v>0</v>
      </c>
      <c r="L223" s="55" t="n">
        <v>110</v>
      </c>
      <c r="M223" s="55" t="n">
        <v>0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135410</t>
        </is>
      </c>
      <c r="B224" s="52" t="n">
        <v>46008</v>
      </c>
      <c r="C224" s="36" t="inlineStr">
        <is>
          <t>00193731150</t>
        </is>
      </c>
      <c r="D224" s="53" t="inlineStr">
        <is>
          <t>CONTOUR NEXT TEST  STRIPS</t>
        </is>
      </c>
      <c r="E224" s="36" t="n">
        <v>50</v>
      </c>
      <c r="F224" s="54" t="n">
        <v>100</v>
      </c>
      <c r="G224" s="54" t="n">
        <v>2</v>
      </c>
      <c r="H224" s="55" t="n">
        <v>0</v>
      </c>
      <c r="I224" s="55" t="n">
        <v>101.96</v>
      </c>
      <c r="J224" s="55" t="n">
        <v>0</v>
      </c>
      <c r="K224" s="55" t="n">
        <v>0</v>
      </c>
      <c r="L224" s="55" t="n">
        <v>101.96</v>
      </c>
      <c r="M224" s="55" t="n">
        <v>0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138170</t>
        </is>
      </c>
      <c r="B225" s="52" t="n">
        <v>46030</v>
      </c>
      <c r="C225" s="36" t="inlineStr">
        <is>
          <t>00193731150</t>
        </is>
      </c>
      <c r="D225" s="53" t="inlineStr">
        <is>
          <t>CONTOUR NEXT TEST  STRIPS</t>
        </is>
      </c>
      <c r="E225" s="36" t="n">
        <v>50</v>
      </c>
      <c r="F225" s="54" t="n">
        <v>100</v>
      </c>
      <c r="G225" s="54" t="n">
        <v>2</v>
      </c>
      <c r="H225" s="55" t="n">
        <v>0</v>
      </c>
      <c r="I225" s="55" t="n">
        <v>102.62</v>
      </c>
      <c r="J225" s="55" t="n">
        <v>0</v>
      </c>
      <c r="K225" s="55" t="n">
        <v>0</v>
      </c>
      <c r="L225" s="55" t="n">
        <v>102.62</v>
      </c>
      <c r="M225" s="55" t="n">
        <v>0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126182</t>
        </is>
      </c>
      <c r="B226" s="52" t="n">
        <v>46044</v>
      </c>
      <c r="C226" s="36" t="inlineStr">
        <is>
          <t>00193731150</t>
        </is>
      </c>
      <c r="D226" s="53" t="inlineStr">
        <is>
          <t>CONTOUR NEXT TEST  STRIPS</t>
        </is>
      </c>
      <c r="E226" s="36" t="n">
        <v>50</v>
      </c>
      <c r="F226" s="54" t="n">
        <v>100</v>
      </c>
      <c r="G226" s="54" t="n">
        <v>2</v>
      </c>
      <c r="H226" s="55" t="n">
        <v>0</v>
      </c>
      <c r="I226" s="55" t="n">
        <v>104.45</v>
      </c>
      <c r="J226" s="55" t="n">
        <v>0</v>
      </c>
      <c r="K226" s="55" t="n">
        <v>0</v>
      </c>
      <c r="L226" s="55" t="n">
        <v>104.45</v>
      </c>
      <c r="M226" s="55" t="n">
        <v>0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ADV</t>
        </is>
      </c>
      <c r="Q226" s="36" t="inlineStr">
        <is>
          <t>RX1103</t>
        </is>
      </c>
    </row>
    <row r="227">
      <c r="A227" s="36" t="inlineStr">
        <is>
          <t>128760</t>
        </is>
      </c>
      <c r="B227" s="52" t="n">
        <v>46044</v>
      </c>
      <c r="C227" s="36" t="inlineStr">
        <is>
          <t>00193731150</t>
        </is>
      </c>
      <c r="D227" s="53" t="inlineStr">
        <is>
          <t>CONTOUR NEXT TEST  STRIPS</t>
        </is>
      </c>
      <c r="E227" s="36" t="n">
        <v>50</v>
      </c>
      <c r="F227" s="54" t="n">
        <v>100</v>
      </c>
      <c r="G227" s="54" t="n">
        <v>2</v>
      </c>
      <c r="H227" s="55" t="n">
        <v>0</v>
      </c>
      <c r="I227" s="55" t="n">
        <v>102.62</v>
      </c>
      <c r="J227" s="55" t="n">
        <v>0</v>
      </c>
      <c r="K227" s="55" t="n">
        <v>0</v>
      </c>
      <c r="L227" s="55" t="n">
        <v>102.62</v>
      </c>
      <c r="M227" s="55" t="n">
        <v>0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135466</t>
        </is>
      </c>
      <c r="B228" s="52" t="n">
        <v>46008</v>
      </c>
      <c r="C228" s="36" t="inlineStr">
        <is>
          <t>00193731150</t>
        </is>
      </c>
      <c r="D228" s="53" t="inlineStr">
        <is>
          <t>CONTOUR NEXT TEST  STRIPS</t>
        </is>
      </c>
      <c r="E228" s="36" t="n">
        <v>50</v>
      </c>
      <c r="F228" s="54" t="n">
        <v>100</v>
      </c>
      <c r="G228" s="54" t="n">
        <v>2</v>
      </c>
      <c r="H228" s="55" t="n">
        <v>0</v>
      </c>
      <c r="I228" s="55" t="n">
        <v>109</v>
      </c>
      <c r="J228" s="55" t="n">
        <v>0</v>
      </c>
      <c r="K228" s="55" t="n">
        <v>1</v>
      </c>
      <c r="L228" s="55" t="n">
        <v>110</v>
      </c>
      <c r="M228" s="55" t="n">
        <v>0</v>
      </c>
      <c r="N228" s="36" t="inlineStr">
        <is>
          <t>004740</t>
        </is>
      </c>
      <c r="O228" s="36" t="inlineStr">
        <is>
          <t>NYM</t>
        </is>
      </c>
      <c r="P228" s="36" t="inlineStr">
        <is>
          <t>9314DA31</t>
        </is>
      </c>
      <c r="Q228" s="36" t="n">
        <v/>
      </c>
    </row>
    <row r="229">
      <c r="A229" s="36" t="inlineStr">
        <is>
          <t>111184</t>
        </is>
      </c>
      <c r="B229" s="52" t="n">
        <v>45994</v>
      </c>
      <c r="C229" s="36" t="inlineStr">
        <is>
          <t>00193731150</t>
        </is>
      </c>
      <c r="D229" s="53" t="inlineStr">
        <is>
          <t>CONTOUR NEXT TEST  STRIPS</t>
        </is>
      </c>
      <c r="E229" s="36" t="n">
        <v>50</v>
      </c>
      <c r="F229" s="54" t="n">
        <v>100</v>
      </c>
      <c r="G229" s="54" t="n">
        <v>2</v>
      </c>
      <c r="H229" s="55" t="n">
        <v>0</v>
      </c>
      <c r="I229" s="55" t="n">
        <v>101.96</v>
      </c>
      <c r="J229" s="55" t="n">
        <v>0</v>
      </c>
      <c r="K229" s="55" t="n">
        <v>0</v>
      </c>
      <c r="L229" s="55" t="n">
        <v>101.96</v>
      </c>
      <c r="M229" s="55" t="n">
        <v>0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132999</t>
        </is>
      </c>
      <c r="B230" s="52" t="n">
        <v>46044</v>
      </c>
      <c r="C230" s="36" t="inlineStr">
        <is>
          <t>00193731150</t>
        </is>
      </c>
      <c r="D230" s="53" t="inlineStr">
        <is>
          <t>CONTOUR NEXT TEST  STRIPS</t>
        </is>
      </c>
      <c r="E230" s="36" t="n">
        <v>50</v>
      </c>
      <c r="F230" s="54" t="n">
        <v>100</v>
      </c>
      <c r="G230" s="54" t="n">
        <v>2</v>
      </c>
      <c r="H230" s="55" t="n">
        <v>0</v>
      </c>
      <c r="I230" s="55" t="n">
        <v>102.46</v>
      </c>
      <c r="J230" s="55" t="n">
        <v>0</v>
      </c>
      <c r="K230" s="55" t="n">
        <v>0</v>
      </c>
      <c r="L230" s="55" t="n">
        <v>102.46</v>
      </c>
      <c r="M230" s="55" t="n">
        <v>0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RX8585</t>
        </is>
      </c>
    </row>
    <row r="231">
      <c r="A231" s="36" t="inlineStr">
        <is>
          <t>124239</t>
        </is>
      </c>
      <c r="B231" s="52" t="n">
        <v>46055</v>
      </c>
      <c r="C231" s="36" t="inlineStr">
        <is>
          <t>00193731150</t>
        </is>
      </c>
      <c r="D231" s="53" t="inlineStr">
        <is>
          <t>CONTOUR NEXT TEST  STRIPS</t>
        </is>
      </c>
      <c r="E231" s="36" t="n">
        <v>50</v>
      </c>
      <c r="F231" s="54" t="n">
        <v>100</v>
      </c>
      <c r="G231" s="54" t="n">
        <v>2</v>
      </c>
      <c r="H231" s="55" t="n">
        <v>0</v>
      </c>
      <c r="I231" s="55" t="n">
        <v>13.31</v>
      </c>
      <c r="J231" s="55" t="n">
        <v>0</v>
      </c>
      <c r="K231" s="55" t="n">
        <v>0</v>
      </c>
      <c r="L231" s="55" t="n">
        <v>13.31</v>
      </c>
      <c r="M231" s="55" t="n">
        <v>0</v>
      </c>
      <c r="N231" s="36" t="inlineStr">
        <is>
          <t>007895</t>
        </is>
      </c>
      <c r="O231" s="36" t="inlineStr">
        <is>
          <t>FDS</t>
        </is>
      </c>
      <c r="P231" s="36" t="inlineStr">
        <is>
          <t>001</t>
        </is>
      </c>
      <c r="Q231" s="36" t="n">
        <v/>
      </c>
    </row>
    <row r="232">
      <c r="A232" s="36" t="inlineStr">
        <is>
          <t>130236</t>
        </is>
      </c>
      <c r="B232" s="52" t="n">
        <v>46055</v>
      </c>
      <c r="C232" s="36" t="inlineStr">
        <is>
          <t>00193731150</t>
        </is>
      </c>
      <c r="D232" s="53" t="inlineStr">
        <is>
          <t>CONTOUR NEXT TEST  STRIPS</t>
        </is>
      </c>
      <c r="E232" s="36" t="n">
        <v>50</v>
      </c>
      <c r="F232" s="54" t="n">
        <v>100</v>
      </c>
      <c r="G232" s="54" t="n">
        <v>2</v>
      </c>
      <c r="H232" s="55" t="n">
        <v>0</v>
      </c>
      <c r="I232" s="55" t="n">
        <v>102.62</v>
      </c>
      <c r="J232" s="55" t="n">
        <v>0</v>
      </c>
      <c r="K232" s="55" t="n">
        <v>0</v>
      </c>
      <c r="L232" s="55" t="n">
        <v>102.62</v>
      </c>
      <c r="M232" s="55" t="n">
        <v>0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126302</t>
        </is>
      </c>
      <c r="B233" s="52" t="n">
        <v>46009</v>
      </c>
      <c r="C233" s="36" t="inlineStr">
        <is>
          <t>00193731150</t>
        </is>
      </c>
      <c r="D233" s="53" t="inlineStr">
        <is>
          <t>CONTOUR NEXT TEST  STRIPS</t>
        </is>
      </c>
      <c r="E233" s="36" t="n">
        <v>50</v>
      </c>
      <c r="F233" s="54" t="n">
        <v>100</v>
      </c>
      <c r="G233" s="54" t="n">
        <v>2</v>
      </c>
      <c r="H233" s="55" t="n">
        <v>0</v>
      </c>
      <c r="I233" s="55" t="n">
        <v>102.86</v>
      </c>
      <c r="J233" s="55" t="n">
        <v>0</v>
      </c>
      <c r="K233" s="55" t="n">
        <v>0</v>
      </c>
      <c r="L233" s="55" t="n">
        <v>102.86</v>
      </c>
      <c r="M233" s="55" t="n">
        <v>0</v>
      </c>
      <c r="N233" s="36" t="inlineStr">
        <is>
          <t>004336</t>
        </is>
      </c>
      <c r="O233" s="36" t="inlineStr">
        <is>
          <t>CAREMARK</t>
        </is>
      </c>
      <c r="P233" s="36" t="inlineStr">
        <is>
          <t>ADV</t>
        </is>
      </c>
      <c r="Q233" s="36" t="inlineStr">
        <is>
          <t>RX1104</t>
        </is>
      </c>
    </row>
    <row r="234">
      <c r="A234" s="36" t="inlineStr">
        <is>
          <t>127763</t>
        </is>
      </c>
      <c r="B234" s="52" t="n">
        <v>46037</v>
      </c>
      <c r="C234" s="36" t="inlineStr">
        <is>
          <t>00193731150</t>
        </is>
      </c>
      <c r="D234" s="53" t="inlineStr">
        <is>
          <t>CONTOUR NEXT TEST  STRIPS</t>
        </is>
      </c>
      <c r="E234" s="36" t="n">
        <v>50</v>
      </c>
      <c r="F234" s="54" t="n">
        <v>100</v>
      </c>
      <c r="G234" s="54" t="n">
        <v>2</v>
      </c>
      <c r="H234" s="55" t="n">
        <v>0</v>
      </c>
      <c r="I234" s="55" t="n">
        <v>102.62</v>
      </c>
      <c r="J234" s="55" t="n">
        <v>0</v>
      </c>
      <c r="K234" s="55" t="n">
        <v>0</v>
      </c>
      <c r="L234" s="55" t="n">
        <v>102.62</v>
      </c>
      <c r="M234" s="55" t="n">
        <v>0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129796</t>
        </is>
      </c>
      <c r="B235" s="52" t="n">
        <v>45992</v>
      </c>
      <c r="C235" s="36" t="inlineStr">
        <is>
          <t>00193731150</t>
        </is>
      </c>
      <c r="D235" s="53" t="inlineStr">
        <is>
          <t>CONTOUR NEXT TEST  STRIPS</t>
        </is>
      </c>
      <c r="E235" s="36" t="n">
        <v>50</v>
      </c>
      <c r="F235" s="54" t="n">
        <v>100</v>
      </c>
      <c r="G235" s="54" t="n">
        <v>2</v>
      </c>
      <c r="H235" s="55" t="n">
        <v>0</v>
      </c>
      <c r="I235" s="55" t="n">
        <v>103.51</v>
      </c>
      <c r="J235" s="55" t="n">
        <v>0</v>
      </c>
      <c r="K235" s="55" t="n">
        <v>0</v>
      </c>
      <c r="L235" s="55" t="n">
        <v>103.51</v>
      </c>
      <c r="M235" s="55" t="n">
        <v>0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135652</t>
        </is>
      </c>
      <c r="B236" s="52" t="n">
        <v>46009</v>
      </c>
      <c r="C236" s="36" t="inlineStr">
        <is>
          <t>00193731150</t>
        </is>
      </c>
      <c r="D236" s="53" t="inlineStr">
        <is>
          <t>CONTOUR NEXT TEST  STRIPS</t>
        </is>
      </c>
      <c r="E236" s="36" t="n">
        <v>50</v>
      </c>
      <c r="F236" s="54" t="n">
        <v>100</v>
      </c>
      <c r="G236" s="54" t="n">
        <v>2</v>
      </c>
      <c r="H236" s="55" t="n">
        <v>0</v>
      </c>
      <c r="I236" s="55" t="n">
        <v>104.81</v>
      </c>
      <c r="J236" s="55" t="n">
        <v>0</v>
      </c>
      <c r="K236" s="55" t="n">
        <v>0</v>
      </c>
      <c r="L236" s="55" t="n">
        <v>104.81</v>
      </c>
      <c r="M236" s="55" t="n">
        <v>0</v>
      </c>
      <c r="N236" s="36" t="inlineStr">
        <is>
          <t>015574</t>
        </is>
      </c>
      <c r="O236" s="36" t="inlineStr">
        <is>
          <t>MEDIMP</t>
        </is>
      </c>
      <c r="P236" s="36" t="inlineStr">
        <is>
          <t>ASPROD1</t>
        </is>
      </c>
      <c r="Q236" s="36" t="n">
        <v/>
      </c>
    </row>
    <row r="237">
      <c r="A237" s="36" t="inlineStr">
        <is>
          <t>126894</t>
        </is>
      </c>
      <c r="B237" s="52" t="n">
        <v>46030</v>
      </c>
      <c r="C237" s="36" t="inlineStr">
        <is>
          <t>00193731150</t>
        </is>
      </c>
      <c r="D237" s="53" t="inlineStr">
        <is>
          <t>CONTOUR NEXT TEST  STRIPS</t>
        </is>
      </c>
      <c r="E237" s="36" t="n">
        <v>50</v>
      </c>
      <c r="F237" s="54" t="n">
        <v>100</v>
      </c>
      <c r="G237" s="54" t="n">
        <v>2</v>
      </c>
      <c r="H237" s="55" t="n">
        <v>0</v>
      </c>
      <c r="I237" s="55" t="n">
        <v>102.62</v>
      </c>
      <c r="J237" s="55" t="n">
        <v>0</v>
      </c>
      <c r="K237" s="55" t="n">
        <v>0</v>
      </c>
      <c r="L237" s="55" t="n">
        <v>102.62</v>
      </c>
      <c r="M237" s="55" t="n">
        <v>0</v>
      </c>
      <c r="N237" s="36" t="inlineStr">
        <is>
          <t>004336</t>
        </is>
      </c>
      <c r="O237" s="36" t="inlineStr">
        <is>
          <t>CAREMARK</t>
        </is>
      </c>
      <c r="P237" s="36" t="inlineStr">
        <is>
          <t>MEDDADV</t>
        </is>
      </c>
      <c r="Q237" s="36" t="inlineStr">
        <is>
          <t>RX1110</t>
        </is>
      </c>
    </row>
    <row r="238">
      <c r="A238" s="36" t="inlineStr">
        <is>
          <t>133413</t>
        </is>
      </c>
      <c r="B238" s="52" t="n">
        <v>45993</v>
      </c>
      <c r="C238" s="36" t="inlineStr">
        <is>
          <t>00193731150</t>
        </is>
      </c>
      <c r="D238" s="53" t="inlineStr">
        <is>
          <t>CONTOUR NEXT TEST  STRIPS</t>
        </is>
      </c>
      <c r="E238" s="36" t="n">
        <v>50</v>
      </c>
      <c r="F238" s="54" t="n">
        <v>100</v>
      </c>
      <c r="G238" s="54" t="n">
        <v>2</v>
      </c>
      <c r="H238" s="55" t="n">
        <v>0</v>
      </c>
      <c r="I238" s="55" t="n">
        <v>101.96</v>
      </c>
      <c r="J238" s="55" t="n">
        <v>0</v>
      </c>
      <c r="K238" s="55" t="n">
        <v>0</v>
      </c>
      <c r="L238" s="55" t="n">
        <v>101.96</v>
      </c>
      <c r="M238" s="55" t="n">
        <v>0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141724</t>
        </is>
      </c>
      <c r="B239" s="52" t="n">
        <v>46056</v>
      </c>
      <c r="C239" s="36" t="inlineStr">
        <is>
          <t>00193731150</t>
        </is>
      </c>
      <c r="D239" s="53" t="inlineStr">
        <is>
          <t>CONTOUR NEXT TEST  STRIPS</t>
        </is>
      </c>
      <c r="E239" s="36" t="n">
        <v>50</v>
      </c>
      <c r="F239" s="54" t="n">
        <v>100</v>
      </c>
      <c r="G239" s="54" t="n">
        <v>2</v>
      </c>
      <c r="H239" s="55" t="n">
        <v>0</v>
      </c>
      <c r="I239" s="55" t="n">
        <v>104.6</v>
      </c>
      <c r="J239" s="55" t="n">
        <v>0</v>
      </c>
      <c r="K239" s="55" t="n">
        <v>0</v>
      </c>
      <c r="L239" s="55" t="n">
        <v>104.6</v>
      </c>
      <c r="M239" s="55" t="n">
        <v>0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RX8541</t>
        </is>
      </c>
    </row>
    <row r="240">
      <c r="A240" s="36" t="inlineStr">
        <is>
          <t>133319</t>
        </is>
      </c>
      <c r="B240" s="52" t="n">
        <v>45993</v>
      </c>
      <c r="C240" s="36" t="inlineStr">
        <is>
          <t>00193731150</t>
        </is>
      </c>
      <c r="D240" s="53" t="inlineStr">
        <is>
          <t>CONTOUR NEXT TEST  STRIPS</t>
        </is>
      </c>
      <c r="E240" s="36" t="n">
        <v>50</v>
      </c>
      <c r="F240" s="54" t="n">
        <v>100</v>
      </c>
      <c r="G240" s="54" t="n">
        <v>2</v>
      </c>
      <c r="H240" s="55" t="n">
        <v>0</v>
      </c>
      <c r="I240" s="55" t="n">
        <v>103.51</v>
      </c>
      <c r="J240" s="55" t="n">
        <v>0</v>
      </c>
      <c r="K240" s="55" t="n">
        <v>0</v>
      </c>
      <c r="L240" s="55" t="n">
        <v>103.51</v>
      </c>
      <c r="M240" s="55" t="n">
        <v>0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140121</t>
        </is>
      </c>
      <c r="B241" s="52" t="n">
        <v>46044</v>
      </c>
      <c r="C241" s="36" t="inlineStr">
        <is>
          <t>00193731150</t>
        </is>
      </c>
      <c r="D241" s="53" t="inlineStr">
        <is>
          <t>CONTOUR NEXT TEST  STRIPS</t>
        </is>
      </c>
      <c r="E241" s="36" t="n">
        <v>50</v>
      </c>
      <c r="F241" s="54" t="n">
        <v>100</v>
      </c>
      <c r="G241" s="54" t="n">
        <v>2</v>
      </c>
      <c r="H241" s="55" t="n">
        <v>0</v>
      </c>
      <c r="I241" s="55" t="n">
        <v>104.43</v>
      </c>
      <c r="J241" s="55" t="n">
        <v>0</v>
      </c>
      <c r="K241" s="55" t="n">
        <v>0</v>
      </c>
      <c r="L241" s="55" t="n">
        <v>104.43</v>
      </c>
      <c r="M241" s="55" t="n">
        <v>0</v>
      </c>
      <c r="N241" s="36" t="inlineStr">
        <is>
          <t>015574</t>
        </is>
      </c>
      <c r="O241" s="36" t="inlineStr">
        <is>
          <t>MEDIMP</t>
        </is>
      </c>
      <c r="P241" s="36" t="inlineStr">
        <is>
          <t>ASPROD1</t>
        </is>
      </c>
      <c r="Q241" s="36" t="inlineStr">
        <is>
          <t>VNS01</t>
        </is>
      </c>
    </row>
    <row r="242">
      <c r="A242" s="36" t="inlineStr">
        <is>
          <t>141461</t>
        </is>
      </c>
      <c r="B242" s="52" t="n">
        <v>46055</v>
      </c>
      <c r="C242" s="36" t="inlineStr">
        <is>
          <t>00193731150</t>
        </is>
      </c>
      <c r="D242" s="53" t="inlineStr">
        <is>
          <t>CONTOUR NEXT TEST  STRIPS</t>
        </is>
      </c>
      <c r="E242" s="36" t="n">
        <v>50</v>
      </c>
      <c r="F242" s="54" t="n">
        <v>100</v>
      </c>
      <c r="G242" s="54" t="n">
        <v>2</v>
      </c>
      <c r="H242" s="55" t="n">
        <v>0</v>
      </c>
      <c r="I242" s="55" t="n">
        <v>104.44</v>
      </c>
      <c r="J242" s="55" t="n">
        <v>0</v>
      </c>
      <c r="K242" s="55" t="n">
        <v>0</v>
      </c>
      <c r="L242" s="55" t="n">
        <v>104.44</v>
      </c>
      <c r="M242" s="55" t="n">
        <v>0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135100</t>
        </is>
      </c>
      <c r="B243" s="52" t="n">
        <v>46056</v>
      </c>
      <c r="C243" s="36" t="inlineStr">
        <is>
          <t>00193731150</t>
        </is>
      </c>
      <c r="D243" s="53" t="inlineStr">
        <is>
          <t>CONTOUR NEXT TEST  STRIPS</t>
        </is>
      </c>
      <c r="E243" s="36" t="n">
        <v>50</v>
      </c>
      <c r="F243" s="54" t="n">
        <v>100</v>
      </c>
      <c r="G243" s="54" t="n">
        <v>2</v>
      </c>
      <c r="H243" s="55" t="n">
        <v>0</v>
      </c>
      <c r="I243" s="55" t="n">
        <v>105.69</v>
      </c>
      <c r="J243" s="55" t="n">
        <v>0</v>
      </c>
      <c r="K243" s="55" t="n">
        <v>0</v>
      </c>
      <c r="L243" s="55" t="n">
        <v>105.69</v>
      </c>
      <c r="M243" s="55" t="n">
        <v>0</v>
      </c>
      <c r="N243" s="36" t="inlineStr">
        <is>
          <t>610011</t>
        </is>
      </c>
      <c r="O243" s="36" t="inlineStr">
        <is>
          <t>OPTUM</t>
        </is>
      </c>
      <c r="P243" s="36" t="inlineStr">
        <is>
          <t>IRX</t>
        </is>
      </c>
      <c r="Q243" s="36" t="inlineStr">
        <is>
          <t>32BJRX</t>
        </is>
      </c>
    </row>
    <row r="244">
      <c r="A244" s="36" t="inlineStr">
        <is>
          <t>105658</t>
        </is>
      </c>
      <c r="B244" s="52" t="n">
        <v>46046</v>
      </c>
      <c r="C244" s="36" t="inlineStr">
        <is>
          <t>00193731150</t>
        </is>
      </c>
      <c r="D244" s="53" t="inlineStr">
        <is>
          <t>CONTOUR NEXT TEST  STRIPS</t>
        </is>
      </c>
      <c r="E244" s="36" t="n">
        <v>50</v>
      </c>
      <c r="F244" s="54" t="n">
        <v>100</v>
      </c>
      <c r="G244" s="54" t="n">
        <v>2</v>
      </c>
      <c r="H244" s="55" t="n">
        <v>0</v>
      </c>
      <c r="I244" s="55" t="n">
        <v>102.62</v>
      </c>
      <c r="J244" s="55" t="n">
        <v>0</v>
      </c>
      <c r="K244" s="55" t="n">
        <v>0</v>
      </c>
      <c r="L244" s="55" t="n">
        <v>102.62</v>
      </c>
      <c r="M244" s="55" t="n">
        <v>0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135795</t>
        </is>
      </c>
      <c r="B245" s="52" t="n">
        <v>46010</v>
      </c>
      <c r="C245" s="36" t="inlineStr">
        <is>
          <t>00193731150</t>
        </is>
      </c>
      <c r="D245" s="53" t="inlineStr">
        <is>
          <t>CONTOUR NEXT TEST  STRIPS</t>
        </is>
      </c>
      <c r="E245" s="36" t="n">
        <v>50</v>
      </c>
      <c r="F245" s="54" t="n">
        <v>100</v>
      </c>
      <c r="G245" s="54" t="n">
        <v>2</v>
      </c>
      <c r="H245" s="55" t="n">
        <v>0</v>
      </c>
      <c r="I245" s="55" t="n">
        <v>110</v>
      </c>
      <c r="J245" s="55" t="n">
        <v>0</v>
      </c>
      <c r="K245" s="55" t="n">
        <v>0</v>
      </c>
      <c r="L245" s="55" t="n">
        <v>110</v>
      </c>
      <c r="M245" s="55" t="n">
        <v>0</v>
      </c>
      <c r="N245" s="36" t="inlineStr">
        <is>
          <t>004740</t>
        </is>
      </c>
      <c r="O245" s="36" t="inlineStr">
        <is>
          <t>NYM</t>
        </is>
      </c>
      <c r="P245" s="36" t="inlineStr">
        <is>
          <t>9314DA31</t>
        </is>
      </c>
      <c r="Q245" s="36" t="n">
        <v/>
      </c>
    </row>
    <row r="246">
      <c r="A246" s="36" t="inlineStr">
        <is>
          <t>124472</t>
        </is>
      </c>
      <c r="B246" s="52" t="n">
        <v>46011</v>
      </c>
      <c r="C246" s="36" t="inlineStr">
        <is>
          <t>00193731150</t>
        </is>
      </c>
      <c r="D246" s="53" t="inlineStr">
        <is>
          <t>CONTOUR NEXT TEST  STRIPS</t>
        </is>
      </c>
      <c r="E246" s="36" t="n">
        <v>50</v>
      </c>
      <c r="F246" s="54" t="n">
        <v>200</v>
      </c>
      <c r="G246" s="54" t="n">
        <v>4</v>
      </c>
      <c r="H246" s="55" t="n">
        <v>0</v>
      </c>
      <c r="I246" s="55" t="n">
        <v>221.32</v>
      </c>
      <c r="J246" s="55" t="n">
        <v>0</v>
      </c>
      <c r="K246" s="55" t="n">
        <v>0</v>
      </c>
      <c r="L246" s="55" t="n">
        <v>221.32</v>
      </c>
      <c r="M246" s="55" t="n">
        <v>0</v>
      </c>
      <c r="N246" s="36" t="inlineStr">
        <is>
          <t>610097</t>
        </is>
      </c>
      <c r="O246" s="36" t="inlineStr">
        <is>
          <t>OPTUM</t>
        </is>
      </c>
      <c r="P246" s="36" t="inlineStr">
        <is>
          <t>9999</t>
        </is>
      </c>
      <c r="Q246" s="36" t="inlineStr">
        <is>
          <t>MPDCSP</t>
        </is>
      </c>
    </row>
    <row r="247">
      <c r="A247" s="36" t="inlineStr">
        <is>
          <t>120443</t>
        </is>
      </c>
      <c r="B247" s="52" t="n">
        <v>46056</v>
      </c>
      <c r="C247" s="36" t="inlineStr">
        <is>
          <t>00193731150</t>
        </is>
      </c>
      <c r="D247" s="53" t="inlineStr">
        <is>
          <t>CONTOUR NEXT TEST  STRIPS</t>
        </is>
      </c>
      <c r="E247" s="36" t="n">
        <v>50</v>
      </c>
      <c r="F247" s="54" t="n">
        <v>100</v>
      </c>
      <c r="G247" s="54" t="n">
        <v>2</v>
      </c>
      <c r="H247" s="55" t="n">
        <v>0</v>
      </c>
      <c r="I247" s="55" t="n">
        <v>110</v>
      </c>
      <c r="J247" s="55" t="n">
        <v>0</v>
      </c>
      <c r="K247" s="55" t="n">
        <v>0</v>
      </c>
      <c r="L247" s="55" t="n">
        <v>110</v>
      </c>
      <c r="M247" s="55" t="n">
        <v>0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102995</t>
        </is>
      </c>
      <c r="B248" s="52" t="n">
        <v>46013</v>
      </c>
      <c r="C248" s="36" t="inlineStr">
        <is>
          <t>00193731150</t>
        </is>
      </c>
      <c r="D248" s="53" t="inlineStr">
        <is>
          <t>CONTOUR NEXT TEST  STRIPS</t>
        </is>
      </c>
      <c r="E248" s="36" t="n">
        <v>50</v>
      </c>
      <c r="F248" s="54" t="n">
        <v>100</v>
      </c>
      <c r="G248" s="54" t="n">
        <v>2</v>
      </c>
      <c r="H248" s="55" t="n">
        <v>0</v>
      </c>
      <c r="I248" s="55" t="n">
        <v>101.96</v>
      </c>
      <c r="J248" s="55" t="n">
        <v>0</v>
      </c>
      <c r="K248" s="55" t="n">
        <v>0</v>
      </c>
      <c r="L248" s="55" t="n">
        <v>101.96</v>
      </c>
      <c r="M248" s="55" t="n">
        <v>0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141562</t>
        </is>
      </c>
      <c r="B249" s="52" t="n">
        <v>46055</v>
      </c>
      <c r="C249" s="36" t="inlineStr">
        <is>
          <t>00193731150</t>
        </is>
      </c>
      <c r="D249" s="53" t="inlineStr">
        <is>
          <t>CONTOUR NEXT TEST  STRIPS</t>
        </is>
      </c>
      <c r="E249" s="36" t="n">
        <v>50</v>
      </c>
      <c r="F249" s="54" t="n">
        <v>100</v>
      </c>
      <c r="G249" s="54" t="n">
        <v>2</v>
      </c>
      <c r="H249" s="55" t="n">
        <v>0</v>
      </c>
      <c r="I249" s="55" t="n">
        <v>104.35</v>
      </c>
      <c r="J249" s="55" t="n">
        <v>0</v>
      </c>
      <c r="K249" s="55" t="n">
        <v>0</v>
      </c>
      <c r="L249" s="55" t="n">
        <v>104.35</v>
      </c>
      <c r="M249" s="55" t="n">
        <v>0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ADV</t>
        </is>
      </c>
      <c r="Q249" s="36" t="inlineStr">
        <is>
          <t>RX1103</t>
        </is>
      </c>
    </row>
    <row r="250">
      <c r="A250" s="36" t="inlineStr">
        <is>
          <t>122012</t>
        </is>
      </c>
      <c r="B250" s="52" t="n">
        <v>46044</v>
      </c>
      <c r="C250" s="36" t="inlineStr">
        <is>
          <t>00193731150</t>
        </is>
      </c>
      <c r="D250" s="53" t="inlineStr">
        <is>
          <t>CONTOUR NEXT TEST  STRIPS</t>
        </is>
      </c>
      <c r="E250" s="36" t="n">
        <v>50</v>
      </c>
      <c r="F250" s="54" t="n">
        <v>100</v>
      </c>
      <c r="G250" s="54" t="n">
        <v>2</v>
      </c>
      <c r="H250" s="55" t="n">
        <v>0</v>
      </c>
      <c r="I250" s="55" t="n">
        <v>110</v>
      </c>
      <c r="J250" s="55" t="n">
        <v>0</v>
      </c>
      <c r="K250" s="55" t="n">
        <v>0</v>
      </c>
      <c r="L250" s="55" t="n">
        <v>110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115735</t>
        </is>
      </c>
      <c r="B251" s="52" t="n">
        <v>46029</v>
      </c>
      <c r="C251" s="36" t="inlineStr">
        <is>
          <t>00193731150</t>
        </is>
      </c>
      <c r="D251" s="53" t="inlineStr">
        <is>
          <t>CONTOUR NEXT TEST  STRIPS</t>
        </is>
      </c>
      <c r="E251" s="36" t="n">
        <v>50</v>
      </c>
      <c r="F251" s="54" t="n">
        <v>100</v>
      </c>
      <c r="G251" s="54" t="n">
        <v>2</v>
      </c>
      <c r="H251" s="55" t="n">
        <v>0</v>
      </c>
      <c r="I251" s="55" t="n">
        <v>99.98</v>
      </c>
      <c r="J251" s="55" t="n">
        <v>0</v>
      </c>
      <c r="K251" s="55" t="n">
        <v>0</v>
      </c>
      <c r="L251" s="55" t="n">
        <v>99.98</v>
      </c>
      <c r="M251" s="55" t="n">
        <v>0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RX8585</t>
        </is>
      </c>
    </row>
    <row r="252">
      <c r="A252" s="36" t="inlineStr">
        <is>
          <t>121672</t>
        </is>
      </c>
      <c r="B252" s="52" t="n">
        <v>45994</v>
      </c>
      <c r="C252" s="36" t="inlineStr">
        <is>
          <t>00193731150</t>
        </is>
      </c>
      <c r="D252" s="53" t="inlineStr">
        <is>
          <t>CONTOUR NEXT TEST  STRIPS</t>
        </is>
      </c>
      <c r="E252" s="36" t="n">
        <v>50</v>
      </c>
      <c r="F252" s="54" t="n">
        <v>200</v>
      </c>
      <c r="G252" s="54" t="n">
        <v>4</v>
      </c>
      <c r="H252" s="55" t="n">
        <v>0</v>
      </c>
      <c r="I252" s="55" t="n">
        <v>204.26</v>
      </c>
      <c r="J252" s="55" t="n">
        <v>0</v>
      </c>
      <c r="K252" s="55" t="n">
        <v>0</v>
      </c>
      <c r="L252" s="55" t="n">
        <v>204.26</v>
      </c>
      <c r="M252" s="55" t="n">
        <v>0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139944</t>
        </is>
      </c>
      <c r="B253" s="52" t="n">
        <v>46043</v>
      </c>
      <c r="C253" s="36" t="inlineStr">
        <is>
          <t>00193731150</t>
        </is>
      </c>
      <c r="D253" s="53" t="inlineStr">
        <is>
          <t>CONTOUR NEXT TEST  STRIPS</t>
        </is>
      </c>
      <c r="E253" s="36" t="n">
        <v>50</v>
      </c>
      <c r="F253" s="54" t="n">
        <v>100</v>
      </c>
      <c r="G253" s="54" t="n">
        <v>2</v>
      </c>
      <c r="H253" s="55" t="n">
        <v>0</v>
      </c>
      <c r="I253" s="55" t="n">
        <v>104.44</v>
      </c>
      <c r="J253" s="55" t="n">
        <v>0</v>
      </c>
      <c r="K253" s="55" t="n">
        <v>0</v>
      </c>
      <c r="L253" s="55" t="n">
        <v>104.44</v>
      </c>
      <c r="M253" s="55" t="n">
        <v>0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141194</t>
        </is>
      </c>
      <c r="B254" s="52" t="n">
        <v>46052</v>
      </c>
      <c r="C254" s="36" t="inlineStr">
        <is>
          <t>00193731150</t>
        </is>
      </c>
      <c r="D254" s="53" t="inlineStr">
        <is>
          <t>CONTOUR NEXT TEST  STRIPS</t>
        </is>
      </c>
      <c r="E254" s="36" t="n">
        <v>50</v>
      </c>
      <c r="F254" s="54" t="n">
        <v>100</v>
      </c>
      <c r="G254" s="54" t="n">
        <v>2</v>
      </c>
      <c r="H254" s="55" t="n">
        <v>0</v>
      </c>
      <c r="I254" s="55" t="n">
        <v>104.44</v>
      </c>
      <c r="J254" s="55" t="n">
        <v>0</v>
      </c>
      <c r="K254" s="55" t="n">
        <v>0</v>
      </c>
      <c r="L254" s="55" t="n">
        <v>104.44</v>
      </c>
      <c r="M254" s="55" t="n">
        <v>0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136948</t>
        </is>
      </c>
      <c r="B255" s="52" t="n">
        <v>46077</v>
      </c>
      <c r="C255" s="36" t="inlineStr">
        <is>
          <t>00193731150</t>
        </is>
      </c>
      <c r="D255" s="53" t="inlineStr">
        <is>
          <t>CONTOUR NEXT TEST  STRIPS</t>
        </is>
      </c>
      <c r="E255" s="36" t="n">
        <v>50</v>
      </c>
      <c r="F255" s="54" t="n">
        <v>100</v>
      </c>
      <c r="G255" s="54" t="n">
        <v>2</v>
      </c>
      <c r="H255" s="55" t="n">
        <v>0</v>
      </c>
      <c r="I255" s="55" t="n">
        <v>104.44</v>
      </c>
      <c r="J255" s="55" t="n">
        <v>0</v>
      </c>
      <c r="K255" s="55" t="n">
        <v>0</v>
      </c>
      <c r="L255" s="55" t="n">
        <v>104.44</v>
      </c>
      <c r="M255" s="55" t="n">
        <v>0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RX1110</t>
        </is>
      </c>
    </row>
    <row r="256">
      <c r="A256" s="36" t="inlineStr">
        <is>
          <t>133293</t>
        </is>
      </c>
      <c r="B256" s="52" t="n">
        <v>45993</v>
      </c>
      <c r="C256" s="36" t="inlineStr">
        <is>
          <t>00193731150</t>
        </is>
      </c>
      <c r="D256" s="53" t="inlineStr">
        <is>
          <t>CONTOUR NEXT TEST  STRIPS</t>
        </is>
      </c>
      <c r="E256" s="36" t="n">
        <v>50</v>
      </c>
      <c r="F256" s="54" t="n">
        <v>100</v>
      </c>
      <c r="G256" s="54" t="n">
        <v>2</v>
      </c>
      <c r="H256" s="55" t="n">
        <v>0</v>
      </c>
      <c r="I256" s="55" t="n">
        <v>101.96</v>
      </c>
      <c r="J256" s="55" t="n">
        <v>0</v>
      </c>
      <c r="K256" s="55" t="n">
        <v>0</v>
      </c>
      <c r="L256" s="55" t="n">
        <v>101.96</v>
      </c>
      <c r="M256" s="55" t="n">
        <v>0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136919</t>
        </is>
      </c>
      <c r="B257" s="52" t="n">
        <v>46021</v>
      </c>
      <c r="C257" s="36" t="inlineStr">
        <is>
          <t>00193731150</t>
        </is>
      </c>
      <c r="D257" s="53" t="inlineStr">
        <is>
          <t>CONTOUR NEXT TEST  STRIPS</t>
        </is>
      </c>
      <c r="E257" s="36" t="n">
        <v>50</v>
      </c>
      <c r="F257" s="54" t="n">
        <v>200</v>
      </c>
      <c r="G257" s="54" t="n">
        <v>4</v>
      </c>
      <c r="H257" s="55" t="n">
        <v>0</v>
      </c>
      <c r="I257" s="55" t="n">
        <v>204.26</v>
      </c>
      <c r="J257" s="55" t="n">
        <v>0</v>
      </c>
      <c r="K257" s="55" t="n">
        <v>0</v>
      </c>
      <c r="L257" s="55" t="n">
        <v>204.26</v>
      </c>
      <c r="M257" s="55" t="n">
        <v>0</v>
      </c>
      <c r="N257" s="36" t="inlineStr">
        <is>
          <t>004336</t>
        </is>
      </c>
      <c r="O257" s="36" t="inlineStr">
        <is>
          <t>CAREMARK</t>
        </is>
      </c>
      <c r="P257" s="36" t="inlineStr">
        <is>
          <t>MEDDADV</t>
        </is>
      </c>
      <c r="Q257" s="36" t="inlineStr">
        <is>
          <t>RX1110</t>
        </is>
      </c>
    </row>
    <row r="258">
      <c r="A258" s="36" t="inlineStr">
        <is>
          <t>135652</t>
        </is>
      </c>
      <c r="B258" s="52" t="n">
        <v>46043</v>
      </c>
      <c r="C258" s="36" t="inlineStr">
        <is>
          <t>00193731150</t>
        </is>
      </c>
      <c r="D258" s="53" t="inlineStr">
        <is>
          <t>CONTOUR NEXT TEST  STRIPS</t>
        </is>
      </c>
      <c r="E258" s="36" t="n">
        <v>50</v>
      </c>
      <c r="F258" s="54" t="n">
        <v>100</v>
      </c>
      <c r="G258" s="54" t="n">
        <v>2</v>
      </c>
      <c r="H258" s="55" t="n">
        <v>0</v>
      </c>
      <c r="I258" s="55" t="n">
        <v>104.43</v>
      </c>
      <c r="J258" s="55" t="n">
        <v>0</v>
      </c>
      <c r="K258" s="55" t="n">
        <v>0</v>
      </c>
      <c r="L258" s="55" t="n">
        <v>104.43</v>
      </c>
      <c r="M258" s="55" t="n">
        <v>0</v>
      </c>
      <c r="N258" s="36" t="inlineStr">
        <is>
          <t>015574</t>
        </is>
      </c>
      <c r="O258" s="36" t="inlineStr">
        <is>
          <t>MEDIMP</t>
        </is>
      </c>
      <c r="P258" s="36" t="inlineStr">
        <is>
          <t>ASPROD1</t>
        </is>
      </c>
      <c r="Q258" s="36" t="n">
        <v/>
      </c>
    </row>
    <row r="259">
      <c r="A259" s="36" t="inlineStr">
        <is>
          <t>108142</t>
        </is>
      </c>
      <c r="B259" s="52" t="n">
        <v>46053</v>
      </c>
      <c r="C259" s="36" t="inlineStr">
        <is>
          <t>00193731150</t>
        </is>
      </c>
      <c r="D259" s="53" t="inlineStr">
        <is>
          <t>CONTOUR NEXT TEST  STRIPS</t>
        </is>
      </c>
      <c r="E259" s="36" t="n">
        <v>50</v>
      </c>
      <c r="F259" s="54" t="n">
        <v>300</v>
      </c>
      <c r="G259" s="54" t="n">
        <v>6</v>
      </c>
      <c r="H259" s="55" t="n">
        <v>0</v>
      </c>
      <c r="I259" s="55" t="n">
        <v>308.54</v>
      </c>
      <c r="J259" s="55" t="n">
        <v>0</v>
      </c>
      <c r="K259" s="55" t="n">
        <v>0</v>
      </c>
      <c r="L259" s="55" t="n">
        <v>308.54</v>
      </c>
      <c r="M259" s="55" t="n">
        <v>0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142182</t>
        </is>
      </c>
      <c r="B260" s="52" t="n">
        <v>46059</v>
      </c>
      <c r="C260" s="36" t="inlineStr">
        <is>
          <t>00193731150</t>
        </is>
      </c>
      <c r="D260" s="53" t="inlineStr">
        <is>
          <t>CONTOUR NEXT TEST  STRIPS</t>
        </is>
      </c>
      <c r="E260" s="36" t="n">
        <v>50</v>
      </c>
      <c r="F260" s="54" t="n">
        <v>200</v>
      </c>
      <c r="G260" s="54" t="n">
        <v>4</v>
      </c>
      <c r="H260" s="55" t="n">
        <v>0</v>
      </c>
      <c r="I260" s="55" t="n">
        <v>205.58</v>
      </c>
      <c r="J260" s="55" t="n">
        <v>0</v>
      </c>
      <c r="K260" s="55" t="n">
        <v>0</v>
      </c>
      <c r="L260" s="55" t="n">
        <v>205.58</v>
      </c>
      <c r="M260" s="55" t="n">
        <v>0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125860</t>
        </is>
      </c>
      <c r="B261" s="52" t="n">
        <v>46024</v>
      </c>
      <c r="C261" s="36" t="inlineStr">
        <is>
          <t>00193731150</t>
        </is>
      </c>
      <c r="D261" s="53" t="inlineStr">
        <is>
          <t>CONTOUR NEXT TEST  STRIPS</t>
        </is>
      </c>
      <c r="E261" s="36" t="n">
        <v>50</v>
      </c>
      <c r="F261" s="54" t="n">
        <v>200</v>
      </c>
      <c r="G261" s="54" t="n">
        <v>4</v>
      </c>
      <c r="H261" s="55" t="n">
        <v>0</v>
      </c>
      <c r="I261" s="55" t="n">
        <v>200.3</v>
      </c>
      <c r="J261" s="55" t="n">
        <v>0</v>
      </c>
      <c r="K261" s="55" t="n">
        <v>0</v>
      </c>
      <c r="L261" s="55" t="n">
        <v>200.3</v>
      </c>
      <c r="M261" s="55" t="n">
        <v>0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RX8585</t>
        </is>
      </c>
    </row>
    <row r="262">
      <c r="A262" s="36" t="inlineStr">
        <is>
          <t>125037</t>
        </is>
      </c>
      <c r="B262" s="52" t="n">
        <v>46024</v>
      </c>
      <c r="C262" s="36" t="inlineStr">
        <is>
          <t>00193731150</t>
        </is>
      </c>
      <c r="D262" s="53" t="inlineStr">
        <is>
          <t>CONTOUR NEXT TEST  STRIPS</t>
        </is>
      </c>
      <c r="E262" s="36" t="n">
        <v>50</v>
      </c>
      <c r="F262" s="54" t="n">
        <v>200</v>
      </c>
      <c r="G262" s="54" t="n">
        <v>4</v>
      </c>
      <c r="H262" s="55" t="n">
        <v>0</v>
      </c>
      <c r="I262" s="55" t="n">
        <v>205.58</v>
      </c>
      <c r="J262" s="55" t="n">
        <v>0</v>
      </c>
      <c r="K262" s="55" t="n">
        <v>0</v>
      </c>
      <c r="L262" s="55" t="n">
        <v>205.58</v>
      </c>
      <c r="M262" s="55" t="n">
        <v>0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108256</t>
        </is>
      </c>
      <c r="B263" s="52" t="n">
        <v>46055</v>
      </c>
      <c r="C263" s="36" t="inlineStr">
        <is>
          <t>00193731150</t>
        </is>
      </c>
      <c r="D263" s="53" t="inlineStr">
        <is>
          <t>CONTOUR NEXT TEST  STRIPS</t>
        </is>
      </c>
      <c r="E263" s="36" t="n">
        <v>50</v>
      </c>
      <c r="F263" s="54" t="n">
        <v>100</v>
      </c>
      <c r="G263" s="54" t="n">
        <v>2</v>
      </c>
      <c r="H263" s="55" t="n">
        <v>0</v>
      </c>
      <c r="I263" s="55" t="n">
        <v>102.62</v>
      </c>
      <c r="J263" s="55" t="n">
        <v>0</v>
      </c>
      <c r="K263" s="55" t="n">
        <v>0</v>
      </c>
      <c r="L263" s="55" t="n">
        <v>102.62</v>
      </c>
      <c r="M263" s="55" t="n">
        <v>0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128896</t>
        </is>
      </c>
      <c r="B264" s="52" t="n">
        <v>46014</v>
      </c>
      <c r="C264" s="36" t="inlineStr">
        <is>
          <t>00193731150</t>
        </is>
      </c>
      <c r="D264" s="53" t="inlineStr">
        <is>
          <t>CONTOUR NEXT TEST  STRIPS</t>
        </is>
      </c>
      <c r="E264" s="36" t="n">
        <v>50</v>
      </c>
      <c r="F264" s="54" t="n">
        <v>100</v>
      </c>
      <c r="G264" s="54" t="n">
        <v>2</v>
      </c>
      <c r="H264" s="55" t="n">
        <v>0</v>
      </c>
      <c r="I264" s="55" t="n">
        <v>75.75</v>
      </c>
      <c r="J264" s="55" t="n">
        <v>0</v>
      </c>
      <c r="K264" s="55" t="n">
        <v>45</v>
      </c>
      <c r="L264" s="55" t="n">
        <v>120.75</v>
      </c>
      <c r="M264" s="55" t="n">
        <v>0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ADV</t>
        </is>
      </c>
      <c r="Q264" s="36" t="inlineStr">
        <is>
          <t>RX7682</t>
        </is>
      </c>
    </row>
    <row r="265">
      <c r="A265" s="36" t="inlineStr">
        <is>
          <t>119047</t>
        </is>
      </c>
      <c r="B265" s="52" t="n">
        <v>46055</v>
      </c>
      <c r="C265" s="36" t="inlineStr">
        <is>
          <t>00193731150</t>
        </is>
      </c>
      <c r="D265" s="53" t="inlineStr">
        <is>
          <t>CONTOUR NEXT TEST  STRIPS</t>
        </is>
      </c>
      <c r="E265" s="36" t="n">
        <v>50</v>
      </c>
      <c r="F265" s="54" t="n">
        <v>200</v>
      </c>
      <c r="G265" s="54" t="n">
        <v>4</v>
      </c>
      <c r="H265" s="55" t="n">
        <v>0</v>
      </c>
      <c r="I265" s="55" t="n">
        <v>205.58</v>
      </c>
      <c r="J265" s="55" t="n">
        <v>0</v>
      </c>
      <c r="K265" s="55" t="n">
        <v>0</v>
      </c>
      <c r="L265" s="55" t="n">
        <v>205.58</v>
      </c>
      <c r="M265" s="55" t="n">
        <v>0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124963</t>
        </is>
      </c>
      <c r="B266" s="52" t="n">
        <v>46007</v>
      </c>
      <c r="C266" s="36" t="inlineStr">
        <is>
          <t>00193731150</t>
        </is>
      </c>
      <c r="D266" s="53" t="inlineStr">
        <is>
          <t>CONTOUR NEXT TEST  STRIPS</t>
        </is>
      </c>
      <c r="E266" s="36" t="n">
        <v>50</v>
      </c>
      <c r="F266" s="54" t="n">
        <v>100</v>
      </c>
      <c r="G266" s="54" t="n">
        <v>2</v>
      </c>
      <c r="H266" s="55" t="n">
        <v>0</v>
      </c>
      <c r="I266" s="55" t="n">
        <v>101.96</v>
      </c>
      <c r="J266" s="55" t="n">
        <v>0</v>
      </c>
      <c r="K266" s="55" t="n">
        <v>0</v>
      </c>
      <c r="L266" s="55" t="n">
        <v>101.96</v>
      </c>
      <c r="M266" s="55" t="n">
        <v>0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129796</t>
        </is>
      </c>
      <c r="B267" s="52" t="n">
        <v>46076</v>
      </c>
      <c r="C267" s="36" t="inlineStr">
        <is>
          <t>00193731150</t>
        </is>
      </c>
      <c r="D267" s="53" t="inlineStr">
        <is>
          <t>CONTOUR NEXT TEST  STRIPS</t>
        </is>
      </c>
      <c r="E267" s="36" t="n">
        <v>50</v>
      </c>
      <c r="F267" s="54" t="n">
        <v>100</v>
      </c>
      <c r="G267" s="54" t="n">
        <v>2</v>
      </c>
      <c r="H267" s="55" t="n">
        <v>0</v>
      </c>
      <c r="I267" s="55" t="n">
        <v>104.44</v>
      </c>
      <c r="J267" s="55" t="n">
        <v>0</v>
      </c>
      <c r="K267" s="55" t="n">
        <v>0</v>
      </c>
      <c r="L267" s="55" t="n">
        <v>104.44</v>
      </c>
      <c r="M267" s="55" t="n">
        <v>0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91845</t>
        </is>
      </c>
      <c r="B268" s="52" t="n">
        <v>46014</v>
      </c>
      <c r="C268" s="36" t="inlineStr">
        <is>
          <t>00193731150</t>
        </is>
      </c>
      <c r="D268" s="53" t="inlineStr">
        <is>
          <t>CONTOUR NEXT TEST  STRIPS</t>
        </is>
      </c>
      <c r="E268" s="36" t="n">
        <v>50</v>
      </c>
      <c r="F268" s="54" t="n">
        <v>100</v>
      </c>
      <c r="G268" s="54" t="n">
        <v>2</v>
      </c>
      <c r="H268" s="55" t="n">
        <v>0</v>
      </c>
      <c r="I268" s="55" t="n">
        <v>101.96</v>
      </c>
      <c r="J268" s="55" t="n">
        <v>0</v>
      </c>
      <c r="K268" s="55" t="n">
        <v>0</v>
      </c>
      <c r="L268" s="55" t="n">
        <v>101.96</v>
      </c>
      <c r="M268" s="55" t="n">
        <v>0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RX1110</t>
        </is>
      </c>
    </row>
    <row r="269">
      <c r="A269" s="36" t="inlineStr">
        <is>
          <t>136197</t>
        </is>
      </c>
      <c r="B269" s="52" t="n">
        <v>46013</v>
      </c>
      <c r="C269" s="36" t="inlineStr">
        <is>
          <t>00193731150</t>
        </is>
      </c>
      <c r="D269" s="53" t="inlineStr">
        <is>
          <t>CONTOUR NEXT TEST  STRIPS</t>
        </is>
      </c>
      <c r="E269" s="36" t="n">
        <v>50</v>
      </c>
      <c r="F269" s="54" t="n">
        <v>100</v>
      </c>
      <c r="G269" s="54" t="n">
        <v>2</v>
      </c>
      <c r="H269" s="55" t="n">
        <v>0</v>
      </c>
      <c r="I269" s="55" t="n">
        <v>110</v>
      </c>
      <c r="J269" s="55" t="n">
        <v>0</v>
      </c>
      <c r="K269" s="55" t="n">
        <v>0</v>
      </c>
      <c r="L269" s="55" t="n">
        <v>110</v>
      </c>
      <c r="M269" s="55" t="n">
        <v>0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130502</t>
        </is>
      </c>
      <c r="B270" s="52" t="n">
        <v>46059</v>
      </c>
      <c r="C270" s="36" t="inlineStr">
        <is>
          <t>00193731150</t>
        </is>
      </c>
      <c r="D270" s="53" t="inlineStr">
        <is>
          <t>CONTOUR NEXT TEST  STRIPS</t>
        </is>
      </c>
      <c r="E270" s="36" t="n">
        <v>50</v>
      </c>
      <c r="F270" s="54" t="n">
        <v>300</v>
      </c>
      <c r="G270" s="54" t="n">
        <v>6</v>
      </c>
      <c r="H270" s="55" t="n">
        <v>0</v>
      </c>
      <c r="I270" s="55" t="n">
        <v>308.54</v>
      </c>
      <c r="J270" s="55" t="n">
        <v>0</v>
      </c>
      <c r="K270" s="55" t="n">
        <v>0</v>
      </c>
      <c r="L270" s="55" t="n">
        <v>308.54</v>
      </c>
      <c r="M270" s="55" t="n">
        <v>0</v>
      </c>
      <c r="N270" s="36" t="inlineStr">
        <is>
          <t>004336</t>
        </is>
      </c>
      <c r="O270" s="36" t="inlineStr">
        <is>
          <t>CAREMARK</t>
        </is>
      </c>
      <c r="P270" s="36" t="inlineStr">
        <is>
          <t>MEDDADV</t>
        </is>
      </c>
      <c r="Q270" s="36" t="inlineStr">
        <is>
          <t>RX1110</t>
        </is>
      </c>
    </row>
    <row r="271">
      <c r="A271" s="36" t="inlineStr">
        <is>
          <t>136948</t>
        </is>
      </c>
      <c r="B271" s="52" t="n">
        <v>46021</v>
      </c>
      <c r="C271" s="36" t="inlineStr">
        <is>
          <t>00193731150</t>
        </is>
      </c>
      <c r="D271" s="53" t="inlineStr">
        <is>
          <t>CONTOUR NEXT TEST  STRIPS</t>
        </is>
      </c>
      <c r="E271" s="36" t="n">
        <v>50</v>
      </c>
      <c r="F271" s="54" t="n">
        <v>100</v>
      </c>
      <c r="G271" s="54" t="n">
        <v>2</v>
      </c>
      <c r="H271" s="55" t="n">
        <v>0</v>
      </c>
      <c r="I271" s="55" t="n">
        <v>103.51</v>
      </c>
      <c r="J271" s="55" t="n">
        <v>0</v>
      </c>
      <c r="K271" s="55" t="n">
        <v>0</v>
      </c>
      <c r="L271" s="55" t="n">
        <v>103.51</v>
      </c>
      <c r="M271" s="55" t="n">
        <v>0</v>
      </c>
      <c r="N271" s="36" t="inlineStr">
        <is>
          <t>004336</t>
        </is>
      </c>
      <c r="O271" s="36" t="inlineStr">
        <is>
          <t>CAREMARK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135235</t>
        </is>
      </c>
      <c r="B272" s="52" t="n">
        <v>46007</v>
      </c>
      <c r="C272" s="36" t="inlineStr">
        <is>
          <t>00193731150</t>
        </is>
      </c>
      <c r="D272" s="53" t="inlineStr">
        <is>
          <t>CONTOUR NEXT TEST  STRIPS</t>
        </is>
      </c>
      <c r="E272" s="36" t="n">
        <v>50</v>
      </c>
      <c r="F272" s="54" t="n">
        <v>300</v>
      </c>
      <c r="G272" s="54" t="n">
        <v>6</v>
      </c>
      <c r="H272" s="55" t="n">
        <v>0</v>
      </c>
      <c r="I272" s="55" t="n">
        <v>306.56</v>
      </c>
      <c r="J272" s="55" t="n">
        <v>0</v>
      </c>
      <c r="K272" s="55" t="n">
        <v>0</v>
      </c>
      <c r="L272" s="55" t="n">
        <v>306.56</v>
      </c>
      <c r="M272" s="55" t="n">
        <v>0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120162</t>
        </is>
      </c>
      <c r="B273" s="52" t="n">
        <v>46030</v>
      </c>
      <c r="C273" s="36" t="inlineStr">
        <is>
          <t>00193731150</t>
        </is>
      </c>
      <c r="D273" s="53" t="inlineStr">
        <is>
          <t>CONTOUR NEXT TEST  STRIPS</t>
        </is>
      </c>
      <c r="E273" s="36" t="n">
        <v>50</v>
      </c>
      <c r="F273" s="54" t="n">
        <v>100</v>
      </c>
      <c r="G273" s="54" t="n">
        <v>2</v>
      </c>
      <c r="H273" s="55" t="n">
        <v>0</v>
      </c>
      <c r="I273" s="55" t="n">
        <v>104.45</v>
      </c>
      <c r="J273" s="55" t="n">
        <v>0</v>
      </c>
      <c r="K273" s="55" t="n">
        <v>0</v>
      </c>
      <c r="L273" s="55" t="n">
        <v>104.45</v>
      </c>
      <c r="M273" s="55" t="n">
        <v>0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ADV</t>
        </is>
      </c>
      <c r="Q273" s="36" t="inlineStr">
        <is>
          <t>RX1103</t>
        </is>
      </c>
    </row>
    <row r="274">
      <c r="A274" s="36" t="inlineStr">
        <is>
          <t>119416</t>
        </is>
      </c>
      <c r="B274" s="52" t="n">
        <v>46059</v>
      </c>
      <c r="C274" s="36" t="inlineStr">
        <is>
          <t>00193731150</t>
        </is>
      </c>
      <c r="D274" s="53" t="inlineStr">
        <is>
          <t>CONTOUR NEXT TEST  STRIPS</t>
        </is>
      </c>
      <c r="E274" s="36" t="n">
        <v>50</v>
      </c>
      <c r="F274" s="54" t="n">
        <v>100</v>
      </c>
      <c r="G274" s="54" t="n">
        <v>2</v>
      </c>
      <c r="H274" s="55" t="n">
        <v>0</v>
      </c>
      <c r="I274" s="55" t="n">
        <v>102.62</v>
      </c>
      <c r="J274" s="55" t="n">
        <v>0</v>
      </c>
      <c r="K274" s="55" t="n">
        <v>0</v>
      </c>
      <c r="L274" s="55" t="n">
        <v>102.62</v>
      </c>
      <c r="M274" s="55" t="n">
        <v>0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RX1110</t>
        </is>
      </c>
    </row>
    <row r="275">
      <c r="A275" s="36" t="inlineStr">
        <is>
          <t>114946</t>
        </is>
      </c>
      <c r="B275" s="52" t="n">
        <v>46024</v>
      </c>
      <c r="C275" s="36" t="inlineStr">
        <is>
          <t>00193731150</t>
        </is>
      </c>
      <c r="D275" s="53" t="inlineStr">
        <is>
          <t>CONTOUR NEXT TEST  STRIPS</t>
        </is>
      </c>
      <c r="E275" s="36" t="n">
        <v>50</v>
      </c>
      <c r="F275" s="54" t="n">
        <v>100</v>
      </c>
      <c r="G275" s="54" t="n">
        <v>2</v>
      </c>
      <c r="H275" s="55" t="n">
        <v>0</v>
      </c>
      <c r="I275" s="55" t="n">
        <v>104.44</v>
      </c>
      <c r="J275" s="55" t="n">
        <v>0</v>
      </c>
      <c r="K275" s="55" t="n">
        <v>0</v>
      </c>
      <c r="L275" s="55" t="n">
        <v>104.44</v>
      </c>
      <c r="M275" s="55" t="n">
        <v>0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136052</t>
        </is>
      </c>
      <c r="B276" s="52" t="n">
        <v>46013</v>
      </c>
      <c r="C276" s="36" t="inlineStr">
        <is>
          <t>00193731150</t>
        </is>
      </c>
      <c r="D276" s="53" t="inlineStr">
        <is>
          <t>CONTOUR NEXT TEST  STRIPS</t>
        </is>
      </c>
      <c r="E276" s="36" t="n">
        <v>50</v>
      </c>
      <c r="F276" s="54" t="n">
        <v>200</v>
      </c>
      <c r="G276" s="54" t="n">
        <v>4</v>
      </c>
      <c r="H276" s="55" t="n">
        <v>0</v>
      </c>
      <c r="I276" s="55" t="n">
        <v>220</v>
      </c>
      <c r="J276" s="55" t="n">
        <v>0</v>
      </c>
      <c r="K276" s="55" t="n">
        <v>0</v>
      </c>
      <c r="L276" s="55" t="n">
        <v>220</v>
      </c>
      <c r="M276" s="55" t="n">
        <v>0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139942</t>
        </is>
      </c>
      <c r="B277" s="52" t="n">
        <v>46043</v>
      </c>
      <c r="C277" s="36" t="inlineStr">
        <is>
          <t>00193731150</t>
        </is>
      </c>
      <c r="D277" s="53" t="inlineStr">
        <is>
          <t>CONTOUR NEXT TEST  STRIPS</t>
        </is>
      </c>
      <c r="E277" s="36" t="n">
        <v>50</v>
      </c>
      <c r="F277" s="54" t="n">
        <v>100</v>
      </c>
      <c r="G277" s="54" t="n">
        <v>2</v>
      </c>
      <c r="H277" s="55" t="n">
        <v>0</v>
      </c>
      <c r="I277" s="55" t="n">
        <v>13.31</v>
      </c>
      <c r="J277" s="55" t="n">
        <v>0</v>
      </c>
      <c r="K277" s="55" t="n">
        <v>0</v>
      </c>
      <c r="L277" s="55" t="n">
        <v>13.31</v>
      </c>
      <c r="M277" s="55" t="n">
        <v>0</v>
      </c>
      <c r="N277" s="36" t="inlineStr">
        <is>
          <t>007895</t>
        </is>
      </c>
      <c r="O277" s="36" t="inlineStr">
        <is>
          <t>FDS</t>
        </is>
      </c>
      <c r="P277" s="36" t="inlineStr">
        <is>
          <t>001</t>
        </is>
      </c>
      <c r="Q277" s="36" t="n">
        <v/>
      </c>
    </row>
    <row r="278">
      <c r="A278" s="36" t="inlineStr">
        <is>
          <t>131313</t>
        </is>
      </c>
      <c r="B278" s="52" t="n">
        <v>46058</v>
      </c>
      <c r="C278" s="36" t="inlineStr">
        <is>
          <t>00193731150</t>
        </is>
      </c>
      <c r="D278" s="53" t="inlineStr">
        <is>
          <t>CONTOUR NEXT TEST  STRIPS</t>
        </is>
      </c>
      <c r="E278" s="36" t="n">
        <v>50</v>
      </c>
      <c r="F278" s="54" t="n">
        <v>100</v>
      </c>
      <c r="G278" s="54" t="n">
        <v>2</v>
      </c>
      <c r="H278" s="55" t="n">
        <v>0</v>
      </c>
      <c r="I278" s="55" t="n">
        <v>104.44</v>
      </c>
      <c r="J278" s="55" t="n">
        <v>0</v>
      </c>
      <c r="K278" s="55" t="n">
        <v>0</v>
      </c>
      <c r="L278" s="55" t="n">
        <v>104.44</v>
      </c>
      <c r="M278" s="55" t="n">
        <v>0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125903</t>
        </is>
      </c>
      <c r="B279" s="52" t="n">
        <v>46008</v>
      </c>
      <c r="C279" s="36" t="inlineStr">
        <is>
          <t>00193731150</t>
        </is>
      </c>
      <c r="D279" s="53" t="inlineStr">
        <is>
          <t>CONTOUR NEXT TEST  STRIPS</t>
        </is>
      </c>
      <c r="E279" s="36" t="n">
        <v>50</v>
      </c>
      <c r="F279" s="54" t="n">
        <v>100</v>
      </c>
      <c r="G279" s="54" t="n">
        <v>2</v>
      </c>
      <c r="H279" s="55" t="n">
        <v>0</v>
      </c>
      <c r="I279" s="55" t="n">
        <v>103.51</v>
      </c>
      <c r="J279" s="55" t="n">
        <v>0</v>
      </c>
      <c r="K279" s="55" t="n">
        <v>0</v>
      </c>
      <c r="L279" s="55" t="n">
        <v>103.51</v>
      </c>
      <c r="M279" s="55" t="n">
        <v>0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RX1110</t>
        </is>
      </c>
    </row>
    <row r="280">
      <c r="A280" s="36" t="inlineStr">
        <is>
          <t>138195</t>
        </is>
      </c>
      <c r="B280" s="52" t="n">
        <v>46030</v>
      </c>
      <c r="C280" s="36" t="inlineStr">
        <is>
          <t>00193731150</t>
        </is>
      </c>
      <c r="D280" s="53" t="inlineStr">
        <is>
          <t>CONTOUR NEXT TEST  STRIPS</t>
        </is>
      </c>
      <c r="E280" s="36" t="n">
        <v>50</v>
      </c>
      <c r="F280" s="54" t="n">
        <v>100</v>
      </c>
      <c r="G280" s="54" t="n">
        <v>2</v>
      </c>
      <c r="H280" s="55" t="n">
        <v>0</v>
      </c>
      <c r="I280" s="55" t="n">
        <v>104.44</v>
      </c>
      <c r="J280" s="55" t="n">
        <v>0</v>
      </c>
      <c r="K280" s="55" t="n">
        <v>0</v>
      </c>
      <c r="L280" s="55" t="n">
        <v>104.44</v>
      </c>
      <c r="M280" s="55" t="n">
        <v>0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117331</t>
        </is>
      </c>
      <c r="B281" s="52" t="n">
        <v>46044</v>
      </c>
      <c r="C281" s="36" t="inlineStr">
        <is>
          <t>00193731150</t>
        </is>
      </c>
      <c r="D281" s="53" t="inlineStr">
        <is>
          <t>CONTOUR NEXT TEST  STRIPS</t>
        </is>
      </c>
      <c r="E281" s="36" t="n">
        <v>50</v>
      </c>
      <c r="F281" s="54" t="n">
        <v>100</v>
      </c>
      <c r="G281" s="54" t="n">
        <v>2</v>
      </c>
      <c r="H281" s="55" t="n">
        <v>0</v>
      </c>
      <c r="I281" s="55" t="n">
        <v>102.62</v>
      </c>
      <c r="J281" s="55" t="n">
        <v>0</v>
      </c>
      <c r="K281" s="55" t="n">
        <v>0</v>
      </c>
      <c r="L281" s="55" t="n">
        <v>102.62</v>
      </c>
      <c r="M281" s="55" t="n">
        <v>0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RX1110</t>
        </is>
      </c>
    </row>
    <row r="282">
      <c r="A282" s="36" t="inlineStr">
        <is>
          <t>120162</t>
        </is>
      </c>
      <c r="B282" s="52" t="n">
        <v>46002</v>
      </c>
      <c r="C282" s="36" t="inlineStr">
        <is>
          <t>00193731150</t>
        </is>
      </c>
      <c r="D282" s="53" t="inlineStr">
        <is>
          <t>CONTOUR NEXT TEST  STRIPS</t>
        </is>
      </c>
      <c r="E282" s="36" t="n">
        <v>50</v>
      </c>
      <c r="F282" s="54" t="n">
        <v>100</v>
      </c>
      <c r="G282" s="54" t="n">
        <v>2</v>
      </c>
      <c r="H282" s="55" t="n">
        <v>0</v>
      </c>
      <c r="I282" s="55" t="n">
        <v>102.86</v>
      </c>
      <c r="J282" s="55" t="n">
        <v>0</v>
      </c>
      <c r="K282" s="55" t="n">
        <v>0</v>
      </c>
      <c r="L282" s="55" t="n">
        <v>102.86</v>
      </c>
      <c r="M282" s="55" t="n">
        <v>0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ADV</t>
        </is>
      </c>
      <c r="Q282" s="36" t="inlineStr">
        <is>
          <t>RX1103</t>
        </is>
      </c>
    </row>
    <row r="283">
      <c r="A283" s="36" t="inlineStr">
        <is>
          <t>144218</t>
        </is>
      </c>
      <c r="B283" s="52" t="n">
        <v>46073</v>
      </c>
      <c r="C283" s="36" t="inlineStr">
        <is>
          <t>00193731150</t>
        </is>
      </c>
      <c r="D283" s="53" t="inlineStr">
        <is>
          <t>CONTOUR NEXT TEST  STRIPS</t>
        </is>
      </c>
      <c r="E283" s="36" t="n">
        <v>50</v>
      </c>
      <c r="F283" s="54" t="n">
        <v>100</v>
      </c>
      <c r="G283" s="54" t="n">
        <v>2</v>
      </c>
      <c r="H283" s="55" t="n">
        <v>0</v>
      </c>
      <c r="I283" s="55" t="n">
        <v>110</v>
      </c>
      <c r="J283" s="55" t="n">
        <v>0</v>
      </c>
      <c r="K283" s="55" t="n">
        <v>0</v>
      </c>
      <c r="L283" s="55" t="n">
        <v>110</v>
      </c>
      <c r="M283" s="55" t="n">
        <v>0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117794</t>
        </is>
      </c>
      <c r="B284" s="52" t="n">
        <v>46048</v>
      </c>
      <c r="C284" s="36" t="inlineStr">
        <is>
          <t>00193731150</t>
        </is>
      </c>
      <c r="D284" s="53" t="inlineStr">
        <is>
          <t>CONTOUR NEXT TEST  STRIPS</t>
        </is>
      </c>
      <c r="E284" s="36" t="n">
        <v>50</v>
      </c>
      <c r="F284" s="54" t="n">
        <v>100</v>
      </c>
      <c r="G284" s="54" t="n">
        <v>2</v>
      </c>
      <c r="H284" s="55" t="n">
        <v>0</v>
      </c>
      <c r="I284" s="55" t="n">
        <v>102.62</v>
      </c>
      <c r="J284" s="55" t="n">
        <v>0</v>
      </c>
      <c r="K284" s="55" t="n">
        <v>0</v>
      </c>
      <c r="L284" s="55" t="n">
        <v>102.62</v>
      </c>
      <c r="M284" s="55" t="n">
        <v>0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143448</t>
        </is>
      </c>
      <c r="B285" s="52" t="n">
        <v>46069</v>
      </c>
      <c r="C285" s="36" t="inlineStr">
        <is>
          <t>00193731150</t>
        </is>
      </c>
      <c r="D285" s="53" t="inlineStr">
        <is>
          <t>CONTOUR NEXT TEST  STRIPS</t>
        </is>
      </c>
      <c r="E285" s="36" t="n">
        <v>50</v>
      </c>
      <c r="F285" s="54" t="n">
        <v>100</v>
      </c>
      <c r="G285" s="54" t="n">
        <v>2</v>
      </c>
      <c r="H285" s="55" t="n">
        <v>0</v>
      </c>
      <c r="I285" s="55" t="n">
        <v>73.25</v>
      </c>
      <c r="J285" s="55" t="n">
        <v>0</v>
      </c>
      <c r="K285" s="55" t="n">
        <v>45</v>
      </c>
      <c r="L285" s="55" t="n">
        <v>118.25</v>
      </c>
      <c r="M285" s="55" t="n">
        <v>0</v>
      </c>
      <c r="N285" s="36" t="inlineStr">
        <is>
          <t>000000</t>
        </is>
      </c>
      <c r="O285" s="36" t="n">
        <v/>
      </c>
      <c r="P285" s="36" t="n">
        <v/>
      </c>
      <c r="Q285" s="36" t="n">
        <v/>
      </c>
    </row>
    <row r="286">
      <c r="A286" s="36" t="inlineStr">
        <is>
          <t>118164</t>
        </is>
      </c>
      <c r="B286" s="52" t="n">
        <v>45999</v>
      </c>
      <c r="C286" s="36" t="inlineStr">
        <is>
          <t>00193731150</t>
        </is>
      </c>
      <c r="D286" s="53" t="inlineStr">
        <is>
          <t>CONTOUR NEXT TEST  STRIPS</t>
        </is>
      </c>
      <c r="E286" s="36" t="n">
        <v>50</v>
      </c>
      <c r="F286" s="54" t="n">
        <v>100</v>
      </c>
      <c r="G286" s="54" t="n">
        <v>2</v>
      </c>
      <c r="H286" s="55" t="n">
        <v>0</v>
      </c>
      <c r="I286" s="55" t="n">
        <v>103.51</v>
      </c>
      <c r="J286" s="55" t="n">
        <v>0</v>
      </c>
      <c r="K286" s="55" t="n">
        <v>0</v>
      </c>
      <c r="L286" s="55" t="n">
        <v>103.51</v>
      </c>
      <c r="M286" s="55" t="n">
        <v>0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143445</t>
        </is>
      </c>
      <c r="B287" s="52" t="n">
        <v>46069</v>
      </c>
      <c r="C287" s="36" t="inlineStr">
        <is>
          <t>00193731150</t>
        </is>
      </c>
      <c r="D287" s="53" t="inlineStr">
        <is>
          <t>CONTOUR NEXT TEST  STRIPS</t>
        </is>
      </c>
      <c r="E287" s="36" t="n">
        <v>50</v>
      </c>
      <c r="F287" s="54" t="n">
        <v>100</v>
      </c>
      <c r="G287" s="54" t="n">
        <v>2</v>
      </c>
      <c r="H287" s="55" t="n">
        <v>0</v>
      </c>
      <c r="I287" s="55" t="n">
        <v>102.46</v>
      </c>
      <c r="J287" s="55" t="n">
        <v>0</v>
      </c>
      <c r="K287" s="55" t="n">
        <v>0</v>
      </c>
      <c r="L287" s="55" t="n">
        <v>102.46</v>
      </c>
      <c r="M287" s="55" t="n">
        <v>0</v>
      </c>
      <c r="N287" s="36" t="inlineStr">
        <is>
          <t>004336</t>
        </is>
      </c>
      <c r="O287" s="36" t="inlineStr">
        <is>
          <t>CAREMARK</t>
        </is>
      </c>
      <c r="P287" s="36" t="inlineStr">
        <is>
          <t>MEDDADV</t>
        </is>
      </c>
      <c r="Q287" s="36" t="inlineStr">
        <is>
          <t>RX8585</t>
        </is>
      </c>
    </row>
    <row r="288">
      <c r="A288" s="36" t="inlineStr">
        <is>
          <t>122703</t>
        </is>
      </c>
      <c r="B288" s="52" t="n">
        <v>45999</v>
      </c>
      <c r="C288" s="36" t="inlineStr">
        <is>
          <t>00193731150</t>
        </is>
      </c>
      <c r="D288" s="53" t="inlineStr">
        <is>
          <t>CONTOUR NEXT TEST  STRIPS</t>
        </is>
      </c>
      <c r="E288" s="36" t="n">
        <v>50</v>
      </c>
      <c r="F288" s="54" t="n">
        <v>100</v>
      </c>
      <c r="G288" s="54" t="n">
        <v>2</v>
      </c>
      <c r="H288" s="55" t="n">
        <v>0</v>
      </c>
      <c r="I288" s="55" t="n">
        <v>110</v>
      </c>
      <c r="J288" s="55" t="n">
        <v>0</v>
      </c>
      <c r="K288" s="55" t="n">
        <v>0</v>
      </c>
      <c r="L288" s="55" t="n">
        <v>110</v>
      </c>
      <c r="M288" s="55" t="n">
        <v>0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109069</t>
        </is>
      </c>
      <c r="B289" s="52" t="n">
        <v>46028</v>
      </c>
      <c r="C289" s="36" t="inlineStr">
        <is>
          <t>00193731150</t>
        </is>
      </c>
      <c r="D289" s="53" t="inlineStr">
        <is>
          <t>CONTOUR NEXT TEST  STRIPS</t>
        </is>
      </c>
      <c r="E289" s="36" t="n">
        <v>50</v>
      </c>
      <c r="F289" s="54" t="n">
        <v>300</v>
      </c>
      <c r="G289" s="54" t="n">
        <v>6</v>
      </c>
      <c r="H289" s="55" t="n">
        <v>0</v>
      </c>
      <c r="I289" s="55" t="n">
        <v>229.75</v>
      </c>
      <c r="J289" s="55" t="n">
        <v>0</v>
      </c>
      <c r="K289" s="55" t="n">
        <v>100</v>
      </c>
      <c r="L289" s="55" t="n">
        <v>329.75</v>
      </c>
      <c r="M289" s="55" t="n">
        <v>0</v>
      </c>
      <c r="N289" s="36" t="inlineStr">
        <is>
          <t>000000</t>
        </is>
      </c>
      <c r="O289" s="36" t="n">
        <v/>
      </c>
      <c r="P289" s="36" t="n">
        <v/>
      </c>
      <c r="Q289" s="36" t="n">
        <v/>
      </c>
    </row>
    <row r="290">
      <c r="A290" s="36" t="inlineStr">
        <is>
          <t>122966</t>
        </is>
      </c>
      <c r="B290" s="52" t="n">
        <v>45999</v>
      </c>
      <c r="C290" s="36" t="inlineStr">
        <is>
          <t>00193731150</t>
        </is>
      </c>
      <c r="D290" s="53" t="inlineStr">
        <is>
          <t>CONTOUR NEXT TEST  STRIPS</t>
        </is>
      </c>
      <c r="E290" s="36" t="n">
        <v>50</v>
      </c>
      <c r="F290" s="54" t="n">
        <v>100</v>
      </c>
      <c r="G290" s="54" t="n">
        <v>2</v>
      </c>
      <c r="H290" s="55" t="n">
        <v>0</v>
      </c>
      <c r="I290" s="55" t="n">
        <v>102.76</v>
      </c>
      <c r="J290" s="55" t="n">
        <v>0</v>
      </c>
      <c r="K290" s="55" t="n">
        <v>0</v>
      </c>
      <c r="L290" s="55" t="n">
        <v>102.76</v>
      </c>
      <c r="M290" s="55" t="n">
        <v>0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RX1103</t>
        </is>
      </c>
    </row>
    <row r="291">
      <c r="A291" s="36" t="inlineStr">
        <is>
          <t>128203</t>
        </is>
      </c>
      <c r="B291" s="52" t="n">
        <v>46041</v>
      </c>
      <c r="C291" s="36" t="inlineStr">
        <is>
          <t>00193731150</t>
        </is>
      </c>
      <c r="D291" s="53" t="inlineStr">
        <is>
          <t>CONTOUR NEXT TEST  STRIPS</t>
        </is>
      </c>
      <c r="E291" s="36" t="n">
        <v>50</v>
      </c>
      <c r="F291" s="54" t="n">
        <v>100</v>
      </c>
      <c r="G291" s="54" t="n">
        <v>2</v>
      </c>
      <c r="H291" s="55" t="n">
        <v>0</v>
      </c>
      <c r="I291" s="55" t="n">
        <v>102.62</v>
      </c>
      <c r="J291" s="55" t="n">
        <v>0</v>
      </c>
      <c r="K291" s="55" t="n">
        <v>0</v>
      </c>
      <c r="L291" s="55" t="n">
        <v>102.62</v>
      </c>
      <c r="M291" s="55" t="n">
        <v>0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135652</t>
        </is>
      </c>
      <c r="B292" s="52" t="n">
        <v>46069</v>
      </c>
      <c r="C292" s="36" t="inlineStr">
        <is>
          <t>00193731150</t>
        </is>
      </c>
      <c r="D292" s="53" t="inlineStr">
        <is>
          <t>CONTOUR NEXT TEST  STRIPS</t>
        </is>
      </c>
      <c r="E292" s="36" t="n">
        <v>50</v>
      </c>
      <c r="F292" s="54" t="n">
        <v>100</v>
      </c>
      <c r="G292" s="54" t="n">
        <v>2</v>
      </c>
      <c r="H292" s="55" t="n">
        <v>0</v>
      </c>
      <c r="I292" s="55" t="n">
        <v>104.44</v>
      </c>
      <c r="J292" s="55" t="n">
        <v>0</v>
      </c>
      <c r="K292" s="55" t="n">
        <v>0</v>
      </c>
      <c r="L292" s="55" t="n">
        <v>104.44</v>
      </c>
      <c r="M292" s="55" t="n">
        <v>0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RX1110</t>
        </is>
      </c>
    </row>
    <row r="293">
      <c r="A293" s="36" t="inlineStr">
        <is>
          <t>125484</t>
        </is>
      </c>
      <c r="B293" s="52" t="n">
        <v>45999</v>
      </c>
      <c r="C293" s="36" t="inlineStr">
        <is>
          <t>00193731150</t>
        </is>
      </c>
      <c r="D293" s="53" t="inlineStr">
        <is>
          <t>CONTOUR NEXT TEST  STRIPS</t>
        </is>
      </c>
      <c r="E293" s="36" t="n">
        <v>50</v>
      </c>
      <c r="F293" s="54" t="n">
        <v>100</v>
      </c>
      <c r="G293" s="54" t="n">
        <v>2</v>
      </c>
      <c r="H293" s="55" t="n">
        <v>0</v>
      </c>
      <c r="I293" s="55" t="n">
        <v>103.51</v>
      </c>
      <c r="J293" s="55" t="n">
        <v>0</v>
      </c>
      <c r="K293" s="55" t="n">
        <v>0</v>
      </c>
      <c r="L293" s="55" t="n">
        <v>103.51</v>
      </c>
      <c r="M293" s="55" t="n">
        <v>0</v>
      </c>
      <c r="N293" s="36" t="inlineStr">
        <is>
          <t>004336</t>
        </is>
      </c>
      <c r="O293" s="36" t="inlineStr">
        <is>
          <t>CAREMARK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138701</t>
        </is>
      </c>
      <c r="B294" s="52" t="n">
        <v>46034</v>
      </c>
      <c r="C294" s="36" t="inlineStr">
        <is>
          <t>00193731150</t>
        </is>
      </c>
      <c r="D294" s="53" t="inlineStr">
        <is>
          <t>CONTOUR NEXT TEST  STRIPS</t>
        </is>
      </c>
      <c r="E294" s="36" t="n">
        <v>50</v>
      </c>
      <c r="F294" s="54" t="n">
        <v>200</v>
      </c>
      <c r="G294" s="54" t="n">
        <v>4</v>
      </c>
      <c r="H294" s="55" t="n">
        <v>0</v>
      </c>
      <c r="I294" s="55" t="n">
        <v>220</v>
      </c>
      <c r="J294" s="55" t="n">
        <v>0</v>
      </c>
      <c r="K294" s="55" t="n">
        <v>0</v>
      </c>
      <c r="L294" s="55" t="n">
        <v>220</v>
      </c>
      <c r="M294" s="55" t="n">
        <v>0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136656</t>
        </is>
      </c>
      <c r="B295" s="52" t="n">
        <v>46017</v>
      </c>
      <c r="C295" s="36" t="inlineStr">
        <is>
          <t>00193731150</t>
        </is>
      </c>
      <c r="D295" s="53" t="inlineStr">
        <is>
          <t>CONTOUR NEXT TEST  STRIPS</t>
        </is>
      </c>
      <c r="E295" s="36" t="n">
        <v>50</v>
      </c>
      <c r="F295" s="54" t="n">
        <v>100</v>
      </c>
      <c r="G295" s="54" t="n">
        <v>2</v>
      </c>
      <c r="H295" s="55" t="n">
        <v>0</v>
      </c>
      <c r="I295" s="55" t="n">
        <v>101.96</v>
      </c>
      <c r="J295" s="55" t="n">
        <v>0</v>
      </c>
      <c r="K295" s="55" t="n">
        <v>0</v>
      </c>
      <c r="L295" s="55" t="n">
        <v>101.96</v>
      </c>
      <c r="M295" s="55" t="n">
        <v>0</v>
      </c>
      <c r="N295" s="36" t="inlineStr">
        <is>
          <t>004336</t>
        </is>
      </c>
      <c r="O295" s="36" t="inlineStr">
        <is>
          <t>CAREMARK</t>
        </is>
      </c>
      <c r="P295" s="36" t="inlineStr">
        <is>
          <t>MEDDADV</t>
        </is>
      </c>
      <c r="Q295" s="36" t="inlineStr">
        <is>
          <t>RX1110</t>
        </is>
      </c>
    </row>
    <row r="296">
      <c r="A296" s="36" t="inlineStr">
        <is>
          <t>112056</t>
        </is>
      </c>
      <c r="B296" s="52" t="n">
        <v>45999</v>
      </c>
      <c r="C296" s="36" t="inlineStr">
        <is>
          <t>00193731150</t>
        </is>
      </c>
      <c r="D296" s="53" t="inlineStr">
        <is>
          <t>CONTOUR NEXT TEST  STRIPS</t>
        </is>
      </c>
      <c r="E296" s="36" t="n">
        <v>50</v>
      </c>
      <c r="F296" s="54" t="n">
        <v>100</v>
      </c>
      <c r="G296" s="54" t="n">
        <v>2</v>
      </c>
      <c r="H296" s="55" t="n">
        <v>0</v>
      </c>
      <c r="I296" s="55" t="n">
        <v>101.96</v>
      </c>
      <c r="J296" s="55" t="n">
        <v>0</v>
      </c>
      <c r="K296" s="55" t="n">
        <v>0</v>
      </c>
      <c r="L296" s="55" t="n">
        <v>101.96</v>
      </c>
      <c r="M296" s="55" t="n">
        <v>0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122192</t>
        </is>
      </c>
      <c r="B297" s="52" t="n">
        <v>45995</v>
      </c>
      <c r="C297" s="36" t="inlineStr">
        <is>
          <t>00193731150</t>
        </is>
      </c>
      <c r="D297" s="53" t="inlineStr">
        <is>
          <t>CONTOUR NEXT TEST  STRIPS</t>
        </is>
      </c>
      <c r="E297" s="36" t="n">
        <v>50</v>
      </c>
      <c r="F297" s="54" t="n">
        <v>100</v>
      </c>
      <c r="G297" s="54" t="n">
        <v>2</v>
      </c>
      <c r="H297" s="55" t="n">
        <v>0</v>
      </c>
      <c r="I297" s="55" t="n">
        <v>101.96</v>
      </c>
      <c r="J297" s="55" t="n">
        <v>0</v>
      </c>
      <c r="K297" s="55" t="n">
        <v>0</v>
      </c>
      <c r="L297" s="55" t="n">
        <v>101.96</v>
      </c>
      <c r="M297" s="55" t="n">
        <v>0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111773</t>
        </is>
      </c>
      <c r="B298" s="52" t="n">
        <v>45992</v>
      </c>
      <c r="C298" s="36" t="inlineStr">
        <is>
          <t>00193731150</t>
        </is>
      </c>
      <c r="D298" s="53" t="inlineStr">
        <is>
          <t>CONTOUR NEXT TEST  STRIPS</t>
        </is>
      </c>
      <c r="E298" s="36" t="n">
        <v>50</v>
      </c>
      <c r="F298" s="54" t="n">
        <v>200</v>
      </c>
      <c r="G298" s="54" t="n">
        <v>4</v>
      </c>
      <c r="H298" s="55" t="n">
        <v>0</v>
      </c>
      <c r="I298" s="55" t="n">
        <v>202.15</v>
      </c>
      <c r="J298" s="55" t="n">
        <v>0</v>
      </c>
      <c r="K298" s="55" t="n">
        <v>0</v>
      </c>
      <c r="L298" s="55" t="n">
        <v>202.15</v>
      </c>
      <c r="M298" s="55" t="n">
        <v>0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RX8585</t>
        </is>
      </c>
    </row>
    <row r="299">
      <c r="A299" s="36" t="inlineStr">
        <is>
          <t>137507</t>
        </is>
      </c>
      <c r="B299" s="52" t="n">
        <v>46027</v>
      </c>
      <c r="C299" s="36" t="inlineStr">
        <is>
          <t>00193731150</t>
        </is>
      </c>
      <c r="D299" s="53" t="inlineStr">
        <is>
          <t>CONTOUR NEXT TEST  STRIPS</t>
        </is>
      </c>
      <c r="E299" s="36" t="n">
        <v>50</v>
      </c>
      <c r="F299" s="54" t="n">
        <v>100</v>
      </c>
      <c r="G299" s="54" t="n">
        <v>2</v>
      </c>
      <c r="H299" s="55" t="n">
        <v>0</v>
      </c>
      <c r="I299" s="55" t="n">
        <v>110</v>
      </c>
      <c r="J299" s="55" t="n">
        <v>0</v>
      </c>
      <c r="K299" s="55" t="n">
        <v>0</v>
      </c>
      <c r="L299" s="55" t="n">
        <v>110</v>
      </c>
      <c r="M299" s="55" t="n">
        <v>0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143241</t>
        </is>
      </c>
      <c r="B300" s="52" t="n">
        <v>46066</v>
      </c>
      <c r="C300" s="36" t="inlineStr">
        <is>
          <t>00193731150</t>
        </is>
      </c>
      <c r="D300" s="53" t="inlineStr">
        <is>
          <t>CONTOUR NEXT TEST  STRIPS</t>
        </is>
      </c>
      <c r="E300" s="36" t="n">
        <v>50</v>
      </c>
      <c r="F300" s="54" t="n">
        <v>100</v>
      </c>
      <c r="G300" s="54" t="n">
        <v>2</v>
      </c>
      <c r="H300" s="55" t="n">
        <v>0</v>
      </c>
      <c r="I300" s="55" t="n">
        <v>102.62</v>
      </c>
      <c r="J300" s="55" t="n">
        <v>0</v>
      </c>
      <c r="K300" s="55" t="n">
        <v>0</v>
      </c>
      <c r="L300" s="55" t="n">
        <v>102.62</v>
      </c>
      <c r="M300" s="55" t="n">
        <v>0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134285</t>
        </is>
      </c>
      <c r="B301" s="52" t="n">
        <v>45999</v>
      </c>
      <c r="C301" s="36" t="inlineStr">
        <is>
          <t>00193731150</t>
        </is>
      </c>
      <c r="D301" s="53" t="inlineStr">
        <is>
          <t>CONTOUR NEXT TEST  STRIPS</t>
        </is>
      </c>
      <c r="E301" s="36" t="n">
        <v>50</v>
      </c>
      <c r="F301" s="54" t="n">
        <v>100</v>
      </c>
      <c r="G301" s="54" t="n">
        <v>2</v>
      </c>
      <c r="H301" s="55" t="n">
        <v>0</v>
      </c>
      <c r="I301" s="55" t="n">
        <v>101.96</v>
      </c>
      <c r="J301" s="55" t="n">
        <v>0</v>
      </c>
      <c r="K301" s="55" t="n">
        <v>0</v>
      </c>
      <c r="L301" s="55" t="n">
        <v>101.96</v>
      </c>
      <c r="M301" s="55" t="n">
        <v>0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139433</t>
        </is>
      </c>
      <c r="B302" s="52" t="n">
        <v>46066</v>
      </c>
      <c r="C302" s="36" t="inlineStr">
        <is>
          <t>00193731150</t>
        </is>
      </c>
      <c r="D302" s="53" t="inlineStr">
        <is>
          <t>CONTOUR NEXT TEST  STRIPS</t>
        </is>
      </c>
      <c r="E302" s="36" t="n">
        <v>50</v>
      </c>
      <c r="F302" s="54" t="n">
        <v>100</v>
      </c>
      <c r="G302" s="54" t="n">
        <v>2</v>
      </c>
      <c r="H302" s="55" t="n">
        <v>0</v>
      </c>
      <c r="I302" s="55" t="n">
        <v>73.25</v>
      </c>
      <c r="J302" s="55" t="n">
        <v>0</v>
      </c>
      <c r="K302" s="55" t="n">
        <v>45</v>
      </c>
      <c r="L302" s="55" t="n">
        <v>118.25</v>
      </c>
      <c r="M302" s="55" t="n">
        <v>0</v>
      </c>
      <c r="N302" s="36" t="inlineStr">
        <is>
          <t>000000</t>
        </is>
      </c>
      <c r="O302" s="36" t="n">
        <v/>
      </c>
      <c r="P302" s="36" t="n">
        <v/>
      </c>
      <c r="Q302" s="36" t="n">
        <v/>
      </c>
    </row>
    <row r="303">
      <c r="A303" s="36" t="inlineStr">
        <is>
          <t>131712</t>
        </is>
      </c>
      <c r="B303" s="52" t="n">
        <v>46066</v>
      </c>
      <c r="C303" s="36" t="inlineStr">
        <is>
          <t>00193731150</t>
        </is>
      </c>
      <c r="D303" s="53" t="inlineStr">
        <is>
          <t>CONTOUR NEXT TEST  STRIPS</t>
        </is>
      </c>
      <c r="E303" s="36" t="n">
        <v>50</v>
      </c>
      <c r="F303" s="54" t="n">
        <v>100</v>
      </c>
      <c r="G303" s="54" t="n">
        <v>2</v>
      </c>
      <c r="H303" s="55" t="n">
        <v>0</v>
      </c>
      <c r="I303" s="55" t="n">
        <v>110</v>
      </c>
      <c r="J303" s="55" t="n">
        <v>0</v>
      </c>
      <c r="K303" s="55" t="n">
        <v>0</v>
      </c>
      <c r="L303" s="55" t="n">
        <v>110</v>
      </c>
      <c r="M303" s="55" t="n">
        <v>0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103701</t>
        </is>
      </c>
      <c r="B304" s="52" t="n">
        <v>46050</v>
      </c>
      <c r="C304" s="36" t="inlineStr">
        <is>
          <t>00193731150</t>
        </is>
      </c>
      <c r="D304" s="53" t="inlineStr">
        <is>
          <t>CONTOUR NEXT TEST  STRIPS</t>
        </is>
      </c>
      <c r="E304" s="36" t="n">
        <v>50</v>
      </c>
      <c r="F304" s="54" t="n">
        <v>100</v>
      </c>
      <c r="G304" s="54" t="n">
        <v>2</v>
      </c>
      <c r="H304" s="55" t="n">
        <v>0</v>
      </c>
      <c r="I304" s="55" t="n">
        <v>104.44</v>
      </c>
      <c r="J304" s="55" t="n">
        <v>0</v>
      </c>
      <c r="K304" s="55" t="n">
        <v>0</v>
      </c>
      <c r="L304" s="55" t="n">
        <v>104.44</v>
      </c>
      <c r="M304" s="55" t="n">
        <v>0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120443</t>
        </is>
      </c>
      <c r="B305" s="52" t="n">
        <v>46000</v>
      </c>
      <c r="C305" s="36" t="inlineStr">
        <is>
          <t>00193731150</t>
        </is>
      </c>
      <c r="D305" s="53" t="inlineStr">
        <is>
          <t>CONTOUR NEXT TEST  STRIPS</t>
        </is>
      </c>
      <c r="E305" s="36" t="n">
        <v>50</v>
      </c>
      <c r="F305" s="54" t="n">
        <v>100</v>
      </c>
      <c r="G305" s="54" t="n">
        <v>2</v>
      </c>
      <c r="H305" s="55" t="n">
        <v>0</v>
      </c>
      <c r="I305" s="55" t="n">
        <v>110</v>
      </c>
      <c r="J305" s="55" t="n">
        <v>0</v>
      </c>
      <c r="K305" s="55" t="n">
        <v>0</v>
      </c>
      <c r="L305" s="55" t="n">
        <v>110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137465</t>
        </is>
      </c>
      <c r="B306" s="52" t="n">
        <v>46027</v>
      </c>
      <c r="C306" s="36" t="inlineStr">
        <is>
          <t>00193731150</t>
        </is>
      </c>
      <c r="D306" s="53" t="inlineStr">
        <is>
          <t>CONTOUR NEXT TEST  STRIPS</t>
        </is>
      </c>
      <c r="E306" s="36" t="n">
        <v>50</v>
      </c>
      <c r="F306" s="54" t="n">
        <v>200</v>
      </c>
      <c r="G306" s="54" t="n">
        <v>4</v>
      </c>
      <c r="H306" s="55" t="n">
        <v>0</v>
      </c>
      <c r="I306" s="55" t="n">
        <v>196.68</v>
      </c>
      <c r="J306" s="55" t="n">
        <v>0</v>
      </c>
      <c r="K306" s="55" t="n">
        <v>0</v>
      </c>
      <c r="L306" s="55" t="n">
        <v>196.68</v>
      </c>
      <c r="M306" s="55" t="n">
        <v>0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143110</t>
        </is>
      </c>
      <c r="B307" s="52" t="n">
        <v>46065</v>
      </c>
      <c r="C307" s="36" t="inlineStr">
        <is>
          <t>00193731150</t>
        </is>
      </c>
      <c r="D307" s="53" t="inlineStr">
        <is>
          <t>CONTOUR NEXT TEST  STRIPS</t>
        </is>
      </c>
      <c r="E307" s="36" t="n">
        <v>50</v>
      </c>
      <c r="F307" s="54" t="n">
        <v>200</v>
      </c>
      <c r="G307" s="54" t="n">
        <v>4</v>
      </c>
      <c r="H307" s="55" t="n">
        <v>0</v>
      </c>
      <c r="I307" s="55" t="n">
        <v>221.19</v>
      </c>
      <c r="J307" s="55" t="n">
        <v>0</v>
      </c>
      <c r="K307" s="55" t="n">
        <v>0</v>
      </c>
      <c r="L307" s="55" t="n">
        <v>221.19</v>
      </c>
      <c r="M307" s="55" t="n">
        <v>0</v>
      </c>
      <c r="N307" s="36" t="inlineStr">
        <is>
          <t>610097</t>
        </is>
      </c>
      <c r="O307" s="36" t="inlineStr">
        <is>
          <t>OPTUM</t>
        </is>
      </c>
      <c r="P307" s="36" t="inlineStr">
        <is>
          <t>9999</t>
        </is>
      </c>
      <c r="Q307" s="36" t="inlineStr">
        <is>
          <t>MPDCSP</t>
        </is>
      </c>
    </row>
    <row r="308">
      <c r="A308" s="36" t="inlineStr">
        <is>
          <t>136272</t>
        </is>
      </c>
      <c r="B308" s="52" t="n">
        <v>46017</v>
      </c>
      <c r="C308" s="36" t="inlineStr">
        <is>
          <t>00193731150</t>
        </is>
      </c>
      <c r="D308" s="53" t="inlineStr">
        <is>
          <t>CONTOUR NEXT TEST  STRIPS</t>
        </is>
      </c>
      <c r="E308" s="36" t="n">
        <v>50</v>
      </c>
      <c r="F308" s="54" t="n">
        <v>100</v>
      </c>
      <c r="G308" s="54" t="n">
        <v>2</v>
      </c>
      <c r="H308" s="55" t="n">
        <v>0</v>
      </c>
      <c r="I308" s="55" t="n">
        <v>101.96</v>
      </c>
      <c r="J308" s="55" t="n">
        <v>0</v>
      </c>
      <c r="K308" s="55" t="n">
        <v>0</v>
      </c>
      <c r="L308" s="55" t="n">
        <v>101.96</v>
      </c>
      <c r="M308" s="55" t="n">
        <v>0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144585</t>
        </is>
      </c>
      <c r="B309" s="52" t="n">
        <v>46077</v>
      </c>
      <c r="C309" s="36" t="inlineStr">
        <is>
          <t>00193731150</t>
        </is>
      </c>
      <c r="D309" s="53" t="inlineStr">
        <is>
          <t>CONTOUR NEXT TEST  STRIPS</t>
        </is>
      </c>
      <c r="E309" s="36" t="n">
        <v>50</v>
      </c>
      <c r="F309" s="54" t="n">
        <v>100</v>
      </c>
      <c r="G309" s="54" t="n">
        <v>2</v>
      </c>
      <c r="H309" s="55" t="n">
        <v>0</v>
      </c>
      <c r="I309" s="55" t="n">
        <v>110</v>
      </c>
      <c r="J309" s="55" t="n">
        <v>0</v>
      </c>
      <c r="K309" s="55" t="n">
        <v>0</v>
      </c>
      <c r="L309" s="55" t="n">
        <v>110</v>
      </c>
      <c r="M309" s="55" t="n">
        <v>0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122354</t>
        </is>
      </c>
      <c r="B310" s="52" t="n">
        <v>45995</v>
      </c>
      <c r="C310" s="36" t="inlineStr">
        <is>
          <t>00193731150</t>
        </is>
      </c>
      <c r="D310" s="53" t="inlineStr">
        <is>
          <t>CONTOUR NEXT TEST  STRIPS</t>
        </is>
      </c>
      <c r="E310" s="36" t="n">
        <v>50</v>
      </c>
      <c r="F310" s="54" t="n">
        <v>100</v>
      </c>
      <c r="G310" s="54" t="n">
        <v>2</v>
      </c>
      <c r="H310" s="55" t="n">
        <v>0</v>
      </c>
      <c r="I310" s="55" t="n">
        <v>101.96</v>
      </c>
      <c r="J310" s="55" t="n">
        <v>0</v>
      </c>
      <c r="K310" s="55" t="n">
        <v>0</v>
      </c>
      <c r="L310" s="55" t="n">
        <v>101.96</v>
      </c>
      <c r="M310" s="55" t="n">
        <v>0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125499</t>
        </is>
      </c>
      <c r="B311" s="52" t="n">
        <v>46020</v>
      </c>
      <c r="C311" s="36" t="inlineStr">
        <is>
          <t>00193731150</t>
        </is>
      </c>
      <c r="D311" s="53" t="inlineStr">
        <is>
          <t>CONTOUR NEXT TEST  STRIPS</t>
        </is>
      </c>
      <c r="E311" s="36" t="n">
        <v>50</v>
      </c>
      <c r="F311" s="54" t="n">
        <v>100</v>
      </c>
      <c r="G311" s="54" t="n">
        <v>2</v>
      </c>
      <c r="H311" s="55" t="n">
        <v>0</v>
      </c>
      <c r="I311" s="55" t="n">
        <v>101.96</v>
      </c>
      <c r="J311" s="55" t="n">
        <v>0</v>
      </c>
      <c r="K311" s="55" t="n">
        <v>0</v>
      </c>
      <c r="L311" s="55" t="n">
        <v>101.96</v>
      </c>
      <c r="M311" s="55" t="n">
        <v>0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122656</t>
        </is>
      </c>
      <c r="B312" s="52" t="n">
        <v>45997</v>
      </c>
      <c r="C312" s="36" t="inlineStr">
        <is>
          <t>00193731150</t>
        </is>
      </c>
      <c r="D312" s="53" t="inlineStr">
        <is>
          <t>CONTOUR NEXT TEST  STRIPS</t>
        </is>
      </c>
      <c r="E312" s="36" t="n">
        <v>50</v>
      </c>
      <c r="F312" s="54" t="n">
        <v>100</v>
      </c>
      <c r="G312" s="54" t="n">
        <v>2</v>
      </c>
      <c r="H312" s="55" t="n">
        <v>0</v>
      </c>
      <c r="I312" s="55" t="n">
        <v>101.96</v>
      </c>
      <c r="J312" s="55" t="n">
        <v>0</v>
      </c>
      <c r="K312" s="55" t="n">
        <v>0</v>
      </c>
      <c r="L312" s="55" t="n">
        <v>101.96</v>
      </c>
      <c r="M312" s="55" t="n">
        <v>0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136739</t>
        </is>
      </c>
      <c r="B313" s="52" t="n">
        <v>46020</v>
      </c>
      <c r="C313" s="36" t="inlineStr">
        <is>
          <t>00193731150</t>
        </is>
      </c>
      <c r="D313" s="53" t="inlineStr">
        <is>
          <t>CONTOUR NEXT TEST  STRIPS</t>
        </is>
      </c>
      <c r="E313" s="36" t="n">
        <v>50</v>
      </c>
      <c r="F313" s="54" t="n">
        <v>100</v>
      </c>
      <c r="G313" s="54" t="n">
        <v>2</v>
      </c>
      <c r="H313" s="55" t="n">
        <v>0</v>
      </c>
      <c r="I313" s="55" t="n">
        <v>103.51</v>
      </c>
      <c r="J313" s="55" t="n">
        <v>0</v>
      </c>
      <c r="K313" s="55" t="n">
        <v>0</v>
      </c>
      <c r="L313" s="55" t="n">
        <v>103.51</v>
      </c>
      <c r="M313" s="55" t="n">
        <v>0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117863</t>
        </is>
      </c>
      <c r="B314" s="52" t="n">
        <v>46049</v>
      </c>
      <c r="C314" s="36" t="inlineStr">
        <is>
          <t>00193731150</t>
        </is>
      </c>
      <c r="D314" s="53" t="inlineStr">
        <is>
          <t>CONTOUR NEXT TEST  STRIPS</t>
        </is>
      </c>
      <c r="E314" s="36" t="n">
        <v>50</v>
      </c>
      <c r="F314" s="54" t="n">
        <v>200</v>
      </c>
      <c r="G314" s="54" t="n">
        <v>4</v>
      </c>
      <c r="H314" s="55" t="n">
        <v>0</v>
      </c>
      <c r="I314" s="55" t="n">
        <v>205.58</v>
      </c>
      <c r="J314" s="55" t="n">
        <v>0</v>
      </c>
      <c r="K314" s="55" t="n">
        <v>0</v>
      </c>
      <c r="L314" s="55" t="n">
        <v>205.58</v>
      </c>
      <c r="M314" s="55" t="n">
        <v>0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136844</t>
        </is>
      </c>
      <c r="B315" s="52" t="n">
        <v>46020</v>
      </c>
      <c r="C315" s="36" t="inlineStr">
        <is>
          <t>00193731150</t>
        </is>
      </c>
      <c r="D315" s="53" t="inlineStr">
        <is>
          <t>CONTOUR NEXT TEST  STRIPS</t>
        </is>
      </c>
      <c r="E315" s="36" t="n">
        <v>50</v>
      </c>
      <c r="F315" s="54" t="n">
        <v>200</v>
      </c>
      <c r="G315" s="54" t="n">
        <v>4</v>
      </c>
      <c r="H315" s="55" t="n">
        <v>0</v>
      </c>
      <c r="I315" s="55" t="n">
        <v>196.68</v>
      </c>
      <c r="J315" s="55" t="n">
        <v>0</v>
      </c>
      <c r="K315" s="55" t="n">
        <v>0</v>
      </c>
      <c r="L315" s="55" t="n">
        <v>196.68</v>
      </c>
      <c r="M315" s="55" t="n">
        <v>0</v>
      </c>
      <c r="N315" s="36" t="inlineStr">
        <is>
          <t>015574</t>
        </is>
      </c>
      <c r="O315" s="36" t="inlineStr">
        <is>
          <t>MEDIMP</t>
        </is>
      </c>
      <c r="P315" s="36" t="inlineStr">
        <is>
          <t>ASPROD1</t>
        </is>
      </c>
      <c r="Q315" s="36" t="inlineStr">
        <is>
          <t>VNS01</t>
        </is>
      </c>
    </row>
    <row r="316">
      <c r="A316" s="36" t="inlineStr">
        <is>
          <t>121030</t>
        </is>
      </c>
      <c r="B316" s="52" t="n">
        <v>46072</v>
      </c>
      <c r="C316" s="36" t="inlineStr">
        <is>
          <t>00193731150</t>
        </is>
      </c>
      <c r="D316" s="53" t="inlineStr">
        <is>
          <t>CONTOUR NEXT TEST  STRIPS</t>
        </is>
      </c>
      <c r="E316" s="36" t="n">
        <v>50</v>
      </c>
      <c r="F316" s="54" t="n">
        <v>200</v>
      </c>
      <c r="G316" s="54" t="n">
        <v>4</v>
      </c>
      <c r="H316" s="55" t="n">
        <v>0</v>
      </c>
      <c r="I316" s="55" t="n">
        <v>196.68</v>
      </c>
      <c r="J316" s="55" t="n">
        <v>0</v>
      </c>
      <c r="K316" s="55" t="n">
        <v>0</v>
      </c>
      <c r="L316" s="55" t="n">
        <v>196.68</v>
      </c>
      <c r="M316" s="55" t="n">
        <v>0</v>
      </c>
      <c r="N316" s="36" t="inlineStr">
        <is>
          <t>015574</t>
        </is>
      </c>
      <c r="O316" s="36" t="inlineStr">
        <is>
          <t>MEDIMP</t>
        </is>
      </c>
      <c r="P316" s="36" t="inlineStr">
        <is>
          <t>ASPROD1</t>
        </is>
      </c>
      <c r="Q316" s="36" t="inlineStr">
        <is>
          <t>VNS01</t>
        </is>
      </c>
    </row>
    <row r="317">
      <c r="A317" s="36" t="inlineStr">
        <is>
          <t>105990</t>
        </is>
      </c>
      <c r="B317" s="52" t="n">
        <v>46038</v>
      </c>
      <c r="C317" s="36" t="inlineStr">
        <is>
          <t>00193731150</t>
        </is>
      </c>
      <c r="D317" s="53" t="inlineStr">
        <is>
          <t>CONTOUR NEXT TEST  STRIPS</t>
        </is>
      </c>
      <c r="E317" s="36" t="n">
        <v>50</v>
      </c>
      <c r="F317" s="54" t="n">
        <v>100</v>
      </c>
      <c r="G317" s="54" t="n">
        <v>2</v>
      </c>
      <c r="H317" s="55" t="n">
        <v>0</v>
      </c>
      <c r="I317" s="55" t="n">
        <v>102.62</v>
      </c>
      <c r="J317" s="55" t="n">
        <v>0</v>
      </c>
      <c r="K317" s="55" t="n">
        <v>0</v>
      </c>
      <c r="L317" s="55" t="n">
        <v>102.62</v>
      </c>
      <c r="M317" s="55" t="n">
        <v>0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133816</t>
        </is>
      </c>
      <c r="B318" s="52" t="n">
        <v>45995</v>
      </c>
      <c r="C318" s="36" t="inlineStr">
        <is>
          <t>00193731150</t>
        </is>
      </c>
      <c r="D318" s="53" t="inlineStr">
        <is>
          <t>CONTOUR NEXT TEST  STRIPS</t>
        </is>
      </c>
      <c r="E318" s="36" t="n">
        <v>50</v>
      </c>
      <c r="F318" s="54" t="n">
        <v>200</v>
      </c>
      <c r="G318" s="54" t="n">
        <v>4</v>
      </c>
      <c r="H318" s="55" t="n">
        <v>0</v>
      </c>
      <c r="I318" s="55" t="n">
        <v>204.26</v>
      </c>
      <c r="J318" s="55" t="n">
        <v>0</v>
      </c>
      <c r="K318" s="55" t="n">
        <v>0</v>
      </c>
      <c r="L318" s="55" t="n">
        <v>204.26</v>
      </c>
      <c r="M318" s="55" t="n">
        <v>0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139433</t>
        </is>
      </c>
      <c r="B319" s="52" t="n">
        <v>46038</v>
      </c>
      <c r="C319" s="36" t="inlineStr">
        <is>
          <t>00193731150</t>
        </is>
      </c>
      <c r="D319" s="53" t="inlineStr">
        <is>
          <t>CONTOUR NEXT TEST  STRIPS</t>
        </is>
      </c>
      <c r="E319" s="36" t="n">
        <v>50</v>
      </c>
      <c r="F319" s="54" t="n">
        <v>100</v>
      </c>
      <c r="G319" s="54" t="n">
        <v>2</v>
      </c>
      <c r="H319" s="55" t="n">
        <v>0</v>
      </c>
      <c r="I319" s="55" t="n">
        <v>73.25</v>
      </c>
      <c r="J319" s="55" t="n">
        <v>0</v>
      </c>
      <c r="K319" s="55" t="n">
        <v>45</v>
      </c>
      <c r="L319" s="55" t="n">
        <v>118.25</v>
      </c>
      <c r="M319" s="55" t="n">
        <v>0</v>
      </c>
      <c r="N319" s="36" t="inlineStr">
        <is>
          <t>000000</t>
        </is>
      </c>
      <c r="O319" s="36" t="n">
        <v/>
      </c>
      <c r="P319" s="36" t="n">
        <v/>
      </c>
      <c r="Q319" s="36" t="n">
        <v/>
      </c>
    </row>
    <row r="320">
      <c r="A320" s="36" t="inlineStr">
        <is>
          <t>99963</t>
        </is>
      </c>
      <c r="B320" s="52" t="n">
        <v>46072</v>
      </c>
      <c r="C320" s="36" t="inlineStr">
        <is>
          <t>00193731150</t>
        </is>
      </c>
      <c r="D320" s="53" t="inlineStr">
        <is>
          <t>CONTOUR NEXT TEST  STRIPS</t>
        </is>
      </c>
      <c r="E320" s="36" t="n">
        <v>50</v>
      </c>
      <c r="F320" s="54" t="n">
        <v>100</v>
      </c>
      <c r="G320" s="54" t="n">
        <v>2</v>
      </c>
      <c r="H320" s="55" t="n">
        <v>0</v>
      </c>
      <c r="I320" s="55" t="n">
        <v>102.62</v>
      </c>
      <c r="J320" s="55" t="n">
        <v>0</v>
      </c>
      <c r="K320" s="55" t="n">
        <v>0</v>
      </c>
      <c r="L320" s="55" t="n">
        <v>102.62</v>
      </c>
      <c r="M320" s="55" t="n">
        <v>0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143929</t>
        </is>
      </c>
      <c r="B321" s="52" t="n">
        <v>46071</v>
      </c>
      <c r="C321" s="36" t="inlineStr">
        <is>
          <t>00193731150</t>
        </is>
      </c>
      <c r="D321" s="53" t="inlineStr">
        <is>
          <t>CONTOUR NEXT TEST  STRIPS</t>
        </is>
      </c>
      <c r="E321" s="36" t="n">
        <v>50</v>
      </c>
      <c r="F321" s="54" t="n">
        <v>300</v>
      </c>
      <c r="G321" s="54" t="n">
        <v>6</v>
      </c>
      <c r="H321" s="55" t="n">
        <v>0</v>
      </c>
      <c r="I321" s="55" t="n">
        <v>232.25</v>
      </c>
      <c r="J321" s="55" t="n">
        <v>0</v>
      </c>
      <c r="K321" s="55" t="n">
        <v>125</v>
      </c>
      <c r="L321" s="55" t="n">
        <v>357.25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ADV</t>
        </is>
      </c>
      <c r="Q321" s="36" t="inlineStr">
        <is>
          <t>RX23MD</t>
        </is>
      </c>
    </row>
    <row r="322">
      <c r="A322" s="36" t="inlineStr">
        <is>
          <t>115006</t>
        </is>
      </c>
      <c r="B322" s="52" t="n">
        <v>45993</v>
      </c>
      <c r="C322" s="36" t="inlineStr">
        <is>
          <t>00193731150</t>
        </is>
      </c>
      <c r="D322" s="53" t="inlineStr">
        <is>
          <t>CONTOUR NEXT TEST  STRIPS</t>
        </is>
      </c>
      <c r="E322" s="36" t="n">
        <v>50</v>
      </c>
      <c r="F322" s="54" t="n">
        <v>100</v>
      </c>
      <c r="G322" s="54" t="n">
        <v>2</v>
      </c>
      <c r="H322" s="55" t="n">
        <v>0</v>
      </c>
      <c r="I322" s="55" t="n">
        <v>103.51</v>
      </c>
      <c r="J322" s="55" t="n">
        <v>0</v>
      </c>
      <c r="K322" s="55" t="n">
        <v>0</v>
      </c>
      <c r="L322" s="55" t="n">
        <v>103.51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126433</t>
        </is>
      </c>
      <c r="B323" s="52" t="n">
        <v>46028</v>
      </c>
      <c r="C323" s="36" t="inlineStr">
        <is>
          <t>00193731150</t>
        </is>
      </c>
      <c r="D323" s="53" t="inlineStr">
        <is>
          <t>CONTOUR NEXT TEST  STRIPS</t>
        </is>
      </c>
      <c r="E323" s="36" t="n">
        <v>50</v>
      </c>
      <c r="F323" s="54" t="n">
        <v>100</v>
      </c>
      <c r="G323" s="54" t="n">
        <v>2</v>
      </c>
      <c r="H323" s="55" t="n">
        <v>0</v>
      </c>
      <c r="I323" s="55" t="n">
        <v>102.62</v>
      </c>
      <c r="J323" s="55" t="n">
        <v>0</v>
      </c>
      <c r="K323" s="55" t="n">
        <v>0</v>
      </c>
      <c r="L323" s="55" t="n">
        <v>102.62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136948</t>
        </is>
      </c>
      <c r="B324" s="52" t="n">
        <v>46049</v>
      </c>
      <c r="C324" s="36" t="inlineStr">
        <is>
          <t>00193731150</t>
        </is>
      </c>
      <c r="D324" s="53" t="inlineStr">
        <is>
          <t>CONTOUR NEXT TEST  STRIPS</t>
        </is>
      </c>
      <c r="E324" s="36" t="n">
        <v>50</v>
      </c>
      <c r="F324" s="54" t="n">
        <v>100</v>
      </c>
      <c r="G324" s="54" t="n">
        <v>2</v>
      </c>
      <c r="H324" s="55" t="n">
        <v>0</v>
      </c>
      <c r="I324" s="55" t="n">
        <v>104.44</v>
      </c>
      <c r="J324" s="55" t="n">
        <v>0</v>
      </c>
      <c r="K324" s="55" t="n">
        <v>0</v>
      </c>
      <c r="L324" s="55" t="n">
        <v>104.44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122491</t>
        </is>
      </c>
      <c r="B325" s="52" t="n">
        <v>45996</v>
      </c>
      <c r="C325" s="36" t="inlineStr">
        <is>
          <t>00193731150</t>
        </is>
      </c>
      <c r="D325" s="53" t="inlineStr">
        <is>
          <t>CONTOUR NEXT TEST  STRIPS</t>
        </is>
      </c>
      <c r="E325" s="36" t="n">
        <v>50</v>
      </c>
      <c r="F325" s="54" t="n">
        <v>100</v>
      </c>
      <c r="G325" s="54" t="n">
        <v>2</v>
      </c>
      <c r="H325" s="55" t="n">
        <v>0</v>
      </c>
      <c r="I325" s="55" t="n">
        <v>101.96</v>
      </c>
      <c r="J325" s="55" t="n">
        <v>0</v>
      </c>
      <c r="K325" s="55" t="n">
        <v>0</v>
      </c>
      <c r="L325" s="55" t="n">
        <v>101.96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122526</t>
        </is>
      </c>
      <c r="B326" s="52" t="n">
        <v>45996</v>
      </c>
      <c r="C326" s="36" t="inlineStr">
        <is>
          <t>00193731150</t>
        </is>
      </c>
      <c r="D326" s="53" t="inlineStr">
        <is>
          <t>CONTOUR NEXT TEST  STRIPS</t>
        </is>
      </c>
      <c r="E326" s="36" t="n">
        <v>50</v>
      </c>
      <c r="F326" s="54" t="n">
        <v>100</v>
      </c>
      <c r="G326" s="54" t="n">
        <v>2</v>
      </c>
      <c r="H326" s="55" t="n">
        <v>0</v>
      </c>
      <c r="I326" s="55" t="n">
        <v>101.96</v>
      </c>
      <c r="J326" s="55" t="n">
        <v>0</v>
      </c>
      <c r="K326" s="55" t="n">
        <v>0</v>
      </c>
      <c r="L326" s="55" t="n">
        <v>101.96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143738</t>
        </is>
      </c>
      <c r="B327" s="52" t="n">
        <v>46071</v>
      </c>
      <c r="C327" s="36" t="inlineStr">
        <is>
          <t>00193731150</t>
        </is>
      </c>
      <c r="D327" s="53" t="inlineStr">
        <is>
          <t>CONTOUR NEXT TEST  STRIPS</t>
        </is>
      </c>
      <c r="E327" s="36" t="n">
        <v>50</v>
      </c>
      <c r="F327" s="54" t="n">
        <v>100</v>
      </c>
      <c r="G327" s="54" t="n">
        <v>2</v>
      </c>
      <c r="H327" s="55" t="n">
        <v>0</v>
      </c>
      <c r="I327" s="55" t="n">
        <v>110</v>
      </c>
      <c r="J327" s="55" t="n">
        <v>0</v>
      </c>
      <c r="K327" s="55" t="n">
        <v>0</v>
      </c>
      <c r="L327" s="55" t="n">
        <v>110</v>
      </c>
      <c r="M327" s="55" t="n">
        <v>0</v>
      </c>
      <c r="N327" s="36" t="inlineStr">
        <is>
          <t>004740</t>
        </is>
      </c>
      <c r="O327" s="36" t="inlineStr">
        <is>
          <t>NYM</t>
        </is>
      </c>
      <c r="P327" s="36" t="inlineStr">
        <is>
          <t>9314DA31</t>
        </is>
      </c>
      <c r="Q327" s="36" t="n">
        <v/>
      </c>
    </row>
    <row r="328">
      <c r="A328" s="36" t="inlineStr">
        <is>
          <t>129796</t>
        </is>
      </c>
      <c r="B328" s="52" t="n">
        <v>46020</v>
      </c>
      <c r="C328" s="36" t="inlineStr">
        <is>
          <t>00193731150</t>
        </is>
      </c>
      <c r="D328" s="53" t="inlineStr">
        <is>
          <t>CONTOUR NEXT TEST  STRIPS</t>
        </is>
      </c>
      <c r="E328" s="36" t="n">
        <v>50</v>
      </c>
      <c r="F328" s="54" t="n">
        <v>100</v>
      </c>
      <c r="G328" s="54" t="n">
        <v>2</v>
      </c>
      <c r="H328" s="55" t="n">
        <v>0</v>
      </c>
      <c r="I328" s="55" t="n">
        <v>103.51</v>
      </c>
      <c r="J328" s="55" t="n">
        <v>0</v>
      </c>
      <c r="K328" s="55" t="n">
        <v>0</v>
      </c>
      <c r="L328" s="55" t="n">
        <v>103.51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139944</t>
        </is>
      </c>
      <c r="B329" s="52" t="n">
        <v>46071</v>
      </c>
      <c r="C329" s="36" t="inlineStr">
        <is>
          <t>00193731150</t>
        </is>
      </c>
      <c r="D329" s="53" t="inlineStr">
        <is>
          <t>CONTOUR NEXT TEST  STRIPS</t>
        </is>
      </c>
      <c r="E329" s="36" t="n">
        <v>50</v>
      </c>
      <c r="F329" s="54" t="n">
        <v>100</v>
      </c>
      <c r="G329" s="54" t="n">
        <v>2</v>
      </c>
      <c r="H329" s="55" t="n">
        <v>0</v>
      </c>
      <c r="I329" s="55" t="n">
        <v>104.44</v>
      </c>
      <c r="J329" s="55" t="n">
        <v>0</v>
      </c>
      <c r="K329" s="55" t="n">
        <v>0</v>
      </c>
      <c r="L329" s="55" t="n">
        <v>104.44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139116</t>
        </is>
      </c>
      <c r="B330" s="52" t="n">
        <v>46036</v>
      </c>
      <c r="C330" s="36" t="inlineStr">
        <is>
          <t>00193731150</t>
        </is>
      </c>
      <c r="D330" s="53" t="inlineStr">
        <is>
          <t>CONTOUR NEXT TEST  STRIPS</t>
        </is>
      </c>
      <c r="E330" s="36" t="n">
        <v>50</v>
      </c>
      <c r="F330" s="54" t="n">
        <v>100</v>
      </c>
      <c r="G330" s="54" t="n">
        <v>2</v>
      </c>
      <c r="H330" s="55" t="n">
        <v>0</v>
      </c>
      <c r="I330" s="55" t="n">
        <v>102.62</v>
      </c>
      <c r="J330" s="55" t="n">
        <v>0</v>
      </c>
      <c r="K330" s="55" t="n">
        <v>0</v>
      </c>
      <c r="L330" s="55" t="n">
        <v>102.62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138489</t>
        </is>
      </c>
      <c r="B331" s="52" t="n">
        <v>46034</v>
      </c>
      <c r="C331" s="36" t="inlineStr">
        <is>
          <t>00193731150</t>
        </is>
      </c>
      <c r="D331" s="53" t="inlineStr">
        <is>
          <t>CONTOUR NEXT TEST  STRIPS</t>
        </is>
      </c>
      <c r="E331" s="36" t="n">
        <v>50</v>
      </c>
      <c r="F331" s="54" t="n">
        <v>100</v>
      </c>
      <c r="G331" s="54" t="n">
        <v>2</v>
      </c>
      <c r="H331" s="55" t="n">
        <v>0</v>
      </c>
      <c r="I331" s="55" t="n">
        <v>104.35</v>
      </c>
      <c r="J331" s="55" t="n">
        <v>0</v>
      </c>
      <c r="K331" s="55" t="n">
        <v>0</v>
      </c>
      <c r="L331" s="55" t="n">
        <v>104.35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ADV</t>
        </is>
      </c>
      <c r="Q331" s="36" t="inlineStr">
        <is>
          <t>RX1103</t>
        </is>
      </c>
    </row>
    <row r="332">
      <c r="A332" s="36" t="inlineStr">
        <is>
          <t>116430</t>
        </is>
      </c>
      <c r="B332" s="52" t="n">
        <v>46037</v>
      </c>
      <c r="C332" s="36" t="inlineStr">
        <is>
          <t>00193731150</t>
        </is>
      </c>
      <c r="D332" s="53" t="inlineStr">
        <is>
          <t>CONTOUR NEXT TEST  STRIPS</t>
        </is>
      </c>
      <c r="E332" s="36" t="n">
        <v>50</v>
      </c>
      <c r="F332" s="54" t="n">
        <v>200</v>
      </c>
      <c r="G332" s="54" t="n">
        <v>4</v>
      </c>
      <c r="H332" s="55" t="n">
        <v>0</v>
      </c>
      <c r="I332" s="55" t="n">
        <v>205.58</v>
      </c>
      <c r="J332" s="55" t="n">
        <v>0</v>
      </c>
      <c r="K332" s="55" t="n">
        <v>0</v>
      </c>
      <c r="L332" s="55" t="n">
        <v>205.58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120443</t>
        </is>
      </c>
      <c r="B333" s="52" t="n">
        <v>46028</v>
      </c>
      <c r="C333" s="36" t="inlineStr">
        <is>
          <t>00193731150</t>
        </is>
      </c>
      <c r="D333" s="53" t="inlineStr">
        <is>
          <t>CONTOUR NEXT TEST  STRIPS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110</v>
      </c>
      <c r="J333" s="55" t="n">
        <v>0</v>
      </c>
      <c r="K333" s="55" t="n">
        <v>0</v>
      </c>
      <c r="L333" s="55" t="n">
        <v>110</v>
      </c>
      <c r="M333" s="55" t="n">
        <v>0</v>
      </c>
      <c r="N333" s="36" t="inlineStr">
        <is>
          <t>004740</t>
        </is>
      </c>
      <c r="O333" s="36" t="inlineStr">
        <is>
          <t>NYM</t>
        </is>
      </c>
      <c r="P333" s="36" t="inlineStr">
        <is>
          <t>9314DA31</t>
        </is>
      </c>
      <c r="Q333" s="36" t="n">
        <v/>
      </c>
    </row>
    <row r="334">
      <c r="A334" s="36" t="inlineStr">
        <is>
          <t>139544</t>
        </is>
      </c>
      <c r="B334" s="52" t="n">
        <v>46039</v>
      </c>
      <c r="C334" s="36" t="inlineStr">
        <is>
          <t>00193731150</t>
        </is>
      </c>
      <c r="D334" s="53" t="inlineStr">
        <is>
          <t>CONTOUR NEXT TEST  STRIPS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110</v>
      </c>
      <c r="J334" s="55" t="n">
        <v>0</v>
      </c>
      <c r="K334" s="55" t="n">
        <v>0</v>
      </c>
      <c r="L334" s="55" t="n">
        <v>110</v>
      </c>
      <c r="M334" s="55" t="n">
        <v>0</v>
      </c>
      <c r="N334" s="36" t="inlineStr">
        <is>
          <t>004740</t>
        </is>
      </c>
      <c r="O334" s="36" t="inlineStr">
        <is>
          <t>NYM</t>
        </is>
      </c>
      <c r="P334" s="36" t="inlineStr">
        <is>
          <t>9314DA31</t>
        </is>
      </c>
      <c r="Q334" s="36" t="n">
        <v/>
      </c>
    </row>
    <row r="335">
      <c r="A335" s="36" t="inlineStr">
        <is>
          <t>123280</t>
        </is>
      </c>
      <c r="B335" s="52" t="n">
        <v>45995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200</v>
      </c>
      <c r="G335" s="54" t="n">
        <v>4</v>
      </c>
      <c r="H335" s="55" t="n">
        <v>0</v>
      </c>
      <c r="I335" s="55" t="n">
        <v>207.26</v>
      </c>
      <c r="J335" s="55" t="n">
        <v>0</v>
      </c>
      <c r="K335" s="55" t="n">
        <v>0</v>
      </c>
      <c r="L335" s="55" t="n">
        <v>207.26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135100</t>
        </is>
      </c>
      <c r="B336" s="52" t="n">
        <v>46028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105.69</v>
      </c>
      <c r="J336" s="55" t="n">
        <v>0</v>
      </c>
      <c r="K336" s="55" t="n">
        <v>0</v>
      </c>
      <c r="L336" s="55" t="n">
        <v>105.69</v>
      </c>
      <c r="M336" s="55" t="n">
        <v>0</v>
      </c>
      <c r="N336" s="36" t="inlineStr">
        <is>
          <t>610011</t>
        </is>
      </c>
      <c r="O336" s="36" t="inlineStr">
        <is>
          <t>OPTUM</t>
        </is>
      </c>
      <c r="P336" s="36" t="inlineStr">
        <is>
          <t>IRX</t>
        </is>
      </c>
      <c r="Q336" s="36" t="inlineStr">
        <is>
          <t>32BJRX</t>
        </is>
      </c>
    </row>
    <row r="337">
      <c r="A337" s="36" t="inlineStr">
        <is>
          <t>134004</t>
        </is>
      </c>
      <c r="B337" s="52" t="n">
        <v>45996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101.96</v>
      </c>
      <c r="J337" s="55" t="n">
        <v>0</v>
      </c>
      <c r="K337" s="55" t="n">
        <v>0</v>
      </c>
      <c r="L337" s="55" t="n">
        <v>101.96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113264</t>
        </is>
      </c>
      <c r="B338" s="52" t="n">
        <v>46050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104.44</v>
      </c>
      <c r="J338" s="55" t="n">
        <v>0</v>
      </c>
      <c r="K338" s="55" t="n">
        <v>0</v>
      </c>
      <c r="L338" s="55" t="n">
        <v>104.44</v>
      </c>
      <c r="M338" s="55" t="n">
        <v>0</v>
      </c>
      <c r="N338" s="36" t="inlineStr">
        <is>
          <t>004336</t>
        </is>
      </c>
      <c r="O338" s="36" t="inlineStr">
        <is>
          <t>CAREMARK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132999</t>
        </is>
      </c>
      <c r="B339" s="52" t="n">
        <v>46017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104.57</v>
      </c>
      <c r="J339" s="55" t="n">
        <v>0</v>
      </c>
      <c r="K339" s="55" t="n">
        <v>0</v>
      </c>
      <c r="L339" s="55" t="n">
        <v>104.57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123280</t>
        </is>
      </c>
      <c r="B340" s="52" t="n">
        <v>46069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200</v>
      </c>
      <c r="G340" s="54" t="n">
        <v>4</v>
      </c>
      <c r="H340" s="55" t="n">
        <v>0</v>
      </c>
      <c r="I340" s="55" t="n">
        <v>209.11</v>
      </c>
      <c r="J340" s="55" t="n">
        <v>0</v>
      </c>
      <c r="K340" s="55" t="n">
        <v>0</v>
      </c>
      <c r="L340" s="55" t="n">
        <v>209.11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118164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100</v>
      </c>
      <c r="G341" s="54" t="n">
        <v>2</v>
      </c>
      <c r="H341" s="55" t="n">
        <v>0</v>
      </c>
      <c r="I341" s="55" t="n">
        <v>104.44</v>
      </c>
      <c r="J341" s="55" t="n">
        <v>0</v>
      </c>
      <c r="K341" s="55" t="n">
        <v>0</v>
      </c>
      <c r="L341" s="55" t="n">
        <v>104.44</v>
      </c>
      <c r="M341" s="55" t="n">
        <v>0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121654</t>
        </is>
      </c>
      <c r="B342" s="52" t="n">
        <v>45992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110</v>
      </c>
      <c r="J342" s="55" t="n">
        <v>0</v>
      </c>
      <c r="K342" s="55" t="n">
        <v>0</v>
      </c>
      <c r="L342" s="55" t="n">
        <v>110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142731</t>
        </is>
      </c>
      <c r="B343" s="52" t="n">
        <v>46064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142700</t>
        </is>
      </c>
      <c r="B344" s="52" t="n">
        <v>46064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200</v>
      </c>
      <c r="G344" s="54" t="n">
        <v>4</v>
      </c>
      <c r="H344" s="55" t="n">
        <v>0</v>
      </c>
      <c r="I344" s="55" t="n">
        <v>196.68</v>
      </c>
      <c r="J344" s="55" t="n">
        <v>0</v>
      </c>
      <c r="K344" s="55" t="n">
        <v>0</v>
      </c>
      <c r="L344" s="55" t="n">
        <v>196.68</v>
      </c>
      <c r="M344" s="55" t="n">
        <v>0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inlineStr">
        <is>
          <t>VNS01</t>
        </is>
      </c>
    </row>
    <row r="345">
      <c r="A345" s="36" t="inlineStr">
        <is>
          <t>133082</t>
        </is>
      </c>
      <c r="B345" s="52" t="n">
        <v>45992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100</v>
      </c>
      <c r="G345" s="54" t="n">
        <v>2</v>
      </c>
      <c r="H345" s="55" t="n">
        <v>0</v>
      </c>
      <c r="I345" s="55" t="n">
        <v>101.96</v>
      </c>
      <c r="J345" s="55" t="n">
        <v>0</v>
      </c>
      <c r="K345" s="55" t="n">
        <v>0</v>
      </c>
      <c r="L345" s="55" t="n">
        <v>101.96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121633</t>
        </is>
      </c>
      <c r="B346" s="52" t="n">
        <v>45992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46048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109029</t>
        </is>
      </c>
      <c r="B348" s="52" t="n">
        <v>46065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102.62</v>
      </c>
      <c r="J348" s="55" t="n">
        <v>0</v>
      </c>
      <c r="K348" s="55" t="n">
        <v>0</v>
      </c>
      <c r="L348" s="55" t="n">
        <v>102.62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144572</t>
        </is>
      </c>
      <c r="B349" s="52" t="n">
        <v>46077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110</v>
      </c>
      <c r="J349" s="55" t="n">
        <v>0</v>
      </c>
      <c r="K349" s="55" t="n">
        <v>0</v>
      </c>
      <c r="L349" s="55" t="n">
        <v>110</v>
      </c>
      <c r="M349" s="55" t="n">
        <v>0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121569</t>
        </is>
      </c>
      <c r="B350" s="52" t="n">
        <v>46001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137440</t>
        </is>
      </c>
      <c r="B351" s="52" t="n">
        <v>46027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104.44</v>
      </c>
      <c r="J351" s="55" t="n">
        <v>0</v>
      </c>
      <c r="K351" s="55" t="n">
        <v>0</v>
      </c>
      <c r="L351" s="55" t="n">
        <v>104.44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128535</t>
        </is>
      </c>
      <c r="B352" s="52" t="n">
        <v>46042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102.62</v>
      </c>
      <c r="J352" s="55" t="n">
        <v>0</v>
      </c>
      <c r="K352" s="55" t="n">
        <v>0</v>
      </c>
      <c r="L352" s="55" t="n">
        <v>102.62</v>
      </c>
      <c r="M352" s="55" t="n">
        <v>0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RX1110</t>
        </is>
      </c>
    </row>
    <row r="353">
      <c r="A353" s="36" t="inlineStr">
        <is>
          <t>122012</t>
        </is>
      </c>
      <c r="B353" s="52" t="n">
        <v>46017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110</v>
      </c>
      <c r="J353" s="55" t="n">
        <v>0</v>
      </c>
      <c r="K353" s="55" t="n">
        <v>0</v>
      </c>
      <c r="L353" s="55" t="n">
        <v>110</v>
      </c>
      <c r="M353" s="55" t="n">
        <v>0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139586</t>
        </is>
      </c>
      <c r="B354" s="52" t="n">
        <v>46041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104.35</v>
      </c>
      <c r="J354" s="55" t="n">
        <v>0</v>
      </c>
      <c r="K354" s="55" t="n">
        <v>0</v>
      </c>
      <c r="L354" s="55" t="n">
        <v>104.35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ADV</t>
        </is>
      </c>
      <c r="Q354" s="36" t="inlineStr">
        <is>
          <t>RX1103</t>
        </is>
      </c>
    </row>
    <row r="355">
      <c r="A355" s="36" t="inlineStr">
        <is>
          <t>134646</t>
        </is>
      </c>
      <c r="B355" s="52" t="n">
        <v>46001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200</v>
      </c>
      <c r="G355" s="54" t="n">
        <v>4</v>
      </c>
      <c r="H355" s="55" t="n">
        <v>0</v>
      </c>
      <c r="I355" s="55" t="n">
        <v>220</v>
      </c>
      <c r="J355" s="55" t="n">
        <v>0</v>
      </c>
      <c r="K355" s="55" t="n">
        <v>0</v>
      </c>
      <c r="L355" s="55" t="n">
        <v>220</v>
      </c>
      <c r="M355" s="55" t="n">
        <v>0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138425</t>
        </is>
      </c>
      <c r="B356" s="52" t="n">
        <v>46032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104.44</v>
      </c>
      <c r="J356" s="55" t="n">
        <v>0</v>
      </c>
      <c r="K356" s="55" t="n">
        <v>0</v>
      </c>
      <c r="L356" s="55" t="n">
        <v>104.44</v>
      </c>
      <c r="M356" s="55" t="n">
        <v>0</v>
      </c>
      <c r="N356" s="36" t="inlineStr">
        <is>
          <t>004336</t>
        </is>
      </c>
      <c r="O356" s="36" t="inlineStr">
        <is>
          <t>CAREMARK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137445</t>
        </is>
      </c>
      <c r="B357" s="52" t="n">
        <v>46027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100</v>
      </c>
      <c r="G357" s="54" t="n">
        <v>2</v>
      </c>
      <c r="H357" s="55" t="n">
        <v>0</v>
      </c>
      <c r="I357" s="55" t="n">
        <v>102.62</v>
      </c>
      <c r="J357" s="55" t="n">
        <v>0</v>
      </c>
      <c r="K357" s="55" t="n">
        <v>0</v>
      </c>
      <c r="L357" s="55" t="n">
        <v>102.62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121177</t>
        </is>
      </c>
      <c r="B358" s="52" t="n">
        <v>46050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104.44</v>
      </c>
      <c r="J358" s="55" t="n">
        <v>0</v>
      </c>
      <c r="K358" s="55" t="n">
        <v>0</v>
      </c>
      <c r="L358" s="55" t="n">
        <v>104.44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139595</t>
        </is>
      </c>
      <c r="B359" s="52" t="n">
        <v>46041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102.46</v>
      </c>
      <c r="J359" s="55" t="n">
        <v>0</v>
      </c>
      <c r="K359" s="55" t="n">
        <v>0</v>
      </c>
      <c r="L359" s="55" t="n">
        <v>102.46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RX8585</t>
        </is>
      </c>
    </row>
    <row r="360">
      <c r="A360" s="36" t="inlineStr">
        <is>
          <t>132993</t>
        </is>
      </c>
      <c r="B360" s="52" t="n">
        <v>46017</v>
      </c>
      <c r="C360" s="36" t="inlineStr">
        <is>
          <t>00032263601</t>
        </is>
      </c>
      <c r="D360" s="53" t="inlineStr">
        <is>
          <t>CREON 24000-76000 UNIT CAPSULE DR</t>
        </is>
      </c>
      <c r="E360" s="36" t="n">
        <v>100</v>
      </c>
      <c r="F360" s="54" t="n">
        <v>90</v>
      </c>
      <c r="G360" s="54" t="n">
        <v>0.9</v>
      </c>
      <c r="H360" s="55" t="n">
        <v>764.1</v>
      </c>
      <c r="I360" s="55" t="n">
        <v>721.6900000000001</v>
      </c>
      <c r="J360" s="55" t="n">
        <v>0</v>
      </c>
      <c r="K360" s="55" t="n">
        <v>0</v>
      </c>
      <c r="L360" s="55" t="n">
        <v>721.6900000000001</v>
      </c>
      <c r="M360" s="55" t="n">
        <v>-42.41</v>
      </c>
      <c r="N360" s="36" t="inlineStr">
        <is>
          <t>004336</t>
        </is>
      </c>
      <c r="O360" s="36" t="inlineStr">
        <is>
          <t>CAREMARK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132993</t>
        </is>
      </c>
      <c r="B361" s="52" t="n">
        <v>46044</v>
      </c>
      <c r="C361" s="36" t="inlineStr">
        <is>
          <t>00032263601</t>
        </is>
      </c>
      <c r="D361" s="53" t="inlineStr">
        <is>
          <t>CREON 24000-76000 UNIT CAPSULE DR</t>
        </is>
      </c>
      <c r="E361" s="36" t="n">
        <v>100</v>
      </c>
      <c r="F361" s="54" t="n">
        <v>90</v>
      </c>
      <c r="G361" s="54" t="n">
        <v>0.9</v>
      </c>
      <c r="H361" s="55" t="n">
        <v>764.1</v>
      </c>
      <c r="I361" s="55" t="n">
        <v>734.39</v>
      </c>
      <c r="J361" s="55" t="n">
        <v>0</v>
      </c>
      <c r="K361" s="55" t="n">
        <v>12.65</v>
      </c>
      <c r="L361" s="55" t="n">
        <v>747.04</v>
      </c>
      <c r="M361" s="55" t="n">
        <v>-17.06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132993</t>
        </is>
      </c>
      <c r="B362" s="52" t="n">
        <v>46072</v>
      </c>
      <c r="C362" s="36" t="inlineStr">
        <is>
          <t>00032263601</t>
        </is>
      </c>
      <c r="D362" s="53" t="inlineStr">
        <is>
          <t>CREON 24000-76000 UNIT CAPSULE DR</t>
        </is>
      </c>
      <c r="E362" s="36" t="n">
        <v>100</v>
      </c>
      <c r="F362" s="54" t="n">
        <v>90</v>
      </c>
      <c r="G362" s="54" t="n">
        <v>0.9</v>
      </c>
      <c r="H362" s="55" t="n">
        <v>764.1</v>
      </c>
      <c r="I362" s="55" t="n">
        <v>734.39</v>
      </c>
      <c r="J362" s="55" t="n">
        <v>0</v>
      </c>
      <c r="K362" s="55" t="n">
        <v>12.65</v>
      </c>
      <c r="L362" s="55" t="n">
        <v>747.04</v>
      </c>
      <c r="M362" s="55" t="n">
        <v>-17.06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134537</t>
        </is>
      </c>
      <c r="B363" s="52" t="n">
        <v>46001</v>
      </c>
      <c r="C363" s="36" t="inlineStr">
        <is>
          <t>00032301613</t>
        </is>
      </c>
      <c r="D363" s="53" t="inlineStr">
        <is>
          <t>CREON 36000UNIT CAPSULE</t>
        </is>
      </c>
      <c r="E363" s="36" t="n">
        <v>100</v>
      </c>
      <c r="F363" s="54" t="n">
        <v>270</v>
      </c>
      <c r="G363" s="54" t="n">
        <v>2.7</v>
      </c>
      <c r="H363" s="55" t="n">
        <v>3356.1</v>
      </c>
      <c r="I363" s="55" t="n">
        <v>3242.1</v>
      </c>
      <c r="J363" s="55" t="n">
        <v>0</v>
      </c>
      <c r="K363" s="55" t="n">
        <v>0</v>
      </c>
      <c r="L363" s="55" t="n">
        <v>3242.1</v>
      </c>
      <c r="M363" s="55" t="n">
        <v>-114</v>
      </c>
      <c r="N363" s="36" t="inlineStr">
        <is>
          <t>004336</t>
        </is>
      </c>
      <c r="O363" s="36" t="inlineStr">
        <is>
          <t>CAREMARK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123862</t>
        </is>
      </c>
      <c r="B364" s="52" t="n">
        <v>46006</v>
      </c>
      <c r="C364" s="36" t="inlineStr">
        <is>
          <t>00032004670</t>
        </is>
      </c>
      <c r="D364" s="53" t="inlineStr">
        <is>
          <t>CREON 6000-19000 UNIT ORAL CAPSULE DELAYED RELEASE PARTICLES</t>
        </is>
      </c>
      <c r="E364" s="36" t="n">
        <v>100</v>
      </c>
      <c r="F364" s="54" t="n">
        <v>180</v>
      </c>
      <c r="G364" s="54" t="n">
        <v>1.8</v>
      </c>
      <c r="H364" s="55" t="n">
        <v>0</v>
      </c>
      <c r="I364" s="55" t="n">
        <v>315.94</v>
      </c>
      <c r="J364" s="55" t="n">
        <v>0</v>
      </c>
      <c r="K364" s="55" t="n">
        <v>45</v>
      </c>
      <c r="L364" s="55" t="n">
        <v>360.94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ADV</t>
        </is>
      </c>
      <c r="Q364" s="36" t="inlineStr">
        <is>
          <t>RX1103</t>
        </is>
      </c>
    </row>
    <row r="365">
      <c r="A365" s="36" t="inlineStr">
        <is>
          <t>117583</t>
        </is>
      </c>
      <c r="B365" s="52" t="n">
        <v>46048</v>
      </c>
      <c r="C365" s="36" t="inlineStr">
        <is>
          <t>00310756090</t>
        </is>
      </c>
      <c r="D365" s="53" t="inlineStr">
        <is>
          <t>CRESTOR 5MG TABLET</t>
        </is>
      </c>
      <c r="E365" s="36" t="n">
        <v>90</v>
      </c>
      <c r="F365" s="54" t="n">
        <v>90</v>
      </c>
      <c r="G365" s="54" t="n">
        <v>1</v>
      </c>
      <c r="H365" s="55" t="n">
        <v>801</v>
      </c>
      <c r="I365" s="55" t="n">
        <v>771.3</v>
      </c>
      <c r="J365" s="55" t="n">
        <v>0</v>
      </c>
      <c r="K365" s="55" t="n">
        <v>4.9</v>
      </c>
      <c r="L365" s="55" t="n">
        <v>776.2</v>
      </c>
      <c r="M365" s="55" t="n">
        <v>-24.8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136432</t>
        </is>
      </c>
      <c r="B366" s="52" t="n">
        <v>46043</v>
      </c>
      <c r="C366" s="36" t="inlineStr">
        <is>
          <t>62856040530</t>
        </is>
      </c>
      <c r="D366" s="53" t="inlineStr">
        <is>
          <t>DAYVIGO 5 MG ORAL TABLET</t>
        </is>
      </c>
      <c r="E366" s="36" t="n">
        <v>30</v>
      </c>
      <c r="F366" s="54" t="n">
        <v>30</v>
      </c>
      <c r="G366" s="54" t="n">
        <v>1</v>
      </c>
      <c r="H366" s="55" t="n">
        <v>350</v>
      </c>
      <c r="I366" s="55" t="n">
        <v>345.19</v>
      </c>
      <c r="J366" s="55" t="n">
        <v>0</v>
      </c>
      <c r="K366" s="55" t="n">
        <v>0</v>
      </c>
      <c r="L366" s="55" t="n">
        <v>345.19</v>
      </c>
      <c r="M366" s="55" t="n">
        <v>-4.81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136432</t>
        </is>
      </c>
      <c r="B367" s="52" t="n">
        <v>46015</v>
      </c>
      <c r="C367" s="36" t="inlineStr">
        <is>
          <t>62856040530</t>
        </is>
      </c>
      <c r="D367" s="53" t="inlineStr">
        <is>
          <t>DAYVIGO 5 MG ORAL TABLET</t>
        </is>
      </c>
      <c r="E367" s="36" t="n">
        <v>30</v>
      </c>
      <c r="F367" s="54" t="n">
        <v>30</v>
      </c>
      <c r="G367" s="54" t="n">
        <v>1</v>
      </c>
      <c r="H367" s="55" t="n">
        <v>340</v>
      </c>
      <c r="I367" s="55" t="n">
        <v>332.24</v>
      </c>
      <c r="J367" s="55" t="n">
        <v>0</v>
      </c>
      <c r="K367" s="55" t="n">
        <v>0</v>
      </c>
      <c r="L367" s="55" t="n">
        <v>332.24</v>
      </c>
      <c r="M367" s="55" t="n">
        <v>-7.76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144511</t>
        </is>
      </c>
      <c r="B368" s="52" t="n">
        <v>46077</v>
      </c>
      <c r="C368" s="36" t="inlineStr">
        <is>
          <t>62856040530</t>
        </is>
      </c>
      <c r="D368" s="53" t="inlineStr">
        <is>
          <t>DAYVIGO 5 MG ORAL TABLET</t>
        </is>
      </c>
      <c r="E368" s="36" t="n">
        <v>30</v>
      </c>
      <c r="F368" s="54" t="n">
        <v>30</v>
      </c>
      <c r="G368" s="54" t="n">
        <v>1</v>
      </c>
      <c r="H368" s="55" t="n">
        <v>353</v>
      </c>
      <c r="I368" s="55" t="n">
        <v>345.19</v>
      </c>
      <c r="J368" s="55" t="n">
        <v>0</v>
      </c>
      <c r="K368" s="55" t="n">
        <v>0</v>
      </c>
      <c r="L368" s="55" t="n">
        <v>345.19</v>
      </c>
      <c r="M368" s="55" t="n">
        <v>-7.81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100733</t>
        </is>
      </c>
      <c r="B369" s="52" t="n">
        <v>46002</v>
      </c>
      <c r="C369" s="36" t="inlineStr">
        <is>
          <t>42023011101</t>
        </is>
      </c>
      <c r="D369" s="53" t="inlineStr">
        <is>
          <t>DELESTROGEN 20 MG/ML INTRAMUSCULAR OIL</t>
        </is>
      </c>
      <c r="E369" s="36" t="n">
        <v>5</v>
      </c>
      <c r="F369" s="54" t="n">
        <v>5</v>
      </c>
      <c r="G369" s="54" t="n">
        <v>1</v>
      </c>
      <c r="H369" s="55" t="n">
        <v>0</v>
      </c>
      <c r="I369" s="55" t="n">
        <v>186.54</v>
      </c>
      <c r="J369" s="55" t="n">
        <v>0</v>
      </c>
      <c r="K369" s="55" t="n">
        <v>3</v>
      </c>
      <c r="L369" s="55" t="n">
        <v>189.54</v>
      </c>
      <c r="M369" s="55" t="n">
        <v>0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129248</t>
        </is>
      </c>
      <c r="B370" s="52" t="n">
        <v>46043</v>
      </c>
      <c r="C370" s="36" t="inlineStr">
        <is>
          <t>00074732713</t>
        </is>
      </c>
      <c r="D370" s="53" t="inlineStr">
        <is>
          <t>DEPAKOTE 500MG TABLET DELAYED RELEASE</t>
        </is>
      </c>
      <c r="E370" s="36" t="n">
        <v>100</v>
      </c>
      <c r="F370" s="54" t="n">
        <v>60</v>
      </c>
      <c r="G370" s="54" t="n">
        <v>0.6</v>
      </c>
      <c r="H370" s="55" t="n">
        <v>430.2</v>
      </c>
      <c r="I370" s="55" t="n">
        <v>458.27</v>
      </c>
      <c r="J370" s="55" t="n">
        <v>0</v>
      </c>
      <c r="K370" s="55" t="n">
        <v>0</v>
      </c>
      <c r="L370" s="55" t="n">
        <v>458.27</v>
      </c>
      <c r="M370" s="55" t="n">
        <v>28.07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143747</t>
        </is>
      </c>
      <c r="B371" s="52" t="n">
        <v>46071</v>
      </c>
      <c r="C371" s="36" t="inlineStr">
        <is>
          <t>00074732713</t>
        </is>
      </c>
      <c r="D371" s="53" t="inlineStr">
        <is>
          <t>DEPAKOTE 500MG TABLET DELAYED RELEASE</t>
        </is>
      </c>
      <c r="E371" s="36" t="n">
        <v>100</v>
      </c>
      <c r="F371" s="54" t="n">
        <v>60</v>
      </c>
      <c r="G371" s="54" t="n">
        <v>0.6</v>
      </c>
      <c r="H371" s="55" t="n">
        <v>430.2</v>
      </c>
      <c r="I371" s="55" t="n">
        <v>458.27</v>
      </c>
      <c r="J371" s="55" t="n">
        <v>0</v>
      </c>
      <c r="K371" s="55" t="n">
        <v>0</v>
      </c>
      <c r="L371" s="55" t="n">
        <v>458.27</v>
      </c>
      <c r="M371" s="55" t="n">
        <v>28.07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129248</t>
        </is>
      </c>
      <c r="B372" s="52" t="n">
        <v>46015</v>
      </c>
      <c r="C372" s="36" t="inlineStr">
        <is>
          <t>00074732713</t>
        </is>
      </c>
      <c r="D372" s="53" t="inlineStr">
        <is>
          <t>DEPAKOTE 500MG TABLET DELAYED RELEASE</t>
        </is>
      </c>
      <c r="E372" s="36" t="n">
        <v>100</v>
      </c>
      <c r="F372" s="54" t="n">
        <v>60</v>
      </c>
      <c r="G372" s="54" t="n">
        <v>0.6</v>
      </c>
      <c r="H372" s="55" t="n">
        <v>430.2</v>
      </c>
      <c r="I372" s="55" t="n">
        <v>436.93</v>
      </c>
      <c r="J372" s="55" t="n">
        <v>0</v>
      </c>
      <c r="K372" s="55" t="n">
        <v>0</v>
      </c>
      <c r="L372" s="55" t="n">
        <v>436.93</v>
      </c>
      <c r="M372" s="55" t="n">
        <v>6.73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143746</t>
        </is>
      </c>
      <c r="B373" s="52" t="n">
        <v>46071</v>
      </c>
      <c r="C373" s="36" t="inlineStr">
        <is>
          <t>00074740113</t>
        </is>
      </c>
      <c r="D373" s="53" t="inlineStr">
        <is>
          <t>DEPAKOTE ER 250 MG TABLET</t>
        </is>
      </c>
      <c r="E373" s="36" t="n">
        <v>100</v>
      </c>
      <c r="F373" s="54" t="n">
        <v>30</v>
      </c>
      <c r="G373" s="54" t="n">
        <v>0.3</v>
      </c>
      <c r="H373" s="55" t="n">
        <v>105.9</v>
      </c>
      <c r="I373" s="55" t="n">
        <v>120.79</v>
      </c>
      <c r="J373" s="55" t="n">
        <v>0</v>
      </c>
      <c r="K373" s="55" t="n">
        <v>0</v>
      </c>
      <c r="L373" s="55" t="n">
        <v>120.79</v>
      </c>
      <c r="M373" s="55" t="n">
        <v>14.89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129247</t>
        </is>
      </c>
      <c r="B374" s="52" t="n">
        <v>46015</v>
      </c>
      <c r="C374" s="36" t="inlineStr">
        <is>
          <t>00074740113</t>
        </is>
      </c>
      <c r="D374" s="53" t="inlineStr">
        <is>
          <t>DEPAKOTE ER 250 MG TABLET</t>
        </is>
      </c>
      <c r="E374" s="36" t="n">
        <v>100</v>
      </c>
      <c r="F374" s="54" t="n">
        <v>30</v>
      </c>
      <c r="G374" s="54" t="n">
        <v>0.3</v>
      </c>
      <c r="H374" s="55" t="n">
        <v>105.9</v>
      </c>
      <c r="I374" s="55" t="n">
        <v>115.53</v>
      </c>
      <c r="J374" s="55" t="n">
        <v>0</v>
      </c>
      <c r="K374" s="55" t="n">
        <v>0</v>
      </c>
      <c r="L374" s="55" t="n">
        <v>115.53</v>
      </c>
      <c r="M374" s="55" t="n">
        <v>9.630000000000001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129247</t>
        </is>
      </c>
      <c r="B375" s="52" t="n">
        <v>46043</v>
      </c>
      <c r="C375" s="36" t="inlineStr">
        <is>
          <t>00074740113</t>
        </is>
      </c>
      <c r="D375" s="53" t="inlineStr">
        <is>
          <t>DEPAKOTE ER 250 MG TABLET</t>
        </is>
      </c>
      <c r="E375" s="36" t="n">
        <v>100</v>
      </c>
      <c r="F375" s="54" t="n">
        <v>30</v>
      </c>
      <c r="G375" s="54" t="n">
        <v>0.3</v>
      </c>
      <c r="H375" s="55" t="n">
        <v>105.9</v>
      </c>
      <c r="I375" s="55" t="n">
        <v>120.79</v>
      </c>
      <c r="J375" s="55" t="n">
        <v>0</v>
      </c>
      <c r="K375" s="55" t="n">
        <v>0</v>
      </c>
      <c r="L375" s="55" t="n">
        <v>120.79</v>
      </c>
      <c r="M375" s="55" t="n">
        <v>14.89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133080</t>
        </is>
      </c>
      <c r="B376" s="52" t="n">
        <v>45992</v>
      </c>
      <c r="C376" s="36" t="inlineStr">
        <is>
          <t>08627007801</t>
        </is>
      </c>
      <c r="D376" s="53" t="inlineStr">
        <is>
          <t>DEXCOM G7 RECEIVER DEVICE</t>
        </is>
      </c>
      <c r="E376" s="36" t="n">
        <v>1</v>
      </c>
      <c r="F376" s="54" t="n">
        <v>1</v>
      </c>
      <c r="G376" s="54" t="n">
        <v>1</v>
      </c>
      <c r="H376" s="55" t="n">
        <v>302</v>
      </c>
      <c r="I376" s="55" t="n">
        <v>271.62</v>
      </c>
      <c r="J376" s="55" t="n">
        <v>0</v>
      </c>
      <c r="K376" s="55" t="n">
        <v>30</v>
      </c>
      <c r="L376" s="55" t="n">
        <v>301.62</v>
      </c>
      <c r="M376" s="55" t="n">
        <v>-0.38</v>
      </c>
      <c r="N376" s="36" t="inlineStr">
        <is>
          <t>610011</t>
        </is>
      </c>
      <c r="O376" s="36" t="inlineStr">
        <is>
          <t>OPTUM</t>
        </is>
      </c>
      <c r="P376" s="36" t="inlineStr">
        <is>
          <t>IRX</t>
        </is>
      </c>
      <c r="Q376" s="36" t="inlineStr">
        <is>
          <t>32BJRX</t>
        </is>
      </c>
    </row>
    <row r="377">
      <c r="A377" s="36" t="inlineStr">
        <is>
          <t>129582</t>
        </is>
      </c>
      <c r="B377" s="52" t="n">
        <v>46000</v>
      </c>
      <c r="C377" s="36" t="inlineStr">
        <is>
          <t>08627007701</t>
        </is>
      </c>
      <c r="D377" s="53" t="inlineStr">
        <is>
          <t>DEXCOM G7 SENSOR</t>
        </is>
      </c>
      <c r="E377" s="36" t="n">
        <v>1</v>
      </c>
      <c r="F377" s="54" t="n">
        <v>3</v>
      </c>
      <c r="G377" s="54" t="n">
        <v>3</v>
      </c>
      <c r="H377" s="55" t="n">
        <v>378</v>
      </c>
      <c r="I377" s="55" t="n">
        <v>376.59</v>
      </c>
      <c r="J377" s="55" t="n">
        <v>0</v>
      </c>
      <c r="K377" s="55" t="n">
        <v>0</v>
      </c>
      <c r="L377" s="55" t="n">
        <v>376.59</v>
      </c>
      <c r="M377" s="55" t="n">
        <v>-1.41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132356</t>
        </is>
      </c>
      <c r="B378" s="52" t="n">
        <v>46013</v>
      </c>
      <c r="C378" s="36" t="inlineStr">
        <is>
          <t>08627007701</t>
        </is>
      </c>
      <c r="D378" s="53" t="inlineStr">
        <is>
          <t>DEXCOM G7 SENSOR</t>
        </is>
      </c>
      <c r="E378" s="36" t="n">
        <v>1</v>
      </c>
      <c r="F378" s="54" t="n">
        <v>3</v>
      </c>
      <c r="G378" s="54" t="n">
        <v>3</v>
      </c>
      <c r="H378" s="55" t="n">
        <v>378</v>
      </c>
      <c r="I378" s="55" t="n">
        <v>350.72</v>
      </c>
      <c r="J378" s="55" t="n">
        <v>0</v>
      </c>
      <c r="K378" s="55" t="n">
        <v>0</v>
      </c>
      <c r="L378" s="55" t="n">
        <v>350.72</v>
      </c>
      <c r="M378" s="55" t="n">
        <v>-27.28</v>
      </c>
      <c r="N378" s="36" t="inlineStr">
        <is>
          <t>610014</t>
        </is>
      </c>
      <c r="O378" s="36" t="inlineStr">
        <is>
          <t>EXPRESS</t>
        </is>
      </c>
      <c r="P378" s="36" t="inlineStr">
        <is>
          <t>MEDDPRIME</t>
        </is>
      </c>
      <c r="Q378" s="36" t="inlineStr">
        <is>
          <t>2FFA</t>
        </is>
      </c>
    </row>
    <row r="379">
      <c r="A379" s="36" t="inlineStr">
        <is>
          <t>126260</t>
        </is>
      </c>
      <c r="B379" s="52" t="n">
        <v>46050</v>
      </c>
      <c r="C379" s="36" t="inlineStr">
        <is>
          <t>08627007701</t>
        </is>
      </c>
      <c r="D379" s="53" t="inlineStr">
        <is>
          <t>DEXCOM G7 SENSOR</t>
        </is>
      </c>
      <c r="E379" s="36" t="n">
        <v>1</v>
      </c>
      <c r="F379" s="54" t="n">
        <v>3</v>
      </c>
      <c r="G379" s="54" t="n">
        <v>3</v>
      </c>
      <c r="H379" s="55" t="n">
        <v>387</v>
      </c>
      <c r="I379" s="55" t="n">
        <v>356.19</v>
      </c>
      <c r="J379" s="55" t="n">
        <v>0</v>
      </c>
      <c r="K379" s="55" t="n">
        <v>30</v>
      </c>
      <c r="L379" s="55" t="n">
        <v>386.19</v>
      </c>
      <c r="M379" s="55" t="n">
        <v>-0.8100000000000001</v>
      </c>
      <c r="N379" s="36" t="inlineStr">
        <is>
          <t>610011</t>
        </is>
      </c>
      <c r="O379" s="36" t="inlineStr">
        <is>
          <t>OPTUM</t>
        </is>
      </c>
      <c r="P379" s="36" t="inlineStr">
        <is>
          <t>IRX</t>
        </is>
      </c>
      <c r="Q379" s="36" t="inlineStr">
        <is>
          <t>32BJRX</t>
        </is>
      </c>
    </row>
    <row r="380">
      <c r="A380" s="36" t="inlineStr">
        <is>
          <t>140651</t>
        </is>
      </c>
      <c r="B380" s="52" t="n">
        <v>46049</v>
      </c>
      <c r="C380" s="36" t="inlineStr">
        <is>
          <t>08627007701</t>
        </is>
      </c>
      <c r="D380" s="53" t="inlineStr">
        <is>
          <t>DEXCOM G7 SENSOR</t>
        </is>
      </c>
      <c r="E380" s="36" t="n">
        <v>1</v>
      </c>
      <c r="F380" s="54" t="n">
        <v>3</v>
      </c>
      <c r="G380" s="54" t="n">
        <v>3</v>
      </c>
      <c r="H380" s="55" t="n">
        <v>387</v>
      </c>
      <c r="I380" s="55" t="n">
        <v>387.87</v>
      </c>
      <c r="J380" s="55" t="n">
        <v>0</v>
      </c>
      <c r="K380" s="55" t="n">
        <v>0</v>
      </c>
      <c r="L380" s="55" t="n">
        <v>387.87</v>
      </c>
      <c r="M380" s="55" t="n">
        <v>0.87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132356</t>
        </is>
      </c>
      <c r="B381" s="52" t="n">
        <v>46041</v>
      </c>
      <c r="C381" s="36" t="inlineStr">
        <is>
          <t>08627007701</t>
        </is>
      </c>
      <c r="D381" s="53" t="inlineStr">
        <is>
          <t>DEXCOM G7 SENSOR</t>
        </is>
      </c>
      <c r="E381" s="36" t="n">
        <v>1</v>
      </c>
      <c r="F381" s="54" t="n">
        <v>3</v>
      </c>
      <c r="G381" s="54" t="n">
        <v>3</v>
      </c>
      <c r="H381" s="55" t="n">
        <v>387</v>
      </c>
      <c r="I381" s="55" t="n">
        <v>357.32</v>
      </c>
      <c r="J381" s="55" t="n">
        <v>0</v>
      </c>
      <c r="K381" s="55" t="n">
        <v>0</v>
      </c>
      <c r="L381" s="55" t="n">
        <v>357.32</v>
      </c>
      <c r="M381" s="55" t="n">
        <v>-29.68</v>
      </c>
      <c r="N381" s="36" t="inlineStr">
        <is>
          <t>610014</t>
        </is>
      </c>
      <c r="O381" s="36" t="inlineStr">
        <is>
          <t>EXPRESS</t>
        </is>
      </c>
      <c r="P381" s="36" t="inlineStr">
        <is>
          <t>MEDDPRIME</t>
        </is>
      </c>
      <c r="Q381" s="36" t="inlineStr">
        <is>
          <t>2FFA</t>
        </is>
      </c>
    </row>
    <row r="382">
      <c r="A382" s="36" t="inlineStr">
        <is>
          <t>126260</t>
        </is>
      </c>
      <c r="B382" s="52" t="n">
        <v>45993</v>
      </c>
      <c r="C382" s="36" t="inlineStr">
        <is>
          <t>08627007701</t>
        </is>
      </c>
      <c r="D382" s="53" t="inlineStr">
        <is>
          <t>DEXCOM G7 SENSOR</t>
        </is>
      </c>
      <c r="E382" s="36" t="n">
        <v>1</v>
      </c>
      <c r="F382" s="54" t="n">
        <v>3</v>
      </c>
      <c r="G382" s="54" t="n">
        <v>3</v>
      </c>
      <c r="H382" s="55" t="n">
        <v>378</v>
      </c>
      <c r="I382" s="55" t="n">
        <v>349.71</v>
      </c>
      <c r="J382" s="55" t="n">
        <v>0</v>
      </c>
      <c r="K382" s="55" t="n">
        <v>30</v>
      </c>
      <c r="L382" s="55" t="n">
        <v>379.71</v>
      </c>
      <c r="M382" s="55" t="n">
        <v>1.71</v>
      </c>
      <c r="N382" s="36" t="inlineStr">
        <is>
          <t>610011</t>
        </is>
      </c>
      <c r="O382" s="36" t="inlineStr">
        <is>
          <t>OPTUM</t>
        </is>
      </c>
      <c r="P382" s="36" t="inlineStr">
        <is>
          <t>IRX</t>
        </is>
      </c>
      <c r="Q382" s="36" t="inlineStr">
        <is>
          <t>32BJRX</t>
        </is>
      </c>
    </row>
    <row r="383">
      <c r="A383" s="36" t="inlineStr">
        <is>
          <t>140651</t>
        </is>
      </c>
      <c r="B383" s="52" t="n">
        <v>46077</v>
      </c>
      <c r="C383" s="36" t="inlineStr">
        <is>
          <t>08627007701</t>
        </is>
      </c>
      <c r="D383" s="53" t="inlineStr">
        <is>
          <t>DEXCOM G7 SENSOR</t>
        </is>
      </c>
      <c r="E383" s="36" t="n">
        <v>1</v>
      </c>
      <c r="F383" s="54" t="n">
        <v>3</v>
      </c>
      <c r="G383" s="54" t="n">
        <v>3</v>
      </c>
      <c r="H383" s="55" t="n">
        <v>387</v>
      </c>
      <c r="I383" s="55" t="n">
        <v>387.87</v>
      </c>
      <c r="J383" s="55" t="n">
        <v>0</v>
      </c>
      <c r="K383" s="55" t="n">
        <v>0</v>
      </c>
      <c r="L383" s="55" t="n">
        <v>387.87</v>
      </c>
      <c r="M383" s="55" t="n">
        <v>0.87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132356</t>
        </is>
      </c>
      <c r="B384" s="52" t="n">
        <v>46069</v>
      </c>
      <c r="C384" s="36" t="inlineStr">
        <is>
          <t>08627007701</t>
        </is>
      </c>
      <c r="D384" s="53" t="inlineStr">
        <is>
          <t>DEXCOM G7 SENSOR</t>
        </is>
      </c>
      <c r="E384" s="36" t="n">
        <v>1</v>
      </c>
      <c r="F384" s="54" t="n">
        <v>3</v>
      </c>
      <c r="G384" s="54" t="n">
        <v>3</v>
      </c>
      <c r="H384" s="55" t="n">
        <v>387</v>
      </c>
      <c r="I384" s="55" t="n">
        <v>357.32</v>
      </c>
      <c r="J384" s="55" t="n">
        <v>0</v>
      </c>
      <c r="K384" s="55" t="n">
        <v>0</v>
      </c>
      <c r="L384" s="55" t="n">
        <v>357.32</v>
      </c>
      <c r="M384" s="55" t="n">
        <v>-29.68</v>
      </c>
      <c r="N384" s="36" t="inlineStr">
        <is>
          <t>610014</t>
        </is>
      </c>
      <c r="O384" s="36" t="inlineStr">
        <is>
          <t>EXPRESS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129582</t>
        </is>
      </c>
      <c r="B385" s="52" t="n">
        <v>46056</v>
      </c>
      <c r="C385" s="36" t="inlineStr">
        <is>
          <t>08627007701</t>
        </is>
      </c>
      <c r="D385" s="53" t="inlineStr">
        <is>
          <t>DEXCOM G7 SENSOR</t>
        </is>
      </c>
      <c r="E385" s="36" t="n">
        <v>1</v>
      </c>
      <c r="F385" s="54" t="n">
        <v>3</v>
      </c>
      <c r="G385" s="54" t="n">
        <v>3</v>
      </c>
      <c r="H385" s="55" t="n">
        <v>387</v>
      </c>
      <c r="I385" s="55" t="n">
        <v>387.87</v>
      </c>
      <c r="J385" s="55" t="n">
        <v>0</v>
      </c>
      <c r="K385" s="55" t="n">
        <v>0</v>
      </c>
      <c r="L385" s="55" t="n">
        <v>387.87</v>
      </c>
      <c r="M385" s="55" t="n">
        <v>0.87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132964</t>
        </is>
      </c>
      <c r="B386" s="52" t="n">
        <v>46017</v>
      </c>
      <c r="C386" s="36" t="inlineStr">
        <is>
          <t>08627007701</t>
        </is>
      </c>
      <c r="D386" s="53" t="inlineStr">
        <is>
          <t>DEXCOM G7 SENSOR</t>
        </is>
      </c>
      <c r="E386" s="36" t="n">
        <v>1</v>
      </c>
      <c r="F386" s="54" t="n">
        <v>3</v>
      </c>
      <c r="G386" s="54" t="n">
        <v>3</v>
      </c>
      <c r="H386" s="55" t="n">
        <v>378</v>
      </c>
      <c r="I386" s="55" t="n">
        <v>376.59</v>
      </c>
      <c r="J386" s="55" t="n">
        <v>0</v>
      </c>
      <c r="K386" s="55" t="n">
        <v>0</v>
      </c>
      <c r="L386" s="55" t="n">
        <v>376.59</v>
      </c>
      <c r="M386" s="55" t="n">
        <v>-1.41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126260</t>
        </is>
      </c>
      <c r="B387" s="52" t="n">
        <v>46021</v>
      </c>
      <c r="C387" s="36" t="inlineStr">
        <is>
          <t>08627007701</t>
        </is>
      </c>
      <c r="D387" s="53" t="inlineStr">
        <is>
          <t>DEXCOM G7 SENSOR</t>
        </is>
      </c>
      <c r="E387" s="36" t="n">
        <v>1</v>
      </c>
      <c r="F387" s="54" t="n">
        <v>3</v>
      </c>
      <c r="G387" s="54" t="n">
        <v>3</v>
      </c>
      <c r="H387" s="55" t="n">
        <v>378</v>
      </c>
      <c r="I387" s="55" t="n">
        <v>349.71</v>
      </c>
      <c r="J387" s="55" t="n">
        <v>0</v>
      </c>
      <c r="K387" s="55" t="n">
        <v>30</v>
      </c>
      <c r="L387" s="55" t="n">
        <v>379.71</v>
      </c>
      <c r="M387" s="55" t="n">
        <v>1.71</v>
      </c>
      <c r="N387" s="36" t="inlineStr">
        <is>
          <t>610011</t>
        </is>
      </c>
      <c r="O387" s="36" t="inlineStr">
        <is>
          <t>OPTUM</t>
        </is>
      </c>
      <c r="P387" s="36" t="inlineStr">
        <is>
          <t>IRX</t>
        </is>
      </c>
      <c r="Q387" s="36" t="inlineStr">
        <is>
          <t>32BJRX</t>
        </is>
      </c>
    </row>
    <row r="388">
      <c r="A388" s="36" t="inlineStr">
        <is>
          <t>129582</t>
        </is>
      </c>
      <c r="B388" s="52" t="n">
        <v>46028</v>
      </c>
      <c r="C388" s="36" t="inlineStr">
        <is>
          <t>08627007701</t>
        </is>
      </c>
      <c r="D388" s="53" t="inlineStr">
        <is>
          <t>DEXCOM G7 SENSOR</t>
        </is>
      </c>
      <c r="E388" s="36" t="n">
        <v>1</v>
      </c>
      <c r="F388" s="54" t="n">
        <v>3</v>
      </c>
      <c r="G388" s="54" t="n">
        <v>3</v>
      </c>
      <c r="H388" s="55" t="n">
        <v>387</v>
      </c>
      <c r="I388" s="55" t="n">
        <v>387.87</v>
      </c>
      <c r="J388" s="55" t="n">
        <v>0</v>
      </c>
      <c r="K388" s="55" t="n">
        <v>0</v>
      </c>
      <c r="L388" s="55" t="n">
        <v>387.87</v>
      </c>
      <c r="M388" s="55" t="n">
        <v>0.87</v>
      </c>
      <c r="N388" s="36" t="inlineStr">
        <is>
          <t>004740</t>
        </is>
      </c>
      <c r="O388" s="36" t="inlineStr">
        <is>
          <t>NYM</t>
        </is>
      </c>
      <c r="P388" s="36" t="inlineStr">
        <is>
          <t>9314DA31</t>
        </is>
      </c>
      <c r="Q388" s="36" t="n">
        <v/>
      </c>
    </row>
    <row r="389">
      <c r="A389" s="36" t="inlineStr">
        <is>
          <t>117381</t>
        </is>
      </c>
      <c r="B389" s="52" t="n">
        <v>46045</v>
      </c>
      <c r="C389" s="36" t="inlineStr">
        <is>
          <t>08627007701</t>
        </is>
      </c>
      <c r="D389" s="53" t="inlineStr">
        <is>
          <t>DEXCOM G7 SENSOR</t>
        </is>
      </c>
      <c r="E389" s="36" t="n">
        <v>1</v>
      </c>
      <c r="F389" s="54" t="n">
        <v>9</v>
      </c>
      <c r="G389" s="54" t="n">
        <v>9</v>
      </c>
      <c r="H389" s="55" t="n">
        <v>1161</v>
      </c>
      <c r="I389" s="55" t="n">
        <v>1149.77</v>
      </c>
      <c r="J389" s="55" t="n">
        <v>0</v>
      </c>
      <c r="K389" s="55" t="n">
        <v>0</v>
      </c>
      <c r="L389" s="55" t="n">
        <v>1149.77</v>
      </c>
      <c r="M389" s="55" t="n">
        <v>-11.23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ADV</t>
        </is>
      </c>
      <c r="Q389" s="36" t="inlineStr">
        <is>
          <t>RX1103</t>
        </is>
      </c>
    </row>
    <row r="390">
      <c r="A390" s="36" t="inlineStr">
        <is>
          <t>134532</t>
        </is>
      </c>
      <c r="B390" s="52" t="n">
        <v>46029</v>
      </c>
      <c r="C390" s="36" t="inlineStr">
        <is>
          <t>64764017530</t>
        </is>
      </c>
      <c r="D390" s="53" t="inlineStr">
        <is>
          <t xml:space="preserve">DEXILANT 60MG CAP </t>
        </is>
      </c>
      <c r="E390" s="36" t="n">
        <v>30</v>
      </c>
      <c r="F390" s="54" t="n">
        <v>30</v>
      </c>
      <c r="G390" s="54" t="n">
        <v>1</v>
      </c>
      <c r="H390" s="55" t="n">
        <v>297</v>
      </c>
      <c r="I390" s="55" t="n">
        <v>288.33</v>
      </c>
      <c r="J390" s="55" t="n">
        <v>0</v>
      </c>
      <c r="K390" s="55" t="n">
        <v>4.9</v>
      </c>
      <c r="L390" s="55" t="n">
        <v>293.23</v>
      </c>
      <c r="M390" s="55" t="n">
        <v>-3.77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134532</t>
        </is>
      </c>
      <c r="B391" s="52" t="n">
        <v>46057</v>
      </c>
      <c r="C391" s="36" t="inlineStr">
        <is>
          <t>64764017530</t>
        </is>
      </c>
      <c r="D391" s="53" t="inlineStr">
        <is>
          <t xml:space="preserve">DEXILANT 60MG CAP </t>
        </is>
      </c>
      <c r="E391" s="36" t="n">
        <v>30</v>
      </c>
      <c r="F391" s="54" t="n">
        <v>30</v>
      </c>
      <c r="G391" s="54" t="n">
        <v>1</v>
      </c>
      <c r="H391" s="55" t="n">
        <v>297</v>
      </c>
      <c r="I391" s="55" t="n">
        <v>288.33</v>
      </c>
      <c r="J391" s="55" t="n">
        <v>0</v>
      </c>
      <c r="K391" s="55" t="n">
        <v>4.9</v>
      </c>
      <c r="L391" s="55" t="n">
        <v>293.23</v>
      </c>
      <c r="M391" s="55" t="n">
        <v>-3.77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134532</t>
        </is>
      </c>
      <c r="B392" s="52" t="n">
        <v>46001</v>
      </c>
      <c r="C392" s="36" t="inlineStr">
        <is>
          <t>64764017530</t>
        </is>
      </c>
      <c r="D392" s="53" t="inlineStr">
        <is>
          <t xml:space="preserve">DEXILANT 60MG CAP </t>
        </is>
      </c>
      <c r="E392" s="36" t="n">
        <v>30</v>
      </c>
      <c r="F392" s="54" t="n">
        <v>30</v>
      </c>
      <c r="G392" s="54" t="n">
        <v>1</v>
      </c>
      <c r="H392" s="55" t="n">
        <v>297</v>
      </c>
      <c r="I392" s="55" t="n">
        <v>290.64</v>
      </c>
      <c r="J392" s="55" t="n">
        <v>0</v>
      </c>
      <c r="K392" s="55" t="n">
        <v>0</v>
      </c>
      <c r="L392" s="55" t="n">
        <v>290.64</v>
      </c>
      <c r="M392" s="55" t="n">
        <v>-6.36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136063</t>
        </is>
      </c>
      <c r="B393" s="52" t="n">
        <v>46041</v>
      </c>
      <c r="C393" s="36" t="inlineStr">
        <is>
          <t>65162099708</t>
        </is>
      </c>
      <c r="D393" s="53" t="inlineStr">
        <is>
          <t>DOTTI 0.1 MG/24HR TRANSDERMAL PATCH TWICE WEEKLY</t>
        </is>
      </c>
      <c r="E393" s="36" t="n">
        <v>8</v>
      </c>
      <c r="F393" s="54" t="n">
        <v>8</v>
      </c>
      <c r="G393" s="54" t="n">
        <v>1</v>
      </c>
      <c r="H393" s="55" t="n">
        <v>49</v>
      </c>
      <c r="I393" s="55" t="n">
        <v>40.04</v>
      </c>
      <c r="J393" s="55" t="n">
        <v>0</v>
      </c>
      <c r="K393" s="55" t="n">
        <v>6</v>
      </c>
      <c r="L393" s="55" t="n">
        <v>46.04</v>
      </c>
      <c r="M393" s="55" t="n">
        <v>-2.96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ADV</t>
        </is>
      </c>
      <c r="Q393" s="36" t="inlineStr">
        <is>
          <t>RX1103</t>
        </is>
      </c>
    </row>
    <row r="394">
      <c r="A394" s="36" t="inlineStr">
        <is>
          <t>136063</t>
        </is>
      </c>
      <c r="B394" s="52" t="n">
        <v>46013</v>
      </c>
      <c r="C394" s="36" t="inlineStr">
        <is>
          <t>65162099708</t>
        </is>
      </c>
      <c r="D394" s="53" t="inlineStr">
        <is>
          <t>DOTTI 0.1 MG/24HR TRANSDERMAL PATCH TWICE WEEKLY</t>
        </is>
      </c>
      <c r="E394" s="36" t="n">
        <v>8</v>
      </c>
      <c r="F394" s="54" t="n">
        <v>8</v>
      </c>
      <c r="G394" s="54" t="n">
        <v>1</v>
      </c>
      <c r="H394" s="55" t="n">
        <v>49</v>
      </c>
      <c r="I394" s="55" t="n">
        <v>63.39</v>
      </c>
      <c r="J394" s="55" t="n">
        <v>0</v>
      </c>
      <c r="K394" s="55" t="n">
        <v>1</v>
      </c>
      <c r="L394" s="55" t="n">
        <v>64.39</v>
      </c>
      <c r="M394" s="55" t="n">
        <v>15.39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136063</t>
        </is>
      </c>
      <c r="B395" s="52" t="n">
        <v>46069</v>
      </c>
      <c r="C395" s="36" t="inlineStr">
        <is>
          <t>65162099708</t>
        </is>
      </c>
      <c r="D395" s="53" t="inlineStr">
        <is>
          <t>DOTTI 0.1 MG/24HR TRANSDERMAL PATCH TWICE WEEKLY</t>
        </is>
      </c>
      <c r="E395" s="36" t="n">
        <v>8</v>
      </c>
      <c r="F395" s="54" t="n">
        <v>8</v>
      </c>
      <c r="G395" s="54" t="n">
        <v>1</v>
      </c>
      <c r="H395" s="55" t="n">
        <v>49</v>
      </c>
      <c r="I395" s="55" t="n">
        <v>40.04</v>
      </c>
      <c r="J395" s="55" t="n">
        <v>0</v>
      </c>
      <c r="K395" s="55" t="n">
        <v>6</v>
      </c>
      <c r="L395" s="55" t="n">
        <v>46.04</v>
      </c>
      <c r="M395" s="55" t="n">
        <v>-2.96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ADV</t>
        </is>
      </c>
      <c r="Q395" s="36" t="inlineStr">
        <is>
          <t>RX1103</t>
        </is>
      </c>
    </row>
    <row r="396">
      <c r="A396" s="36" t="inlineStr">
        <is>
          <t>116500</t>
        </is>
      </c>
      <c r="B396" s="52" t="n">
        <v>46065</v>
      </c>
      <c r="C396" s="36" t="inlineStr">
        <is>
          <t>49702024613</t>
        </is>
      </c>
      <c r="D396" s="53" t="inlineStr">
        <is>
          <t>DOVATO 50-300 MG ORAL TABLET</t>
        </is>
      </c>
      <c r="E396" s="36" t="n">
        <v>30</v>
      </c>
      <c r="F396" s="54" t="n">
        <v>30</v>
      </c>
      <c r="G396" s="54" t="n">
        <v>1</v>
      </c>
      <c r="H396" s="55" t="n">
        <v>3018</v>
      </c>
      <c r="I396" s="55" t="n">
        <v>3092.9</v>
      </c>
      <c r="J396" s="55" t="n">
        <v>0</v>
      </c>
      <c r="K396" s="55" t="n">
        <v>0</v>
      </c>
      <c r="L396" s="55" t="n">
        <v>3092.9</v>
      </c>
      <c r="M396" s="55" t="n">
        <v>74.90000000000001</v>
      </c>
      <c r="N396" s="36" t="inlineStr">
        <is>
          <t>004336</t>
        </is>
      </c>
      <c r="O396" s="36" t="inlineStr">
        <is>
          <t>CAREMARK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116500</t>
        </is>
      </c>
      <c r="B397" s="52" t="n">
        <v>46009</v>
      </c>
      <c r="C397" s="36" t="inlineStr">
        <is>
          <t>49702024613</t>
        </is>
      </c>
      <c r="D397" s="53" t="inlineStr">
        <is>
          <t>DOVATO 50-300 MG ORAL TABLET</t>
        </is>
      </c>
      <c r="E397" s="36" t="n">
        <v>30</v>
      </c>
      <c r="F397" s="54" t="n">
        <v>30</v>
      </c>
      <c r="G397" s="54" t="n">
        <v>1</v>
      </c>
      <c r="H397" s="55" t="n">
        <v>3018</v>
      </c>
      <c r="I397" s="55" t="n">
        <v>2919.62</v>
      </c>
      <c r="J397" s="55" t="n">
        <v>0</v>
      </c>
      <c r="K397" s="55" t="n">
        <v>0</v>
      </c>
      <c r="L397" s="55" t="n">
        <v>2919.62</v>
      </c>
      <c r="M397" s="55" t="n">
        <v>-98.38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116500</t>
        </is>
      </c>
      <c r="B398" s="52" t="n">
        <v>46037</v>
      </c>
      <c r="C398" s="36" t="inlineStr">
        <is>
          <t>49702024613</t>
        </is>
      </c>
      <c r="D398" s="53" t="inlineStr">
        <is>
          <t>DOVATO 50-300 MG ORAL TABLET</t>
        </is>
      </c>
      <c r="E398" s="36" t="n">
        <v>30</v>
      </c>
      <c r="F398" s="54" t="n">
        <v>30</v>
      </c>
      <c r="G398" s="54" t="n">
        <v>1</v>
      </c>
      <c r="H398" s="55" t="n">
        <v>3018</v>
      </c>
      <c r="I398" s="55" t="n">
        <v>3081.59</v>
      </c>
      <c r="J398" s="55" t="n">
        <v>0</v>
      </c>
      <c r="K398" s="55" t="n">
        <v>0</v>
      </c>
      <c r="L398" s="55" t="n">
        <v>3081.59</v>
      </c>
      <c r="M398" s="55" t="n">
        <v>63.59</v>
      </c>
      <c r="N398" s="36" t="inlineStr">
        <is>
          <t>015574</t>
        </is>
      </c>
      <c r="O398" s="36" t="inlineStr">
        <is>
          <t>MEDIMP</t>
        </is>
      </c>
      <c r="P398" s="36" t="inlineStr">
        <is>
          <t>ASPROD1</t>
        </is>
      </c>
      <c r="Q398" s="36" t="n">
        <v/>
      </c>
    </row>
    <row r="399">
      <c r="A399" s="36" t="inlineStr">
        <is>
          <t>138836</t>
        </is>
      </c>
      <c r="B399" s="52" t="n">
        <v>46035</v>
      </c>
      <c r="C399" s="36" t="inlineStr">
        <is>
          <t>78206012601</t>
        </is>
      </c>
      <c r="D399" s="53" t="inlineStr">
        <is>
          <t>DULERA 200-5 MCG/ACT INH AEROSOL 13GM</t>
        </is>
      </c>
      <c r="E399" s="36" t="n">
        <v>13</v>
      </c>
      <c r="F399" s="54" t="n">
        <v>39</v>
      </c>
      <c r="G399" s="54" t="n">
        <v>3</v>
      </c>
      <c r="H399" s="55" t="n">
        <v>993</v>
      </c>
      <c r="I399" s="55" t="n">
        <v>994.52</v>
      </c>
      <c r="J399" s="55" t="n">
        <v>0</v>
      </c>
      <c r="K399" s="55" t="n">
        <v>0</v>
      </c>
      <c r="L399" s="55" t="n">
        <v>994.52</v>
      </c>
      <c r="M399" s="55" t="n">
        <v>1.52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123970</t>
        </is>
      </c>
      <c r="B400" s="52" t="n">
        <v>46034</v>
      </c>
      <c r="C400" s="36" t="inlineStr">
        <is>
          <t>00003089321</t>
        </is>
      </c>
      <c r="D400" s="53" t="inlineStr">
        <is>
          <t xml:space="preserve">ELIQUIS 2.5MG TAB </t>
        </is>
      </c>
      <c r="E400" s="36" t="n">
        <v>60</v>
      </c>
      <c r="F400" s="54" t="n">
        <v>60</v>
      </c>
      <c r="G400" s="54" t="n">
        <v>1</v>
      </c>
      <c r="H400" s="55" t="n">
        <v>333</v>
      </c>
      <c r="I400" s="55" t="n">
        <v>243.56</v>
      </c>
      <c r="J400" s="55" t="n">
        <v>96.89</v>
      </c>
      <c r="K400" s="55" t="n">
        <v>4.9</v>
      </c>
      <c r="L400" s="55" t="n">
        <v>345.35</v>
      </c>
      <c r="M400" s="55" t="n">
        <v>12.35</v>
      </c>
      <c r="N400" s="36" t="inlineStr">
        <is>
          <t>004336</t>
        </is>
      </c>
      <c r="O400" s="36" t="inlineStr">
        <is>
          <t>CAREMARK</t>
        </is>
      </c>
      <c r="P400" s="36" t="inlineStr">
        <is>
          <t>MEDDADV</t>
        </is>
      </c>
      <c r="Q400" s="36" t="inlineStr">
        <is>
          <t>RX8541</t>
        </is>
      </c>
    </row>
    <row r="401">
      <c r="A401" s="36" t="inlineStr">
        <is>
          <t>132589</t>
        </is>
      </c>
      <c r="B401" s="52" t="n">
        <v>46073</v>
      </c>
      <c r="C401" s="36" t="inlineStr">
        <is>
          <t>00003089321</t>
        </is>
      </c>
      <c r="D401" s="53" t="inlineStr">
        <is>
          <t xml:space="preserve">ELIQUIS 2.5MG TAB </t>
        </is>
      </c>
      <c r="E401" s="36" t="n">
        <v>60</v>
      </c>
      <c r="F401" s="54" t="n">
        <v>180</v>
      </c>
      <c r="G401" s="54" t="n">
        <v>3</v>
      </c>
      <c r="H401" s="55" t="n">
        <v>1008</v>
      </c>
      <c r="I401" s="55" t="n">
        <v>740.87</v>
      </c>
      <c r="J401" s="55" t="n">
        <v>290.66</v>
      </c>
      <c r="K401" s="55" t="n">
        <v>4.9</v>
      </c>
      <c r="L401" s="55" t="n">
        <v>1036.43</v>
      </c>
      <c r="M401" s="55" t="n">
        <v>28.43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140937</t>
        </is>
      </c>
      <c r="B402" s="52" t="n">
        <v>46050</v>
      </c>
      <c r="C402" s="36" t="inlineStr">
        <is>
          <t>00003089321</t>
        </is>
      </c>
      <c r="D402" s="53" t="inlineStr">
        <is>
          <t xml:space="preserve">ELIQUIS 2.5MG TAB </t>
        </is>
      </c>
      <c r="E402" s="36" t="n">
        <v>60</v>
      </c>
      <c r="F402" s="54" t="n">
        <v>60</v>
      </c>
      <c r="G402" s="54" t="n">
        <v>1</v>
      </c>
      <c r="H402" s="55" t="n">
        <v>333</v>
      </c>
      <c r="I402" s="55" t="n">
        <v>341.57</v>
      </c>
      <c r="J402" s="55" t="n">
        <v>0</v>
      </c>
      <c r="K402" s="55" t="n">
        <v>0</v>
      </c>
      <c r="L402" s="55" t="n">
        <v>341.57</v>
      </c>
      <c r="M402" s="55" t="n">
        <v>8.57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118173</t>
        </is>
      </c>
      <c r="B403" s="52" t="n">
        <v>46015</v>
      </c>
      <c r="C403" s="36" t="inlineStr">
        <is>
          <t>00003089321</t>
        </is>
      </c>
      <c r="D403" s="53" t="inlineStr">
        <is>
          <t xml:space="preserve">ELIQUIS 2.5MG TAB </t>
        </is>
      </c>
      <c r="E403" s="36" t="n">
        <v>60</v>
      </c>
      <c r="F403" s="54" t="n">
        <v>60</v>
      </c>
      <c r="G403" s="54" t="n">
        <v>1</v>
      </c>
      <c r="H403" s="55" t="n">
        <v>333</v>
      </c>
      <c r="I403" s="55" t="n">
        <v>591.5599999999999</v>
      </c>
      <c r="J403" s="55" t="n">
        <v>0</v>
      </c>
      <c r="K403" s="55" t="n">
        <v>0</v>
      </c>
      <c r="L403" s="55" t="n">
        <v>591.5599999999999</v>
      </c>
      <c r="M403" s="55" t="n">
        <v>258.56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129627</t>
        </is>
      </c>
      <c r="B404" s="52" t="n">
        <v>45994</v>
      </c>
      <c r="C404" s="36" t="inlineStr">
        <is>
          <t>00003089321</t>
        </is>
      </c>
      <c r="D404" s="53" t="inlineStr">
        <is>
          <t xml:space="preserve">ELIQUIS 2.5MG TAB </t>
        </is>
      </c>
      <c r="E404" s="36" t="n">
        <v>60</v>
      </c>
      <c r="F404" s="54" t="n">
        <v>60</v>
      </c>
      <c r="G404" s="54" t="n">
        <v>1</v>
      </c>
      <c r="H404" s="55" t="n">
        <v>333</v>
      </c>
      <c r="I404" s="55" t="n">
        <v>571.61</v>
      </c>
      <c r="J404" s="55" t="n">
        <v>0</v>
      </c>
      <c r="K404" s="55" t="n">
        <v>0</v>
      </c>
      <c r="L404" s="55" t="n">
        <v>571.61</v>
      </c>
      <c r="M404" s="55" t="n">
        <v>238.61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137077</t>
        </is>
      </c>
      <c r="B405" s="52" t="n">
        <v>46022</v>
      </c>
      <c r="C405" s="36" t="inlineStr">
        <is>
          <t>00003089321</t>
        </is>
      </c>
      <c r="D405" s="53" t="inlineStr">
        <is>
          <t xml:space="preserve">ELIQUIS 2.5MG TAB </t>
        </is>
      </c>
      <c r="E405" s="36" t="n">
        <v>60</v>
      </c>
      <c r="F405" s="54" t="n">
        <v>180</v>
      </c>
      <c r="G405" s="54" t="n">
        <v>3</v>
      </c>
      <c r="H405" s="55" t="n">
        <v>999</v>
      </c>
      <c r="I405" s="55" t="n">
        <v>1691.21</v>
      </c>
      <c r="J405" s="55" t="n">
        <v>0</v>
      </c>
      <c r="K405" s="55" t="n">
        <v>0</v>
      </c>
      <c r="L405" s="55" t="n">
        <v>1691.21</v>
      </c>
      <c r="M405" s="55" t="n">
        <v>692.21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120419</t>
        </is>
      </c>
      <c r="B406" s="52" t="n">
        <v>46066</v>
      </c>
      <c r="C406" s="36" t="inlineStr">
        <is>
          <t>00003089321</t>
        </is>
      </c>
      <c r="D406" s="53" t="inlineStr">
        <is>
          <t xml:space="preserve">ELIQUIS 2.5MG TAB </t>
        </is>
      </c>
      <c r="E406" s="36" t="n">
        <v>60</v>
      </c>
      <c r="F406" s="54" t="n">
        <v>180</v>
      </c>
      <c r="G406" s="54" t="n">
        <v>3</v>
      </c>
      <c r="H406" s="55" t="n">
        <v>1008</v>
      </c>
      <c r="I406" s="55" t="n">
        <v>745.77</v>
      </c>
      <c r="J406" s="55" t="n">
        <v>290.66</v>
      </c>
      <c r="K406" s="55" t="n">
        <v>0</v>
      </c>
      <c r="L406" s="55" t="n">
        <v>1036.43</v>
      </c>
      <c r="M406" s="55" t="n">
        <v>28.43</v>
      </c>
      <c r="N406" s="36" t="inlineStr">
        <is>
          <t>004336</t>
        </is>
      </c>
      <c r="O406" s="36" t="inlineStr">
        <is>
          <t>CAREMARK</t>
        </is>
      </c>
      <c r="P406" s="36" t="inlineStr">
        <is>
          <t>MEDDADV</t>
        </is>
      </c>
      <c r="Q406" s="36" t="inlineStr">
        <is>
          <t>RX8585</t>
        </is>
      </c>
    </row>
    <row r="407">
      <c r="A407" s="36" t="inlineStr">
        <is>
          <t>135385</t>
        </is>
      </c>
      <c r="B407" s="52" t="n">
        <v>46007</v>
      </c>
      <c r="C407" s="36" t="inlineStr">
        <is>
          <t>00003089321</t>
        </is>
      </c>
      <c r="D407" s="53" t="inlineStr">
        <is>
          <t xml:space="preserve">ELIQUIS 2.5MG TAB </t>
        </is>
      </c>
      <c r="E407" s="36" t="n">
        <v>60</v>
      </c>
      <c r="F407" s="54" t="n">
        <v>60</v>
      </c>
      <c r="G407" s="54" t="n">
        <v>1</v>
      </c>
      <c r="H407" s="55" t="n">
        <v>333</v>
      </c>
      <c r="I407" s="55" t="n">
        <v>591.49</v>
      </c>
      <c r="J407" s="55" t="n">
        <v>0</v>
      </c>
      <c r="K407" s="55" t="n">
        <v>0</v>
      </c>
      <c r="L407" s="55" t="n">
        <v>591.49</v>
      </c>
      <c r="M407" s="55" t="n">
        <v>258.49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126266</t>
        </is>
      </c>
      <c r="B408" s="52" t="n">
        <v>46017</v>
      </c>
      <c r="C408" s="36" t="inlineStr">
        <is>
          <t>00003089321</t>
        </is>
      </c>
      <c r="D408" s="53" t="inlineStr">
        <is>
          <t xml:space="preserve">ELIQUIS 2.5MG TAB </t>
        </is>
      </c>
      <c r="E408" s="36" t="n">
        <v>60</v>
      </c>
      <c r="F408" s="54" t="n">
        <v>180</v>
      </c>
      <c r="G408" s="54" t="n">
        <v>3</v>
      </c>
      <c r="H408" s="55" t="n">
        <v>999</v>
      </c>
      <c r="I408" s="55" t="n">
        <v>1754.31</v>
      </c>
      <c r="J408" s="55" t="n">
        <v>0</v>
      </c>
      <c r="K408" s="55" t="n">
        <v>0</v>
      </c>
      <c r="L408" s="55" t="n">
        <v>1754.31</v>
      </c>
      <c r="M408" s="55" t="n">
        <v>755.3099999999999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123970</t>
        </is>
      </c>
      <c r="B409" s="52" t="n">
        <v>46006</v>
      </c>
      <c r="C409" s="36" t="inlineStr">
        <is>
          <t>00003089321</t>
        </is>
      </c>
      <c r="D409" s="53" t="inlineStr">
        <is>
          <t xml:space="preserve">ELIQUIS 2.5MG TAB </t>
        </is>
      </c>
      <c r="E409" s="36" t="n">
        <v>60</v>
      </c>
      <c r="F409" s="54" t="n">
        <v>60</v>
      </c>
      <c r="G409" s="54" t="n">
        <v>1</v>
      </c>
      <c r="H409" s="55" t="n">
        <v>333</v>
      </c>
      <c r="I409" s="55" t="n">
        <v>579.62</v>
      </c>
      <c r="J409" s="55" t="n">
        <v>0</v>
      </c>
      <c r="K409" s="55" t="n">
        <v>0</v>
      </c>
      <c r="L409" s="55" t="n">
        <v>579.62</v>
      </c>
      <c r="M409" s="55" t="n">
        <v>246.62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RX8541</t>
        </is>
      </c>
    </row>
    <row r="410">
      <c r="A410" s="36" t="inlineStr">
        <is>
          <t>123970</t>
        </is>
      </c>
      <c r="B410" s="52" t="n">
        <v>46062</v>
      </c>
      <c r="C410" s="36" t="inlineStr">
        <is>
          <t>00003089321</t>
        </is>
      </c>
      <c r="D410" s="53" t="inlineStr">
        <is>
          <t xml:space="preserve">ELIQUIS 2.5MG TAB </t>
        </is>
      </c>
      <c r="E410" s="36" t="n">
        <v>60</v>
      </c>
      <c r="F410" s="54" t="n">
        <v>60</v>
      </c>
      <c r="G410" s="54" t="n">
        <v>1</v>
      </c>
      <c r="H410" s="55" t="n">
        <v>336</v>
      </c>
      <c r="I410" s="55" t="n">
        <v>243.56</v>
      </c>
      <c r="J410" s="55" t="n">
        <v>96.89</v>
      </c>
      <c r="K410" s="55" t="n">
        <v>4.9</v>
      </c>
      <c r="L410" s="55" t="n">
        <v>345.35</v>
      </c>
      <c r="M410" s="55" t="n">
        <v>9.35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RX8541</t>
        </is>
      </c>
    </row>
    <row r="411">
      <c r="A411" s="36" t="inlineStr">
        <is>
          <t>115384</t>
        </is>
      </c>
      <c r="B411" s="52" t="n">
        <v>46036</v>
      </c>
      <c r="C411" s="36" t="inlineStr">
        <is>
          <t>00003089321</t>
        </is>
      </c>
      <c r="D411" s="53" t="inlineStr">
        <is>
          <t xml:space="preserve">ELIQUIS 2.5MG TAB </t>
        </is>
      </c>
      <c r="E411" s="36" t="n">
        <v>60</v>
      </c>
      <c r="F411" s="54" t="n">
        <v>180</v>
      </c>
      <c r="G411" s="54" t="n">
        <v>3</v>
      </c>
      <c r="H411" s="55" t="n">
        <v>999</v>
      </c>
      <c r="I411" s="55" t="n">
        <v>745.77</v>
      </c>
      <c r="J411" s="55" t="n">
        <v>290.66</v>
      </c>
      <c r="K411" s="55" t="n">
        <v>0</v>
      </c>
      <c r="L411" s="55" t="n">
        <v>1036.43</v>
      </c>
      <c r="M411" s="55" t="n">
        <v>37.43</v>
      </c>
      <c r="N411" s="36" t="inlineStr">
        <is>
          <t>004336</t>
        </is>
      </c>
      <c r="O411" s="36" t="inlineStr">
        <is>
          <t>CAREMARK</t>
        </is>
      </c>
      <c r="P411" s="36" t="inlineStr">
        <is>
          <t>MEDDADV</t>
        </is>
      </c>
      <c r="Q411" s="36" t="inlineStr">
        <is>
          <t>RX1110</t>
        </is>
      </c>
    </row>
    <row r="412">
      <c r="A412" s="36" t="inlineStr">
        <is>
          <t>113674</t>
        </is>
      </c>
      <c r="B412" s="52" t="n">
        <v>46011</v>
      </c>
      <c r="C412" s="36" t="inlineStr">
        <is>
          <t>00003089421</t>
        </is>
      </c>
      <c r="D412" s="53" t="inlineStr">
        <is>
          <t xml:space="preserve">ELIQUIS 5MG TAB </t>
        </is>
      </c>
      <c r="E412" s="36" t="n">
        <v>60</v>
      </c>
      <c r="F412" s="54" t="n">
        <v>180</v>
      </c>
      <c r="G412" s="54" t="n">
        <v>3</v>
      </c>
      <c r="H412" s="55" t="n">
        <v>1752</v>
      </c>
      <c r="I412" s="55" t="n">
        <v>1691.21</v>
      </c>
      <c r="J412" s="55" t="n">
        <v>0</v>
      </c>
      <c r="K412" s="55" t="n">
        <v>0</v>
      </c>
      <c r="L412" s="55" t="n">
        <v>1691.21</v>
      </c>
      <c r="M412" s="55" t="n">
        <v>-60.79</v>
      </c>
      <c r="N412" s="36" t="inlineStr">
        <is>
          <t>004336</t>
        </is>
      </c>
      <c r="O412" s="36" t="inlineStr">
        <is>
          <t>CAREMARK</t>
        </is>
      </c>
      <c r="P412" s="36" t="inlineStr">
        <is>
          <t>MEDDADV</t>
        </is>
      </c>
      <c r="Q412" s="36" t="inlineStr">
        <is>
          <t>RX1110</t>
        </is>
      </c>
    </row>
    <row r="413">
      <c r="A413" s="36" t="inlineStr">
        <is>
          <t>141178</t>
        </is>
      </c>
      <c r="B413" s="52" t="n">
        <v>46052</v>
      </c>
      <c r="C413" s="36" t="inlineStr">
        <is>
          <t>00003089421</t>
        </is>
      </c>
      <c r="D413" s="53" t="inlineStr">
        <is>
          <t xml:space="preserve">ELIQUIS 5MG TAB </t>
        </is>
      </c>
      <c r="E413" s="36" t="n">
        <v>60</v>
      </c>
      <c r="F413" s="54" t="n">
        <v>180</v>
      </c>
      <c r="G413" s="54" t="n">
        <v>3</v>
      </c>
      <c r="H413" s="55" t="n">
        <v>999</v>
      </c>
      <c r="I413" s="55" t="n">
        <v>745.9</v>
      </c>
      <c r="J413" s="55" t="n">
        <v>290.66</v>
      </c>
      <c r="K413" s="55" t="n">
        <v>4.9</v>
      </c>
      <c r="L413" s="55" t="n">
        <v>1041.46</v>
      </c>
      <c r="M413" s="55" t="n">
        <v>42.46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inlineStr">
        <is>
          <t>VNS01</t>
        </is>
      </c>
    </row>
    <row r="414">
      <c r="A414" s="36" t="inlineStr">
        <is>
          <t>130287</t>
        </is>
      </c>
      <c r="B414" s="52" t="n">
        <v>46056</v>
      </c>
      <c r="C414" s="36" t="inlineStr">
        <is>
          <t>00003089421</t>
        </is>
      </c>
      <c r="D414" s="53" t="inlineStr">
        <is>
          <t xml:space="preserve">ELIQUIS 5MG TAB </t>
        </is>
      </c>
      <c r="E414" s="36" t="n">
        <v>60</v>
      </c>
      <c r="F414" s="54" t="n">
        <v>180</v>
      </c>
      <c r="G414" s="54" t="n">
        <v>3</v>
      </c>
      <c r="H414" s="55" t="n">
        <v>1008</v>
      </c>
      <c r="I414" s="55" t="n">
        <v>734.46</v>
      </c>
      <c r="J414" s="55" t="n">
        <v>290.66</v>
      </c>
      <c r="K414" s="55" t="n">
        <v>12.65</v>
      </c>
      <c r="L414" s="55" t="n">
        <v>1037.77</v>
      </c>
      <c r="M414" s="55" t="n">
        <v>29.77</v>
      </c>
      <c r="N414" s="36" t="inlineStr">
        <is>
          <t>610014</t>
        </is>
      </c>
      <c r="O414" s="36" t="inlineStr">
        <is>
          <t>EXPRESS</t>
        </is>
      </c>
      <c r="P414" s="36" t="inlineStr">
        <is>
          <t>MEDDPRIME</t>
        </is>
      </c>
      <c r="Q414" s="36" t="inlineStr">
        <is>
          <t>2FFA</t>
        </is>
      </c>
    </row>
    <row r="415">
      <c r="A415" s="36" t="inlineStr">
        <is>
          <t>140318</t>
        </is>
      </c>
      <c r="B415" s="52" t="n">
        <v>46045</v>
      </c>
      <c r="C415" s="36" t="inlineStr">
        <is>
          <t>00003089421</t>
        </is>
      </c>
      <c r="D415" s="53" t="inlineStr">
        <is>
          <t xml:space="preserve">ELIQUIS 5MG TAB </t>
        </is>
      </c>
      <c r="E415" s="36" t="n">
        <v>60</v>
      </c>
      <c r="F415" s="54" t="n">
        <v>180</v>
      </c>
      <c r="G415" s="54" t="n">
        <v>3</v>
      </c>
      <c r="H415" s="55" t="n">
        <v>999</v>
      </c>
      <c r="I415" s="55" t="n">
        <v>745.77</v>
      </c>
      <c r="J415" s="55" t="n">
        <v>290.66</v>
      </c>
      <c r="K415" s="55" t="n">
        <v>0</v>
      </c>
      <c r="L415" s="55" t="n">
        <v>1036.43</v>
      </c>
      <c r="M415" s="55" t="n">
        <v>37.43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128584</t>
        </is>
      </c>
      <c r="B416" s="52" t="n">
        <v>46042</v>
      </c>
      <c r="C416" s="36" t="inlineStr">
        <is>
          <t>00003089421</t>
        </is>
      </c>
      <c r="D416" s="53" t="inlineStr">
        <is>
          <t xml:space="preserve">ELIQUIS 5MG TAB </t>
        </is>
      </c>
      <c r="E416" s="36" t="n">
        <v>60</v>
      </c>
      <c r="F416" s="54" t="n">
        <v>60</v>
      </c>
      <c r="G416" s="54" t="n">
        <v>1</v>
      </c>
      <c r="H416" s="55" t="n">
        <v>333</v>
      </c>
      <c r="I416" s="55" t="n">
        <v>312.93</v>
      </c>
      <c r="J416" s="55" t="n">
        <v>0</v>
      </c>
      <c r="K416" s="55" t="n">
        <v>15</v>
      </c>
      <c r="L416" s="55" t="n">
        <v>327.93</v>
      </c>
      <c r="M416" s="55" t="n">
        <v>-5.07</v>
      </c>
      <c r="N416" s="36" t="inlineStr">
        <is>
          <t>004336</t>
        </is>
      </c>
      <c r="O416" s="36" t="inlineStr">
        <is>
          <t>CAREMARK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143964</t>
        </is>
      </c>
      <c r="B417" s="52" t="n">
        <v>46072</v>
      </c>
      <c r="C417" s="36" t="inlineStr">
        <is>
          <t>00003089421</t>
        </is>
      </c>
      <c r="D417" s="53" t="inlineStr">
        <is>
          <t xml:space="preserve">ELIQUIS 5MG TAB </t>
        </is>
      </c>
      <c r="E417" s="36" t="n">
        <v>60</v>
      </c>
      <c r="F417" s="54" t="n">
        <v>180</v>
      </c>
      <c r="G417" s="54" t="n">
        <v>3</v>
      </c>
      <c r="H417" s="55" t="n">
        <v>1008</v>
      </c>
      <c r="I417" s="55" t="n">
        <v>750.8</v>
      </c>
      <c r="J417" s="55" t="n">
        <v>290.66</v>
      </c>
      <c r="K417" s="55" t="n">
        <v>0</v>
      </c>
      <c r="L417" s="55" t="n">
        <v>1041.46</v>
      </c>
      <c r="M417" s="55" t="n">
        <v>33.46</v>
      </c>
      <c r="N417" s="36" t="inlineStr">
        <is>
          <t>015574</t>
        </is>
      </c>
      <c r="O417" s="36" t="inlineStr">
        <is>
          <t>MEDIMP</t>
        </is>
      </c>
      <c r="P417" s="36" t="inlineStr">
        <is>
          <t>ASPROD1</t>
        </is>
      </c>
      <c r="Q417" s="36" t="inlineStr">
        <is>
          <t>VNS01</t>
        </is>
      </c>
    </row>
    <row r="418">
      <c r="A418" s="36" t="inlineStr">
        <is>
          <t>143572</t>
        </is>
      </c>
      <c r="B418" s="52" t="n">
        <v>46070</v>
      </c>
      <c r="C418" s="36" t="inlineStr">
        <is>
          <t>00003089421</t>
        </is>
      </c>
      <c r="D418" s="53" t="inlineStr">
        <is>
          <t xml:space="preserve">ELIQUIS 5MG TAB </t>
        </is>
      </c>
      <c r="E418" s="36" t="n">
        <v>60</v>
      </c>
      <c r="F418" s="54" t="n">
        <v>180</v>
      </c>
      <c r="G418" s="54" t="n">
        <v>3</v>
      </c>
      <c r="H418" s="55" t="n">
        <v>1008</v>
      </c>
      <c r="I418" s="55" t="n">
        <v>740.87</v>
      </c>
      <c r="J418" s="55" t="n">
        <v>290.66</v>
      </c>
      <c r="K418" s="55" t="n">
        <v>4.9</v>
      </c>
      <c r="L418" s="55" t="n">
        <v>1036.43</v>
      </c>
      <c r="M418" s="55" t="n">
        <v>28.43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142615</t>
        </is>
      </c>
      <c r="B419" s="52" t="n">
        <v>46063</v>
      </c>
      <c r="C419" s="36" t="inlineStr">
        <is>
          <t>00003089421</t>
        </is>
      </c>
      <c r="D419" s="53" t="inlineStr">
        <is>
          <t xml:space="preserve">ELIQUIS 5MG TAB </t>
        </is>
      </c>
      <c r="E419" s="36" t="n">
        <v>60</v>
      </c>
      <c r="F419" s="54" t="n">
        <v>180</v>
      </c>
      <c r="G419" s="54" t="n">
        <v>3</v>
      </c>
      <c r="H419" s="55" t="n">
        <v>1008</v>
      </c>
      <c r="I419" s="55" t="n">
        <v>1004.96</v>
      </c>
      <c r="J419" s="55" t="n">
        <v>0</v>
      </c>
      <c r="K419" s="55" t="n">
        <v>0</v>
      </c>
      <c r="L419" s="55" t="n">
        <v>1004.96</v>
      </c>
      <c r="M419" s="55" t="n">
        <v>-3.04</v>
      </c>
      <c r="N419" s="36" t="inlineStr">
        <is>
          <t>004740</t>
        </is>
      </c>
      <c r="O419" s="36" t="inlineStr">
        <is>
          <t>NYM</t>
        </is>
      </c>
      <c r="P419" s="36" t="inlineStr">
        <is>
          <t>9314DA31</t>
        </is>
      </c>
      <c r="Q419" s="36" t="n">
        <v/>
      </c>
    </row>
    <row r="420">
      <c r="A420" s="36" t="inlineStr">
        <is>
          <t>131193</t>
        </is>
      </c>
      <c r="B420" s="52" t="n">
        <v>46006</v>
      </c>
      <c r="C420" s="36" t="inlineStr">
        <is>
          <t>00003089421</t>
        </is>
      </c>
      <c r="D420" s="53" t="inlineStr">
        <is>
          <t xml:space="preserve">ELIQUIS 5MG TAB </t>
        </is>
      </c>
      <c r="E420" s="36" t="n">
        <v>60</v>
      </c>
      <c r="F420" s="54" t="n">
        <v>60</v>
      </c>
      <c r="G420" s="54" t="n">
        <v>1</v>
      </c>
      <c r="H420" s="55" t="n">
        <v>584</v>
      </c>
      <c r="I420" s="55" t="n">
        <v>591.83</v>
      </c>
      <c r="J420" s="55" t="n">
        <v>0</v>
      </c>
      <c r="K420" s="55" t="n">
        <v>0</v>
      </c>
      <c r="L420" s="55" t="n">
        <v>591.83</v>
      </c>
      <c r="M420" s="55" t="n">
        <v>7.83</v>
      </c>
      <c r="N420" s="36" t="inlineStr">
        <is>
          <t>004740</t>
        </is>
      </c>
      <c r="O420" s="36" t="inlineStr">
        <is>
          <t>NYM</t>
        </is>
      </c>
      <c r="P420" s="36" t="inlineStr">
        <is>
          <t>9314DA31</t>
        </is>
      </c>
      <c r="Q420" s="36" t="n">
        <v/>
      </c>
    </row>
    <row r="421">
      <c r="A421" s="36" t="inlineStr">
        <is>
          <t>123048</t>
        </is>
      </c>
      <c r="B421" s="52" t="n">
        <v>46027</v>
      </c>
      <c r="C421" s="36" t="inlineStr">
        <is>
          <t>00003089421</t>
        </is>
      </c>
      <c r="D421" s="53" t="inlineStr">
        <is>
          <t xml:space="preserve">ELIQUIS 5MG TAB </t>
        </is>
      </c>
      <c r="E421" s="36" t="n">
        <v>60</v>
      </c>
      <c r="F421" s="54" t="n">
        <v>60</v>
      </c>
      <c r="G421" s="54" t="n">
        <v>1</v>
      </c>
      <c r="H421" s="55" t="n">
        <v>333</v>
      </c>
      <c r="I421" s="55" t="n">
        <v>248.46</v>
      </c>
      <c r="J421" s="55" t="n">
        <v>96.89</v>
      </c>
      <c r="K421" s="55" t="n">
        <v>0</v>
      </c>
      <c r="L421" s="55" t="n">
        <v>345.35</v>
      </c>
      <c r="M421" s="55" t="n">
        <v>12.35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128584</t>
        </is>
      </c>
      <c r="B422" s="52" t="n">
        <v>46010</v>
      </c>
      <c r="C422" s="36" t="inlineStr">
        <is>
          <t>00003089421</t>
        </is>
      </c>
      <c r="D422" s="53" t="inlineStr">
        <is>
          <t xml:space="preserve">ELIQUIS 5MG TAB </t>
        </is>
      </c>
      <c r="E422" s="36" t="n">
        <v>60</v>
      </c>
      <c r="F422" s="54" t="n">
        <v>60</v>
      </c>
      <c r="G422" s="54" t="n">
        <v>1</v>
      </c>
      <c r="H422" s="55" t="n">
        <v>584</v>
      </c>
      <c r="I422" s="55" t="n">
        <v>560.23</v>
      </c>
      <c r="J422" s="55" t="n">
        <v>0</v>
      </c>
      <c r="K422" s="55" t="n">
        <v>15</v>
      </c>
      <c r="L422" s="55" t="n">
        <v>575.23</v>
      </c>
      <c r="M422" s="55" t="n">
        <v>-8.77</v>
      </c>
      <c r="N422" s="36" t="inlineStr">
        <is>
          <t>013089</t>
        </is>
      </c>
      <c r="O422" s="36" t="inlineStr">
        <is>
          <t>CAREMARK</t>
        </is>
      </c>
      <c r="P422" s="36" t="inlineStr">
        <is>
          <t>COMADV</t>
        </is>
      </c>
      <c r="Q422" s="36" t="n">
        <v/>
      </c>
    </row>
    <row r="423">
      <c r="A423" s="36" t="inlineStr">
        <is>
          <t>116765</t>
        </is>
      </c>
      <c r="B423" s="52" t="n">
        <v>46034</v>
      </c>
      <c r="C423" s="36" t="inlineStr">
        <is>
          <t>00003089421</t>
        </is>
      </c>
      <c r="D423" s="53" t="inlineStr">
        <is>
          <t xml:space="preserve">ELIQUIS 5MG TAB </t>
        </is>
      </c>
      <c r="E423" s="36" t="n">
        <v>60</v>
      </c>
      <c r="F423" s="54" t="n">
        <v>60</v>
      </c>
      <c r="G423" s="54" t="n">
        <v>1</v>
      </c>
      <c r="H423" s="55" t="n">
        <v>333</v>
      </c>
      <c r="I423" s="55" t="n">
        <v>0</v>
      </c>
      <c r="J423" s="55" t="n">
        <v>96.89</v>
      </c>
      <c r="K423" s="55" t="n">
        <v>248.46</v>
      </c>
      <c r="L423" s="55" t="n">
        <v>345.35</v>
      </c>
      <c r="M423" s="55" t="n">
        <v>12.35</v>
      </c>
      <c r="N423" s="36" t="inlineStr">
        <is>
          <t>004336</t>
        </is>
      </c>
      <c r="O423" s="36" t="inlineStr">
        <is>
          <t>CAREMARK</t>
        </is>
      </c>
      <c r="P423" s="36" t="inlineStr">
        <is>
          <t>MEDDADV</t>
        </is>
      </c>
      <c r="Q423" s="36" t="inlineStr">
        <is>
          <t>RX1110</t>
        </is>
      </c>
    </row>
    <row r="424">
      <c r="A424" s="36" t="inlineStr">
        <is>
          <t>133556</t>
        </is>
      </c>
      <c r="B424" s="52" t="n">
        <v>46049</v>
      </c>
      <c r="C424" s="36" t="inlineStr">
        <is>
          <t>00003089421</t>
        </is>
      </c>
      <c r="D424" s="53" t="inlineStr">
        <is>
          <t xml:space="preserve">ELIQUIS 5MG TAB </t>
        </is>
      </c>
      <c r="E424" s="36" t="n">
        <v>60</v>
      </c>
      <c r="F424" s="54" t="n">
        <v>60</v>
      </c>
      <c r="G424" s="54" t="n">
        <v>1</v>
      </c>
      <c r="H424" s="55" t="n">
        <v>333</v>
      </c>
      <c r="I424" s="55" t="n">
        <v>218.46</v>
      </c>
      <c r="J424" s="55" t="n">
        <v>96.89</v>
      </c>
      <c r="K424" s="55" t="n">
        <v>30</v>
      </c>
      <c r="L424" s="55" t="n">
        <v>345.35</v>
      </c>
      <c r="M424" s="55" t="n">
        <v>12.35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RXCVSD</t>
        </is>
      </c>
    </row>
    <row r="425">
      <c r="A425" s="36" t="inlineStr">
        <is>
          <t>122213</t>
        </is>
      </c>
      <c r="B425" s="52" t="n">
        <v>46022</v>
      </c>
      <c r="C425" s="36" t="inlineStr">
        <is>
          <t>00003089421</t>
        </is>
      </c>
      <c r="D425" s="53" t="inlineStr">
        <is>
          <t xml:space="preserve">ELIQUIS 5MG TAB </t>
        </is>
      </c>
      <c r="E425" s="36" t="n">
        <v>60</v>
      </c>
      <c r="F425" s="54" t="n">
        <v>120</v>
      </c>
      <c r="G425" s="54" t="n">
        <v>2</v>
      </c>
      <c r="H425" s="55" t="n">
        <v>1168</v>
      </c>
      <c r="I425" s="55" t="n">
        <v>1143.47</v>
      </c>
      <c r="J425" s="55" t="n">
        <v>0</v>
      </c>
      <c r="K425" s="55" t="n">
        <v>0</v>
      </c>
      <c r="L425" s="55" t="n">
        <v>1143.47</v>
      </c>
      <c r="M425" s="55" t="n">
        <v>-24.53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129391</t>
        </is>
      </c>
      <c r="B426" s="52" t="n">
        <v>46048</v>
      </c>
      <c r="C426" s="36" t="inlineStr">
        <is>
          <t>00003089421</t>
        </is>
      </c>
      <c r="D426" s="53" t="inlineStr">
        <is>
          <t xml:space="preserve">ELIQUIS 5MG TAB </t>
        </is>
      </c>
      <c r="E426" s="36" t="n">
        <v>60</v>
      </c>
      <c r="F426" s="54" t="n">
        <v>180</v>
      </c>
      <c r="G426" s="54" t="n">
        <v>3</v>
      </c>
      <c r="H426" s="55" t="n">
        <v>999</v>
      </c>
      <c r="I426" s="55" t="n">
        <v>745.77</v>
      </c>
      <c r="J426" s="55" t="n">
        <v>290.66</v>
      </c>
      <c r="K426" s="55" t="n">
        <v>0</v>
      </c>
      <c r="L426" s="55" t="n">
        <v>1036.43</v>
      </c>
      <c r="M426" s="55" t="n">
        <v>37.43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RX1110</t>
        </is>
      </c>
    </row>
    <row r="427">
      <c r="A427" s="36" t="inlineStr">
        <is>
          <t>136369</t>
        </is>
      </c>
      <c r="B427" s="52" t="n">
        <v>46014</v>
      </c>
      <c r="C427" s="36" t="inlineStr">
        <is>
          <t>00003089421</t>
        </is>
      </c>
      <c r="D427" s="53" t="inlineStr">
        <is>
          <t xml:space="preserve">ELIQUIS 5MG TAB </t>
        </is>
      </c>
      <c r="E427" s="36" t="n">
        <v>60</v>
      </c>
      <c r="F427" s="54" t="n">
        <v>60</v>
      </c>
      <c r="G427" s="54" t="n">
        <v>1</v>
      </c>
      <c r="H427" s="55" t="n">
        <v>584</v>
      </c>
      <c r="I427" s="55" t="n">
        <v>420.23</v>
      </c>
      <c r="J427" s="55" t="n">
        <v>0</v>
      </c>
      <c r="K427" s="55" t="n">
        <v>155</v>
      </c>
      <c r="L427" s="55" t="n">
        <v>575.23</v>
      </c>
      <c r="M427" s="55" t="n">
        <v>-8.77</v>
      </c>
      <c r="N427" s="36" t="inlineStr">
        <is>
          <t>610502</t>
        </is>
      </c>
      <c r="O427" s="36" t="inlineStr">
        <is>
          <t>CAREMARK</t>
        </is>
      </c>
      <c r="P427" s="36" t="inlineStr">
        <is>
          <t>00670000</t>
        </is>
      </c>
      <c r="Q427" s="36" t="inlineStr">
        <is>
          <t>RX7700</t>
        </is>
      </c>
    </row>
    <row r="428">
      <c r="A428" s="36" t="inlineStr">
        <is>
          <t>96294</t>
        </is>
      </c>
      <c r="B428" s="52" t="n">
        <v>46048</v>
      </c>
      <c r="C428" s="36" t="inlineStr">
        <is>
          <t>00003089421</t>
        </is>
      </c>
      <c r="D428" s="53" t="inlineStr">
        <is>
          <t xml:space="preserve">ELIQUIS 5MG TAB </t>
        </is>
      </c>
      <c r="E428" s="36" t="n">
        <v>60</v>
      </c>
      <c r="F428" s="54" t="n">
        <v>180</v>
      </c>
      <c r="G428" s="54" t="n">
        <v>3</v>
      </c>
      <c r="H428" s="55" t="n">
        <v>999</v>
      </c>
      <c r="I428" s="55" t="n">
        <v>745.77</v>
      </c>
      <c r="J428" s="55" t="n">
        <v>290.66</v>
      </c>
      <c r="K428" s="55" t="n">
        <v>0</v>
      </c>
      <c r="L428" s="55" t="n">
        <v>1036.43</v>
      </c>
      <c r="M428" s="55" t="n">
        <v>37.43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123581</t>
        </is>
      </c>
      <c r="B429" s="52" t="n">
        <v>46057</v>
      </c>
      <c r="C429" s="36" t="inlineStr">
        <is>
          <t>00003089421</t>
        </is>
      </c>
      <c r="D429" s="53" t="inlineStr">
        <is>
          <t xml:space="preserve">ELIQUIS 5MG TAB </t>
        </is>
      </c>
      <c r="E429" s="36" t="n">
        <v>60</v>
      </c>
      <c r="F429" s="54" t="n">
        <v>60</v>
      </c>
      <c r="G429" s="54" t="n">
        <v>1</v>
      </c>
      <c r="H429" s="55" t="n">
        <v>336</v>
      </c>
      <c r="I429" s="55" t="n">
        <v>341.77</v>
      </c>
      <c r="J429" s="55" t="n">
        <v>0</v>
      </c>
      <c r="K429" s="55" t="n">
        <v>0</v>
      </c>
      <c r="L429" s="55" t="n">
        <v>341.77</v>
      </c>
      <c r="M429" s="55" t="n">
        <v>5.77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126631</t>
        </is>
      </c>
      <c r="B430" s="52" t="n">
        <v>45995</v>
      </c>
      <c r="C430" s="36" t="inlineStr">
        <is>
          <t>00003089421</t>
        </is>
      </c>
      <c r="D430" s="53" t="inlineStr">
        <is>
          <t xml:space="preserve">ELIQUIS 5MG TAB </t>
        </is>
      </c>
      <c r="E430" s="36" t="n">
        <v>60</v>
      </c>
      <c r="F430" s="54" t="n">
        <v>60</v>
      </c>
      <c r="G430" s="54" t="n">
        <v>1</v>
      </c>
      <c r="H430" s="55" t="n">
        <v>584</v>
      </c>
      <c r="I430" s="55" t="n">
        <v>571.61</v>
      </c>
      <c r="J430" s="55" t="n">
        <v>0</v>
      </c>
      <c r="K430" s="55" t="n">
        <v>0</v>
      </c>
      <c r="L430" s="55" t="n">
        <v>571.61</v>
      </c>
      <c r="M430" s="55" t="n">
        <v>-12.39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133556</t>
        </is>
      </c>
      <c r="B431" s="52" t="n">
        <v>46077</v>
      </c>
      <c r="C431" s="36" t="inlineStr">
        <is>
          <t>00003089421</t>
        </is>
      </c>
      <c r="D431" s="53" t="inlineStr">
        <is>
          <t xml:space="preserve">ELIQUIS 5MG TAB </t>
        </is>
      </c>
      <c r="E431" s="36" t="n">
        <v>60</v>
      </c>
      <c r="F431" s="54" t="n">
        <v>60</v>
      </c>
      <c r="G431" s="54" t="n">
        <v>1</v>
      </c>
      <c r="H431" s="55" t="n">
        <v>336</v>
      </c>
      <c r="I431" s="55" t="n">
        <v>218.46</v>
      </c>
      <c r="J431" s="55" t="n">
        <v>96.89</v>
      </c>
      <c r="K431" s="55" t="n">
        <v>30</v>
      </c>
      <c r="L431" s="55" t="n">
        <v>345.35</v>
      </c>
      <c r="M431" s="55" t="n">
        <v>9.35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RXCVSD</t>
        </is>
      </c>
    </row>
    <row r="432">
      <c r="A432" s="36" t="inlineStr">
        <is>
          <t>138346</t>
        </is>
      </c>
      <c r="B432" s="52" t="n">
        <v>46031</v>
      </c>
      <c r="C432" s="36" t="inlineStr">
        <is>
          <t>00003089421</t>
        </is>
      </c>
      <c r="D432" s="53" t="inlineStr">
        <is>
          <t xml:space="preserve">ELIQUIS 5MG TAB </t>
        </is>
      </c>
      <c r="E432" s="36" t="n">
        <v>60</v>
      </c>
      <c r="F432" s="54" t="n">
        <v>180</v>
      </c>
      <c r="G432" s="54" t="n">
        <v>3</v>
      </c>
      <c r="H432" s="55" t="n">
        <v>999</v>
      </c>
      <c r="I432" s="55" t="n">
        <v>745.77</v>
      </c>
      <c r="J432" s="55" t="n">
        <v>290.66</v>
      </c>
      <c r="K432" s="55" t="n">
        <v>0</v>
      </c>
      <c r="L432" s="55" t="n">
        <v>1036.43</v>
      </c>
      <c r="M432" s="55" t="n">
        <v>37.43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133556</t>
        </is>
      </c>
      <c r="B433" s="52" t="n">
        <v>45994</v>
      </c>
      <c r="C433" s="36" t="inlineStr">
        <is>
          <t>00003089421</t>
        </is>
      </c>
      <c r="D433" s="53" t="inlineStr">
        <is>
          <t xml:space="preserve">ELIQUIS 5MG TAB </t>
        </is>
      </c>
      <c r="E433" s="36" t="n">
        <v>60</v>
      </c>
      <c r="F433" s="54" t="n">
        <v>60</v>
      </c>
      <c r="G433" s="54" t="n">
        <v>1</v>
      </c>
      <c r="H433" s="55" t="n">
        <v>584</v>
      </c>
      <c r="I433" s="55" t="n">
        <v>547.4299999999999</v>
      </c>
      <c r="J433" s="55" t="n">
        <v>0</v>
      </c>
      <c r="K433" s="55" t="n">
        <v>30</v>
      </c>
      <c r="L433" s="55" t="n">
        <v>577.4299999999999</v>
      </c>
      <c r="M433" s="55" t="n">
        <v>-6.57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RXCVSD</t>
        </is>
      </c>
    </row>
    <row r="434">
      <c r="A434" s="36" t="inlineStr">
        <is>
          <t>136369</t>
        </is>
      </c>
      <c r="B434" s="52" t="n">
        <v>46070</v>
      </c>
      <c r="C434" s="36" t="inlineStr">
        <is>
          <t>00003089421</t>
        </is>
      </c>
      <c r="D434" s="53" t="inlineStr">
        <is>
          <t xml:space="preserve">ELIQUIS 5MG TAB </t>
        </is>
      </c>
      <c r="E434" s="36" t="n">
        <v>60</v>
      </c>
      <c r="F434" s="54" t="n">
        <v>60</v>
      </c>
      <c r="G434" s="54" t="n">
        <v>1</v>
      </c>
      <c r="H434" s="55" t="n">
        <v>336</v>
      </c>
      <c r="I434" s="55" t="n">
        <v>272.93</v>
      </c>
      <c r="J434" s="55" t="n">
        <v>0</v>
      </c>
      <c r="K434" s="55" t="n">
        <v>55</v>
      </c>
      <c r="L434" s="55" t="n">
        <v>327.93</v>
      </c>
      <c r="M434" s="55" t="n">
        <v>-8.07</v>
      </c>
      <c r="N434" s="36" t="inlineStr">
        <is>
          <t>610502</t>
        </is>
      </c>
      <c r="O434" s="36" t="inlineStr">
        <is>
          <t>CAREMARK</t>
        </is>
      </c>
      <c r="P434" s="36" t="inlineStr">
        <is>
          <t>00670000</t>
        </is>
      </c>
      <c r="Q434" s="36" t="inlineStr">
        <is>
          <t>RX7700</t>
        </is>
      </c>
    </row>
    <row r="435">
      <c r="A435" s="36" t="inlineStr">
        <is>
          <t>119916</t>
        </is>
      </c>
      <c r="B435" s="52" t="n">
        <v>46024</v>
      </c>
      <c r="C435" s="36" t="inlineStr">
        <is>
          <t>00003089421</t>
        </is>
      </c>
      <c r="D435" s="53" t="inlineStr">
        <is>
          <t xml:space="preserve">ELIQUIS 5MG TAB </t>
        </is>
      </c>
      <c r="E435" s="36" t="n">
        <v>60</v>
      </c>
      <c r="F435" s="54" t="n">
        <v>180</v>
      </c>
      <c r="G435" s="54" t="n">
        <v>3</v>
      </c>
      <c r="H435" s="55" t="n">
        <v>999</v>
      </c>
      <c r="I435" s="55" t="n">
        <v>589.16</v>
      </c>
      <c r="J435" s="55" t="n">
        <v>290.66</v>
      </c>
      <c r="K435" s="55" t="n">
        <v>156.61</v>
      </c>
      <c r="L435" s="55" t="n">
        <v>1036.43</v>
      </c>
      <c r="M435" s="55" t="n">
        <v>37.43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123403</t>
        </is>
      </c>
      <c r="B436" s="52" t="n">
        <v>46004</v>
      </c>
      <c r="C436" s="36" t="inlineStr">
        <is>
          <t>00003089421</t>
        </is>
      </c>
      <c r="D436" s="53" t="inlineStr">
        <is>
          <t xml:space="preserve">ELIQUIS 5MG TAB </t>
        </is>
      </c>
      <c r="E436" s="36" t="n">
        <v>60</v>
      </c>
      <c r="F436" s="54" t="n">
        <v>180</v>
      </c>
      <c r="G436" s="54" t="n">
        <v>3</v>
      </c>
      <c r="H436" s="55" t="n">
        <v>1752</v>
      </c>
      <c r="I436" s="55" t="n">
        <v>1691.21</v>
      </c>
      <c r="J436" s="55" t="n">
        <v>0</v>
      </c>
      <c r="K436" s="55" t="n">
        <v>0</v>
      </c>
      <c r="L436" s="55" t="n">
        <v>1691.21</v>
      </c>
      <c r="M436" s="55" t="n">
        <v>-60.79</v>
      </c>
      <c r="N436" s="36" t="inlineStr">
        <is>
          <t>004336</t>
        </is>
      </c>
      <c r="O436" s="36" t="inlineStr">
        <is>
          <t>CAREMARK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130641</t>
        </is>
      </c>
      <c r="B437" s="52" t="n">
        <v>46059</v>
      </c>
      <c r="C437" s="36" t="inlineStr">
        <is>
          <t>00003089421</t>
        </is>
      </c>
      <c r="D437" s="53" t="inlineStr">
        <is>
          <t xml:space="preserve">ELIQUIS 5MG TAB </t>
        </is>
      </c>
      <c r="E437" s="36" t="n">
        <v>60</v>
      </c>
      <c r="F437" s="54" t="n">
        <v>180</v>
      </c>
      <c r="G437" s="54" t="n">
        <v>3</v>
      </c>
      <c r="H437" s="55" t="n">
        <v>1008</v>
      </c>
      <c r="I437" s="55" t="n">
        <v>740.87</v>
      </c>
      <c r="J437" s="55" t="n">
        <v>290.66</v>
      </c>
      <c r="K437" s="55" t="n">
        <v>4.9</v>
      </c>
      <c r="L437" s="55" t="n">
        <v>1036.43</v>
      </c>
      <c r="M437" s="55" t="n">
        <v>28.43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124835</t>
        </is>
      </c>
      <c r="B438" s="52" t="n">
        <v>46014</v>
      </c>
      <c r="C438" s="36" t="inlineStr">
        <is>
          <t>00003089421</t>
        </is>
      </c>
      <c r="D438" s="53" t="inlineStr">
        <is>
          <t xml:space="preserve">ELIQUIS 5MG TAB </t>
        </is>
      </c>
      <c r="E438" s="36" t="n">
        <v>60</v>
      </c>
      <c r="F438" s="54" t="n">
        <v>180</v>
      </c>
      <c r="G438" s="54" t="n">
        <v>3</v>
      </c>
      <c r="H438" s="55" t="n">
        <v>1752</v>
      </c>
      <c r="I438" s="55" t="n">
        <v>1691.21</v>
      </c>
      <c r="J438" s="55" t="n">
        <v>0</v>
      </c>
      <c r="K438" s="55" t="n">
        <v>0</v>
      </c>
      <c r="L438" s="55" t="n">
        <v>1691.21</v>
      </c>
      <c r="M438" s="55" t="n">
        <v>-60.79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141828</t>
        </is>
      </c>
      <c r="B439" s="52" t="n">
        <v>46059</v>
      </c>
      <c r="C439" s="36" t="inlineStr">
        <is>
          <t>00003089421</t>
        </is>
      </c>
      <c r="D439" s="53" t="inlineStr">
        <is>
          <t xml:space="preserve">ELIQUIS 5MG TAB </t>
        </is>
      </c>
      <c r="E439" s="36" t="n">
        <v>60</v>
      </c>
      <c r="F439" s="54" t="n">
        <v>180</v>
      </c>
      <c r="G439" s="54" t="n">
        <v>3</v>
      </c>
      <c r="H439" s="55" t="n">
        <v>1008</v>
      </c>
      <c r="I439" s="55" t="n">
        <v>740.87</v>
      </c>
      <c r="J439" s="55" t="n">
        <v>290.66</v>
      </c>
      <c r="K439" s="55" t="n">
        <v>4.9</v>
      </c>
      <c r="L439" s="55" t="n">
        <v>1036.43</v>
      </c>
      <c r="M439" s="55" t="n">
        <v>28.43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134917</t>
        </is>
      </c>
      <c r="B440" s="52" t="n">
        <v>46003</v>
      </c>
      <c r="C440" s="36" t="inlineStr">
        <is>
          <t>00003089421</t>
        </is>
      </c>
      <c r="D440" s="53" t="inlineStr">
        <is>
          <t xml:space="preserve">ELIQUIS 5MG TAB </t>
        </is>
      </c>
      <c r="E440" s="36" t="n">
        <v>60</v>
      </c>
      <c r="F440" s="54" t="n">
        <v>180</v>
      </c>
      <c r="G440" s="54" t="n">
        <v>3</v>
      </c>
      <c r="H440" s="55" t="n">
        <v>1752</v>
      </c>
      <c r="I440" s="55" t="n">
        <v>1691.21</v>
      </c>
      <c r="J440" s="55" t="n">
        <v>0</v>
      </c>
      <c r="K440" s="55" t="n">
        <v>0</v>
      </c>
      <c r="L440" s="55" t="n">
        <v>1691.21</v>
      </c>
      <c r="M440" s="55" t="n">
        <v>-60.79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140717</t>
        </is>
      </c>
      <c r="B441" s="52" t="n">
        <v>46049</v>
      </c>
      <c r="C441" s="36" t="inlineStr">
        <is>
          <t>00003089421</t>
        </is>
      </c>
      <c r="D441" s="53" t="inlineStr">
        <is>
          <t xml:space="preserve">ELIQUIS 5MG TAB </t>
        </is>
      </c>
      <c r="E441" s="36" t="n">
        <v>60</v>
      </c>
      <c r="F441" s="54" t="n">
        <v>180</v>
      </c>
      <c r="G441" s="54" t="n">
        <v>3</v>
      </c>
      <c r="H441" s="55" t="n">
        <v>999</v>
      </c>
      <c r="I441" s="55" t="n">
        <v>141.29</v>
      </c>
      <c r="J441" s="55" t="n">
        <v>290.66</v>
      </c>
      <c r="K441" s="55" t="n">
        <v>604.48</v>
      </c>
      <c r="L441" s="55" t="n">
        <v>1036.43</v>
      </c>
      <c r="M441" s="55" t="n">
        <v>37.43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109682</t>
        </is>
      </c>
      <c r="B442" s="52" t="n">
        <v>46055</v>
      </c>
      <c r="C442" s="36" t="inlineStr">
        <is>
          <t>00003089421</t>
        </is>
      </c>
      <c r="D442" s="53" t="inlineStr">
        <is>
          <t xml:space="preserve">ELIQUIS 5MG TAB </t>
        </is>
      </c>
      <c r="E442" s="36" t="n">
        <v>60</v>
      </c>
      <c r="F442" s="54" t="n">
        <v>60</v>
      </c>
      <c r="G442" s="54" t="n">
        <v>1</v>
      </c>
      <c r="H442" s="55" t="n">
        <v>336</v>
      </c>
      <c r="I442" s="55" t="n">
        <v>248.46</v>
      </c>
      <c r="J442" s="55" t="n">
        <v>96.89</v>
      </c>
      <c r="K442" s="55" t="n">
        <v>0</v>
      </c>
      <c r="L442" s="55" t="n">
        <v>345.35</v>
      </c>
      <c r="M442" s="55" t="n">
        <v>9.35</v>
      </c>
      <c r="N442" s="36" t="inlineStr">
        <is>
          <t>004336</t>
        </is>
      </c>
      <c r="O442" s="36" t="inlineStr">
        <is>
          <t>CAREMARK</t>
        </is>
      </c>
      <c r="P442" s="36" t="inlineStr">
        <is>
          <t>MEDDADV</t>
        </is>
      </c>
      <c r="Q442" s="36" t="inlineStr">
        <is>
          <t>RX1110</t>
        </is>
      </c>
    </row>
    <row r="443">
      <c r="A443" s="36" t="inlineStr">
        <is>
          <t>122107</t>
        </is>
      </c>
      <c r="B443" s="52" t="n">
        <v>46024</v>
      </c>
      <c r="C443" s="36" t="inlineStr">
        <is>
          <t>00003089421</t>
        </is>
      </c>
      <c r="D443" s="53" t="inlineStr">
        <is>
          <t xml:space="preserve">ELIQUIS 5MG TAB </t>
        </is>
      </c>
      <c r="E443" s="36" t="n">
        <v>60</v>
      </c>
      <c r="F443" s="54" t="n">
        <v>60</v>
      </c>
      <c r="G443" s="54" t="n">
        <v>1</v>
      </c>
      <c r="H443" s="55" t="n">
        <v>333</v>
      </c>
      <c r="I443" s="55" t="n">
        <v>248.46</v>
      </c>
      <c r="J443" s="55" t="n">
        <v>96.89</v>
      </c>
      <c r="K443" s="55" t="n">
        <v>0</v>
      </c>
      <c r="L443" s="55" t="n">
        <v>345.35</v>
      </c>
      <c r="M443" s="55" t="n">
        <v>12.35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142332</t>
        </is>
      </c>
      <c r="B444" s="52" t="n">
        <v>46062</v>
      </c>
      <c r="C444" s="36" t="inlineStr">
        <is>
          <t>00003089421</t>
        </is>
      </c>
      <c r="D444" s="53" t="inlineStr">
        <is>
          <t xml:space="preserve">ELIQUIS 5MG TAB </t>
        </is>
      </c>
      <c r="E444" s="36" t="n">
        <v>60</v>
      </c>
      <c r="F444" s="54" t="n">
        <v>180</v>
      </c>
      <c r="G444" s="54" t="n">
        <v>3</v>
      </c>
      <c r="H444" s="55" t="n">
        <v>1008</v>
      </c>
      <c r="I444" s="55" t="n">
        <v>740.87</v>
      </c>
      <c r="J444" s="55" t="n">
        <v>290.66</v>
      </c>
      <c r="K444" s="55" t="n">
        <v>4.9</v>
      </c>
      <c r="L444" s="55" t="n">
        <v>1036.43</v>
      </c>
      <c r="M444" s="55" t="n">
        <v>28.43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136369</t>
        </is>
      </c>
      <c r="B445" s="52" t="n">
        <v>46042</v>
      </c>
      <c r="C445" s="36" t="inlineStr">
        <is>
          <t>00003089421</t>
        </is>
      </c>
      <c r="D445" s="53" t="inlineStr">
        <is>
          <t xml:space="preserve">ELIQUIS 5MG TAB </t>
        </is>
      </c>
      <c r="E445" s="36" t="n">
        <v>60</v>
      </c>
      <c r="F445" s="54" t="n">
        <v>60</v>
      </c>
      <c r="G445" s="54" t="n">
        <v>1</v>
      </c>
      <c r="H445" s="55" t="n">
        <v>333</v>
      </c>
      <c r="I445" s="55" t="n">
        <v>172.93</v>
      </c>
      <c r="J445" s="55" t="n">
        <v>0</v>
      </c>
      <c r="K445" s="55" t="n">
        <v>155</v>
      </c>
      <c r="L445" s="55" t="n">
        <v>327.93</v>
      </c>
      <c r="M445" s="55" t="n">
        <v>-5.07</v>
      </c>
      <c r="N445" s="36" t="inlineStr">
        <is>
          <t>610502</t>
        </is>
      </c>
      <c r="O445" s="36" t="inlineStr">
        <is>
          <t>CAREMARK</t>
        </is>
      </c>
      <c r="P445" s="36" t="inlineStr">
        <is>
          <t>00670000</t>
        </is>
      </c>
      <c r="Q445" s="36" t="inlineStr">
        <is>
          <t>RX7700</t>
        </is>
      </c>
    </row>
    <row r="446">
      <c r="A446" s="36" t="inlineStr">
        <is>
          <t>135022</t>
        </is>
      </c>
      <c r="B446" s="52" t="n">
        <v>46006</v>
      </c>
      <c r="C446" s="36" t="inlineStr">
        <is>
          <t>00003089421</t>
        </is>
      </c>
      <c r="D446" s="53" t="inlineStr">
        <is>
          <t xml:space="preserve">ELIQUIS 5MG TAB </t>
        </is>
      </c>
      <c r="E446" s="36" t="n">
        <v>60</v>
      </c>
      <c r="F446" s="54" t="n">
        <v>180</v>
      </c>
      <c r="G446" s="54" t="n">
        <v>3</v>
      </c>
      <c r="H446" s="55" t="n">
        <v>1752</v>
      </c>
      <c r="I446" s="55" t="n">
        <v>1691.21</v>
      </c>
      <c r="J446" s="55" t="n">
        <v>0</v>
      </c>
      <c r="K446" s="55" t="n">
        <v>0</v>
      </c>
      <c r="L446" s="55" t="n">
        <v>1691.21</v>
      </c>
      <c r="M446" s="55" t="n">
        <v>-60.79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133556</t>
        </is>
      </c>
      <c r="B447" s="52" t="n">
        <v>46021</v>
      </c>
      <c r="C447" s="36" t="inlineStr">
        <is>
          <t>00003089421</t>
        </is>
      </c>
      <c r="D447" s="53" t="inlineStr">
        <is>
          <t xml:space="preserve">ELIQUIS 5MG TAB </t>
        </is>
      </c>
      <c r="E447" s="36" t="n">
        <v>60</v>
      </c>
      <c r="F447" s="54" t="n">
        <v>60</v>
      </c>
      <c r="G447" s="54" t="n">
        <v>1</v>
      </c>
      <c r="H447" s="55" t="n">
        <v>584</v>
      </c>
      <c r="I447" s="55" t="n">
        <v>547.4299999999999</v>
      </c>
      <c r="J447" s="55" t="n">
        <v>0</v>
      </c>
      <c r="K447" s="55" t="n">
        <v>30</v>
      </c>
      <c r="L447" s="55" t="n">
        <v>577.4299999999999</v>
      </c>
      <c r="M447" s="55" t="n">
        <v>-6.57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RXCVSD</t>
        </is>
      </c>
    </row>
    <row r="448">
      <c r="A448" s="36" t="inlineStr">
        <is>
          <t>136932</t>
        </is>
      </c>
      <c r="B448" s="52" t="n">
        <v>46021</v>
      </c>
      <c r="C448" s="36" t="inlineStr">
        <is>
          <t>00003089421</t>
        </is>
      </c>
      <c r="D448" s="53" t="inlineStr">
        <is>
          <t xml:space="preserve">ELIQUIS 5MG TAB </t>
        </is>
      </c>
      <c r="E448" s="36" t="n">
        <v>60</v>
      </c>
      <c r="F448" s="54" t="n">
        <v>180</v>
      </c>
      <c r="G448" s="54" t="n">
        <v>3</v>
      </c>
      <c r="H448" s="55" t="n">
        <v>1752</v>
      </c>
      <c r="I448" s="55" t="n">
        <v>1691.21</v>
      </c>
      <c r="J448" s="55" t="n">
        <v>0</v>
      </c>
      <c r="K448" s="55" t="n">
        <v>0</v>
      </c>
      <c r="L448" s="55" t="n">
        <v>1691.21</v>
      </c>
      <c r="M448" s="55" t="n">
        <v>-60.79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136584</t>
        </is>
      </c>
      <c r="B449" s="52" t="n">
        <v>46017</v>
      </c>
      <c r="C449" s="36" t="inlineStr">
        <is>
          <t>00003089421</t>
        </is>
      </c>
      <c r="D449" s="53" t="inlineStr">
        <is>
          <t xml:space="preserve">ELIQUIS 5MG TAB </t>
        </is>
      </c>
      <c r="E449" s="36" t="n">
        <v>60</v>
      </c>
      <c r="F449" s="54" t="n">
        <v>180</v>
      </c>
      <c r="G449" s="54" t="n">
        <v>3</v>
      </c>
      <c r="H449" s="55" t="n">
        <v>1752</v>
      </c>
      <c r="I449" s="55" t="n">
        <v>1494.68</v>
      </c>
      <c r="J449" s="55" t="n">
        <v>0</v>
      </c>
      <c r="K449" s="55" t="n">
        <v>4.8</v>
      </c>
      <c r="L449" s="55" t="n">
        <v>1499.48</v>
      </c>
      <c r="M449" s="55" t="n">
        <v>-252.52</v>
      </c>
      <c r="N449" s="36" t="inlineStr">
        <is>
          <t>017010</t>
        </is>
      </c>
      <c r="O449" s="36" t="inlineStr">
        <is>
          <t>EXPRESS</t>
        </is>
      </c>
      <c r="P449" s="36" t="inlineStr">
        <is>
          <t>CIMCARE</t>
        </is>
      </c>
      <c r="Q449" s="36" t="inlineStr">
        <is>
          <t>CIGPDPRX</t>
        </is>
      </c>
    </row>
    <row r="450">
      <c r="A450" s="36" t="inlineStr">
        <is>
          <t>134160</t>
        </is>
      </c>
      <c r="B450" s="52" t="n">
        <v>45999</v>
      </c>
      <c r="C450" s="36" t="inlineStr">
        <is>
          <t>00003089421</t>
        </is>
      </c>
      <c r="D450" s="53" t="inlineStr">
        <is>
          <t xml:space="preserve">ELIQUIS 5MG TAB </t>
        </is>
      </c>
      <c r="E450" s="36" t="n">
        <v>60</v>
      </c>
      <c r="F450" s="54" t="n">
        <v>60</v>
      </c>
      <c r="G450" s="54" t="n">
        <v>1</v>
      </c>
      <c r="H450" s="55" t="n">
        <v>584</v>
      </c>
      <c r="I450" s="55" t="n">
        <v>571.61</v>
      </c>
      <c r="J450" s="55" t="n">
        <v>0</v>
      </c>
      <c r="K450" s="55" t="n">
        <v>0</v>
      </c>
      <c r="L450" s="55" t="n">
        <v>571.61</v>
      </c>
      <c r="M450" s="55" t="n">
        <v>-12.39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123048</t>
        </is>
      </c>
      <c r="B451" s="52" t="n">
        <v>45999</v>
      </c>
      <c r="C451" s="36" t="inlineStr">
        <is>
          <t>00003089421</t>
        </is>
      </c>
      <c r="D451" s="53" t="inlineStr">
        <is>
          <t xml:space="preserve">ELIQUIS 5MG TAB </t>
        </is>
      </c>
      <c r="E451" s="36" t="n">
        <v>60</v>
      </c>
      <c r="F451" s="54" t="n">
        <v>60</v>
      </c>
      <c r="G451" s="54" t="n">
        <v>1</v>
      </c>
      <c r="H451" s="55" t="n">
        <v>584</v>
      </c>
      <c r="I451" s="55" t="n">
        <v>571.61</v>
      </c>
      <c r="J451" s="55" t="n">
        <v>0</v>
      </c>
      <c r="K451" s="55" t="n">
        <v>0</v>
      </c>
      <c r="L451" s="55" t="n">
        <v>571.61</v>
      </c>
      <c r="M451" s="55" t="n">
        <v>-12.39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133745</t>
        </is>
      </c>
      <c r="B452" s="52" t="n">
        <v>46006</v>
      </c>
      <c r="C452" s="36" t="inlineStr">
        <is>
          <t>00003089421</t>
        </is>
      </c>
      <c r="D452" s="53" t="inlineStr">
        <is>
          <t xml:space="preserve">ELIQUIS 5MG TAB </t>
        </is>
      </c>
      <c r="E452" s="36" t="n">
        <v>60</v>
      </c>
      <c r="F452" s="54" t="n">
        <v>180</v>
      </c>
      <c r="G452" s="54" t="n">
        <v>3</v>
      </c>
      <c r="H452" s="55" t="n">
        <v>1752</v>
      </c>
      <c r="I452" s="55" t="n">
        <v>1833.14</v>
      </c>
      <c r="J452" s="55" t="n">
        <v>0</v>
      </c>
      <c r="K452" s="55" t="n">
        <v>0</v>
      </c>
      <c r="L452" s="55" t="n">
        <v>1833.14</v>
      </c>
      <c r="M452" s="55" t="n">
        <v>81.14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RXCVSD</t>
        </is>
      </c>
    </row>
    <row r="453">
      <c r="A453" s="36" t="inlineStr">
        <is>
          <t>104568</t>
        </is>
      </c>
      <c r="B453" s="52" t="n">
        <v>46003</v>
      </c>
      <c r="C453" s="36" t="inlineStr">
        <is>
          <t>00003089421</t>
        </is>
      </c>
      <c r="D453" s="53" t="inlineStr">
        <is>
          <t xml:space="preserve">ELIQUIS 5MG TAB </t>
        </is>
      </c>
      <c r="E453" s="36" t="n">
        <v>60</v>
      </c>
      <c r="F453" s="54" t="n">
        <v>60</v>
      </c>
      <c r="G453" s="54" t="n">
        <v>1</v>
      </c>
      <c r="H453" s="55" t="n">
        <v>584</v>
      </c>
      <c r="I453" s="55" t="n">
        <v>550.23</v>
      </c>
      <c r="J453" s="55" t="n">
        <v>0</v>
      </c>
      <c r="K453" s="55" t="n">
        <v>25</v>
      </c>
      <c r="L453" s="55" t="n">
        <v>575.23</v>
      </c>
      <c r="M453" s="55" t="n">
        <v>-8.77</v>
      </c>
      <c r="N453" s="36" t="inlineStr">
        <is>
          <t>610502</t>
        </is>
      </c>
      <c r="O453" s="36" t="inlineStr">
        <is>
          <t>CAREMARK</t>
        </is>
      </c>
      <c r="P453" s="36" t="inlineStr">
        <is>
          <t>00670000</t>
        </is>
      </c>
      <c r="Q453" s="36" t="inlineStr">
        <is>
          <t>RX7704</t>
        </is>
      </c>
    </row>
    <row r="454">
      <c r="A454" s="36" t="inlineStr">
        <is>
          <t>123048</t>
        </is>
      </c>
      <c r="B454" s="52" t="n">
        <v>46055</v>
      </c>
      <c r="C454" s="36" t="inlineStr">
        <is>
          <t>00003089421</t>
        </is>
      </c>
      <c r="D454" s="53" t="inlineStr">
        <is>
          <t xml:space="preserve">ELIQUIS 5MG TAB </t>
        </is>
      </c>
      <c r="E454" s="36" t="n">
        <v>60</v>
      </c>
      <c r="F454" s="54" t="n">
        <v>60</v>
      </c>
      <c r="G454" s="54" t="n">
        <v>1</v>
      </c>
      <c r="H454" s="55" t="n">
        <v>336</v>
      </c>
      <c r="I454" s="55" t="n">
        <v>248.46</v>
      </c>
      <c r="J454" s="55" t="n">
        <v>96.89</v>
      </c>
      <c r="K454" s="55" t="n">
        <v>0</v>
      </c>
      <c r="L454" s="55" t="n">
        <v>345.35</v>
      </c>
      <c r="M454" s="55" t="n">
        <v>9.35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132101</t>
        </is>
      </c>
      <c r="B455" s="52" t="n">
        <v>46070</v>
      </c>
      <c r="C455" s="36" t="inlineStr">
        <is>
          <t>00003089421</t>
        </is>
      </c>
      <c r="D455" s="53" t="inlineStr">
        <is>
          <t xml:space="preserve">ELIQUIS 5MG TAB </t>
        </is>
      </c>
      <c r="E455" s="36" t="n">
        <v>60</v>
      </c>
      <c r="F455" s="54" t="n">
        <v>180</v>
      </c>
      <c r="G455" s="54" t="n">
        <v>3</v>
      </c>
      <c r="H455" s="55" t="n">
        <v>1008</v>
      </c>
      <c r="I455" s="55" t="n">
        <v>1003.96</v>
      </c>
      <c r="J455" s="55" t="n">
        <v>0</v>
      </c>
      <c r="K455" s="55" t="n">
        <v>1</v>
      </c>
      <c r="L455" s="55" t="n">
        <v>1004.96</v>
      </c>
      <c r="M455" s="55" t="n">
        <v>-3.04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137248</t>
        </is>
      </c>
      <c r="B456" s="52" t="n">
        <v>46024</v>
      </c>
      <c r="C456" s="36" t="inlineStr">
        <is>
          <t>00003089421</t>
        </is>
      </c>
      <c r="D456" s="53" t="inlineStr">
        <is>
          <t xml:space="preserve">ELIQUIS 5MG TAB </t>
        </is>
      </c>
      <c r="E456" s="36" t="n">
        <v>60</v>
      </c>
      <c r="F456" s="54" t="n">
        <v>60</v>
      </c>
      <c r="G456" s="54" t="n">
        <v>1</v>
      </c>
      <c r="H456" s="55" t="n">
        <v>333</v>
      </c>
      <c r="I456" s="55" t="n">
        <v>248.49</v>
      </c>
      <c r="J456" s="55" t="n">
        <v>96.89</v>
      </c>
      <c r="K456" s="55" t="n">
        <v>4.9</v>
      </c>
      <c r="L456" s="55" t="n">
        <v>350.28</v>
      </c>
      <c r="M456" s="55" t="n">
        <v>17.28</v>
      </c>
      <c r="N456" s="36" t="inlineStr">
        <is>
          <t>015574</t>
        </is>
      </c>
      <c r="O456" s="36" t="inlineStr">
        <is>
          <t>MEDIMP</t>
        </is>
      </c>
      <c r="P456" s="36" t="inlineStr">
        <is>
          <t>ASPROD1</t>
        </is>
      </c>
      <c r="Q456" s="36" t="inlineStr">
        <is>
          <t>VNS01</t>
        </is>
      </c>
    </row>
    <row r="457">
      <c r="A457" s="36" t="inlineStr">
        <is>
          <t>134859</t>
        </is>
      </c>
      <c r="B457" s="52" t="n">
        <v>46003</v>
      </c>
      <c r="C457" s="36" t="inlineStr">
        <is>
          <t>00003089421</t>
        </is>
      </c>
      <c r="D457" s="53" t="inlineStr">
        <is>
          <t xml:space="preserve">ELIQUIS 5MG TAB </t>
        </is>
      </c>
      <c r="E457" s="36" t="n">
        <v>60</v>
      </c>
      <c r="F457" s="54" t="n">
        <v>180</v>
      </c>
      <c r="G457" s="54" t="n">
        <v>3</v>
      </c>
      <c r="H457" s="55" t="n">
        <v>1752</v>
      </c>
      <c r="I457" s="55" t="n">
        <v>1691.21</v>
      </c>
      <c r="J457" s="55" t="n">
        <v>0</v>
      </c>
      <c r="K457" s="55" t="n">
        <v>0</v>
      </c>
      <c r="L457" s="55" t="n">
        <v>1691.21</v>
      </c>
      <c r="M457" s="55" t="n">
        <v>-60.79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109682</t>
        </is>
      </c>
      <c r="B458" s="52" t="n">
        <v>45999</v>
      </c>
      <c r="C458" s="36" t="inlineStr">
        <is>
          <t>00003089421</t>
        </is>
      </c>
      <c r="D458" s="53" t="inlineStr">
        <is>
          <t xml:space="preserve">ELIQUIS 5MG TAB </t>
        </is>
      </c>
      <c r="E458" s="36" t="n">
        <v>60</v>
      </c>
      <c r="F458" s="54" t="n">
        <v>60</v>
      </c>
      <c r="G458" s="54" t="n">
        <v>1</v>
      </c>
      <c r="H458" s="55" t="n">
        <v>584</v>
      </c>
      <c r="I458" s="55" t="n">
        <v>536.2</v>
      </c>
      <c r="J458" s="55" t="n">
        <v>0</v>
      </c>
      <c r="K458" s="55" t="n">
        <v>0</v>
      </c>
      <c r="L458" s="55" t="n">
        <v>536.2</v>
      </c>
      <c r="M458" s="55" t="n">
        <v>-47.8</v>
      </c>
      <c r="N458" s="36" t="inlineStr">
        <is>
          <t>017010</t>
        </is>
      </c>
      <c r="O458" s="36" t="inlineStr">
        <is>
          <t>EXPRESS</t>
        </is>
      </c>
      <c r="P458" s="36" t="inlineStr">
        <is>
          <t>CIMCARE</t>
        </is>
      </c>
      <c r="Q458" s="36" t="n">
        <v/>
      </c>
    </row>
    <row r="459">
      <c r="A459" s="36" t="inlineStr">
        <is>
          <t>127615</t>
        </is>
      </c>
      <c r="B459" s="52" t="n">
        <v>46041</v>
      </c>
      <c r="C459" s="36" t="inlineStr">
        <is>
          <t>00003089421</t>
        </is>
      </c>
      <c r="D459" s="53" t="inlineStr">
        <is>
          <t xml:space="preserve">ELIQUIS 5MG TAB </t>
        </is>
      </c>
      <c r="E459" s="36" t="n">
        <v>60</v>
      </c>
      <c r="F459" s="54" t="n">
        <v>180</v>
      </c>
      <c r="G459" s="54" t="n">
        <v>3</v>
      </c>
      <c r="H459" s="55" t="n">
        <v>999</v>
      </c>
      <c r="I459" s="55" t="n">
        <v>740.87</v>
      </c>
      <c r="J459" s="55" t="n">
        <v>290.66</v>
      </c>
      <c r="K459" s="55" t="n">
        <v>4.9</v>
      </c>
      <c r="L459" s="55" t="n">
        <v>1036.43</v>
      </c>
      <c r="M459" s="55" t="n">
        <v>37.43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109682</t>
        </is>
      </c>
      <c r="B460" s="52" t="n">
        <v>46027</v>
      </c>
      <c r="C460" s="36" t="inlineStr">
        <is>
          <t>00003089421</t>
        </is>
      </c>
      <c r="D460" s="53" t="inlineStr">
        <is>
          <t xml:space="preserve">ELIQUIS 5MG TAB </t>
        </is>
      </c>
      <c r="E460" s="36" t="n">
        <v>60</v>
      </c>
      <c r="F460" s="54" t="n">
        <v>60</v>
      </c>
      <c r="G460" s="54" t="n">
        <v>1</v>
      </c>
      <c r="H460" s="55" t="n">
        <v>333</v>
      </c>
      <c r="I460" s="55" t="n">
        <v>248.46</v>
      </c>
      <c r="J460" s="55" t="n">
        <v>96.89</v>
      </c>
      <c r="K460" s="55" t="n">
        <v>0</v>
      </c>
      <c r="L460" s="55" t="n">
        <v>345.35</v>
      </c>
      <c r="M460" s="55" t="n">
        <v>12.35</v>
      </c>
      <c r="N460" s="36" t="inlineStr">
        <is>
          <t>004336</t>
        </is>
      </c>
      <c r="O460" s="36" t="inlineStr">
        <is>
          <t>CAREMARK</t>
        </is>
      </c>
      <c r="P460" s="36" t="inlineStr">
        <is>
          <t>MEDDADV</t>
        </is>
      </c>
      <c r="Q460" s="36" t="inlineStr">
        <is>
          <t>RX1110</t>
        </is>
      </c>
    </row>
    <row r="461">
      <c r="A461" s="36" t="inlineStr">
        <is>
          <t>104568</t>
        </is>
      </c>
      <c r="B461" s="52" t="n">
        <v>46059</v>
      </c>
      <c r="C461" s="36" t="inlineStr">
        <is>
          <t>00003089421</t>
        </is>
      </c>
      <c r="D461" s="53" t="inlineStr">
        <is>
          <t xml:space="preserve">ELIQUIS 5MG TAB </t>
        </is>
      </c>
      <c r="E461" s="36" t="n">
        <v>60</v>
      </c>
      <c r="F461" s="54" t="n">
        <v>60</v>
      </c>
      <c r="G461" s="54" t="n">
        <v>1</v>
      </c>
      <c r="H461" s="55" t="n">
        <v>336</v>
      </c>
      <c r="I461" s="55" t="n">
        <v>292.93</v>
      </c>
      <c r="J461" s="55" t="n">
        <v>0</v>
      </c>
      <c r="K461" s="55" t="n">
        <v>35</v>
      </c>
      <c r="L461" s="55" t="n">
        <v>327.93</v>
      </c>
      <c r="M461" s="55" t="n">
        <v>-8.07</v>
      </c>
      <c r="N461" s="36" t="inlineStr">
        <is>
          <t>610502</t>
        </is>
      </c>
      <c r="O461" s="36" t="inlineStr">
        <is>
          <t>CAREMARK</t>
        </is>
      </c>
      <c r="P461" s="36" t="inlineStr">
        <is>
          <t>00670000</t>
        </is>
      </c>
      <c r="Q461" s="36" t="inlineStr">
        <is>
          <t>RX7704</t>
        </is>
      </c>
    </row>
    <row r="462">
      <c r="A462" s="36" t="inlineStr">
        <is>
          <t>128584</t>
        </is>
      </c>
      <c r="B462" s="52" t="n">
        <v>46070</v>
      </c>
      <c r="C462" s="36" t="inlineStr">
        <is>
          <t>00003089421</t>
        </is>
      </c>
      <c r="D462" s="53" t="inlineStr">
        <is>
          <t xml:space="preserve">ELIQUIS 5MG TAB </t>
        </is>
      </c>
      <c r="E462" s="36" t="n">
        <v>60</v>
      </c>
      <c r="F462" s="54" t="n">
        <v>60</v>
      </c>
      <c r="G462" s="54" t="n">
        <v>1</v>
      </c>
      <c r="H462" s="55" t="n">
        <v>336</v>
      </c>
      <c r="I462" s="55" t="n">
        <v>312.93</v>
      </c>
      <c r="J462" s="55" t="n">
        <v>0</v>
      </c>
      <c r="K462" s="55" t="n">
        <v>15</v>
      </c>
      <c r="L462" s="55" t="n">
        <v>327.93</v>
      </c>
      <c r="M462" s="55" t="n">
        <v>-8.07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ADV</t>
        </is>
      </c>
      <c r="Q462" s="36" t="inlineStr">
        <is>
          <t>RX21DF</t>
        </is>
      </c>
    </row>
    <row r="463">
      <c r="A463" s="36" t="inlineStr">
        <is>
          <t>104568</t>
        </is>
      </c>
      <c r="B463" s="52" t="n">
        <v>46031</v>
      </c>
      <c r="C463" s="36" t="inlineStr">
        <is>
          <t>00003089421</t>
        </is>
      </c>
      <c r="D463" s="53" t="inlineStr">
        <is>
          <t xml:space="preserve">ELIQUIS 5MG TAB </t>
        </is>
      </c>
      <c r="E463" s="36" t="n">
        <v>60</v>
      </c>
      <c r="F463" s="54" t="n">
        <v>60</v>
      </c>
      <c r="G463" s="54" t="n">
        <v>1</v>
      </c>
      <c r="H463" s="55" t="n">
        <v>333</v>
      </c>
      <c r="I463" s="55" t="n">
        <v>192.93</v>
      </c>
      <c r="J463" s="55" t="n">
        <v>0</v>
      </c>
      <c r="K463" s="55" t="n">
        <v>135</v>
      </c>
      <c r="L463" s="55" t="n">
        <v>327.93</v>
      </c>
      <c r="M463" s="55" t="n">
        <v>-5.07</v>
      </c>
      <c r="N463" s="36" t="inlineStr">
        <is>
          <t>610502</t>
        </is>
      </c>
      <c r="O463" s="36" t="inlineStr">
        <is>
          <t>CAREMARK</t>
        </is>
      </c>
      <c r="P463" s="36" t="inlineStr">
        <is>
          <t>00670000</t>
        </is>
      </c>
      <c r="Q463" s="36" t="inlineStr">
        <is>
          <t>RX7704</t>
        </is>
      </c>
    </row>
    <row r="464">
      <c r="A464" s="36" t="inlineStr">
        <is>
          <t>125417</t>
        </is>
      </c>
      <c r="B464" s="52" t="n">
        <v>46020</v>
      </c>
      <c r="C464" s="36" t="inlineStr">
        <is>
          <t>00003089421</t>
        </is>
      </c>
      <c r="D464" s="53" t="inlineStr">
        <is>
          <t xml:space="preserve">ELIQUIS 5MG TAB </t>
        </is>
      </c>
      <c r="E464" s="36" t="n">
        <v>60</v>
      </c>
      <c r="F464" s="54" t="n">
        <v>180</v>
      </c>
      <c r="G464" s="54" t="n">
        <v>3</v>
      </c>
      <c r="H464" s="55" t="n">
        <v>1752</v>
      </c>
      <c r="I464" s="55" t="n">
        <v>1691.21</v>
      </c>
      <c r="J464" s="55" t="n">
        <v>0</v>
      </c>
      <c r="K464" s="55" t="n">
        <v>0</v>
      </c>
      <c r="L464" s="55" t="n">
        <v>1691.21</v>
      </c>
      <c r="M464" s="55" t="n">
        <v>-60.79</v>
      </c>
      <c r="N464" s="36" t="inlineStr">
        <is>
          <t>004336</t>
        </is>
      </c>
      <c r="O464" s="36" t="inlineStr">
        <is>
          <t>CAREMARK</t>
        </is>
      </c>
      <c r="P464" s="36" t="inlineStr">
        <is>
          <t>MEDDADV</t>
        </is>
      </c>
      <c r="Q464" s="36" t="inlineStr">
        <is>
          <t>RX1110</t>
        </is>
      </c>
    </row>
    <row r="465">
      <c r="A465" s="36" t="inlineStr">
        <is>
          <t>141179</t>
        </is>
      </c>
      <c r="B465" s="52" t="n">
        <v>46052</v>
      </c>
      <c r="C465" s="36" t="inlineStr">
        <is>
          <t>00003089421</t>
        </is>
      </c>
      <c r="D465" s="53" t="inlineStr">
        <is>
          <t xml:space="preserve">ELIQUIS 5MG TAB </t>
        </is>
      </c>
      <c r="E465" s="36" t="n">
        <v>60</v>
      </c>
      <c r="F465" s="54" t="n">
        <v>180</v>
      </c>
      <c r="G465" s="54" t="n">
        <v>3</v>
      </c>
      <c r="H465" s="55" t="n">
        <v>999</v>
      </c>
      <c r="I465" s="55" t="n">
        <v>745.77</v>
      </c>
      <c r="J465" s="55" t="n">
        <v>290.66</v>
      </c>
      <c r="K465" s="55" t="n">
        <v>0</v>
      </c>
      <c r="L465" s="55" t="n">
        <v>1036.43</v>
      </c>
      <c r="M465" s="55" t="n">
        <v>37.43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MEDDADV</t>
        </is>
      </c>
      <c r="Q465" s="36" t="inlineStr">
        <is>
          <t>RX1110</t>
        </is>
      </c>
    </row>
    <row r="466">
      <c r="A466" s="36" t="inlineStr">
        <is>
          <t>116765</t>
        </is>
      </c>
      <c r="B466" s="52" t="n">
        <v>46006</v>
      </c>
      <c r="C466" s="36" t="inlineStr">
        <is>
          <t>00003089421</t>
        </is>
      </c>
      <c r="D466" s="53" t="inlineStr">
        <is>
          <t xml:space="preserve">ELIQUIS 5MG TAB </t>
        </is>
      </c>
      <c r="E466" s="36" t="n">
        <v>60</v>
      </c>
      <c r="F466" s="54" t="n">
        <v>60</v>
      </c>
      <c r="G466" s="54" t="n">
        <v>1</v>
      </c>
      <c r="H466" s="55" t="n">
        <v>584</v>
      </c>
      <c r="I466" s="55" t="n">
        <v>524.61</v>
      </c>
      <c r="J466" s="55" t="n">
        <v>0</v>
      </c>
      <c r="K466" s="55" t="n">
        <v>47</v>
      </c>
      <c r="L466" s="55" t="n">
        <v>571.61</v>
      </c>
      <c r="M466" s="55" t="n">
        <v>-12.39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131193</t>
        </is>
      </c>
      <c r="B467" s="52" t="n">
        <v>46034</v>
      </c>
      <c r="C467" s="36" t="inlineStr">
        <is>
          <t>00003089421</t>
        </is>
      </c>
      <c r="D467" s="53" t="inlineStr">
        <is>
          <t xml:space="preserve">ELIQUIS 5MG TAB </t>
        </is>
      </c>
      <c r="E467" s="36" t="n">
        <v>60</v>
      </c>
      <c r="F467" s="54" t="n">
        <v>60</v>
      </c>
      <c r="G467" s="54" t="n">
        <v>1</v>
      </c>
      <c r="H467" s="55" t="n">
        <v>333</v>
      </c>
      <c r="I467" s="55" t="n">
        <v>591.91</v>
      </c>
      <c r="J467" s="55" t="n">
        <v>0</v>
      </c>
      <c r="K467" s="55" t="n">
        <v>0</v>
      </c>
      <c r="L467" s="55" t="n">
        <v>591.91</v>
      </c>
      <c r="M467" s="55" t="n">
        <v>258.91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140782</t>
        </is>
      </c>
      <c r="B468" s="52" t="n">
        <v>46049</v>
      </c>
      <c r="C468" s="36" t="inlineStr">
        <is>
          <t>73302045601</t>
        </is>
      </c>
      <c r="D468" s="53" t="inlineStr">
        <is>
          <t>ELLA 30 MG ORAL TABLET</t>
        </is>
      </c>
      <c r="E468" s="36" t="n">
        <v>1</v>
      </c>
      <c r="F468" s="54" t="n">
        <v>1</v>
      </c>
      <c r="G468" s="54" t="n">
        <v>1</v>
      </c>
      <c r="H468" s="55" t="n">
        <v>0</v>
      </c>
      <c r="I468" s="55" t="n">
        <v>38.18</v>
      </c>
      <c r="J468" s="55" t="n">
        <v>0</v>
      </c>
      <c r="K468" s="55" t="n">
        <v>0</v>
      </c>
      <c r="L468" s="55" t="n">
        <v>38.18</v>
      </c>
      <c r="M468" s="55" t="n">
        <v>0</v>
      </c>
      <c r="N468" s="36" t="inlineStr">
        <is>
          <t>610494</t>
        </is>
      </c>
      <c r="O468" s="36" t="inlineStr">
        <is>
          <t>OPTUM</t>
        </is>
      </c>
      <c r="P468" s="36" t="inlineStr">
        <is>
          <t>9999</t>
        </is>
      </c>
      <c r="Q468" s="36" t="inlineStr">
        <is>
          <t>CNNY</t>
        </is>
      </c>
    </row>
    <row r="469">
      <c r="A469" s="36" t="inlineStr">
        <is>
          <t>133389</t>
        </is>
      </c>
      <c r="B469" s="52" t="n">
        <v>45993</v>
      </c>
      <c r="C469" s="36" t="inlineStr">
        <is>
          <t>49502010102</t>
        </is>
      </c>
      <c r="D469" s="53" t="inlineStr">
        <is>
          <t>EPINEPHRINE (JR) 0.15MG/0.3ML INJECTION 2ML</t>
        </is>
      </c>
      <c r="E469" s="36" t="n">
        <v>2</v>
      </c>
      <c r="F469" s="54" t="n">
        <v>2</v>
      </c>
      <c r="G469" s="54" t="n">
        <v>1</v>
      </c>
      <c r="H469" s="55" t="n">
        <v>0</v>
      </c>
      <c r="I469" s="55" t="n">
        <v>295.01</v>
      </c>
      <c r="J469" s="55" t="n">
        <v>0</v>
      </c>
      <c r="K469" s="55" t="n">
        <v>0</v>
      </c>
      <c r="L469" s="55" t="n">
        <v>295.01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136423</t>
        </is>
      </c>
      <c r="B470" s="52" t="n">
        <v>46015</v>
      </c>
      <c r="C470" s="36" t="inlineStr">
        <is>
          <t>49502010102</t>
        </is>
      </c>
      <c r="D470" s="53" t="inlineStr">
        <is>
          <t>EPINEPHRINE (JR) 0.15MG/0.3ML INJECTION 2ML</t>
        </is>
      </c>
      <c r="E470" s="36" t="n">
        <v>2</v>
      </c>
      <c r="F470" s="54" t="n">
        <v>2</v>
      </c>
      <c r="G470" s="54" t="n">
        <v>1</v>
      </c>
      <c r="H470" s="55" t="n">
        <v>0</v>
      </c>
      <c r="I470" s="55" t="n">
        <v>295.05</v>
      </c>
      <c r="J470" s="55" t="n">
        <v>0</v>
      </c>
      <c r="K470" s="55" t="n">
        <v>0</v>
      </c>
      <c r="L470" s="55" t="n">
        <v>295.05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138783</t>
        </is>
      </c>
      <c r="B471" s="52" t="n">
        <v>46034</v>
      </c>
      <c r="C471" s="36" t="inlineStr">
        <is>
          <t>55724021121</t>
        </is>
      </c>
      <c r="D471" s="53" t="inlineStr">
        <is>
          <t>EUCRISA 2% OINTMENT</t>
        </is>
      </c>
      <c r="E471" s="36" t="n">
        <v>60</v>
      </c>
      <c r="F471" s="54" t="n">
        <v>60</v>
      </c>
      <c r="G471" s="54" t="n">
        <v>1</v>
      </c>
      <c r="H471" s="55" t="n">
        <v>0</v>
      </c>
      <c r="I471" s="55" t="n">
        <v>768.24</v>
      </c>
      <c r="J471" s="55" t="n">
        <v>0</v>
      </c>
      <c r="K471" s="55" t="n">
        <v>1</v>
      </c>
      <c r="L471" s="55" t="n">
        <v>769.24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138783</t>
        </is>
      </c>
      <c r="B472" s="52" t="n">
        <v>46062</v>
      </c>
      <c r="C472" s="36" t="inlineStr">
        <is>
          <t>55724021121</t>
        </is>
      </c>
      <c r="D472" s="53" t="inlineStr">
        <is>
          <t>EUCRISA 2% OINTMENT</t>
        </is>
      </c>
      <c r="E472" s="36" t="n">
        <v>60</v>
      </c>
      <c r="F472" s="54" t="n">
        <v>60</v>
      </c>
      <c r="G472" s="54" t="n">
        <v>1</v>
      </c>
      <c r="H472" s="55" t="n">
        <v>0</v>
      </c>
      <c r="I472" s="55" t="n">
        <v>768.24</v>
      </c>
      <c r="J472" s="55" t="n">
        <v>0</v>
      </c>
      <c r="K472" s="55" t="n">
        <v>1</v>
      </c>
      <c r="L472" s="55" t="n">
        <v>769.24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136760</t>
        </is>
      </c>
      <c r="B473" s="52" t="n">
        <v>46020</v>
      </c>
      <c r="C473" s="36" t="inlineStr">
        <is>
          <t>71571033383</t>
        </is>
      </c>
      <c r="D473" s="53" t="inlineStr">
        <is>
          <t>EYSUVIS 0.25 % OPHTHALMIC SUSPENSION</t>
        </is>
      </c>
      <c r="E473" s="36" t="n">
        <v>8.300000000000001</v>
      </c>
      <c r="F473" s="54" t="n">
        <v>8.300000000000001</v>
      </c>
      <c r="G473" s="54" t="n">
        <v>1</v>
      </c>
      <c r="H473" s="55" t="n">
        <v>515</v>
      </c>
      <c r="I473" s="55" t="n">
        <v>488.51</v>
      </c>
      <c r="J473" s="55" t="n">
        <v>0</v>
      </c>
      <c r="K473" s="55" t="n">
        <v>0</v>
      </c>
      <c r="L473" s="55" t="n">
        <v>488.51</v>
      </c>
      <c r="M473" s="55" t="n">
        <v>-26.49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RX1110</t>
        </is>
      </c>
    </row>
    <row r="474">
      <c r="A474" s="36" t="inlineStr">
        <is>
          <t>136760</t>
        </is>
      </c>
      <c r="B474" s="52" t="n">
        <v>46076</v>
      </c>
      <c r="C474" s="36" t="inlineStr">
        <is>
          <t>71571033383</t>
        </is>
      </c>
      <c r="D474" s="53" t="inlineStr">
        <is>
          <t>EYSUVIS 0.25 % OPHTHALMIC SUSPENSION</t>
        </is>
      </c>
      <c r="E474" s="36" t="n">
        <v>8.300000000000001</v>
      </c>
      <c r="F474" s="54" t="n">
        <v>8.300000000000001</v>
      </c>
      <c r="G474" s="54" t="n">
        <v>1</v>
      </c>
      <c r="H474" s="55" t="n">
        <v>515</v>
      </c>
      <c r="I474" s="55" t="n">
        <v>507.66</v>
      </c>
      <c r="J474" s="55" t="n">
        <v>0</v>
      </c>
      <c r="K474" s="55" t="n">
        <v>0</v>
      </c>
      <c r="L474" s="55" t="n">
        <v>507.66</v>
      </c>
      <c r="M474" s="55" t="n">
        <v>-7.34</v>
      </c>
      <c r="N474" s="36" t="inlineStr">
        <is>
          <t>004336</t>
        </is>
      </c>
      <c r="O474" s="36" t="inlineStr">
        <is>
          <t>CAREMARK</t>
        </is>
      </c>
      <c r="P474" s="36" t="inlineStr">
        <is>
          <t>MEDDADV</t>
        </is>
      </c>
      <c r="Q474" s="36" t="inlineStr">
        <is>
          <t>RX1110</t>
        </is>
      </c>
    </row>
    <row r="475">
      <c r="A475" s="36" t="inlineStr">
        <is>
          <t>136760</t>
        </is>
      </c>
      <c r="B475" s="52" t="n">
        <v>46048</v>
      </c>
      <c r="C475" s="36" t="inlineStr">
        <is>
          <t>71571033383</t>
        </is>
      </c>
      <c r="D475" s="53" t="inlineStr">
        <is>
          <t>EYSUVIS 0.25 % OPHTHALMIC SUSPENSION</t>
        </is>
      </c>
      <c r="E475" s="36" t="n">
        <v>8.300000000000001</v>
      </c>
      <c r="F475" s="54" t="n">
        <v>8.300000000000001</v>
      </c>
      <c r="G475" s="54" t="n">
        <v>1</v>
      </c>
      <c r="H475" s="55" t="n">
        <v>515</v>
      </c>
      <c r="I475" s="55" t="n">
        <v>507.66</v>
      </c>
      <c r="J475" s="55" t="n">
        <v>0</v>
      </c>
      <c r="K475" s="55" t="n">
        <v>0</v>
      </c>
      <c r="L475" s="55" t="n">
        <v>507.66</v>
      </c>
      <c r="M475" s="55" t="n">
        <v>-7.34</v>
      </c>
      <c r="N475" s="36" t="inlineStr">
        <is>
          <t>004336</t>
        </is>
      </c>
      <c r="O475" s="36" t="inlineStr">
        <is>
          <t>CAREMARK</t>
        </is>
      </c>
      <c r="P475" s="36" t="inlineStr">
        <is>
          <t>MEDDADV</t>
        </is>
      </c>
      <c r="Q475" s="36" t="inlineStr">
        <is>
          <t>RX1110</t>
        </is>
      </c>
    </row>
    <row r="476">
      <c r="A476" s="36" t="inlineStr">
        <is>
          <t>115112</t>
        </is>
      </c>
      <c r="B476" s="52" t="n">
        <v>45992</v>
      </c>
      <c r="C476" s="36" t="inlineStr">
        <is>
          <t>71571033383</t>
        </is>
      </c>
      <c r="D476" s="53" t="inlineStr">
        <is>
          <t>EYSUVIS 0.25 % OPHTHALMIC SUSPENSION</t>
        </is>
      </c>
      <c r="E476" s="36" t="n">
        <v>8.300000000000001</v>
      </c>
      <c r="F476" s="54" t="n">
        <v>8.300000000000001</v>
      </c>
      <c r="G476" s="54" t="n">
        <v>1</v>
      </c>
      <c r="H476" s="55" t="n">
        <v>515</v>
      </c>
      <c r="I476" s="55" t="n">
        <v>488.51</v>
      </c>
      <c r="J476" s="55" t="n">
        <v>0</v>
      </c>
      <c r="K476" s="55" t="n">
        <v>0</v>
      </c>
      <c r="L476" s="55" t="n">
        <v>488.51</v>
      </c>
      <c r="M476" s="55" t="n">
        <v>-26.49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140829</t>
        </is>
      </c>
      <c r="B477" s="52" t="n">
        <v>46050</v>
      </c>
      <c r="C477" s="36" t="inlineStr">
        <is>
          <t>00310621030</t>
        </is>
      </c>
      <c r="D477" s="53" t="inlineStr">
        <is>
          <t>FARXIGA 10MG TABLET</t>
        </is>
      </c>
      <c r="E477" s="36" t="n">
        <v>30</v>
      </c>
      <c r="F477" s="54" t="n">
        <v>90</v>
      </c>
      <c r="G477" s="54" t="n">
        <v>3</v>
      </c>
      <c r="H477" s="55" t="n">
        <v>1095</v>
      </c>
      <c r="I477" s="55" t="n">
        <v>542.8200000000001</v>
      </c>
      <c r="J477" s="55" t="n">
        <v>588.7</v>
      </c>
      <c r="K477" s="55" t="n">
        <v>1.6</v>
      </c>
      <c r="L477" s="55" t="n">
        <v>1133.12</v>
      </c>
      <c r="M477" s="55" t="n">
        <v>38.12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121812</t>
        </is>
      </c>
      <c r="B478" s="52" t="n">
        <v>46055</v>
      </c>
      <c r="C478" s="36" t="inlineStr">
        <is>
          <t>00310621030</t>
        </is>
      </c>
      <c r="D478" s="53" t="inlineStr">
        <is>
          <t>FARXIGA 10MG TABLET</t>
        </is>
      </c>
      <c r="E478" s="36" t="n">
        <v>30</v>
      </c>
      <c r="F478" s="54" t="n">
        <v>30</v>
      </c>
      <c r="G478" s="54" t="n">
        <v>1</v>
      </c>
      <c r="H478" s="55" t="n">
        <v>367</v>
      </c>
      <c r="I478" s="55" t="n">
        <v>181.38</v>
      </c>
      <c r="J478" s="55" t="n">
        <v>196.23</v>
      </c>
      <c r="K478" s="55" t="n">
        <v>4.9</v>
      </c>
      <c r="L478" s="55" t="n">
        <v>382.51</v>
      </c>
      <c r="M478" s="55" t="n">
        <v>15.51</v>
      </c>
      <c r="N478" s="36" t="inlineStr">
        <is>
          <t>015574</t>
        </is>
      </c>
      <c r="O478" s="36" t="inlineStr">
        <is>
          <t>MEDIMP</t>
        </is>
      </c>
      <c r="P478" s="36" t="inlineStr">
        <is>
          <t>ASPROD1</t>
        </is>
      </c>
      <c r="Q478" s="36" t="inlineStr">
        <is>
          <t>VNS01</t>
        </is>
      </c>
    </row>
    <row r="479">
      <c r="A479" s="36" t="inlineStr">
        <is>
          <t>140537</t>
        </is>
      </c>
      <c r="B479" s="52" t="n">
        <v>46048</v>
      </c>
      <c r="C479" s="36" t="inlineStr">
        <is>
          <t>00310621030</t>
        </is>
      </c>
      <c r="D479" s="53" t="inlineStr">
        <is>
          <t>FARXIGA 10MG TABLET</t>
        </is>
      </c>
      <c r="E479" s="36" t="n">
        <v>30</v>
      </c>
      <c r="F479" s="54" t="n">
        <v>90</v>
      </c>
      <c r="G479" s="54" t="n">
        <v>3</v>
      </c>
      <c r="H479" s="55" t="n">
        <v>1095</v>
      </c>
      <c r="I479" s="55" t="n">
        <v>430.1</v>
      </c>
      <c r="J479" s="55" t="n">
        <v>588.7</v>
      </c>
      <c r="K479" s="55" t="n">
        <v>114.32</v>
      </c>
      <c r="L479" s="55" t="n">
        <v>1133.12</v>
      </c>
      <c r="M479" s="55" t="n">
        <v>38.12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136850</t>
        </is>
      </c>
      <c r="B480" s="52" t="n">
        <v>46020</v>
      </c>
      <c r="C480" s="36" t="inlineStr">
        <is>
          <t>00310621030</t>
        </is>
      </c>
      <c r="D480" s="53" t="inlineStr">
        <is>
          <t>FARXIGA 10MG TABLET</t>
        </is>
      </c>
      <c r="E480" s="36" t="n">
        <v>30</v>
      </c>
      <c r="F480" s="54" t="n">
        <v>90</v>
      </c>
      <c r="G480" s="54" t="n">
        <v>3</v>
      </c>
      <c r="H480" s="55" t="n">
        <v>1731</v>
      </c>
      <c r="I480" s="55" t="n">
        <v>1608.44</v>
      </c>
      <c r="J480" s="55" t="n">
        <v>0</v>
      </c>
      <c r="K480" s="55" t="n">
        <v>0</v>
      </c>
      <c r="L480" s="55" t="n">
        <v>1608.44</v>
      </c>
      <c r="M480" s="55" t="n">
        <v>-122.56</v>
      </c>
      <c r="N480" s="36" t="inlineStr">
        <is>
          <t>610014</t>
        </is>
      </c>
      <c r="O480" s="36" t="inlineStr">
        <is>
          <t>EXPRESS</t>
        </is>
      </c>
      <c r="P480" s="36" t="inlineStr">
        <is>
          <t>MEDDPRIME</t>
        </is>
      </c>
      <c r="Q480" s="36" t="inlineStr">
        <is>
          <t>2FGA</t>
        </is>
      </c>
    </row>
    <row r="481">
      <c r="A481" s="36" t="inlineStr">
        <is>
          <t>141159</t>
        </is>
      </c>
      <c r="B481" s="52" t="n">
        <v>46052</v>
      </c>
      <c r="C481" s="36" t="inlineStr">
        <is>
          <t>00310621030</t>
        </is>
      </c>
      <c r="D481" s="53" t="inlineStr">
        <is>
          <t>FARXIGA 10MG TABLET</t>
        </is>
      </c>
      <c r="E481" s="36" t="n">
        <v>30</v>
      </c>
      <c r="F481" s="54" t="n">
        <v>90</v>
      </c>
      <c r="G481" s="54" t="n">
        <v>3</v>
      </c>
      <c r="H481" s="55" t="n">
        <v>1095</v>
      </c>
      <c r="I481" s="55" t="n">
        <v>542.8200000000001</v>
      </c>
      <c r="J481" s="55" t="n">
        <v>588.7</v>
      </c>
      <c r="K481" s="55" t="n">
        <v>1.6</v>
      </c>
      <c r="L481" s="55" t="n">
        <v>1133.12</v>
      </c>
      <c r="M481" s="55" t="n">
        <v>38.12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128653</t>
        </is>
      </c>
      <c r="B482" s="52" t="n">
        <v>46013</v>
      </c>
      <c r="C482" s="36" t="inlineStr">
        <is>
          <t>00310621030</t>
        </is>
      </c>
      <c r="D482" s="53" t="inlineStr">
        <is>
          <t>FARXIGA 10MG TABLET</t>
        </is>
      </c>
      <c r="E482" s="36" t="n">
        <v>30</v>
      </c>
      <c r="F482" s="54" t="n">
        <v>30</v>
      </c>
      <c r="G482" s="54" t="n">
        <v>1</v>
      </c>
      <c r="H482" s="55" t="n">
        <v>577</v>
      </c>
      <c r="I482" s="55" t="n">
        <v>525.59</v>
      </c>
      <c r="J482" s="55" t="n">
        <v>0</v>
      </c>
      <c r="K482" s="55" t="n">
        <v>4.8</v>
      </c>
      <c r="L482" s="55" t="n">
        <v>530.39</v>
      </c>
      <c r="M482" s="55" t="n">
        <v>-46.61</v>
      </c>
      <c r="N482" s="36" t="inlineStr">
        <is>
          <t>017010</t>
        </is>
      </c>
      <c r="O482" s="36" t="inlineStr">
        <is>
          <t>EXPRESS</t>
        </is>
      </c>
      <c r="P482" s="36" t="inlineStr">
        <is>
          <t>CIMCARE</t>
        </is>
      </c>
      <c r="Q482" s="36" t="inlineStr">
        <is>
          <t>CIGPDPRX</t>
        </is>
      </c>
    </row>
    <row r="483">
      <c r="A483" s="36" t="inlineStr">
        <is>
          <t>128729</t>
        </is>
      </c>
      <c r="B483" s="52" t="n">
        <v>46013</v>
      </c>
      <c r="C483" s="36" t="inlineStr">
        <is>
          <t>00310621030</t>
        </is>
      </c>
      <c r="D483" s="53" t="inlineStr">
        <is>
          <t>FARXIGA 10MG TABLET</t>
        </is>
      </c>
      <c r="E483" s="36" t="n">
        <v>30</v>
      </c>
      <c r="F483" s="54" t="n">
        <v>30</v>
      </c>
      <c r="G483" s="54" t="n">
        <v>1</v>
      </c>
      <c r="H483" s="55" t="n">
        <v>577</v>
      </c>
      <c r="I483" s="55" t="n">
        <v>585.22</v>
      </c>
      <c r="J483" s="55" t="n">
        <v>0</v>
      </c>
      <c r="K483" s="55" t="n">
        <v>0</v>
      </c>
      <c r="L483" s="55" t="n">
        <v>585.22</v>
      </c>
      <c r="M483" s="55" t="n">
        <v>8.220000000000001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129765</t>
        </is>
      </c>
      <c r="B484" s="52" t="n">
        <v>46050</v>
      </c>
      <c r="C484" s="36" t="inlineStr">
        <is>
          <t>00310621030</t>
        </is>
      </c>
      <c r="D484" s="53" t="inlineStr">
        <is>
          <t>FARXIGA 10MG TABLET</t>
        </is>
      </c>
      <c r="E484" s="36" t="n">
        <v>30</v>
      </c>
      <c r="F484" s="54" t="n">
        <v>90</v>
      </c>
      <c r="G484" s="54" t="n">
        <v>3</v>
      </c>
      <c r="H484" s="55" t="n">
        <v>1095</v>
      </c>
      <c r="I484" s="55" t="n">
        <v>544.55</v>
      </c>
      <c r="J484" s="55" t="n">
        <v>588.7</v>
      </c>
      <c r="K484" s="55" t="n">
        <v>4.9</v>
      </c>
      <c r="L484" s="55" t="n">
        <v>1138.15</v>
      </c>
      <c r="M484" s="55" t="n">
        <v>43.15</v>
      </c>
      <c r="N484" s="36" t="inlineStr">
        <is>
          <t>015574</t>
        </is>
      </c>
      <c r="O484" s="36" t="inlineStr">
        <is>
          <t>MEDIMP</t>
        </is>
      </c>
      <c r="P484" s="36" t="inlineStr">
        <is>
          <t>ASPROD1</t>
        </is>
      </c>
      <c r="Q484" s="36" t="n">
        <v/>
      </c>
    </row>
    <row r="485">
      <c r="A485" s="36" t="inlineStr">
        <is>
          <t>103833</t>
        </is>
      </c>
      <c r="B485" s="52" t="n">
        <v>46021</v>
      </c>
      <c r="C485" s="36" t="inlineStr">
        <is>
          <t>00310621030</t>
        </is>
      </c>
      <c r="D485" s="53" t="inlineStr">
        <is>
          <t>FARXIGA 10MG TABLET</t>
        </is>
      </c>
      <c r="E485" s="36" t="n">
        <v>30</v>
      </c>
      <c r="F485" s="54" t="n">
        <v>90</v>
      </c>
      <c r="G485" s="54" t="n">
        <v>3</v>
      </c>
      <c r="H485" s="55" t="n">
        <v>1731</v>
      </c>
      <c r="I485" s="55" t="n">
        <v>1672.87</v>
      </c>
      <c r="J485" s="55" t="n">
        <v>0</v>
      </c>
      <c r="K485" s="55" t="n">
        <v>0</v>
      </c>
      <c r="L485" s="55" t="n">
        <v>1672.87</v>
      </c>
      <c r="M485" s="55" t="n">
        <v>-58.13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139347</t>
        </is>
      </c>
      <c r="B486" s="52" t="n">
        <v>46038</v>
      </c>
      <c r="C486" s="36" t="inlineStr">
        <is>
          <t>00310621030</t>
        </is>
      </c>
      <c r="D486" s="53" t="inlineStr">
        <is>
          <t>FARXIGA 10MG TABLET</t>
        </is>
      </c>
      <c r="E486" s="36" t="n">
        <v>30</v>
      </c>
      <c r="F486" s="54" t="n">
        <v>90</v>
      </c>
      <c r="G486" s="54" t="n">
        <v>3</v>
      </c>
      <c r="H486" s="55" t="n">
        <v>1095</v>
      </c>
      <c r="I486" s="55" t="n">
        <v>1735.57</v>
      </c>
      <c r="J486" s="55" t="n">
        <v>0</v>
      </c>
      <c r="K486" s="55" t="n">
        <v>0</v>
      </c>
      <c r="L486" s="55" t="n">
        <v>1735.57</v>
      </c>
      <c r="M486" s="55" t="n">
        <v>640.5700000000001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121812</t>
        </is>
      </c>
      <c r="B487" s="52" t="n">
        <v>46024</v>
      </c>
      <c r="C487" s="36" t="inlineStr">
        <is>
          <t>00310621030</t>
        </is>
      </c>
      <c r="D487" s="53" t="inlineStr">
        <is>
          <t>FARXIGA 10MG TABLET</t>
        </is>
      </c>
      <c r="E487" s="36" t="n">
        <v>30</v>
      </c>
      <c r="F487" s="54" t="n">
        <v>30</v>
      </c>
      <c r="G487" s="54" t="n">
        <v>1</v>
      </c>
      <c r="H487" s="55" t="n">
        <v>365</v>
      </c>
      <c r="I487" s="55" t="n">
        <v>181.38</v>
      </c>
      <c r="J487" s="55" t="n">
        <v>196.23</v>
      </c>
      <c r="K487" s="55" t="n">
        <v>4.9</v>
      </c>
      <c r="L487" s="55" t="n">
        <v>382.51</v>
      </c>
      <c r="M487" s="55" t="n">
        <v>17.51</v>
      </c>
      <c r="N487" s="36" t="inlineStr">
        <is>
          <t>015574</t>
        </is>
      </c>
      <c r="O487" s="36" t="inlineStr">
        <is>
          <t>MEDIMP</t>
        </is>
      </c>
      <c r="P487" s="36" t="inlineStr">
        <is>
          <t>ASPROD1</t>
        </is>
      </c>
      <c r="Q487" s="36" t="inlineStr">
        <is>
          <t>VNS01</t>
        </is>
      </c>
    </row>
    <row r="488">
      <c r="A488" s="36" t="inlineStr">
        <is>
          <t>128729</t>
        </is>
      </c>
      <c r="B488" s="52" t="n">
        <v>46069</v>
      </c>
      <c r="C488" s="36" t="inlineStr">
        <is>
          <t>00310621030</t>
        </is>
      </c>
      <c r="D488" s="53" t="inlineStr">
        <is>
          <t>FARXIGA 10MG TABLET</t>
        </is>
      </c>
      <c r="E488" s="36" t="n">
        <v>30</v>
      </c>
      <c r="F488" s="54" t="n">
        <v>30</v>
      </c>
      <c r="G488" s="54" t="n">
        <v>1</v>
      </c>
      <c r="H488" s="55" t="n">
        <v>367</v>
      </c>
      <c r="I488" s="55" t="n">
        <v>372.51</v>
      </c>
      <c r="J488" s="55" t="n">
        <v>0</v>
      </c>
      <c r="K488" s="55" t="n">
        <v>0</v>
      </c>
      <c r="L488" s="55" t="n">
        <v>372.51</v>
      </c>
      <c r="M488" s="55" t="n">
        <v>5.51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138948</t>
        </is>
      </c>
      <c r="B489" s="52" t="n">
        <v>46035</v>
      </c>
      <c r="C489" s="36" t="inlineStr">
        <is>
          <t>00310621030</t>
        </is>
      </c>
      <c r="D489" s="53" t="inlineStr">
        <is>
          <t>FARXIGA 10MG TABLET</t>
        </is>
      </c>
      <c r="E489" s="36" t="n">
        <v>30</v>
      </c>
      <c r="F489" s="54" t="n">
        <v>90</v>
      </c>
      <c r="G489" s="54" t="n">
        <v>3</v>
      </c>
      <c r="H489" s="55" t="n">
        <v>1095</v>
      </c>
      <c r="I489" s="55" t="n">
        <v>545.76</v>
      </c>
      <c r="J489" s="55" t="n">
        <v>588.7</v>
      </c>
      <c r="K489" s="55" t="n">
        <v>0</v>
      </c>
      <c r="L489" s="55" t="n">
        <v>1134.46</v>
      </c>
      <c r="M489" s="55" t="n">
        <v>39.46</v>
      </c>
      <c r="N489" s="36" t="inlineStr">
        <is>
          <t>610014</t>
        </is>
      </c>
      <c r="O489" s="36" t="inlineStr">
        <is>
          <t>EXPRESS</t>
        </is>
      </c>
      <c r="P489" s="36" t="inlineStr">
        <is>
          <t>MEDDPRIME</t>
        </is>
      </c>
      <c r="Q489" s="36" t="inlineStr">
        <is>
          <t>2FFA</t>
        </is>
      </c>
    </row>
    <row r="490">
      <c r="A490" s="36" t="inlineStr">
        <is>
          <t>126072</t>
        </is>
      </c>
      <c r="B490" s="52" t="n">
        <v>46035</v>
      </c>
      <c r="C490" s="36" t="inlineStr">
        <is>
          <t>00310621030</t>
        </is>
      </c>
      <c r="D490" s="53" t="inlineStr">
        <is>
          <t>FARXIGA 10MG TABLET</t>
        </is>
      </c>
      <c r="E490" s="36" t="n">
        <v>30</v>
      </c>
      <c r="F490" s="54" t="n">
        <v>90</v>
      </c>
      <c r="G490" s="54" t="n">
        <v>3</v>
      </c>
      <c r="H490" s="55" t="n">
        <v>1095</v>
      </c>
      <c r="I490" s="55" t="n">
        <v>544.42</v>
      </c>
      <c r="J490" s="55" t="n">
        <v>588.7</v>
      </c>
      <c r="K490" s="55" t="n">
        <v>0</v>
      </c>
      <c r="L490" s="55" t="n">
        <v>1133.12</v>
      </c>
      <c r="M490" s="55" t="n">
        <v>38.12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RX1110</t>
        </is>
      </c>
    </row>
    <row r="491">
      <c r="A491" s="36" t="inlineStr">
        <is>
          <t>121812</t>
        </is>
      </c>
      <c r="B491" s="52" t="n">
        <v>45994</v>
      </c>
      <c r="C491" s="36" t="inlineStr">
        <is>
          <t>00310621030</t>
        </is>
      </c>
      <c r="D491" s="53" t="inlineStr">
        <is>
          <t>FARXIGA 10MG TABLET</t>
        </is>
      </c>
      <c r="E491" s="36" t="n">
        <v>30</v>
      </c>
      <c r="F491" s="54" t="n">
        <v>30</v>
      </c>
      <c r="G491" s="54" t="n">
        <v>1</v>
      </c>
      <c r="H491" s="55" t="n">
        <v>577</v>
      </c>
      <c r="I491" s="55" t="n">
        <v>570.53</v>
      </c>
      <c r="J491" s="55" t="n">
        <v>0</v>
      </c>
      <c r="K491" s="55" t="n">
        <v>0</v>
      </c>
      <c r="L491" s="55" t="n">
        <v>570.53</v>
      </c>
      <c r="M491" s="55" t="n">
        <v>-6.47</v>
      </c>
      <c r="N491" s="36" t="inlineStr">
        <is>
          <t>015574</t>
        </is>
      </c>
      <c r="O491" s="36" t="inlineStr">
        <is>
          <t>MEDIMP</t>
        </is>
      </c>
      <c r="P491" s="36" t="inlineStr">
        <is>
          <t>ASPROD1</t>
        </is>
      </c>
      <c r="Q491" s="36" t="inlineStr">
        <is>
          <t>VNS01</t>
        </is>
      </c>
    </row>
    <row r="492">
      <c r="A492" s="36" t="inlineStr">
        <is>
          <t>138878</t>
        </is>
      </c>
      <c r="B492" s="52" t="n">
        <v>46063</v>
      </c>
      <c r="C492" s="36" t="inlineStr">
        <is>
          <t>00310621030</t>
        </is>
      </c>
      <c r="D492" s="53" t="inlineStr">
        <is>
          <t>FARXIGA 10MG TABLET</t>
        </is>
      </c>
      <c r="E492" s="36" t="n">
        <v>30</v>
      </c>
      <c r="F492" s="54" t="n">
        <v>30</v>
      </c>
      <c r="G492" s="54" t="n">
        <v>1</v>
      </c>
      <c r="H492" s="55" t="n">
        <v>367</v>
      </c>
      <c r="I492" s="55" t="n">
        <v>331.19</v>
      </c>
      <c r="J492" s="55" t="n">
        <v>0</v>
      </c>
      <c r="K492" s="55" t="n">
        <v>30</v>
      </c>
      <c r="L492" s="55" t="n">
        <v>361.19</v>
      </c>
      <c r="M492" s="55" t="n">
        <v>-5.81</v>
      </c>
      <c r="N492" s="36" t="inlineStr">
        <is>
          <t>610011</t>
        </is>
      </c>
      <c r="O492" s="36" t="inlineStr">
        <is>
          <t>OPTUM</t>
        </is>
      </c>
      <c r="P492" s="36" t="inlineStr">
        <is>
          <t>IRX</t>
        </is>
      </c>
      <c r="Q492" s="36" t="inlineStr">
        <is>
          <t>32BJRX</t>
        </is>
      </c>
    </row>
    <row r="493">
      <c r="A493" s="36" t="inlineStr">
        <is>
          <t>135133</t>
        </is>
      </c>
      <c r="B493" s="52" t="n">
        <v>46006</v>
      </c>
      <c r="C493" s="36" t="inlineStr">
        <is>
          <t>00310621030</t>
        </is>
      </c>
      <c r="D493" s="53" t="inlineStr">
        <is>
          <t>FARXIGA 10MG TABLET</t>
        </is>
      </c>
      <c r="E493" s="36" t="n">
        <v>30</v>
      </c>
      <c r="F493" s="54" t="n">
        <v>90</v>
      </c>
      <c r="G493" s="54" t="n">
        <v>3</v>
      </c>
      <c r="H493" s="55" t="n">
        <v>1731</v>
      </c>
      <c r="I493" s="55" t="n">
        <v>1608.44</v>
      </c>
      <c r="J493" s="55" t="n">
        <v>0</v>
      </c>
      <c r="K493" s="55" t="n">
        <v>0</v>
      </c>
      <c r="L493" s="55" t="n">
        <v>1608.44</v>
      </c>
      <c r="M493" s="55" t="n">
        <v>-122.56</v>
      </c>
      <c r="N493" s="36" t="inlineStr">
        <is>
          <t>015574</t>
        </is>
      </c>
      <c r="O493" s="36" t="inlineStr">
        <is>
          <t>MEDIMP</t>
        </is>
      </c>
      <c r="P493" s="36" t="inlineStr">
        <is>
          <t>ASPROD1</t>
        </is>
      </c>
      <c r="Q493" s="36" t="inlineStr">
        <is>
          <t>VNS01</t>
        </is>
      </c>
    </row>
    <row r="494">
      <c r="A494" s="36" t="inlineStr">
        <is>
          <t>133419</t>
        </is>
      </c>
      <c r="B494" s="52" t="n">
        <v>45993</v>
      </c>
      <c r="C494" s="36" t="inlineStr">
        <is>
          <t>00310621030</t>
        </is>
      </c>
      <c r="D494" s="53" t="inlineStr">
        <is>
          <t>FARXIGA 10MG TABLET</t>
        </is>
      </c>
      <c r="E494" s="36" t="n">
        <v>30</v>
      </c>
      <c r="F494" s="54" t="n">
        <v>90</v>
      </c>
      <c r="G494" s="54" t="n">
        <v>3</v>
      </c>
      <c r="H494" s="55" t="n">
        <v>1731</v>
      </c>
      <c r="I494" s="55" t="n">
        <v>1672.87</v>
      </c>
      <c r="J494" s="55" t="n">
        <v>0</v>
      </c>
      <c r="K494" s="55" t="n">
        <v>0</v>
      </c>
      <c r="L494" s="55" t="n">
        <v>1672.87</v>
      </c>
      <c r="M494" s="55" t="n">
        <v>-58.13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138878</t>
        </is>
      </c>
      <c r="B495" s="52" t="n">
        <v>46035</v>
      </c>
      <c r="C495" s="36" t="inlineStr">
        <is>
          <t>00310621030</t>
        </is>
      </c>
      <c r="D495" s="53" t="inlineStr">
        <is>
          <t>FARXIGA 10MG TABLET</t>
        </is>
      </c>
      <c r="E495" s="36" t="n">
        <v>30</v>
      </c>
      <c r="F495" s="54" t="n">
        <v>30</v>
      </c>
      <c r="G495" s="54" t="n">
        <v>1</v>
      </c>
      <c r="H495" s="55" t="n">
        <v>365</v>
      </c>
      <c r="I495" s="55" t="n">
        <v>331.19</v>
      </c>
      <c r="J495" s="55" t="n">
        <v>0</v>
      </c>
      <c r="K495" s="55" t="n">
        <v>30</v>
      </c>
      <c r="L495" s="55" t="n">
        <v>361.19</v>
      </c>
      <c r="M495" s="55" t="n">
        <v>-3.81</v>
      </c>
      <c r="N495" s="36" t="inlineStr">
        <is>
          <t>610011</t>
        </is>
      </c>
      <c r="O495" s="36" t="inlineStr">
        <is>
          <t>OPTUM</t>
        </is>
      </c>
      <c r="P495" s="36" t="inlineStr">
        <is>
          <t>IRX</t>
        </is>
      </c>
      <c r="Q495" s="36" t="inlineStr">
        <is>
          <t>32BJRX</t>
        </is>
      </c>
    </row>
    <row r="496">
      <c r="A496" s="36" t="inlineStr">
        <is>
          <t>128113</t>
        </is>
      </c>
      <c r="B496" s="52" t="n">
        <v>46038</v>
      </c>
      <c r="C496" s="36" t="inlineStr">
        <is>
          <t>00310621030</t>
        </is>
      </c>
      <c r="D496" s="53" t="inlineStr">
        <is>
          <t>FARXIGA 10MG TABLET</t>
        </is>
      </c>
      <c r="E496" s="36" t="n">
        <v>30</v>
      </c>
      <c r="F496" s="54" t="n">
        <v>90</v>
      </c>
      <c r="G496" s="54" t="n">
        <v>3</v>
      </c>
      <c r="H496" s="55" t="n">
        <v>1095</v>
      </c>
      <c r="I496" s="55" t="n">
        <v>542.8200000000001</v>
      </c>
      <c r="J496" s="55" t="n">
        <v>588.7</v>
      </c>
      <c r="K496" s="55" t="n">
        <v>1.6</v>
      </c>
      <c r="L496" s="55" t="n">
        <v>1133.12</v>
      </c>
      <c r="M496" s="55" t="n">
        <v>38.12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138950</t>
        </is>
      </c>
      <c r="B497" s="52" t="n">
        <v>46035</v>
      </c>
      <c r="C497" s="36" t="inlineStr">
        <is>
          <t>00310621030</t>
        </is>
      </c>
      <c r="D497" s="53" t="inlineStr">
        <is>
          <t>FARXIGA 10MG TABLET</t>
        </is>
      </c>
      <c r="E497" s="36" t="n">
        <v>30</v>
      </c>
      <c r="F497" s="54" t="n">
        <v>90</v>
      </c>
      <c r="G497" s="54" t="n">
        <v>3</v>
      </c>
      <c r="H497" s="55" t="n">
        <v>1095</v>
      </c>
      <c r="I497" s="55" t="n">
        <v>549.45</v>
      </c>
      <c r="J497" s="55" t="n">
        <v>588.7</v>
      </c>
      <c r="K497" s="55" t="n">
        <v>0</v>
      </c>
      <c r="L497" s="55" t="n">
        <v>1138.15</v>
      </c>
      <c r="M497" s="55" t="n">
        <v>43.15</v>
      </c>
      <c r="N497" s="36" t="inlineStr">
        <is>
          <t>015574</t>
        </is>
      </c>
      <c r="O497" s="36" t="inlineStr">
        <is>
          <t>MEDIMP</t>
        </is>
      </c>
      <c r="P497" s="36" t="inlineStr">
        <is>
          <t>ASPROD1</t>
        </is>
      </c>
      <c r="Q497" s="36" t="inlineStr">
        <is>
          <t>VNS01</t>
        </is>
      </c>
    </row>
    <row r="498">
      <c r="A498" s="36" t="inlineStr">
        <is>
          <t>135004</t>
        </is>
      </c>
      <c r="B498" s="52" t="n">
        <v>46004</v>
      </c>
      <c r="C498" s="36" t="inlineStr">
        <is>
          <t>00310621030</t>
        </is>
      </c>
      <c r="D498" s="53" t="inlineStr">
        <is>
          <t>FARXIGA 10MG TABLET</t>
        </is>
      </c>
      <c r="E498" s="36" t="n">
        <v>30</v>
      </c>
      <c r="F498" s="54" t="n">
        <v>90</v>
      </c>
      <c r="G498" s="54" t="n">
        <v>3</v>
      </c>
      <c r="H498" s="55" t="n">
        <v>1731</v>
      </c>
      <c r="I498" s="55" t="n">
        <v>1672.87</v>
      </c>
      <c r="J498" s="55" t="n">
        <v>0</v>
      </c>
      <c r="K498" s="55" t="n">
        <v>0</v>
      </c>
      <c r="L498" s="55" t="n">
        <v>1672.87</v>
      </c>
      <c r="M498" s="55" t="n">
        <v>-58.13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133195</t>
        </is>
      </c>
      <c r="B499" s="52" t="n">
        <v>46010</v>
      </c>
      <c r="C499" s="36" t="inlineStr">
        <is>
          <t>00310621030</t>
        </is>
      </c>
      <c r="D499" s="53" t="inlineStr">
        <is>
          <t>FARXIGA 10MG TABLET</t>
        </is>
      </c>
      <c r="E499" s="36" t="n">
        <v>30</v>
      </c>
      <c r="F499" s="54" t="n">
        <v>90</v>
      </c>
      <c r="G499" s="54" t="n">
        <v>3</v>
      </c>
      <c r="H499" s="55" t="n">
        <v>1731</v>
      </c>
      <c r="I499" s="55" t="n">
        <v>1672.87</v>
      </c>
      <c r="J499" s="55" t="n">
        <v>0</v>
      </c>
      <c r="K499" s="55" t="n">
        <v>0</v>
      </c>
      <c r="L499" s="55" t="n">
        <v>1672.87</v>
      </c>
      <c r="M499" s="55" t="n">
        <v>-58.13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140180</t>
        </is>
      </c>
      <c r="B500" s="52" t="n">
        <v>46044</v>
      </c>
      <c r="C500" s="36" t="inlineStr">
        <is>
          <t>00310621030</t>
        </is>
      </c>
      <c r="D500" s="53" t="inlineStr">
        <is>
          <t>FARXIGA 10MG TABLET</t>
        </is>
      </c>
      <c r="E500" s="36" t="n">
        <v>30</v>
      </c>
      <c r="F500" s="54" t="n">
        <v>90</v>
      </c>
      <c r="G500" s="54" t="n">
        <v>3</v>
      </c>
      <c r="H500" s="55" t="n">
        <v>1095</v>
      </c>
      <c r="I500" s="55" t="n">
        <v>542.8200000000001</v>
      </c>
      <c r="J500" s="55" t="n">
        <v>588.7</v>
      </c>
      <c r="K500" s="55" t="n">
        <v>1.6</v>
      </c>
      <c r="L500" s="55" t="n">
        <v>1133.12</v>
      </c>
      <c r="M500" s="55" t="n">
        <v>38.12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124448</t>
        </is>
      </c>
      <c r="B501" s="52" t="n">
        <v>46011</v>
      </c>
      <c r="C501" s="36" t="inlineStr">
        <is>
          <t>00310621030</t>
        </is>
      </c>
      <c r="D501" s="53" t="inlineStr">
        <is>
          <t>FARXIGA 10MG TABLET</t>
        </is>
      </c>
      <c r="E501" s="36" t="n">
        <v>30</v>
      </c>
      <c r="F501" s="54" t="n">
        <v>90</v>
      </c>
      <c r="G501" s="54" t="n">
        <v>3</v>
      </c>
      <c r="H501" s="55" t="n">
        <v>1731</v>
      </c>
      <c r="I501" s="55" t="n">
        <v>1672.87</v>
      </c>
      <c r="J501" s="55" t="n">
        <v>0</v>
      </c>
      <c r="K501" s="55" t="n">
        <v>0</v>
      </c>
      <c r="L501" s="55" t="n">
        <v>1672.87</v>
      </c>
      <c r="M501" s="55" t="n">
        <v>-58.13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134387</t>
        </is>
      </c>
      <c r="B502" s="52" t="n">
        <v>46000</v>
      </c>
      <c r="C502" s="36" t="inlineStr">
        <is>
          <t>00310621030</t>
        </is>
      </c>
      <c r="D502" s="53" t="inlineStr">
        <is>
          <t>FARXIGA 10MG TABLET</t>
        </is>
      </c>
      <c r="E502" s="36" t="n">
        <v>30</v>
      </c>
      <c r="F502" s="54" t="n">
        <v>90</v>
      </c>
      <c r="G502" s="54" t="n">
        <v>3</v>
      </c>
      <c r="H502" s="55" t="n">
        <v>1731</v>
      </c>
      <c r="I502" s="55" t="n">
        <v>1672.87</v>
      </c>
      <c r="J502" s="55" t="n">
        <v>0</v>
      </c>
      <c r="K502" s="55" t="n">
        <v>0</v>
      </c>
      <c r="L502" s="55" t="n">
        <v>1672.87</v>
      </c>
      <c r="M502" s="55" t="n">
        <v>-58.13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127101</t>
        </is>
      </c>
      <c r="B503" s="52" t="n">
        <v>46000</v>
      </c>
      <c r="C503" s="36" t="inlineStr">
        <is>
          <t>00310621030</t>
        </is>
      </c>
      <c r="D503" s="53" t="inlineStr">
        <is>
          <t>FARXIGA 10MG TABLET</t>
        </is>
      </c>
      <c r="E503" s="36" t="n">
        <v>30</v>
      </c>
      <c r="F503" s="54" t="n">
        <v>30</v>
      </c>
      <c r="G503" s="54" t="n">
        <v>1</v>
      </c>
      <c r="H503" s="55" t="n">
        <v>577</v>
      </c>
      <c r="I503" s="55" t="n">
        <v>565.41</v>
      </c>
      <c r="J503" s="55" t="n">
        <v>0</v>
      </c>
      <c r="K503" s="55" t="n">
        <v>0</v>
      </c>
      <c r="L503" s="55" t="n">
        <v>565.41</v>
      </c>
      <c r="M503" s="55" t="n">
        <v>-11.59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RX1110</t>
        </is>
      </c>
    </row>
    <row r="504">
      <c r="A504" s="36" t="inlineStr">
        <is>
          <t>128729</t>
        </is>
      </c>
      <c r="B504" s="52" t="n">
        <v>46041</v>
      </c>
      <c r="C504" s="36" t="inlineStr">
        <is>
          <t>00310621030</t>
        </is>
      </c>
      <c r="D504" s="53" t="inlineStr">
        <is>
          <t>FARXIGA 10MG TABLET</t>
        </is>
      </c>
      <c r="E504" s="36" t="n">
        <v>30</v>
      </c>
      <c r="F504" s="54" t="n">
        <v>30</v>
      </c>
      <c r="G504" s="54" t="n">
        <v>1</v>
      </c>
      <c r="H504" s="55" t="n">
        <v>365</v>
      </c>
      <c r="I504" s="55" t="n">
        <v>585.3099999999999</v>
      </c>
      <c r="J504" s="55" t="n">
        <v>0</v>
      </c>
      <c r="K504" s="55" t="n">
        <v>0</v>
      </c>
      <c r="L504" s="55" t="n">
        <v>585.3099999999999</v>
      </c>
      <c r="M504" s="55" t="n">
        <v>220.31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123899</t>
        </is>
      </c>
      <c r="B505" s="52" t="n">
        <v>46007</v>
      </c>
      <c r="C505" s="36" t="inlineStr">
        <is>
          <t>00310621030</t>
        </is>
      </c>
      <c r="D505" s="53" t="inlineStr">
        <is>
          <t>FARXIGA 10MG TABLET</t>
        </is>
      </c>
      <c r="E505" s="36" t="n">
        <v>30</v>
      </c>
      <c r="F505" s="54" t="n">
        <v>90</v>
      </c>
      <c r="G505" s="54" t="n">
        <v>3</v>
      </c>
      <c r="H505" s="55" t="n">
        <v>1731</v>
      </c>
      <c r="I505" s="55" t="n">
        <v>1672.87</v>
      </c>
      <c r="J505" s="55" t="n">
        <v>0</v>
      </c>
      <c r="K505" s="55" t="n">
        <v>0</v>
      </c>
      <c r="L505" s="55" t="n">
        <v>1672.87</v>
      </c>
      <c r="M505" s="55" t="n">
        <v>-58.13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111296</t>
        </is>
      </c>
      <c r="B506" s="52" t="n">
        <v>45993</v>
      </c>
      <c r="C506" s="36" t="inlineStr">
        <is>
          <t>00310620530</t>
        </is>
      </c>
      <c r="D506" s="53" t="inlineStr">
        <is>
          <t>FARXIGA 5MG TABLET</t>
        </is>
      </c>
      <c r="E506" s="36" t="n">
        <v>30</v>
      </c>
      <c r="F506" s="54" t="n">
        <v>90</v>
      </c>
      <c r="G506" s="54" t="n">
        <v>3</v>
      </c>
      <c r="H506" s="55" t="n">
        <v>1095</v>
      </c>
      <c r="I506" s="55" t="n">
        <v>1672.87</v>
      </c>
      <c r="J506" s="55" t="n">
        <v>0</v>
      </c>
      <c r="K506" s="55" t="n">
        <v>0</v>
      </c>
      <c r="L506" s="55" t="n">
        <v>1672.87</v>
      </c>
      <c r="M506" s="55" t="n">
        <v>577.87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135058</t>
        </is>
      </c>
      <c r="B507" s="52" t="n">
        <v>46035</v>
      </c>
      <c r="C507" s="36" t="inlineStr">
        <is>
          <t>00310620530</t>
        </is>
      </c>
      <c r="D507" s="53" t="inlineStr">
        <is>
          <t>FARXIGA 5MG TABLET</t>
        </is>
      </c>
      <c r="E507" s="36" t="n">
        <v>30</v>
      </c>
      <c r="F507" s="54" t="n">
        <v>30</v>
      </c>
      <c r="G507" s="54" t="n">
        <v>1</v>
      </c>
      <c r="H507" s="55" t="n">
        <v>365</v>
      </c>
      <c r="I507" s="55" t="n">
        <v>181.35</v>
      </c>
      <c r="J507" s="55" t="n">
        <v>196.23</v>
      </c>
      <c r="K507" s="55" t="n">
        <v>0</v>
      </c>
      <c r="L507" s="55" t="n">
        <v>377.58</v>
      </c>
      <c r="M507" s="55" t="n">
        <v>12.58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125671</t>
        </is>
      </c>
      <c r="B508" s="52" t="n">
        <v>46021</v>
      </c>
      <c r="C508" s="36" t="inlineStr">
        <is>
          <t>00310620530</t>
        </is>
      </c>
      <c r="D508" s="53" t="inlineStr">
        <is>
          <t>FARXIGA 5MG TABLET</t>
        </is>
      </c>
      <c r="E508" s="36" t="n">
        <v>30</v>
      </c>
      <c r="F508" s="54" t="n">
        <v>90</v>
      </c>
      <c r="G508" s="54" t="n">
        <v>3</v>
      </c>
      <c r="H508" s="55" t="n">
        <v>1095</v>
      </c>
      <c r="I508" s="55" t="n">
        <v>1655.6</v>
      </c>
      <c r="J508" s="55" t="n">
        <v>0</v>
      </c>
      <c r="K508" s="55" t="n">
        <v>0</v>
      </c>
      <c r="L508" s="55" t="n">
        <v>1655.6</v>
      </c>
      <c r="M508" s="55" t="n">
        <v>560.6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RX8585</t>
        </is>
      </c>
    </row>
    <row r="509">
      <c r="A509" s="36" t="inlineStr">
        <is>
          <t>139593</t>
        </is>
      </c>
      <c r="B509" s="52" t="n">
        <v>46041</v>
      </c>
      <c r="C509" s="36" t="inlineStr">
        <is>
          <t>00310620530</t>
        </is>
      </c>
      <c r="D509" s="53" t="inlineStr">
        <is>
          <t>FARXIGA 5MG TABLET</t>
        </is>
      </c>
      <c r="E509" s="36" t="n">
        <v>30</v>
      </c>
      <c r="F509" s="54" t="n">
        <v>90</v>
      </c>
      <c r="G509" s="54" t="n">
        <v>3</v>
      </c>
      <c r="H509" s="55" t="n">
        <v>1095</v>
      </c>
      <c r="I509" s="55" t="n">
        <v>544.42</v>
      </c>
      <c r="J509" s="55" t="n">
        <v>588.7</v>
      </c>
      <c r="K509" s="55" t="n">
        <v>0</v>
      </c>
      <c r="L509" s="55" t="n">
        <v>1133.12</v>
      </c>
      <c r="M509" s="55" t="n">
        <v>38.12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135058</t>
        </is>
      </c>
      <c r="B510" s="52" t="n">
        <v>46006</v>
      </c>
      <c r="C510" s="36" t="inlineStr">
        <is>
          <t>00310620530</t>
        </is>
      </c>
      <c r="D510" s="53" t="inlineStr">
        <is>
          <t>FARXIGA 5MG TABLET</t>
        </is>
      </c>
      <c r="E510" s="36" t="n">
        <v>30</v>
      </c>
      <c r="F510" s="54" t="n">
        <v>30</v>
      </c>
      <c r="G510" s="54" t="n">
        <v>1</v>
      </c>
      <c r="H510" s="55" t="n">
        <v>365</v>
      </c>
      <c r="I510" s="55" t="n">
        <v>565.41</v>
      </c>
      <c r="J510" s="55" t="n">
        <v>0</v>
      </c>
      <c r="K510" s="55" t="n">
        <v>0</v>
      </c>
      <c r="L510" s="55" t="n">
        <v>565.41</v>
      </c>
      <c r="M510" s="55" t="n">
        <v>200.41</v>
      </c>
      <c r="N510" s="36" t="inlineStr">
        <is>
          <t>004336</t>
        </is>
      </c>
      <c r="O510" s="36" t="inlineStr">
        <is>
          <t>CAREMARK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130353</t>
        </is>
      </c>
      <c r="B511" s="52" t="n">
        <v>45996</v>
      </c>
      <c r="C511" s="36" t="inlineStr">
        <is>
          <t>00054032756</t>
        </is>
      </c>
      <c r="D511" s="53" t="inlineStr">
        <is>
          <t>FLUTICASONE-SALMETEROL 250-50 MCG/ACT INH AEROSOL</t>
        </is>
      </c>
      <c r="E511" s="36" t="n">
        <v>60</v>
      </c>
      <c r="F511" s="54" t="n">
        <v>60</v>
      </c>
      <c r="G511" s="54" t="n">
        <v>1</v>
      </c>
      <c r="H511" s="55" t="n">
        <v>47</v>
      </c>
      <c r="I511" s="55" t="n">
        <v>45.96</v>
      </c>
      <c r="J511" s="55" t="n">
        <v>0</v>
      </c>
      <c r="K511" s="55" t="n">
        <v>0</v>
      </c>
      <c r="L511" s="55" t="n">
        <v>45.96</v>
      </c>
      <c r="M511" s="55" t="n">
        <v>-1.04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130353</t>
        </is>
      </c>
      <c r="B512" s="52" t="n">
        <v>46024</v>
      </c>
      <c r="C512" s="36" t="inlineStr">
        <is>
          <t>00054032756</t>
        </is>
      </c>
      <c r="D512" s="53" t="inlineStr">
        <is>
          <t>FLUTICASONE-SALMETEROL 250-50 MCG/ACT INH AEROSOL</t>
        </is>
      </c>
      <c r="E512" s="36" t="n">
        <v>60</v>
      </c>
      <c r="F512" s="54" t="n">
        <v>60</v>
      </c>
      <c r="G512" s="54" t="n">
        <v>1</v>
      </c>
      <c r="H512" s="55" t="n">
        <v>47</v>
      </c>
      <c r="I512" s="55" t="n">
        <v>45.97</v>
      </c>
      <c r="J512" s="55" t="n">
        <v>0</v>
      </c>
      <c r="K512" s="55" t="n">
        <v>0</v>
      </c>
      <c r="L512" s="55" t="n">
        <v>45.97</v>
      </c>
      <c r="M512" s="55" t="n">
        <v>-1.03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130004</t>
        </is>
      </c>
      <c r="B513" s="52" t="n">
        <v>45994</v>
      </c>
      <c r="C513" s="36" t="inlineStr">
        <is>
          <t>00054032756</t>
        </is>
      </c>
      <c r="D513" s="53" t="inlineStr">
        <is>
          <t>FLUTICASONE-SALMETEROL 250-50 MCG/ACT INH AEROSOL</t>
        </is>
      </c>
      <c r="E513" s="36" t="n">
        <v>60</v>
      </c>
      <c r="F513" s="54" t="n">
        <v>60</v>
      </c>
      <c r="G513" s="54" t="n">
        <v>1</v>
      </c>
      <c r="H513" s="55" t="n">
        <v>47</v>
      </c>
      <c r="I513" s="55" t="n">
        <v>45.96</v>
      </c>
      <c r="J513" s="55" t="n">
        <v>0</v>
      </c>
      <c r="K513" s="55" t="n">
        <v>0</v>
      </c>
      <c r="L513" s="55" t="n">
        <v>45.96</v>
      </c>
      <c r="M513" s="55" t="n">
        <v>-1.04</v>
      </c>
      <c r="N513" s="36" t="inlineStr">
        <is>
          <t>004336</t>
        </is>
      </c>
      <c r="O513" s="36" t="inlineStr">
        <is>
          <t>CAREMARK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133291</t>
        </is>
      </c>
      <c r="B514" s="52" t="n">
        <v>46021</v>
      </c>
      <c r="C514" s="36" t="inlineStr">
        <is>
          <t>00054032756</t>
        </is>
      </c>
      <c r="D514" s="53" t="inlineStr">
        <is>
          <t>FLUTICASONE-SALMETEROL 250-50 MCG/ACT INH AEROSOL</t>
        </is>
      </c>
      <c r="E514" s="36" t="n">
        <v>60</v>
      </c>
      <c r="F514" s="54" t="n">
        <v>60</v>
      </c>
      <c r="G514" s="54" t="n">
        <v>1</v>
      </c>
      <c r="H514" s="55" t="n">
        <v>47</v>
      </c>
      <c r="I514" s="55" t="n">
        <v>45.96</v>
      </c>
      <c r="J514" s="55" t="n">
        <v>0</v>
      </c>
      <c r="K514" s="55" t="n">
        <v>0</v>
      </c>
      <c r="L514" s="55" t="n">
        <v>45.96</v>
      </c>
      <c r="M514" s="55" t="n">
        <v>-1.04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MEDDADV</t>
        </is>
      </c>
      <c r="Q514" s="36" t="inlineStr">
        <is>
          <t>RX1110</t>
        </is>
      </c>
    </row>
    <row r="515">
      <c r="A515" s="36" t="inlineStr">
        <is>
          <t>123654</t>
        </is>
      </c>
      <c r="B515" s="52" t="n">
        <v>46006</v>
      </c>
      <c r="C515" s="36" t="inlineStr">
        <is>
          <t>00054032756</t>
        </is>
      </c>
      <c r="D515" s="53" t="inlineStr">
        <is>
          <t>FLUTICASONE-SALMETEROL 250-50 MCG/ACT INH AEROSOL</t>
        </is>
      </c>
      <c r="E515" s="36" t="n">
        <v>60</v>
      </c>
      <c r="F515" s="54" t="n">
        <v>180</v>
      </c>
      <c r="G515" s="54" t="n">
        <v>3</v>
      </c>
      <c r="H515" s="55" t="n">
        <v>141</v>
      </c>
      <c r="I515" s="55" t="n">
        <v>220.23</v>
      </c>
      <c r="J515" s="55" t="n">
        <v>0</v>
      </c>
      <c r="K515" s="55" t="n">
        <v>0</v>
      </c>
      <c r="L515" s="55" t="n">
        <v>220.23</v>
      </c>
      <c r="M515" s="55" t="n">
        <v>79.23</v>
      </c>
      <c r="N515" s="36" t="inlineStr">
        <is>
          <t>004336</t>
        </is>
      </c>
      <c r="O515" s="36" t="inlineStr">
        <is>
          <t>CAREMARK</t>
        </is>
      </c>
      <c r="P515" s="36" t="inlineStr">
        <is>
          <t>MEDDADV</t>
        </is>
      </c>
      <c r="Q515" s="36" t="inlineStr">
        <is>
          <t>RX8585</t>
        </is>
      </c>
    </row>
    <row r="516">
      <c r="A516" s="36" t="inlineStr">
        <is>
          <t>141025</t>
        </is>
      </c>
      <c r="B516" s="52" t="n">
        <v>46051</v>
      </c>
      <c r="C516" s="36" t="inlineStr">
        <is>
          <t>00054032756</t>
        </is>
      </c>
      <c r="D516" s="53" t="inlineStr">
        <is>
          <t>FLUTICASONE-SALMETEROL 250-50 MCG/ACT INH AEROSOL</t>
        </is>
      </c>
      <c r="E516" s="36" t="n">
        <v>60</v>
      </c>
      <c r="F516" s="54" t="n">
        <v>60</v>
      </c>
      <c r="G516" s="54" t="n">
        <v>1</v>
      </c>
      <c r="H516" s="55" t="n">
        <v>47</v>
      </c>
      <c r="I516" s="55" t="n">
        <v>44.37</v>
      </c>
      <c r="J516" s="55" t="n">
        <v>0</v>
      </c>
      <c r="K516" s="55" t="n">
        <v>1.6</v>
      </c>
      <c r="L516" s="55" t="n">
        <v>45.97</v>
      </c>
      <c r="M516" s="55" t="n">
        <v>-1.03</v>
      </c>
      <c r="N516" s="36" t="inlineStr">
        <is>
          <t>004336</t>
        </is>
      </c>
      <c r="O516" s="36" t="inlineStr">
        <is>
          <t>CAREMARK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133291</t>
        </is>
      </c>
      <c r="B517" s="52" t="n">
        <v>46051</v>
      </c>
      <c r="C517" s="36" t="inlineStr">
        <is>
          <t>00054032756</t>
        </is>
      </c>
      <c r="D517" s="53" t="inlineStr">
        <is>
          <t>FLUTICASONE-SALMETEROL 250-50 MCG/ACT INH AEROSOL</t>
        </is>
      </c>
      <c r="E517" s="36" t="n">
        <v>60</v>
      </c>
      <c r="F517" s="54" t="n">
        <v>60</v>
      </c>
      <c r="G517" s="54" t="n">
        <v>1</v>
      </c>
      <c r="H517" s="55" t="n">
        <v>47</v>
      </c>
      <c r="I517" s="55" t="n">
        <v>44.37</v>
      </c>
      <c r="J517" s="55" t="n">
        <v>0</v>
      </c>
      <c r="K517" s="55" t="n">
        <v>1.6</v>
      </c>
      <c r="L517" s="55" t="n">
        <v>45.97</v>
      </c>
      <c r="M517" s="55" t="n">
        <v>-1.03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137644</t>
        </is>
      </c>
      <c r="B518" s="52" t="n">
        <v>46027</v>
      </c>
      <c r="C518" s="36" t="inlineStr">
        <is>
          <t>00054032756</t>
        </is>
      </c>
      <c r="D518" s="53" t="inlineStr">
        <is>
          <t>FLUTICASONE-SALMETEROL 250-50 MCG/ACT INH AEROSOL</t>
        </is>
      </c>
      <c r="E518" s="36" t="n">
        <v>60</v>
      </c>
      <c r="F518" s="54" t="n">
        <v>180</v>
      </c>
      <c r="G518" s="54" t="n">
        <v>3</v>
      </c>
      <c r="H518" s="55" t="n">
        <v>141</v>
      </c>
      <c r="I518" s="55" t="n">
        <v>230.6</v>
      </c>
      <c r="J518" s="55" t="n">
        <v>0</v>
      </c>
      <c r="K518" s="55" t="n">
        <v>1.6</v>
      </c>
      <c r="L518" s="55" t="n">
        <v>232.2</v>
      </c>
      <c r="M518" s="55" t="n">
        <v>91.2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inlineStr">
        <is>
          <t>VNS01</t>
        </is>
      </c>
    </row>
    <row r="519">
      <c r="A519" s="36" t="inlineStr">
        <is>
          <t>127589</t>
        </is>
      </c>
      <c r="B519" s="52" t="n">
        <v>46002</v>
      </c>
      <c r="C519" s="36" t="inlineStr">
        <is>
          <t>00054032756</t>
        </is>
      </c>
      <c r="D519" s="53" t="inlineStr">
        <is>
          <t>FLUTICASONE-SALMETEROL 250-50 MCG/ACT INH AEROSOL</t>
        </is>
      </c>
      <c r="E519" s="36" t="n">
        <v>60</v>
      </c>
      <c r="F519" s="54" t="n">
        <v>60</v>
      </c>
      <c r="G519" s="54" t="n">
        <v>1</v>
      </c>
      <c r="H519" s="55" t="n">
        <v>47</v>
      </c>
      <c r="I519" s="55" t="n">
        <v>105.82</v>
      </c>
      <c r="J519" s="55" t="n">
        <v>0</v>
      </c>
      <c r="K519" s="55" t="n">
        <v>6</v>
      </c>
      <c r="L519" s="55" t="n">
        <v>111.82</v>
      </c>
      <c r="M519" s="55" t="n">
        <v>64.81999999999999</v>
      </c>
      <c r="N519" s="36" t="inlineStr">
        <is>
          <t>003858</t>
        </is>
      </c>
      <c r="O519" s="36" t="inlineStr">
        <is>
          <t>EXPRESS</t>
        </is>
      </c>
      <c r="P519" s="36" t="inlineStr">
        <is>
          <t>A4</t>
        </is>
      </c>
      <c r="Q519" s="36" t="inlineStr">
        <is>
          <t>2GKA</t>
        </is>
      </c>
    </row>
    <row r="520">
      <c r="A520" s="36" t="inlineStr">
        <is>
          <t>115621</t>
        </is>
      </c>
      <c r="B520" s="52" t="n">
        <v>45995</v>
      </c>
      <c r="C520" s="36" t="inlineStr">
        <is>
          <t>00054032756</t>
        </is>
      </c>
      <c r="D520" s="53" t="inlineStr">
        <is>
          <t>FLUTICASONE-SALMETEROL 250-50 MCG/ACT INH AEROSOL</t>
        </is>
      </c>
      <c r="E520" s="36" t="n">
        <v>60</v>
      </c>
      <c r="F520" s="54" t="n">
        <v>60</v>
      </c>
      <c r="G520" s="54" t="n">
        <v>1</v>
      </c>
      <c r="H520" s="55" t="n">
        <v>47</v>
      </c>
      <c r="I520" s="55" t="n">
        <v>45.96</v>
      </c>
      <c r="J520" s="55" t="n">
        <v>0</v>
      </c>
      <c r="K520" s="55" t="n">
        <v>0</v>
      </c>
      <c r="L520" s="55" t="n">
        <v>45.96</v>
      </c>
      <c r="M520" s="55" t="n">
        <v>-1.04</v>
      </c>
      <c r="N520" s="36" t="inlineStr">
        <is>
          <t>004336</t>
        </is>
      </c>
      <c r="O520" s="36" t="inlineStr">
        <is>
          <t>CAREMARK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139218</t>
        </is>
      </c>
      <c r="B521" s="52" t="n">
        <v>46037</v>
      </c>
      <c r="C521" s="36" t="inlineStr">
        <is>
          <t>00054032756</t>
        </is>
      </c>
      <c r="D521" s="53" t="inlineStr">
        <is>
          <t>FLUTICASONE-SALMETEROL 250-50 MCG/ACT INH AEROSOL</t>
        </is>
      </c>
      <c r="E521" s="36" t="n">
        <v>60</v>
      </c>
      <c r="F521" s="54" t="n">
        <v>180</v>
      </c>
      <c r="G521" s="54" t="n">
        <v>3</v>
      </c>
      <c r="H521" s="55" t="n">
        <v>141</v>
      </c>
      <c r="I521" s="55" t="n">
        <v>177.93</v>
      </c>
      <c r="J521" s="55" t="n">
        <v>0</v>
      </c>
      <c r="K521" s="55" t="n">
        <v>0</v>
      </c>
      <c r="L521" s="55" t="n">
        <v>177.93</v>
      </c>
      <c r="M521" s="55" t="n">
        <v>36.93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RXCVSD</t>
        </is>
      </c>
    </row>
    <row r="522">
      <c r="A522" s="36" t="inlineStr">
        <is>
          <t>133291</t>
        </is>
      </c>
      <c r="B522" s="52" t="n">
        <v>45993</v>
      </c>
      <c r="C522" s="36" t="inlineStr">
        <is>
          <t>00054032756</t>
        </is>
      </c>
      <c r="D522" s="53" t="inlineStr">
        <is>
          <t>FLUTICASONE-SALMETEROL 250-50 MCG/ACT INH AEROSOL</t>
        </is>
      </c>
      <c r="E522" s="36" t="n">
        <v>60</v>
      </c>
      <c r="F522" s="54" t="n">
        <v>60</v>
      </c>
      <c r="G522" s="54" t="n">
        <v>1</v>
      </c>
      <c r="H522" s="55" t="n">
        <v>47</v>
      </c>
      <c r="I522" s="55" t="n">
        <v>45.96</v>
      </c>
      <c r="J522" s="55" t="n">
        <v>0</v>
      </c>
      <c r="K522" s="55" t="n">
        <v>0</v>
      </c>
      <c r="L522" s="55" t="n">
        <v>45.96</v>
      </c>
      <c r="M522" s="55" t="n">
        <v>-1.04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139750</t>
        </is>
      </c>
      <c r="B523" s="52" t="n">
        <v>46042</v>
      </c>
      <c r="C523" s="36" t="inlineStr">
        <is>
          <t>00054032756</t>
        </is>
      </c>
      <c r="D523" s="53" t="inlineStr">
        <is>
          <t>FLUTICASONE-SALMETEROL 250-50 MCG/ACT INH AEROSOL</t>
        </is>
      </c>
      <c r="E523" s="36" t="n">
        <v>60</v>
      </c>
      <c r="F523" s="54" t="n">
        <v>60</v>
      </c>
      <c r="G523" s="54" t="n">
        <v>1</v>
      </c>
      <c r="H523" s="55" t="n">
        <v>47</v>
      </c>
      <c r="I523" s="55" t="n">
        <v>74.91</v>
      </c>
      <c r="J523" s="55" t="n">
        <v>0</v>
      </c>
      <c r="K523" s="55" t="n">
        <v>6</v>
      </c>
      <c r="L523" s="55" t="n">
        <v>80.91</v>
      </c>
      <c r="M523" s="55" t="n">
        <v>33.91</v>
      </c>
      <c r="N523" s="36" t="inlineStr">
        <is>
          <t>004336</t>
        </is>
      </c>
      <c r="O523" s="36" t="inlineStr">
        <is>
          <t>CAREMARK</t>
        </is>
      </c>
      <c r="P523" s="36" t="inlineStr">
        <is>
          <t>ADV</t>
        </is>
      </c>
      <c r="Q523" s="36" t="inlineStr">
        <is>
          <t>RX1103</t>
        </is>
      </c>
    </row>
    <row r="524">
      <c r="A524" s="36" t="inlineStr">
        <is>
          <t>142266</t>
        </is>
      </c>
      <c r="B524" s="52" t="n">
        <v>46060</v>
      </c>
      <c r="C524" s="36" t="inlineStr">
        <is>
          <t>00054032756</t>
        </is>
      </c>
      <c r="D524" s="53" t="inlineStr">
        <is>
          <t>FLUTICASONE-SALMETEROL 250-50 MCG/ACT INH AEROSOL</t>
        </is>
      </c>
      <c r="E524" s="36" t="n">
        <v>60</v>
      </c>
      <c r="F524" s="54" t="n">
        <v>60</v>
      </c>
      <c r="G524" s="54" t="n">
        <v>1</v>
      </c>
      <c r="H524" s="55" t="n">
        <v>69</v>
      </c>
      <c r="I524" s="55" t="n">
        <v>103.58</v>
      </c>
      <c r="J524" s="55" t="n">
        <v>0</v>
      </c>
      <c r="K524" s="55" t="n">
        <v>6</v>
      </c>
      <c r="L524" s="55" t="n">
        <v>109.58</v>
      </c>
      <c r="M524" s="55" t="n">
        <v>40.58</v>
      </c>
      <c r="N524" s="36" t="inlineStr">
        <is>
          <t>003858</t>
        </is>
      </c>
      <c r="O524" s="36" t="inlineStr">
        <is>
          <t>EXPRESS</t>
        </is>
      </c>
      <c r="P524" s="36" t="inlineStr">
        <is>
          <t>A4</t>
        </is>
      </c>
      <c r="Q524" s="36" t="inlineStr">
        <is>
          <t>2GKA</t>
        </is>
      </c>
    </row>
    <row r="525">
      <c r="A525" s="36" t="inlineStr">
        <is>
          <t>138065</t>
        </is>
      </c>
      <c r="B525" s="52" t="n">
        <v>46058</v>
      </c>
      <c r="C525" s="36" t="inlineStr">
        <is>
          <t>00054032756</t>
        </is>
      </c>
      <c r="D525" s="53" t="inlineStr">
        <is>
          <t>FLUTICASONE-SALMETEROL 250-50 MCG/ACT INH AEROSOL</t>
        </is>
      </c>
      <c r="E525" s="36" t="n">
        <v>60</v>
      </c>
      <c r="F525" s="54" t="n">
        <v>60</v>
      </c>
      <c r="G525" s="54" t="n">
        <v>1</v>
      </c>
      <c r="H525" s="55" t="n">
        <v>69</v>
      </c>
      <c r="I525" s="55" t="n">
        <v>45.97</v>
      </c>
      <c r="J525" s="55" t="n">
        <v>0</v>
      </c>
      <c r="K525" s="55" t="n">
        <v>0</v>
      </c>
      <c r="L525" s="55" t="n">
        <v>45.97</v>
      </c>
      <c r="M525" s="55" t="n">
        <v>-23.03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127589</t>
        </is>
      </c>
      <c r="B526" s="52" t="n">
        <v>46030</v>
      </c>
      <c r="C526" s="36" t="inlineStr">
        <is>
          <t>00054032756</t>
        </is>
      </c>
      <c r="D526" s="53" t="inlineStr">
        <is>
          <t>FLUTICASONE-SALMETEROL 250-50 MCG/ACT INH AEROSOL</t>
        </is>
      </c>
      <c r="E526" s="36" t="n">
        <v>60</v>
      </c>
      <c r="F526" s="54" t="n">
        <v>60</v>
      </c>
      <c r="G526" s="54" t="n">
        <v>1</v>
      </c>
      <c r="H526" s="55" t="n">
        <v>47</v>
      </c>
      <c r="I526" s="55" t="n">
        <v>103.58</v>
      </c>
      <c r="J526" s="55" t="n">
        <v>0</v>
      </c>
      <c r="K526" s="55" t="n">
        <v>6</v>
      </c>
      <c r="L526" s="55" t="n">
        <v>109.58</v>
      </c>
      <c r="M526" s="55" t="n">
        <v>62.58</v>
      </c>
      <c r="N526" s="36" t="inlineStr">
        <is>
          <t>003858</t>
        </is>
      </c>
      <c r="O526" s="36" t="inlineStr">
        <is>
          <t>EXPRESS</t>
        </is>
      </c>
      <c r="P526" s="36" t="inlineStr">
        <is>
          <t>A4</t>
        </is>
      </c>
      <c r="Q526" s="36" t="inlineStr">
        <is>
          <t>2GKA</t>
        </is>
      </c>
    </row>
    <row r="527">
      <c r="A527" s="36" t="inlineStr">
        <is>
          <t>130353</t>
        </is>
      </c>
      <c r="B527" s="52" t="n">
        <v>46055</v>
      </c>
      <c r="C527" s="36" t="inlineStr">
        <is>
          <t>00054032756</t>
        </is>
      </c>
      <c r="D527" s="53" t="inlineStr">
        <is>
          <t>FLUTICASONE-SALMETEROL 250-50 MCG/ACT INH AEROSOL</t>
        </is>
      </c>
      <c r="E527" s="36" t="n">
        <v>60</v>
      </c>
      <c r="F527" s="54" t="n">
        <v>60</v>
      </c>
      <c r="G527" s="54" t="n">
        <v>1</v>
      </c>
      <c r="H527" s="55" t="n">
        <v>69</v>
      </c>
      <c r="I527" s="55" t="n">
        <v>45.97</v>
      </c>
      <c r="J527" s="55" t="n">
        <v>0</v>
      </c>
      <c r="K527" s="55" t="n">
        <v>0</v>
      </c>
      <c r="L527" s="55" t="n">
        <v>45.97</v>
      </c>
      <c r="M527" s="55" t="n">
        <v>-23.03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130004</t>
        </is>
      </c>
      <c r="B528" s="52" t="n">
        <v>46022</v>
      </c>
      <c r="C528" s="36" t="inlineStr">
        <is>
          <t>00054032756</t>
        </is>
      </c>
      <c r="D528" s="53" t="inlineStr">
        <is>
          <t>FLUTICASONE-SALMETEROL 250-50 MCG/ACT INH AEROSOL</t>
        </is>
      </c>
      <c r="E528" s="36" t="n">
        <v>60</v>
      </c>
      <c r="F528" s="54" t="n">
        <v>60</v>
      </c>
      <c r="G528" s="54" t="n">
        <v>1</v>
      </c>
      <c r="H528" s="55" t="n">
        <v>47</v>
      </c>
      <c r="I528" s="55" t="n">
        <v>45.96</v>
      </c>
      <c r="J528" s="55" t="n">
        <v>0</v>
      </c>
      <c r="K528" s="55" t="n">
        <v>0</v>
      </c>
      <c r="L528" s="55" t="n">
        <v>45.96</v>
      </c>
      <c r="M528" s="55" t="n">
        <v>-1.04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138065</t>
        </is>
      </c>
      <c r="B529" s="52" t="n">
        <v>46030</v>
      </c>
      <c r="C529" s="36" t="inlineStr">
        <is>
          <t>00054032756</t>
        </is>
      </c>
      <c r="D529" s="53" t="inlineStr">
        <is>
          <t>FLUTICASONE-SALMETEROL 250-50 MCG/ACT INH AEROSOL</t>
        </is>
      </c>
      <c r="E529" s="36" t="n">
        <v>60</v>
      </c>
      <c r="F529" s="54" t="n">
        <v>60</v>
      </c>
      <c r="G529" s="54" t="n">
        <v>1</v>
      </c>
      <c r="H529" s="55" t="n">
        <v>47</v>
      </c>
      <c r="I529" s="55" t="n">
        <v>45.97</v>
      </c>
      <c r="J529" s="55" t="n">
        <v>0</v>
      </c>
      <c r="K529" s="55" t="n">
        <v>0</v>
      </c>
      <c r="L529" s="55" t="n">
        <v>45.97</v>
      </c>
      <c r="M529" s="55" t="n">
        <v>-1.03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MEDDADV</t>
        </is>
      </c>
      <c r="Q529" s="36" t="inlineStr">
        <is>
          <t>RX1110</t>
        </is>
      </c>
    </row>
    <row r="530">
      <c r="A530" s="36" t="inlineStr">
        <is>
          <t>134142</t>
        </is>
      </c>
      <c r="B530" s="52" t="n">
        <v>45999</v>
      </c>
      <c r="C530" s="36" t="inlineStr">
        <is>
          <t>99073070914</t>
        </is>
      </c>
      <c r="D530" s="53" t="inlineStr">
        <is>
          <t>FREESTYLE FREEDOM LITE  KIT KINRAY</t>
        </is>
      </c>
      <c r="E530" s="36" t="n">
        <v>1</v>
      </c>
      <c r="F530" s="54" t="n">
        <v>1</v>
      </c>
      <c r="G530" s="54" t="n">
        <v>1</v>
      </c>
      <c r="H530" s="55" t="n">
        <v>0</v>
      </c>
      <c r="I530" s="55" t="n">
        <v>13.81</v>
      </c>
      <c r="J530" s="55" t="n">
        <v>0</v>
      </c>
      <c r="K530" s="55" t="n">
        <v>0</v>
      </c>
      <c r="L530" s="55" t="n">
        <v>13.81</v>
      </c>
      <c r="M530" s="55" t="n">
        <v>0</v>
      </c>
      <c r="N530" s="36" t="inlineStr">
        <is>
          <t>003858</t>
        </is>
      </c>
      <c r="O530" s="36" t="inlineStr">
        <is>
          <t>EXPRESS</t>
        </is>
      </c>
      <c r="P530" s="36" t="inlineStr">
        <is>
          <t>A4</t>
        </is>
      </c>
      <c r="Q530" s="36" t="inlineStr">
        <is>
          <t>2GKA</t>
        </is>
      </c>
    </row>
    <row r="531">
      <c r="A531" s="36" t="inlineStr">
        <is>
          <t>137257</t>
        </is>
      </c>
      <c r="B531" s="52" t="n">
        <v>46024</v>
      </c>
      <c r="C531" s="36" t="inlineStr">
        <is>
          <t>57599084400</t>
        </is>
      </c>
      <c r="D531" s="53" t="inlineStr">
        <is>
          <t>FREESTYLE LIBRE 3 PLUS SENSOR</t>
        </is>
      </c>
      <c r="E531" s="36" t="n">
        <v>1</v>
      </c>
      <c r="F531" s="54" t="n">
        <v>2</v>
      </c>
      <c r="G531" s="54" t="n">
        <v>2</v>
      </c>
      <c r="H531" s="55" t="n">
        <v>0</v>
      </c>
      <c r="I531" s="55" t="n">
        <v>154.62</v>
      </c>
      <c r="J531" s="55" t="n">
        <v>0</v>
      </c>
      <c r="K531" s="55" t="n">
        <v>0</v>
      </c>
      <c r="L531" s="55" t="n">
        <v>154.62</v>
      </c>
      <c r="M531" s="55" t="n">
        <v>0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129160</t>
        </is>
      </c>
      <c r="B532" s="52" t="n">
        <v>46015</v>
      </c>
      <c r="C532" s="36" t="inlineStr">
        <is>
          <t>57599084400</t>
        </is>
      </c>
      <c r="D532" s="53" t="inlineStr">
        <is>
          <t>FREESTYLE LIBRE 3 PLUS SENSOR</t>
        </is>
      </c>
      <c r="E532" s="36" t="n">
        <v>1</v>
      </c>
      <c r="F532" s="54" t="n">
        <v>2</v>
      </c>
      <c r="G532" s="54" t="n">
        <v>2</v>
      </c>
      <c r="H532" s="55" t="n">
        <v>0</v>
      </c>
      <c r="I532" s="55" t="n">
        <v>154.62</v>
      </c>
      <c r="J532" s="55" t="n">
        <v>0</v>
      </c>
      <c r="K532" s="55" t="n">
        <v>0</v>
      </c>
      <c r="L532" s="55" t="n">
        <v>154.62</v>
      </c>
      <c r="M532" s="55" t="n">
        <v>0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137257</t>
        </is>
      </c>
      <c r="B533" s="52" t="n">
        <v>46049</v>
      </c>
      <c r="C533" s="36" t="inlineStr">
        <is>
          <t>57599084400</t>
        </is>
      </c>
      <c r="D533" s="53" t="inlineStr">
        <is>
          <t>FREESTYLE LIBRE 3 PLUS SENSOR</t>
        </is>
      </c>
      <c r="E533" s="36" t="n">
        <v>1</v>
      </c>
      <c r="F533" s="54" t="n">
        <v>2</v>
      </c>
      <c r="G533" s="54" t="n">
        <v>2</v>
      </c>
      <c r="H533" s="55" t="n">
        <v>0</v>
      </c>
      <c r="I533" s="55" t="n">
        <v>154.62</v>
      </c>
      <c r="J533" s="55" t="n">
        <v>0</v>
      </c>
      <c r="K533" s="55" t="n">
        <v>0</v>
      </c>
      <c r="L533" s="55" t="n">
        <v>154.62</v>
      </c>
      <c r="M533" s="55" t="n">
        <v>0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137257</t>
        </is>
      </c>
      <c r="B534" s="52" t="n">
        <v>46077</v>
      </c>
      <c r="C534" s="36" t="inlineStr">
        <is>
          <t>57599084400</t>
        </is>
      </c>
      <c r="D534" s="53" t="inlineStr">
        <is>
          <t>FREESTYLE LIBRE 3 PLUS SENSOR</t>
        </is>
      </c>
      <c r="E534" s="36" t="n">
        <v>1</v>
      </c>
      <c r="F534" s="54" t="n">
        <v>2</v>
      </c>
      <c r="G534" s="54" t="n">
        <v>2</v>
      </c>
      <c r="H534" s="55" t="n">
        <v>0</v>
      </c>
      <c r="I534" s="55" t="n">
        <v>163.88</v>
      </c>
      <c r="J534" s="55" t="n">
        <v>0</v>
      </c>
      <c r="K534" s="55" t="n">
        <v>0</v>
      </c>
      <c r="L534" s="55" t="n">
        <v>163.88</v>
      </c>
      <c r="M534" s="55" t="n">
        <v>0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139506</t>
        </is>
      </c>
      <c r="B535" s="52" t="n">
        <v>46038</v>
      </c>
      <c r="C535" s="36" t="inlineStr">
        <is>
          <t>57599082000</t>
        </is>
      </c>
      <c r="D535" s="53" t="inlineStr">
        <is>
          <t>FREESTYLE LIBRE 3 READER DEVICE</t>
        </is>
      </c>
      <c r="E535" s="36" t="n">
        <v>1</v>
      </c>
      <c r="F535" s="54" t="n">
        <v>1</v>
      </c>
      <c r="G535" s="54" t="n">
        <v>1</v>
      </c>
      <c r="H535" s="55" t="n">
        <v>71</v>
      </c>
      <c r="I535" s="55" t="n">
        <v>70</v>
      </c>
      <c r="J535" s="55" t="n">
        <v>0</v>
      </c>
      <c r="K535" s="55" t="n">
        <v>0</v>
      </c>
      <c r="L535" s="55" t="n">
        <v>70</v>
      </c>
      <c r="M535" s="55" t="n">
        <v>-1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133447</t>
        </is>
      </c>
      <c r="B536" s="52" t="n">
        <v>45994</v>
      </c>
      <c r="C536" s="36" t="inlineStr">
        <is>
          <t>57599081800</t>
        </is>
      </c>
      <c r="D536" s="53" t="inlineStr">
        <is>
          <t>FREESTYLE LIBRE 3 SENSOR</t>
        </is>
      </c>
      <c r="E536" s="36" t="n">
        <v>1</v>
      </c>
      <c r="F536" s="54" t="n">
        <v>2</v>
      </c>
      <c r="G536" s="54" t="n">
        <v>2</v>
      </c>
      <c r="H536" s="55" t="n">
        <v>144</v>
      </c>
      <c r="I536" s="55" t="n">
        <v>144.3</v>
      </c>
      <c r="J536" s="55" t="n">
        <v>0</v>
      </c>
      <c r="K536" s="55" t="n">
        <v>0</v>
      </c>
      <c r="L536" s="55" t="n">
        <v>144.3</v>
      </c>
      <c r="M536" s="55" t="n">
        <v>0.3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133447</t>
        </is>
      </c>
      <c r="B537" s="52" t="n">
        <v>46022</v>
      </c>
      <c r="C537" s="36" t="inlineStr">
        <is>
          <t>57599081800</t>
        </is>
      </c>
      <c r="D537" s="53" t="inlineStr">
        <is>
          <t>FREESTYLE LIBRE 3 SENSOR</t>
        </is>
      </c>
      <c r="E537" s="36" t="n">
        <v>1</v>
      </c>
      <c r="F537" s="54" t="n">
        <v>2</v>
      </c>
      <c r="G537" s="54" t="n">
        <v>2</v>
      </c>
      <c r="H537" s="55" t="n">
        <v>144</v>
      </c>
      <c r="I537" s="55" t="n">
        <v>144.3</v>
      </c>
      <c r="J537" s="55" t="n">
        <v>0</v>
      </c>
      <c r="K537" s="55" t="n">
        <v>0</v>
      </c>
      <c r="L537" s="55" t="n">
        <v>144.3</v>
      </c>
      <c r="M537" s="55" t="n">
        <v>0.3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121328</t>
        </is>
      </c>
      <c r="B538" s="52" t="n">
        <v>46077</v>
      </c>
      <c r="C538" s="36" t="inlineStr">
        <is>
          <t>57599081800</t>
        </is>
      </c>
      <c r="D538" s="53" t="inlineStr">
        <is>
          <t>FREESTYLE LIBRE 3 SENSOR</t>
        </is>
      </c>
      <c r="E538" s="36" t="n">
        <v>1</v>
      </c>
      <c r="F538" s="54" t="n">
        <v>2</v>
      </c>
      <c r="G538" s="54" t="n">
        <v>2</v>
      </c>
      <c r="H538" s="55" t="n">
        <v>144</v>
      </c>
      <c r="I538" s="55" t="n">
        <v>89.44</v>
      </c>
      <c r="J538" s="55" t="n">
        <v>0</v>
      </c>
      <c r="K538" s="55" t="n">
        <v>39.99</v>
      </c>
      <c r="L538" s="55" t="n">
        <v>129.43</v>
      </c>
      <c r="M538" s="55" t="n">
        <v>-14.57</v>
      </c>
      <c r="N538" s="36" t="inlineStr">
        <is>
          <t>000000</t>
        </is>
      </c>
      <c r="O538" s="36" t="n">
        <v/>
      </c>
      <c r="P538" s="36" t="n">
        <v/>
      </c>
      <c r="Q538" s="36" t="n">
        <v/>
      </c>
    </row>
    <row r="539">
      <c r="A539" s="36" t="inlineStr">
        <is>
          <t>121328</t>
        </is>
      </c>
      <c r="B539" s="52" t="n">
        <v>46027</v>
      </c>
      <c r="C539" s="36" t="inlineStr">
        <is>
          <t>57599081800</t>
        </is>
      </c>
      <c r="D539" s="53" t="inlineStr">
        <is>
          <t>FREESTYLE LIBRE 3 SENSOR</t>
        </is>
      </c>
      <c r="E539" s="36" t="n">
        <v>1</v>
      </c>
      <c r="F539" s="54" t="n">
        <v>2</v>
      </c>
      <c r="G539" s="54" t="n">
        <v>2</v>
      </c>
      <c r="H539" s="55" t="n">
        <v>144</v>
      </c>
      <c r="I539" s="55" t="n">
        <v>80.13</v>
      </c>
      <c r="J539" s="55" t="n">
        <v>0</v>
      </c>
      <c r="K539" s="55" t="n">
        <v>39.99</v>
      </c>
      <c r="L539" s="55" t="n">
        <v>120.12</v>
      </c>
      <c r="M539" s="55" t="n">
        <v>-23.88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133447</t>
        </is>
      </c>
      <c r="B540" s="52" t="n">
        <v>46069</v>
      </c>
      <c r="C540" s="36" t="inlineStr">
        <is>
          <t>57599081800</t>
        </is>
      </c>
      <c r="D540" s="53" t="inlineStr">
        <is>
          <t>FREESTYLE LIBRE 3 SENSOR</t>
        </is>
      </c>
      <c r="E540" s="36" t="n">
        <v>1</v>
      </c>
      <c r="F540" s="54" t="n">
        <v>2</v>
      </c>
      <c r="G540" s="54" t="n">
        <v>2</v>
      </c>
      <c r="H540" s="55" t="n">
        <v>144</v>
      </c>
      <c r="I540" s="55" t="n">
        <v>152.96</v>
      </c>
      <c r="J540" s="55" t="n">
        <v>0</v>
      </c>
      <c r="K540" s="55" t="n">
        <v>0</v>
      </c>
      <c r="L540" s="55" t="n">
        <v>152.96</v>
      </c>
      <c r="M540" s="55" t="n">
        <v>8.960000000000001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137318</t>
        </is>
      </c>
      <c r="B541" s="52" t="n">
        <v>46051</v>
      </c>
      <c r="C541" s="36" t="inlineStr">
        <is>
          <t>57599081800</t>
        </is>
      </c>
      <c r="D541" s="53" t="inlineStr">
        <is>
          <t>FREESTYLE LIBRE 3 SENSOR</t>
        </is>
      </c>
      <c r="E541" s="36" t="n">
        <v>1</v>
      </c>
      <c r="F541" s="54" t="n">
        <v>2</v>
      </c>
      <c r="G541" s="54" t="n">
        <v>2</v>
      </c>
      <c r="H541" s="55" t="n">
        <v>144</v>
      </c>
      <c r="I541" s="55" t="n">
        <v>144.3</v>
      </c>
      <c r="J541" s="55" t="n">
        <v>0</v>
      </c>
      <c r="K541" s="55" t="n">
        <v>0</v>
      </c>
      <c r="L541" s="55" t="n">
        <v>144.3</v>
      </c>
      <c r="M541" s="55" t="n">
        <v>0.3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137318</t>
        </is>
      </c>
      <c r="B542" s="52" t="n">
        <v>46024</v>
      </c>
      <c r="C542" s="36" t="inlineStr">
        <is>
          <t>57599081800</t>
        </is>
      </c>
      <c r="D542" s="53" t="inlineStr">
        <is>
          <t>FREESTYLE LIBRE 3 SENSOR</t>
        </is>
      </c>
      <c r="E542" s="36" t="n">
        <v>1</v>
      </c>
      <c r="F542" s="54" t="n">
        <v>2</v>
      </c>
      <c r="G542" s="54" t="n">
        <v>2</v>
      </c>
      <c r="H542" s="55" t="n">
        <v>144</v>
      </c>
      <c r="I542" s="55" t="n">
        <v>144.3</v>
      </c>
      <c r="J542" s="55" t="n">
        <v>0</v>
      </c>
      <c r="K542" s="55" t="n">
        <v>0</v>
      </c>
      <c r="L542" s="55" t="n">
        <v>144.3</v>
      </c>
      <c r="M542" s="55" t="n">
        <v>0.3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114134</t>
        </is>
      </c>
      <c r="B543" s="52" t="n">
        <v>46024</v>
      </c>
      <c r="C543" s="36" t="inlineStr">
        <is>
          <t>57599081800</t>
        </is>
      </c>
      <c r="D543" s="53" t="inlineStr">
        <is>
          <t>FREESTYLE LIBRE 3 SENSOR</t>
        </is>
      </c>
      <c r="E543" s="36" t="n">
        <v>1</v>
      </c>
      <c r="F543" s="54" t="n">
        <v>2</v>
      </c>
      <c r="G543" s="54" t="n">
        <v>2</v>
      </c>
      <c r="H543" s="55" t="n">
        <v>144</v>
      </c>
      <c r="I543" s="55" t="n">
        <v>138.63</v>
      </c>
      <c r="J543" s="55" t="n">
        <v>0</v>
      </c>
      <c r="K543" s="55" t="n">
        <v>0</v>
      </c>
      <c r="L543" s="55" t="n">
        <v>138.63</v>
      </c>
      <c r="M543" s="55" t="n">
        <v>-5.37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RXCVSD</t>
        </is>
      </c>
    </row>
    <row r="544">
      <c r="A544" s="36" t="inlineStr">
        <is>
          <t>137318</t>
        </is>
      </c>
      <c r="B544" s="52" t="n">
        <v>46077</v>
      </c>
      <c r="C544" s="36" t="inlineStr">
        <is>
          <t>57599081800</t>
        </is>
      </c>
      <c r="D544" s="53" t="inlineStr">
        <is>
          <t>FREESTYLE LIBRE 3 SENSOR</t>
        </is>
      </c>
      <c r="E544" s="36" t="n">
        <v>1</v>
      </c>
      <c r="F544" s="54" t="n">
        <v>2</v>
      </c>
      <c r="G544" s="54" t="n">
        <v>2</v>
      </c>
      <c r="H544" s="55" t="n">
        <v>144</v>
      </c>
      <c r="I544" s="55" t="n">
        <v>152.96</v>
      </c>
      <c r="J544" s="55" t="n">
        <v>0</v>
      </c>
      <c r="K544" s="55" t="n">
        <v>0</v>
      </c>
      <c r="L544" s="55" t="n">
        <v>152.96</v>
      </c>
      <c r="M544" s="55" t="n">
        <v>8.960000000000001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115413</t>
        </is>
      </c>
      <c r="B545" s="52" t="n">
        <v>45995</v>
      </c>
      <c r="C545" s="36" t="inlineStr">
        <is>
          <t>57599081800</t>
        </is>
      </c>
      <c r="D545" s="53" t="inlineStr">
        <is>
          <t>FREESTYLE LIBRE 3 SENSOR</t>
        </is>
      </c>
      <c r="E545" s="36" t="n">
        <v>1</v>
      </c>
      <c r="F545" s="54" t="n">
        <v>2</v>
      </c>
      <c r="G545" s="54" t="n">
        <v>2</v>
      </c>
      <c r="H545" s="55" t="n">
        <v>144</v>
      </c>
      <c r="I545" s="55" t="n">
        <v>144.3</v>
      </c>
      <c r="J545" s="55" t="n">
        <v>0</v>
      </c>
      <c r="K545" s="55" t="n">
        <v>0</v>
      </c>
      <c r="L545" s="55" t="n">
        <v>144.3</v>
      </c>
      <c r="M545" s="55" t="n">
        <v>0.3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115458</t>
        </is>
      </c>
      <c r="B546" s="52" t="n">
        <v>46043</v>
      </c>
      <c r="C546" s="36" t="inlineStr">
        <is>
          <t>57599081800</t>
        </is>
      </c>
      <c r="D546" s="53" t="inlineStr">
        <is>
          <t>FREESTYLE LIBRE 3 SENSOR</t>
        </is>
      </c>
      <c r="E546" s="36" t="n">
        <v>1</v>
      </c>
      <c r="F546" s="54" t="n">
        <v>2</v>
      </c>
      <c r="G546" s="54" t="n">
        <v>2</v>
      </c>
      <c r="H546" s="55" t="n">
        <v>144</v>
      </c>
      <c r="I546" s="55" t="n">
        <v>89.44</v>
      </c>
      <c r="J546" s="55" t="n">
        <v>0</v>
      </c>
      <c r="K546" s="55" t="n">
        <v>39.99</v>
      </c>
      <c r="L546" s="55" t="n">
        <v>129.43</v>
      </c>
      <c r="M546" s="55" t="n">
        <v>-14.57</v>
      </c>
      <c r="N546" s="36" t="inlineStr">
        <is>
          <t>000000</t>
        </is>
      </c>
      <c r="O546" s="36" t="n">
        <v/>
      </c>
      <c r="P546" s="36" t="n">
        <v/>
      </c>
      <c r="Q546" s="36" t="n">
        <v/>
      </c>
    </row>
    <row r="547">
      <c r="A547" s="36" t="inlineStr">
        <is>
          <t>121328</t>
        </is>
      </c>
      <c r="B547" s="52" t="n">
        <v>45995</v>
      </c>
      <c r="C547" s="36" t="inlineStr">
        <is>
          <t>57599081800</t>
        </is>
      </c>
      <c r="D547" s="53" t="inlineStr">
        <is>
          <t>FREESTYLE LIBRE 3 SENSOR</t>
        </is>
      </c>
      <c r="E547" s="36" t="n">
        <v>1</v>
      </c>
      <c r="F547" s="54" t="n">
        <v>2</v>
      </c>
      <c r="G547" s="54" t="n">
        <v>2</v>
      </c>
      <c r="H547" s="55" t="n">
        <v>144</v>
      </c>
      <c r="I547" s="55" t="n">
        <v>82.63</v>
      </c>
      <c r="J547" s="55" t="n">
        <v>0</v>
      </c>
      <c r="K547" s="55" t="n">
        <v>74.98999999999999</v>
      </c>
      <c r="L547" s="55" t="n">
        <v>157.62</v>
      </c>
      <c r="M547" s="55" t="n">
        <v>13.62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ADV</t>
        </is>
      </c>
      <c r="Q547" s="36" t="inlineStr">
        <is>
          <t>RX3175</t>
        </is>
      </c>
    </row>
    <row r="548">
      <c r="A548" s="36" t="inlineStr">
        <is>
          <t>133447</t>
        </is>
      </c>
      <c r="B548" s="52" t="n">
        <v>46043</v>
      </c>
      <c r="C548" s="36" t="inlineStr">
        <is>
          <t>57599081800</t>
        </is>
      </c>
      <c r="D548" s="53" t="inlineStr">
        <is>
          <t>FREESTYLE LIBRE 3 SENSOR</t>
        </is>
      </c>
      <c r="E548" s="36" t="n">
        <v>1</v>
      </c>
      <c r="F548" s="54" t="n">
        <v>2</v>
      </c>
      <c r="G548" s="54" t="n">
        <v>2</v>
      </c>
      <c r="H548" s="55" t="n">
        <v>144</v>
      </c>
      <c r="I548" s="55" t="n">
        <v>144.3</v>
      </c>
      <c r="J548" s="55" t="n">
        <v>0</v>
      </c>
      <c r="K548" s="55" t="n">
        <v>0</v>
      </c>
      <c r="L548" s="55" t="n">
        <v>144.3</v>
      </c>
      <c r="M548" s="55" t="n">
        <v>0.3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121328</t>
        </is>
      </c>
      <c r="B549" s="52" t="n">
        <v>46052</v>
      </c>
      <c r="C549" s="36" t="inlineStr">
        <is>
          <t>57599081800</t>
        </is>
      </c>
      <c r="D549" s="53" t="inlineStr">
        <is>
          <t>FREESTYLE LIBRE 3 SENSOR</t>
        </is>
      </c>
      <c r="E549" s="36" t="n">
        <v>1</v>
      </c>
      <c r="F549" s="54" t="n">
        <v>2</v>
      </c>
      <c r="G549" s="54" t="n">
        <v>2</v>
      </c>
      <c r="H549" s="55" t="n">
        <v>144</v>
      </c>
      <c r="I549" s="55" t="n">
        <v>89.44</v>
      </c>
      <c r="J549" s="55" t="n">
        <v>0</v>
      </c>
      <c r="K549" s="55" t="n">
        <v>39.99</v>
      </c>
      <c r="L549" s="55" t="n">
        <v>129.43</v>
      </c>
      <c r="M549" s="55" t="n">
        <v>-14.57</v>
      </c>
      <c r="N549" s="36" t="inlineStr">
        <is>
          <t>000000</t>
        </is>
      </c>
      <c r="O549" s="36" t="n">
        <v/>
      </c>
      <c r="P549" s="36" t="n">
        <v/>
      </c>
      <c r="Q549" s="36" t="n">
        <v/>
      </c>
    </row>
    <row r="550">
      <c r="A550" s="36" t="inlineStr">
        <is>
          <t>115458</t>
        </is>
      </c>
      <c r="B550" s="52" t="n">
        <v>46007</v>
      </c>
      <c r="C550" s="36" t="inlineStr">
        <is>
          <t>57599081800</t>
        </is>
      </c>
      <c r="D550" s="53" t="inlineStr">
        <is>
          <t>FREESTYLE LIBRE 3 SENSOR</t>
        </is>
      </c>
      <c r="E550" s="36" t="n">
        <v>1</v>
      </c>
      <c r="F550" s="54" t="n">
        <v>2</v>
      </c>
      <c r="G550" s="54" t="n">
        <v>2</v>
      </c>
      <c r="H550" s="55" t="n">
        <v>144</v>
      </c>
      <c r="I550" s="55" t="n">
        <v>82.63</v>
      </c>
      <c r="J550" s="55" t="n">
        <v>0</v>
      </c>
      <c r="K550" s="55" t="n">
        <v>74.98999999999999</v>
      </c>
      <c r="L550" s="55" t="n">
        <v>157.62</v>
      </c>
      <c r="M550" s="55" t="n">
        <v>13.62</v>
      </c>
      <c r="N550" s="36" t="inlineStr">
        <is>
          <t>017010</t>
        </is>
      </c>
      <c r="O550" s="36" t="inlineStr">
        <is>
          <t>EXPRESS</t>
        </is>
      </c>
      <c r="P550" s="36" t="inlineStr">
        <is>
          <t>0215COMM</t>
        </is>
      </c>
      <c r="Q550" s="36" t="inlineStr">
        <is>
          <t>CIGUG0000637726</t>
        </is>
      </c>
    </row>
    <row r="551">
      <c r="A551" s="36" t="inlineStr">
        <is>
          <t>139507</t>
        </is>
      </c>
      <c r="B551" s="52" t="n">
        <v>46038</v>
      </c>
      <c r="C551" s="36" t="inlineStr">
        <is>
          <t>57599081800</t>
        </is>
      </c>
      <c r="D551" s="53" t="inlineStr">
        <is>
          <t>FREESTYLE LIBRE 3 SENSOR</t>
        </is>
      </c>
      <c r="E551" s="36" t="n">
        <v>1</v>
      </c>
      <c r="F551" s="54" t="n">
        <v>2</v>
      </c>
      <c r="G551" s="54" t="n">
        <v>2</v>
      </c>
      <c r="H551" s="55" t="n">
        <v>144</v>
      </c>
      <c r="I551" s="55" t="n">
        <v>144.3</v>
      </c>
      <c r="J551" s="55" t="n">
        <v>0</v>
      </c>
      <c r="K551" s="55" t="n">
        <v>0</v>
      </c>
      <c r="L551" s="55" t="n">
        <v>144.3</v>
      </c>
      <c r="M551" s="55" t="n">
        <v>0.3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113547</t>
        </is>
      </c>
      <c r="B552" s="52" t="n">
        <v>46013</v>
      </c>
      <c r="C552" s="36" t="inlineStr">
        <is>
          <t>99073070822</t>
        </is>
      </c>
      <c r="D552" s="53" t="inlineStr">
        <is>
          <t>FREESTYLE LITE TEST  STRIP</t>
        </is>
      </c>
      <c r="E552" s="36" t="n">
        <v>50</v>
      </c>
      <c r="F552" s="54" t="n">
        <v>200</v>
      </c>
      <c r="G552" s="54" t="n">
        <v>4</v>
      </c>
      <c r="H552" s="55" t="n">
        <v>292</v>
      </c>
      <c r="I552" s="55" t="n">
        <v>252.42</v>
      </c>
      <c r="J552" s="55" t="n">
        <v>0</v>
      </c>
      <c r="K552" s="55" t="n">
        <v>0</v>
      </c>
      <c r="L552" s="55" t="n">
        <v>252.42</v>
      </c>
      <c r="M552" s="55" t="n">
        <v>-39.58</v>
      </c>
      <c r="N552" s="36" t="inlineStr">
        <is>
          <t>003858</t>
        </is>
      </c>
      <c r="O552" s="36" t="inlineStr">
        <is>
          <t>EXPRESS</t>
        </is>
      </c>
      <c r="P552" s="36" t="inlineStr">
        <is>
          <t>A4</t>
        </is>
      </c>
      <c r="Q552" s="36" t="inlineStr">
        <is>
          <t>2GKA</t>
        </is>
      </c>
    </row>
    <row r="553">
      <c r="A553" s="36" t="inlineStr">
        <is>
          <t>135242</t>
        </is>
      </c>
      <c r="B553" s="52" t="n">
        <v>46036</v>
      </c>
      <c r="C553" s="36" t="inlineStr">
        <is>
          <t>99073070822</t>
        </is>
      </c>
      <c r="D553" s="53" t="inlineStr">
        <is>
          <t>FREESTYLE LITE TEST  STRIP</t>
        </is>
      </c>
      <c r="E553" s="36" t="n">
        <v>50</v>
      </c>
      <c r="F553" s="54" t="n">
        <v>100</v>
      </c>
      <c r="G553" s="54" t="n">
        <v>2</v>
      </c>
      <c r="H553" s="55" t="n">
        <v>146</v>
      </c>
      <c r="I553" s="55" t="n">
        <v>133.7</v>
      </c>
      <c r="J553" s="55" t="n">
        <v>0</v>
      </c>
      <c r="K553" s="55" t="n">
        <v>0</v>
      </c>
      <c r="L553" s="55" t="n">
        <v>133.7</v>
      </c>
      <c r="M553" s="55" t="n">
        <v>-12.3</v>
      </c>
      <c r="N553" s="36" t="inlineStr">
        <is>
          <t>610455</t>
        </is>
      </c>
      <c r="O553" s="36" t="inlineStr">
        <is>
          <t>PRIMECAPRX</t>
        </is>
      </c>
      <c r="P553" s="36" t="inlineStr">
        <is>
          <t>NY1000</t>
        </is>
      </c>
      <c r="Q553" s="36" t="inlineStr">
        <is>
          <t>NY2000</t>
        </is>
      </c>
    </row>
    <row r="554">
      <c r="A554" s="36" t="inlineStr">
        <is>
          <t>125697</t>
        </is>
      </c>
      <c r="B554" s="52" t="n">
        <v>46013</v>
      </c>
      <c r="C554" s="36" t="inlineStr">
        <is>
          <t>99073070822</t>
        </is>
      </c>
      <c r="D554" s="53" t="inlineStr">
        <is>
          <t>FREESTYLE LITE TEST  STRIP</t>
        </is>
      </c>
      <c r="E554" s="36" t="n">
        <v>50</v>
      </c>
      <c r="F554" s="54" t="n">
        <v>100</v>
      </c>
      <c r="G554" s="54" t="n">
        <v>2</v>
      </c>
      <c r="H554" s="55" t="n">
        <v>146</v>
      </c>
      <c r="I554" s="55" t="n">
        <v>138.15</v>
      </c>
      <c r="J554" s="55" t="n">
        <v>0</v>
      </c>
      <c r="K554" s="55" t="n">
        <v>0</v>
      </c>
      <c r="L554" s="55" t="n">
        <v>138.15</v>
      </c>
      <c r="M554" s="55" t="n">
        <v>-7.85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RX8541</t>
        </is>
      </c>
    </row>
    <row r="555">
      <c r="A555" s="36" t="inlineStr">
        <is>
          <t>143915</t>
        </is>
      </c>
      <c r="B555" s="52" t="n">
        <v>46071</v>
      </c>
      <c r="C555" s="36" t="inlineStr">
        <is>
          <t>99073070822</t>
        </is>
      </c>
      <c r="D555" s="53" t="inlineStr">
        <is>
          <t>FREESTYLE LITE TEST  STRIP</t>
        </is>
      </c>
      <c r="E555" s="36" t="n">
        <v>50</v>
      </c>
      <c r="F555" s="54" t="n">
        <v>200</v>
      </c>
      <c r="G555" s="54" t="n">
        <v>4</v>
      </c>
      <c r="H555" s="55" t="n">
        <v>292</v>
      </c>
      <c r="I555" s="55" t="n">
        <v>263.56</v>
      </c>
      <c r="J555" s="55" t="n">
        <v>0</v>
      </c>
      <c r="K555" s="55" t="n">
        <v>0</v>
      </c>
      <c r="L555" s="55" t="n">
        <v>263.56</v>
      </c>
      <c r="M555" s="55" t="n">
        <v>-28.44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ADV</t>
        </is>
      </c>
      <c r="Q555" s="36" t="inlineStr">
        <is>
          <t>RX7682</t>
        </is>
      </c>
    </row>
    <row r="556">
      <c r="A556" s="36" t="inlineStr">
        <is>
          <t>135100</t>
        </is>
      </c>
      <c r="B556" s="52" t="n">
        <v>46006</v>
      </c>
      <c r="C556" s="36" t="inlineStr">
        <is>
          <t>99073070822</t>
        </is>
      </c>
      <c r="D556" s="53" t="inlineStr">
        <is>
          <t>FREESTYLE LITE TEST  STRIP</t>
        </is>
      </c>
      <c r="E556" s="36" t="n">
        <v>50</v>
      </c>
      <c r="F556" s="54" t="n">
        <v>100</v>
      </c>
      <c r="G556" s="54" t="n">
        <v>2</v>
      </c>
      <c r="H556" s="55" t="n">
        <v>146</v>
      </c>
      <c r="I556" s="55" t="n">
        <v>134.4</v>
      </c>
      <c r="J556" s="55" t="n">
        <v>0</v>
      </c>
      <c r="K556" s="55" t="n">
        <v>0</v>
      </c>
      <c r="L556" s="55" t="n">
        <v>134.4</v>
      </c>
      <c r="M556" s="55" t="n">
        <v>-11.6</v>
      </c>
      <c r="N556" s="36" t="inlineStr">
        <is>
          <t>610014</t>
        </is>
      </c>
      <c r="O556" s="36" t="inlineStr">
        <is>
          <t>EXPRESS</t>
        </is>
      </c>
      <c r="P556" s="36" t="inlineStr">
        <is>
          <t>PEU</t>
        </is>
      </c>
      <c r="Q556" s="36" t="inlineStr">
        <is>
          <t>APNA</t>
        </is>
      </c>
    </row>
    <row r="557">
      <c r="A557" s="36" t="inlineStr">
        <is>
          <t>135242</t>
        </is>
      </c>
      <c r="B557" s="52" t="n">
        <v>46007</v>
      </c>
      <c r="C557" s="36" t="inlineStr">
        <is>
          <t>99073070822</t>
        </is>
      </c>
      <c r="D557" s="53" t="inlineStr">
        <is>
          <t>FREESTYLE LITE TEST  STRIP</t>
        </is>
      </c>
      <c r="E557" s="36" t="n">
        <v>50</v>
      </c>
      <c r="F557" s="54" t="n">
        <v>100</v>
      </c>
      <c r="G557" s="54" t="n">
        <v>2</v>
      </c>
      <c r="H557" s="55" t="n">
        <v>146</v>
      </c>
      <c r="I557" s="55" t="n">
        <v>133.7</v>
      </c>
      <c r="J557" s="55" t="n">
        <v>0</v>
      </c>
      <c r="K557" s="55" t="n">
        <v>0</v>
      </c>
      <c r="L557" s="55" t="n">
        <v>133.7</v>
      </c>
      <c r="M557" s="55" t="n">
        <v>-12.3</v>
      </c>
      <c r="N557" s="36" t="inlineStr">
        <is>
          <t>003858</t>
        </is>
      </c>
      <c r="O557" s="36" t="inlineStr">
        <is>
          <t>EXPRESS</t>
        </is>
      </c>
      <c r="P557" s="36" t="inlineStr">
        <is>
          <t>A4</t>
        </is>
      </c>
      <c r="Q557" s="36" t="inlineStr">
        <is>
          <t>2GKA</t>
        </is>
      </c>
    </row>
    <row r="558">
      <c r="A558" s="36" t="inlineStr">
        <is>
          <t>129523</t>
        </is>
      </c>
      <c r="B558" s="52" t="n">
        <v>46044</v>
      </c>
      <c r="C558" s="36" t="inlineStr">
        <is>
          <t>99073070822</t>
        </is>
      </c>
      <c r="D558" s="53" t="inlineStr">
        <is>
          <t>FREESTYLE LITE TEST  STRIP</t>
        </is>
      </c>
      <c r="E558" s="36" t="n">
        <v>50</v>
      </c>
      <c r="F558" s="54" t="n">
        <v>100</v>
      </c>
      <c r="G558" s="54" t="n">
        <v>2</v>
      </c>
      <c r="H558" s="55" t="n">
        <v>146</v>
      </c>
      <c r="I558" s="55" t="n">
        <v>129.4</v>
      </c>
      <c r="J558" s="55" t="n">
        <v>0</v>
      </c>
      <c r="K558" s="55" t="n">
        <v>5</v>
      </c>
      <c r="L558" s="55" t="n">
        <v>134.4</v>
      </c>
      <c r="M558" s="55" t="n">
        <v>-11.6</v>
      </c>
      <c r="N558" s="36" t="inlineStr">
        <is>
          <t>003858</t>
        </is>
      </c>
      <c r="O558" s="36" t="inlineStr">
        <is>
          <t>EXPRESS</t>
        </is>
      </c>
      <c r="P558" s="36" t="inlineStr">
        <is>
          <t>A4</t>
        </is>
      </c>
      <c r="Q558" s="36" t="inlineStr">
        <is>
          <t>PANA</t>
        </is>
      </c>
    </row>
    <row r="559">
      <c r="A559" s="36" t="inlineStr">
        <is>
          <t>144265</t>
        </is>
      </c>
      <c r="B559" s="52" t="n">
        <v>46073</v>
      </c>
      <c r="C559" s="36" t="inlineStr">
        <is>
          <t>00006412102</t>
        </is>
      </c>
      <c r="D559" s="53" t="inlineStr">
        <is>
          <t>GARDASIL 9 INTRAMUSCULAR SUSPENSION PREFILLED SYRINGE</t>
        </is>
      </c>
      <c r="E559" s="36" t="n">
        <v>5</v>
      </c>
      <c r="F559" s="54" t="n">
        <v>0.5</v>
      </c>
      <c r="G559" s="54" t="n">
        <v>0.1</v>
      </c>
      <c r="H559" s="55" t="n">
        <v>0</v>
      </c>
      <c r="I559" s="55" t="n">
        <v>332.95</v>
      </c>
      <c r="J559" s="55" t="n">
        <v>0</v>
      </c>
      <c r="K559" s="55" t="n">
        <v>0</v>
      </c>
      <c r="L559" s="55" t="n">
        <v>332.95</v>
      </c>
      <c r="M559" s="55" t="n">
        <v>0</v>
      </c>
      <c r="N559" s="36" t="inlineStr">
        <is>
          <t>610502</t>
        </is>
      </c>
      <c r="O559" s="36" t="inlineStr">
        <is>
          <t>CAREMARK</t>
        </is>
      </c>
      <c r="P559" s="36" t="inlineStr">
        <is>
          <t>00670000</t>
        </is>
      </c>
      <c r="Q559" s="36" t="inlineStr">
        <is>
          <t>RX7700</t>
        </is>
      </c>
    </row>
    <row r="560">
      <c r="A560" s="36" t="inlineStr">
        <is>
          <t>144266</t>
        </is>
      </c>
      <c r="B560" s="52" t="n">
        <v>46073</v>
      </c>
      <c r="C560" s="36" t="inlineStr">
        <is>
          <t>00006412102</t>
        </is>
      </c>
      <c r="D560" s="53" t="inlineStr">
        <is>
          <t>GARDASIL 9 INTRAMUSCULAR SUSPENSION PREFILLED SYRINGE</t>
        </is>
      </c>
      <c r="E560" s="36" t="n">
        <v>5</v>
      </c>
      <c r="F560" s="54" t="n">
        <v>0.5</v>
      </c>
      <c r="G560" s="54" t="n">
        <v>0.1</v>
      </c>
      <c r="H560" s="55" t="n">
        <v>0</v>
      </c>
      <c r="I560" s="55" t="n">
        <v>332.95</v>
      </c>
      <c r="J560" s="55" t="n">
        <v>0</v>
      </c>
      <c r="K560" s="55" t="n">
        <v>0</v>
      </c>
      <c r="L560" s="55" t="n">
        <v>332.95</v>
      </c>
      <c r="M560" s="55" t="n">
        <v>0</v>
      </c>
      <c r="N560" s="36" t="inlineStr">
        <is>
          <t>610502</t>
        </is>
      </c>
      <c r="O560" s="36" t="inlineStr">
        <is>
          <t>CAREMARK</t>
        </is>
      </c>
      <c r="P560" s="36" t="inlineStr">
        <is>
          <t>00670000</t>
        </is>
      </c>
      <c r="Q560" s="36" t="inlineStr">
        <is>
          <t>RX7700</t>
        </is>
      </c>
    </row>
    <row r="561">
      <c r="A561" s="36" t="inlineStr">
        <is>
          <t>139456</t>
        </is>
      </c>
      <c r="B561" s="52" t="n">
        <v>46038</v>
      </c>
      <c r="C561" s="36" t="inlineStr">
        <is>
          <t>73336007530</t>
        </is>
      </c>
      <c r="D561" s="53" t="inlineStr">
        <is>
          <t>GEMTESA 75MG TABLET</t>
        </is>
      </c>
      <c r="E561" s="36" t="n">
        <v>30</v>
      </c>
      <c r="F561" s="54" t="n">
        <v>90</v>
      </c>
      <c r="G561" s="54" t="n">
        <v>3</v>
      </c>
      <c r="H561" s="55" t="n">
        <v>1446</v>
      </c>
      <c r="I561" s="55" t="n">
        <v>1443.45</v>
      </c>
      <c r="J561" s="55" t="n">
        <v>0</v>
      </c>
      <c r="K561" s="55" t="n">
        <v>4.9</v>
      </c>
      <c r="L561" s="55" t="n">
        <v>1448.35</v>
      </c>
      <c r="M561" s="55" t="n">
        <v>2.35</v>
      </c>
      <c r="N561" s="36" t="inlineStr">
        <is>
          <t>004336</t>
        </is>
      </c>
      <c r="O561" s="36" t="inlineStr">
        <is>
          <t>CAREMARK</t>
        </is>
      </c>
      <c r="P561" s="36" t="inlineStr">
        <is>
          <t>MEDDADV</t>
        </is>
      </c>
      <c r="Q561" s="36" t="inlineStr">
        <is>
          <t>RX1110</t>
        </is>
      </c>
    </row>
    <row r="562">
      <c r="A562" s="36" t="inlineStr">
        <is>
          <t>117513</t>
        </is>
      </c>
      <c r="B562" s="52" t="n">
        <v>46049</v>
      </c>
      <c r="C562" s="36" t="inlineStr">
        <is>
          <t>73336007530</t>
        </is>
      </c>
      <c r="D562" s="53" t="inlineStr">
        <is>
          <t>GEMTESA 75MG TABLET</t>
        </is>
      </c>
      <c r="E562" s="36" t="n">
        <v>30</v>
      </c>
      <c r="F562" s="54" t="n">
        <v>30</v>
      </c>
      <c r="G562" s="54" t="n">
        <v>1</v>
      </c>
      <c r="H562" s="55" t="n">
        <v>482</v>
      </c>
      <c r="I562" s="55" t="n">
        <v>489.24</v>
      </c>
      <c r="J562" s="55" t="n">
        <v>0</v>
      </c>
      <c r="K562" s="55" t="n">
        <v>0</v>
      </c>
      <c r="L562" s="55" t="n">
        <v>489.24</v>
      </c>
      <c r="M562" s="55" t="n">
        <v>7.24</v>
      </c>
      <c r="N562" s="36" t="inlineStr">
        <is>
          <t>015574</t>
        </is>
      </c>
      <c r="O562" s="36" t="inlineStr">
        <is>
          <t>MEDIMP</t>
        </is>
      </c>
      <c r="P562" s="36" t="inlineStr">
        <is>
          <t>ASPROD1</t>
        </is>
      </c>
      <c r="Q562" s="36" t="inlineStr">
        <is>
          <t>VNS01</t>
        </is>
      </c>
    </row>
    <row r="563">
      <c r="A563" s="36" t="inlineStr">
        <is>
          <t>141621</t>
        </is>
      </c>
      <c r="B563" s="52" t="n">
        <v>46056</v>
      </c>
      <c r="C563" s="36" t="inlineStr">
        <is>
          <t>73336007530</t>
        </is>
      </c>
      <c r="D563" s="53" t="inlineStr">
        <is>
          <t>GEMTESA 75MG TABLET</t>
        </is>
      </c>
      <c r="E563" s="36" t="n">
        <v>30</v>
      </c>
      <c r="F563" s="54" t="n">
        <v>30</v>
      </c>
      <c r="G563" s="54" t="n">
        <v>1</v>
      </c>
      <c r="H563" s="55" t="n">
        <v>502</v>
      </c>
      <c r="I563" s="55" t="n">
        <v>476.52</v>
      </c>
      <c r="J563" s="55" t="n">
        <v>0</v>
      </c>
      <c r="K563" s="55" t="n">
        <v>4.9</v>
      </c>
      <c r="L563" s="55" t="n">
        <v>481.42</v>
      </c>
      <c r="M563" s="55" t="n">
        <v>-20.58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RX8585</t>
        </is>
      </c>
    </row>
    <row r="564">
      <c r="A564" s="36" t="inlineStr">
        <is>
          <t>143048</t>
        </is>
      </c>
      <c r="B564" s="52" t="n">
        <v>46065</v>
      </c>
      <c r="C564" s="36" t="inlineStr">
        <is>
          <t>73336007530</t>
        </is>
      </c>
      <c r="D564" s="53" t="inlineStr">
        <is>
          <t>GEMTESA 75MG TABLET</t>
        </is>
      </c>
      <c r="E564" s="36" t="n">
        <v>30</v>
      </c>
      <c r="F564" s="54" t="n">
        <v>90</v>
      </c>
      <c r="G564" s="54" t="n">
        <v>3</v>
      </c>
      <c r="H564" s="55" t="n">
        <v>1506</v>
      </c>
      <c r="I564" s="55" t="n">
        <v>1448.35</v>
      </c>
      <c r="J564" s="55" t="n">
        <v>0</v>
      </c>
      <c r="K564" s="55" t="n">
        <v>0</v>
      </c>
      <c r="L564" s="55" t="n">
        <v>1448.35</v>
      </c>
      <c r="M564" s="55" t="n">
        <v>-57.65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116126</t>
        </is>
      </c>
      <c r="B565" s="52" t="n">
        <v>46000</v>
      </c>
      <c r="C565" s="36" t="inlineStr">
        <is>
          <t>73336007530</t>
        </is>
      </c>
      <c r="D565" s="53" t="inlineStr">
        <is>
          <t>GEMTESA 75MG TABLET</t>
        </is>
      </c>
      <c r="E565" s="36" t="n">
        <v>30</v>
      </c>
      <c r="F565" s="54" t="n">
        <v>30</v>
      </c>
      <c r="G565" s="54" t="n">
        <v>1</v>
      </c>
      <c r="H565" s="55" t="n">
        <v>482</v>
      </c>
      <c r="I565" s="55" t="n">
        <v>477.01</v>
      </c>
      <c r="J565" s="55" t="n">
        <v>0</v>
      </c>
      <c r="K565" s="55" t="n">
        <v>0</v>
      </c>
      <c r="L565" s="55" t="n">
        <v>477.01</v>
      </c>
      <c r="M565" s="55" t="n">
        <v>-4.99</v>
      </c>
      <c r="N565" s="36" t="inlineStr">
        <is>
          <t>004336</t>
        </is>
      </c>
      <c r="O565" s="36" t="inlineStr">
        <is>
          <t>CAREMARK</t>
        </is>
      </c>
      <c r="P565" s="36" t="inlineStr">
        <is>
          <t>MEDDADV</t>
        </is>
      </c>
      <c r="Q565" s="36" t="inlineStr">
        <is>
          <t>RX8585</t>
        </is>
      </c>
    </row>
    <row r="566">
      <c r="A566" s="36" t="inlineStr">
        <is>
          <t>139882</t>
        </is>
      </c>
      <c r="B566" s="52" t="n">
        <v>46042</v>
      </c>
      <c r="C566" s="36" t="inlineStr">
        <is>
          <t>73336007530</t>
        </is>
      </c>
      <c r="D566" s="53" t="inlineStr">
        <is>
          <t>GEMTESA 75MG TABLET</t>
        </is>
      </c>
      <c r="E566" s="36" t="n">
        <v>30</v>
      </c>
      <c r="F566" s="54" t="n">
        <v>30</v>
      </c>
      <c r="G566" s="54" t="n">
        <v>1</v>
      </c>
      <c r="H566" s="55" t="n">
        <v>482</v>
      </c>
      <c r="I566" s="55" t="n">
        <v>485.81</v>
      </c>
      <c r="J566" s="55" t="n">
        <v>0</v>
      </c>
      <c r="K566" s="55" t="n">
        <v>4.9</v>
      </c>
      <c r="L566" s="55" t="n">
        <v>490.71</v>
      </c>
      <c r="M566" s="55" t="n">
        <v>8.710000000000001</v>
      </c>
      <c r="N566" s="36" t="inlineStr">
        <is>
          <t>004336</t>
        </is>
      </c>
      <c r="O566" s="36" t="inlineStr">
        <is>
          <t>CAREMARK</t>
        </is>
      </c>
      <c r="P566" s="36" t="inlineStr">
        <is>
          <t>MEDDADV</t>
        </is>
      </c>
      <c r="Q566" s="36" t="inlineStr">
        <is>
          <t>RX1110</t>
        </is>
      </c>
    </row>
    <row r="567">
      <c r="A567" s="36" t="inlineStr">
        <is>
          <t>143569</t>
        </is>
      </c>
      <c r="B567" s="52" t="n">
        <v>46070</v>
      </c>
      <c r="C567" s="36" t="inlineStr">
        <is>
          <t>73336007530</t>
        </is>
      </c>
      <c r="D567" s="53" t="inlineStr">
        <is>
          <t>GEMTESA 75MG TABLET</t>
        </is>
      </c>
      <c r="E567" s="36" t="n">
        <v>30</v>
      </c>
      <c r="F567" s="54" t="n">
        <v>90</v>
      </c>
      <c r="G567" s="54" t="n">
        <v>3</v>
      </c>
      <c r="H567" s="55" t="n">
        <v>1506</v>
      </c>
      <c r="I567" s="55" t="n">
        <v>1443.45</v>
      </c>
      <c r="J567" s="55" t="n">
        <v>0</v>
      </c>
      <c r="K567" s="55" t="n">
        <v>4.9</v>
      </c>
      <c r="L567" s="55" t="n">
        <v>1448.35</v>
      </c>
      <c r="M567" s="55" t="n">
        <v>-57.65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MEDDADV</t>
        </is>
      </c>
      <c r="Q567" s="36" t="inlineStr">
        <is>
          <t>RX1110</t>
        </is>
      </c>
    </row>
    <row r="568">
      <c r="A568" s="36" t="inlineStr">
        <is>
          <t>140098</t>
        </is>
      </c>
      <c r="B568" s="52" t="n">
        <v>46044</v>
      </c>
      <c r="C568" s="36" t="inlineStr">
        <is>
          <t>73336007530</t>
        </is>
      </c>
      <c r="D568" s="53" t="inlineStr">
        <is>
          <t>GEMTESA 75MG TABLET</t>
        </is>
      </c>
      <c r="E568" s="36" t="n">
        <v>30</v>
      </c>
      <c r="F568" s="54" t="n">
        <v>90</v>
      </c>
      <c r="G568" s="54" t="n">
        <v>3</v>
      </c>
      <c r="H568" s="55" t="n">
        <v>1446</v>
      </c>
      <c r="I568" s="55" t="n">
        <v>1443.45</v>
      </c>
      <c r="J568" s="55" t="n">
        <v>0</v>
      </c>
      <c r="K568" s="55" t="n">
        <v>4.9</v>
      </c>
      <c r="L568" s="55" t="n">
        <v>1448.35</v>
      </c>
      <c r="M568" s="55" t="n">
        <v>2.35</v>
      </c>
      <c r="N568" s="36" t="inlineStr">
        <is>
          <t>004336</t>
        </is>
      </c>
      <c r="O568" s="36" t="inlineStr">
        <is>
          <t>CAREMARK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116126</t>
        </is>
      </c>
      <c r="B569" s="52" t="n">
        <v>46028</v>
      </c>
      <c r="C569" s="36" t="inlineStr">
        <is>
          <t>73336007530</t>
        </is>
      </c>
      <c r="D569" s="53" t="inlineStr">
        <is>
          <t>GEMTESA 75MG TABLET</t>
        </is>
      </c>
      <c r="E569" s="36" t="n">
        <v>30</v>
      </c>
      <c r="F569" s="54" t="n">
        <v>30</v>
      </c>
      <c r="G569" s="54" t="n">
        <v>1</v>
      </c>
      <c r="H569" s="55" t="n">
        <v>482</v>
      </c>
      <c r="I569" s="55" t="n">
        <v>476.52</v>
      </c>
      <c r="J569" s="55" t="n">
        <v>0</v>
      </c>
      <c r="K569" s="55" t="n">
        <v>4.9</v>
      </c>
      <c r="L569" s="55" t="n">
        <v>481.42</v>
      </c>
      <c r="M569" s="55" t="n">
        <v>-0.58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RX8585</t>
        </is>
      </c>
    </row>
    <row r="570">
      <c r="A570" s="36" t="inlineStr">
        <is>
          <t>105470</t>
        </is>
      </c>
      <c r="B570" s="52" t="n">
        <v>46030</v>
      </c>
      <c r="C570" s="36" t="inlineStr">
        <is>
          <t>73336007530</t>
        </is>
      </c>
      <c r="D570" s="53" t="inlineStr">
        <is>
          <t>GEMTESA 75MG TABLET</t>
        </is>
      </c>
      <c r="E570" s="36" t="n">
        <v>30</v>
      </c>
      <c r="F570" s="54" t="n">
        <v>90</v>
      </c>
      <c r="G570" s="54" t="n">
        <v>3</v>
      </c>
      <c r="H570" s="55" t="n">
        <v>1446</v>
      </c>
      <c r="I570" s="55" t="n">
        <v>1448.35</v>
      </c>
      <c r="J570" s="55" t="n">
        <v>0</v>
      </c>
      <c r="K570" s="55" t="n">
        <v>0</v>
      </c>
      <c r="L570" s="55" t="n">
        <v>1448.35</v>
      </c>
      <c r="M570" s="55" t="n">
        <v>2.35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93020</t>
        </is>
      </c>
      <c r="B571" s="52" t="n">
        <v>45993</v>
      </c>
      <c r="C571" s="36" t="inlineStr">
        <is>
          <t>73336007530</t>
        </is>
      </c>
      <c r="D571" s="53" t="inlineStr">
        <is>
          <t>GEMTESA 75MG TABLET</t>
        </is>
      </c>
      <c r="E571" s="36" t="n">
        <v>30</v>
      </c>
      <c r="F571" s="54" t="n">
        <v>30</v>
      </c>
      <c r="G571" s="54" t="n">
        <v>1</v>
      </c>
      <c r="H571" s="55" t="n">
        <v>482</v>
      </c>
      <c r="I571" s="55" t="n">
        <v>472.2</v>
      </c>
      <c r="J571" s="55" t="n">
        <v>0</v>
      </c>
      <c r="K571" s="55" t="n">
        <v>0</v>
      </c>
      <c r="L571" s="55" t="n">
        <v>472.2</v>
      </c>
      <c r="M571" s="55" t="n">
        <v>-9.800000000000001</v>
      </c>
      <c r="N571" s="36" t="inlineStr">
        <is>
          <t>004336</t>
        </is>
      </c>
      <c r="O571" s="36" t="inlineStr">
        <is>
          <t>CAREMARK</t>
        </is>
      </c>
      <c r="P571" s="36" t="inlineStr">
        <is>
          <t>MEDDADV</t>
        </is>
      </c>
      <c r="Q571" s="36" t="inlineStr">
        <is>
          <t>RX1110</t>
        </is>
      </c>
    </row>
    <row r="572">
      <c r="A572" s="36" t="inlineStr">
        <is>
          <t>111030</t>
        </is>
      </c>
      <c r="B572" s="52" t="n">
        <v>46041</v>
      </c>
      <c r="C572" s="36" t="inlineStr">
        <is>
          <t>00002882427</t>
        </is>
      </c>
      <c r="D572" s="53" t="inlineStr">
        <is>
          <t>HUMULIN R U-500 KWIKPEN 500UNIT/ML INJECTION</t>
        </is>
      </c>
      <c r="E572" s="36" t="n">
        <v>6</v>
      </c>
      <c r="F572" s="54" t="n">
        <v>6</v>
      </c>
      <c r="G572" s="54" t="n">
        <v>1</v>
      </c>
      <c r="H572" s="55" t="n">
        <v>553</v>
      </c>
      <c r="I572" s="55" t="n">
        <v>541.27</v>
      </c>
      <c r="J572" s="55" t="n">
        <v>0</v>
      </c>
      <c r="K572" s="55" t="n">
        <v>4.9</v>
      </c>
      <c r="L572" s="55" t="n">
        <v>546.17</v>
      </c>
      <c r="M572" s="55" t="n">
        <v>-6.83</v>
      </c>
      <c r="N572" s="36" t="inlineStr">
        <is>
          <t>004336</t>
        </is>
      </c>
      <c r="O572" s="36" t="inlineStr">
        <is>
          <t>CAREMARK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111334</t>
        </is>
      </c>
      <c r="B573" s="52" t="n">
        <v>46069</v>
      </c>
      <c r="C573" s="36" t="inlineStr">
        <is>
          <t>73154005060</t>
        </is>
      </c>
      <c r="D573" s="53" t="inlineStr">
        <is>
          <t>IBSRELA 50 MG ORAL TABLET</t>
        </is>
      </c>
      <c r="E573" s="36" t="n">
        <v>60</v>
      </c>
      <c r="F573" s="54" t="n">
        <v>60</v>
      </c>
      <c r="G573" s="54" t="n">
        <v>1</v>
      </c>
      <c r="H573" s="55" t="n">
        <v>0</v>
      </c>
      <c r="I573" s="55" t="n">
        <v>1965.36</v>
      </c>
      <c r="J573" s="55" t="n">
        <v>0</v>
      </c>
      <c r="K573" s="55" t="n">
        <v>0</v>
      </c>
      <c r="L573" s="55" t="n">
        <v>1965.36</v>
      </c>
      <c r="M573" s="55" t="n">
        <v>0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131586</t>
        </is>
      </c>
      <c r="B574" s="52" t="n">
        <v>46063</v>
      </c>
      <c r="C574" s="36" t="inlineStr">
        <is>
          <t>00173087310</t>
        </is>
      </c>
      <c r="D574" s="53" t="inlineStr">
        <is>
          <t>INCRUSE ELLIPTA 62.5MCG/INH AEROSOL</t>
        </is>
      </c>
      <c r="E574" s="36" t="n">
        <v>30</v>
      </c>
      <c r="F574" s="54" t="n">
        <v>30</v>
      </c>
      <c r="G574" s="54" t="n">
        <v>1</v>
      </c>
      <c r="H574" s="55" t="n">
        <v>341</v>
      </c>
      <c r="I574" s="55" t="n">
        <v>224.9</v>
      </c>
      <c r="J574" s="55" t="n">
        <v>0</v>
      </c>
      <c r="K574" s="55" t="n">
        <v>102.93</v>
      </c>
      <c r="L574" s="55" t="n">
        <v>327.83</v>
      </c>
      <c r="M574" s="55" t="n">
        <v>-13.17</v>
      </c>
      <c r="N574" s="36" t="inlineStr">
        <is>
          <t>610014</t>
        </is>
      </c>
      <c r="O574" s="36" t="inlineStr">
        <is>
          <t>EXPRESS</t>
        </is>
      </c>
      <c r="P574" s="36" t="n">
        <v/>
      </c>
      <c r="Q574" s="36" t="inlineStr">
        <is>
          <t>SSEU371</t>
        </is>
      </c>
    </row>
    <row r="575">
      <c r="A575" s="36" t="inlineStr">
        <is>
          <t>129590</t>
        </is>
      </c>
      <c r="B575" s="52" t="n">
        <v>45992</v>
      </c>
      <c r="C575" s="36" t="inlineStr">
        <is>
          <t>00173087310</t>
        </is>
      </c>
      <c r="D575" s="53" t="inlineStr">
        <is>
          <t>INCRUSE ELLIPTA 62.5MCG/INH AEROSOL</t>
        </is>
      </c>
      <c r="E575" s="36" t="n">
        <v>30</v>
      </c>
      <c r="F575" s="54" t="n">
        <v>30</v>
      </c>
      <c r="G575" s="54" t="n">
        <v>1</v>
      </c>
      <c r="H575" s="55" t="n">
        <v>341</v>
      </c>
      <c r="I575" s="55" t="n">
        <v>333.75</v>
      </c>
      <c r="J575" s="55" t="n">
        <v>0</v>
      </c>
      <c r="K575" s="55" t="n">
        <v>0</v>
      </c>
      <c r="L575" s="55" t="n">
        <v>333.75</v>
      </c>
      <c r="M575" s="55" t="n">
        <v>-7.25</v>
      </c>
      <c r="N575" s="36" t="inlineStr">
        <is>
          <t>004336</t>
        </is>
      </c>
      <c r="O575" s="36" t="inlineStr">
        <is>
          <t>CAREMARK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131586</t>
        </is>
      </c>
      <c r="B576" s="52" t="n">
        <v>46035</v>
      </c>
      <c r="C576" s="36" t="inlineStr">
        <is>
          <t>00173087310</t>
        </is>
      </c>
      <c r="D576" s="53" t="inlineStr">
        <is>
          <t>INCRUSE ELLIPTA 62.5MCG/INH AEROSOL</t>
        </is>
      </c>
      <c r="E576" s="36" t="n">
        <v>30</v>
      </c>
      <c r="F576" s="54" t="n">
        <v>30</v>
      </c>
      <c r="G576" s="54" t="n">
        <v>1</v>
      </c>
      <c r="H576" s="55" t="n">
        <v>341</v>
      </c>
      <c r="I576" s="55" t="n">
        <v>307.83</v>
      </c>
      <c r="J576" s="55" t="n">
        <v>0</v>
      </c>
      <c r="K576" s="55" t="n">
        <v>20</v>
      </c>
      <c r="L576" s="55" t="n">
        <v>327.83</v>
      </c>
      <c r="M576" s="55" t="n">
        <v>-13.17</v>
      </c>
      <c r="N576" s="36" t="inlineStr">
        <is>
          <t>610014</t>
        </is>
      </c>
      <c r="O576" s="36" t="inlineStr">
        <is>
          <t>EXPRESS</t>
        </is>
      </c>
      <c r="P576" s="36" t="n">
        <v/>
      </c>
      <c r="Q576" s="36" t="inlineStr">
        <is>
          <t>SSEU371</t>
        </is>
      </c>
    </row>
    <row r="577">
      <c r="A577" s="36" t="inlineStr">
        <is>
          <t>144485</t>
        </is>
      </c>
      <c r="B577" s="52" t="n">
        <v>46076</v>
      </c>
      <c r="C577" s="36" t="inlineStr">
        <is>
          <t>00173087310</t>
        </is>
      </c>
      <c r="D577" s="53" t="inlineStr">
        <is>
          <t>INCRUSE ELLIPTA 62.5MCG/INH AEROSOL</t>
        </is>
      </c>
      <c r="E577" s="36" t="n">
        <v>30</v>
      </c>
      <c r="F577" s="54" t="n">
        <v>30</v>
      </c>
      <c r="G577" s="54" t="n">
        <v>1</v>
      </c>
      <c r="H577" s="55" t="n">
        <v>341</v>
      </c>
      <c r="I577" s="55" t="n">
        <v>336.72</v>
      </c>
      <c r="J577" s="55" t="n">
        <v>0</v>
      </c>
      <c r="K577" s="55" t="n">
        <v>0</v>
      </c>
      <c r="L577" s="55" t="n">
        <v>336.72</v>
      </c>
      <c r="M577" s="55" t="n">
        <v>-4.28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129590</t>
        </is>
      </c>
      <c r="B578" s="52" t="n">
        <v>46020</v>
      </c>
      <c r="C578" s="36" t="inlineStr">
        <is>
          <t>00173087310</t>
        </is>
      </c>
      <c r="D578" s="53" t="inlineStr">
        <is>
          <t>INCRUSE ELLIPTA 62.5MCG/INH AEROSOL</t>
        </is>
      </c>
      <c r="E578" s="36" t="n">
        <v>30</v>
      </c>
      <c r="F578" s="54" t="n">
        <v>30</v>
      </c>
      <c r="G578" s="54" t="n">
        <v>1</v>
      </c>
      <c r="H578" s="55" t="n">
        <v>341</v>
      </c>
      <c r="I578" s="55" t="n">
        <v>333.75</v>
      </c>
      <c r="J578" s="55" t="n">
        <v>0</v>
      </c>
      <c r="K578" s="55" t="n">
        <v>0</v>
      </c>
      <c r="L578" s="55" t="n">
        <v>333.75</v>
      </c>
      <c r="M578" s="55" t="n">
        <v>-7.25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RX1110</t>
        </is>
      </c>
    </row>
    <row r="579">
      <c r="A579" s="36" t="inlineStr">
        <is>
          <t>129590</t>
        </is>
      </c>
      <c r="B579" s="52" t="n">
        <v>46048</v>
      </c>
      <c r="C579" s="36" t="inlineStr">
        <is>
          <t>00173087310</t>
        </is>
      </c>
      <c r="D579" s="53" t="inlineStr">
        <is>
          <t>INCRUSE ELLIPTA 62.5MCG/INH AEROSOL</t>
        </is>
      </c>
      <c r="E579" s="36" t="n">
        <v>30</v>
      </c>
      <c r="F579" s="54" t="n">
        <v>30</v>
      </c>
      <c r="G579" s="54" t="n">
        <v>1</v>
      </c>
      <c r="H579" s="55" t="n">
        <v>341</v>
      </c>
      <c r="I579" s="55" t="n">
        <v>336.72</v>
      </c>
      <c r="J579" s="55" t="n">
        <v>0</v>
      </c>
      <c r="K579" s="55" t="n">
        <v>0</v>
      </c>
      <c r="L579" s="55" t="n">
        <v>336.72</v>
      </c>
      <c r="M579" s="55" t="n">
        <v>-4.28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131586</t>
        </is>
      </c>
      <c r="B580" s="52" t="n">
        <v>46007</v>
      </c>
      <c r="C580" s="36" t="inlineStr">
        <is>
          <t>00173087310</t>
        </is>
      </c>
      <c r="D580" s="53" t="inlineStr">
        <is>
          <t>INCRUSE ELLIPTA 62.5MCG/INH AEROSOL</t>
        </is>
      </c>
      <c r="E580" s="36" t="n">
        <v>30</v>
      </c>
      <c r="F580" s="54" t="n">
        <v>30</v>
      </c>
      <c r="G580" s="54" t="n">
        <v>1</v>
      </c>
      <c r="H580" s="55" t="n">
        <v>341</v>
      </c>
      <c r="I580" s="55" t="n">
        <v>224.9</v>
      </c>
      <c r="J580" s="55" t="n">
        <v>0</v>
      </c>
      <c r="K580" s="55" t="n">
        <v>102.93</v>
      </c>
      <c r="L580" s="55" t="n">
        <v>327.83</v>
      </c>
      <c r="M580" s="55" t="n">
        <v>-13.17</v>
      </c>
      <c r="N580" s="36" t="inlineStr">
        <is>
          <t>610014</t>
        </is>
      </c>
      <c r="O580" s="36" t="inlineStr">
        <is>
          <t>EXPRESS</t>
        </is>
      </c>
      <c r="P580" s="36" t="inlineStr">
        <is>
          <t>PEU</t>
        </is>
      </c>
      <c r="Q580" s="36" t="n">
        <v/>
      </c>
    </row>
    <row r="581">
      <c r="A581" s="36" t="inlineStr">
        <is>
          <t>118472</t>
        </is>
      </c>
      <c r="B581" s="52" t="n">
        <v>46055</v>
      </c>
      <c r="C581" s="36" t="inlineStr">
        <is>
          <t>00173087310</t>
        </is>
      </c>
      <c r="D581" s="53" t="inlineStr">
        <is>
          <t>INCRUSE ELLIPTA 62.5MCG/INH AEROSOL</t>
        </is>
      </c>
      <c r="E581" s="36" t="n">
        <v>30</v>
      </c>
      <c r="F581" s="54" t="n">
        <v>90</v>
      </c>
      <c r="G581" s="54" t="n">
        <v>3</v>
      </c>
      <c r="H581" s="55" t="n">
        <v>1023</v>
      </c>
      <c r="I581" s="55" t="n">
        <v>1028.05</v>
      </c>
      <c r="J581" s="55" t="n">
        <v>0</v>
      </c>
      <c r="K581" s="55" t="n">
        <v>0</v>
      </c>
      <c r="L581" s="55" t="n">
        <v>1028.05</v>
      </c>
      <c r="M581" s="55" t="n">
        <v>5.05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144660</t>
        </is>
      </c>
      <c r="B582" s="52" t="n">
        <v>46077</v>
      </c>
      <c r="C582" s="36" t="inlineStr">
        <is>
          <t>72495040128</t>
        </is>
      </c>
      <c r="D582" s="53" t="inlineStr">
        <is>
          <t>INTRAROSA 6.5 MG VAGINAL INSERT</t>
        </is>
      </c>
      <c r="E582" s="36" t="n">
        <v>28</v>
      </c>
      <c r="F582" s="54" t="n">
        <v>28</v>
      </c>
      <c r="G582" s="54" t="n">
        <v>1</v>
      </c>
      <c r="H582" s="55" t="n">
        <v>0</v>
      </c>
      <c r="I582" s="55" t="n">
        <v>263.06</v>
      </c>
      <c r="J582" s="55" t="n">
        <v>0</v>
      </c>
      <c r="K582" s="55" t="n">
        <v>84.98999999999999</v>
      </c>
      <c r="L582" s="55" t="n">
        <v>348.05</v>
      </c>
      <c r="M582" s="55" t="n">
        <v>0</v>
      </c>
      <c r="N582" s="36" t="inlineStr">
        <is>
          <t>004336</t>
        </is>
      </c>
      <c r="O582" s="36" t="inlineStr">
        <is>
          <t>CAREMARK</t>
        </is>
      </c>
      <c r="P582" s="36" t="inlineStr">
        <is>
          <t>ADV</t>
        </is>
      </c>
      <c r="Q582" s="36" t="inlineStr">
        <is>
          <t>RX23MD</t>
        </is>
      </c>
    </row>
    <row r="583">
      <c r="A583" s="36" t="inlineStr">
        <is>
          <t>131966</t>
        </is>
      </c>
      <c r="B583" s="52" t="n">
        <v>46064</v>
      </c>
      <c r="C583" s="36" t="inlineStr">
        <is>
          <t>82584000330</t>
        </is>
      </c>
      <c r="D583" s="53" t="inlineStr">
        <is>
          <t>IYUZEH 0.005 % OPHTHALMIC SOLUTION</t>
        </is>
      </c>
      <c r="E583" s="36" t="n">
        <v>30</v>
      </c>
      <c r="F583" s="54" t="n">
        <v>30</v>
      </c>
      <c r="G583" s="54" t="n">
        <v>1</v>
      </c>
      <c r="H583" s="55" t="n">
        <v>308</v>
      </c>
      <c r="I583" s="55" t="n">
        <v>296.46</v>
      </c>
      <c r="J583" s="55" t="n">
        <v>0</v>
      </c>
      <c r="K583" s="55" t="n">
        <v>4.9</v>
      </c>
      <c r="L583" s="55" t="n">
        <v>301.36</v>
      </c>
      <c r="M583" s="55" t="n">
        <v>-6.64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MEDDADV</t>
        </is>
      </c>
      <c r="Q583" s="36" t="inlineStr">
        <is>
          <t>RX1110</t>
        </is>
      </c>
    </row>
    <row r="584">
      <c r="A584" s="36" t="inlineStr">
        <is>
          <t>131966</t>
        </is>
      </c>
      <c r="B584" s="52" t="n">
        <v>46036</v>
      </c>
      <c r="C584" s="36" t="inlineStr">
        <is>
          <t>82584000330</t>
        </is>
      </c>
      <c r="D584" s="53" t="inlineStr">
        <is>
          <t>IYUZEH 0.005 % OPHTHALMIC SOLUTION</t>
        </is>
      </c>
      <c r="E584" s="36" t="n">
        <v>30</v>
      </c>
      <c r="F584" s="54" t="n">
        <v>30</v>
      </c>
      <c r="G584" s="54" t="n">
        <v>1</v>
      </c>
      <c r="H584" s="55" t="n">
        <v>308</v>
      </c>
      <c r="I584" s="55" t="n">
        <v>296.46</v>
      </c>
      <c r="J584" s="55" t="n">
        <v>0</v>
      </c>
      <c r="K584" s="55" t="n">
        <v>4.9</v>
      </c>
      <c r="L584" s="55" t="n">
        <v>301.36</v>
      </c>
      <c r="M584" s="55" t="n">
        <v>-6.64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140142</t>
        </is>
      </c>
      <c r="B585" s="52" t="n">
        <v>46044</v>
      </c>
      <c r="C585" s="36" t="inlineStr">
        <is>
          <t>82584000330</t>
        </is>
      </c>
      <c r="D585" s="53" t="inlineStr">
        <is>
          <t>IYUZEH 0.005 % OPHTHALMIC SOLUTION</t>
        </is>
      </c>
      <c r="E585" s="36" t="n">
        <v>30</v>
      </c>
      <c r="F585" s="54" t="n">
        <v>30</v>
      </c>
      <c r="G585" s="54" t="n">
        <v>1</v>
      </c>
      <c r="H585" s="55" t="n">
        <v>308</v>
      </c>
      <c r="I585" s="55" t="n">
        <v>296.46</v>
      </c>
      <c r="J585" s="55" t="n">
        <v>0</v>
      </c>
      <c r="K585" s="55" t="n">
        <v>4.9</v>
      </c>
      <c r="L585" s="55" t="n">
        <v>301.36</v>
      </c>
      <c r="M585" s="55" t="n">
        <v>-6.64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131966</t>
        </is>
      </c>
      <c r="B586" s="52" t="n">
        <v>46008</v>
      </c>
      <c r="C586" s="36" t="inlineStr">
        <is>
          <t>82584000330</t>
        </is>
      </c>
      <c r="D586" s="53" t="inlineStr">
        <is>
          <t>IYUZEH 0.005 % OPHTHALMIC SOLUTION</t>
        </is>
      </c>
      <c r="E586" s="36" t="n">
        <v>30</v>
      </c>
      <c r="F586" s="54" t="n">
        <v>30</v>
      </c>
      <c r="G586" s="54" t="n">
        <v>1</v>
      </c>
      <c r="H586" s="55" t="n">
        <v>308</v>
      </c>
      <c r="I586" s="55" t="n">
        <v>298.7</v>
      </c>
      <c r="J586" s="55" t="n">
        <v>0</v>
      </c>
      <c r="K586" s="55" t="n">
        <v>0</v>
      </c>
      <c r="L586" s="55" t="n">
        <v>298.7</v>
      </c>
      <c r="M586" s="55" t="n">
        <v>-9.300000000000001</v>
      </c>
      <c r="N586" s="36" t="inlineStr">
        <is>
          <t>004336</t>
        </is>
      </c>
      <c r="O586" s="36" t="inlineStr">
        <is>
          <t>CAREMARK</t>
        </is>
      </c>
      <c r="P586" s="36" t="inlineStr">
        <is>
          <t>MEDDADV</t>
        </is>
      </c>
      <c r="Q586" s="36" t="inlineStr">
        <is>
          <t>RX1110</t>
        </is>
      </c>
    </row>
    <row r="587">
      <c r="A587" s="36" t="inlineStr">
        <is>
          <t>140142</t>
        </is>
      </c>
      <c r="B587" s="52" t="n">
        <v>46072</v>
      </c>
      <c r="C587" s="36" t="inlineStr">
        <is>
          <t>82584000330</t>
        </is>
      </c>
      <c r="D587" s="53" t="inlineStr">
        <is>
          <t>IYUZEH 0.005 % OPHTHALMIC SOLUTION</t>
        </is>
      </c>
      <c r="E587" s="36" t="n">
        <v>30</v>
      </c>
      <c r="F587" s="54" t="n">
        <v>30</v>
      </c>
      <c r="G587" s="54" t="n">
        <v>1</v>
      </c>
      <c r="H587" s="55" t="n">
        <v>308</v>
      </c>
      <c r="I587" s="55" t="n">
        <v>296.46</v>
      </c>
      <c r="J587" s="55" t="n">
        <v>0</v>
      </c>
      <c r="K587" s="55" t="n">
        <v>4.9</v>
      </c>
      <c r="L587" s="55" t="n">
        <v>301.36</v>
      </c>
      <c r="M587" s="55" t="n">
        <v>-6.64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127559</t>
        </is>
      </c>
      <c r="B588" s="52" t="n">
        <v>45995</v>
      </c>
      <c r="C588" s="36" t="inlineStr">
        <is>
          <t>00006057761</t>
        </is>
      </c>
      <c r="D588" s="53" t="inlineStr">
        <is>
          <t>JANUMET 50-1000MG TABLET</t>
        </is>
      </c>
      <c r="E588" s="36" t="n">
        <v>60</v>
      </c>
      <c r="F588" s="54" t="n">
        <v>60</v>
      </c>
      <c r="G588" s="54" t="n">
        <v>1</v>
      </c>
      <c r="H588" s="55" t="n">
        <v>318</v>
      </c>
      <c r="I588" s="55" t="n">
        <v>290.22</v>
      </c>
      <c r="J588" s="55" t="n">
        <v>0</v>
      </c>
      <c r="K588" s="55" t="n">
        <v>4.8</v>
      </c>
      <c r="L588" s="55" t="n">
        <v>295.02</v>
      </c>
      <c r="M588" s="55" t="n">
        <v>-22.98</v>
      </c>
      <c r="N588" s="36" t="inlineStr">
        <is>
          <t>610014</t>
        </is>
      </c>
      <c r="O588" s="36" t="inlineStr">
        <is>
          <t>EXPRESS</t>
        </is>
      </c>
      <c r="P588" s="36" t="inlineStr">
        <is>
          <t>MEDDPRIME</t>
        </is>
      </c>
      <c r="Q588" s="36" t="inlineStr">
        <is>
          <t>2FGA</t>
        </is>
      </c>
    </row>
    <row r="589">
      <c r="A589" s="36" t="inlineStr">
        <is>
          <t>128518</t>
        </is>
      </c>
      <c r="B589" s="52" t="n">
        <v>46041</v>
      </c>
      <c r="C589" s="36" t="inlineStr">
        <is>
          <t>00006057761</t>
        </is>
      </c>
      <c r="D589" s="53" t="inlineStr">
        <is>
          <t>JANUMET 50-1000MG TABLET</t>
        </is>
      </c>
      <c r="E589" s="36" t="n">
        <v>60</v>
      </c>
      <c r="F589" s="54" t="n">
        <v>180</v>
      </c>
      <c r="G589" s="54" t="n">
        <v>3</v>
      </c>
      <c r="H589" s="55" t="n">
        <v>954</v>
      </c>
      <c r="I589" s="55" t="n">
        <v>913.65</v>
      </c>
      <c r="J589" s="55" t="n">
        <v>0</v>
      </c>
      <c r="K589" s="55" t="n">
        <v>12.65</v>
      </c>
      <c r="L589" s="55" t="n">
        <v>926.3</v>
      </c>
      <c r="M589" s="55" t="n">
        <v>-27.7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RX1110</t>
        </is>
      </c>
    </row>
    <row r="590">
      <c r="A590" s="36" t="inlineStr">
        <is>
          <t>143748</t>
        </is>
      </c>
      <c r="B590" s="52" t="n">
        <v>46071</v>
      </c>
      <c r="C590" s="36" t="inlineStr">
        <is>
          <t>00006057761</t>
        </is>
      </c>
      <c r="D590" s="53" t="inlineStr">
        <is>
          <t>JANUMET 50-1000MG TABLET</t>
        </is>
      </c>
      <c r="E590" s="36" t="n">
        <v>60</v>
      </c>
      <c r="F590" s="54" t="n">
        <v>60</v>
      </c>
      <c r="G590" s="54" t="n">
        <v>1</v>
      </c>
      <c r="H590" s="55" t="n">
        <v>321</v>
      </c>
      <c r="I590" s="55" t="n">
        <v>308.89</v>
      </c>
      <c r="J590" s="55" t="n">
        <v>0</v>
      </c>
      <c r="K590" s="55" t="n">
        <v>4.9</v>
      </c>
      <c r="L590" s="55" t="n">
        <v>313.79</v>
      </c>
      <c r="M590" s="55" t="n">
        <v>-7.21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inlineStr">
        <is>
          <t>RX1110</t>
        </is>
      </c>
    </row>
    <row r="591">
      <c r="A591" s="36" t="inlineStr">
        <is>
          <t>136604</t>
        </is>
      </c>
      <c r="B591" s="52" t="n">
        <v>46017</v>
      </c>
      <c r="C591" s="36" t="inlineStr">
        <is>
          <t>00006057761</t>
        </is>
      </c>
      <c r="D591" s="53" t="inlineStr">
        <is>
          <t>JANUMET 50-1000MG TABLET</t>
        </is>
      </c>
      <c r="E591" s="36" t="n">
        <v>60</v>
      </c>
      <c r="F591" s="54" t="n">
        <v>180</v>
      </c>
      <c r="G591" s="54" t="n">
        <v>3</v>
      </c>
      <c r="H591" s="55" t="n">
        <v>954</v>
      </c>
      <c r="I591" s="55" t="n">
        <v>920.36</v>
      </c>
      <c r="J591" s="55" t="n">
        <v>0</v>
      </c>
      <c r="K591" s="55" t="n">
        <v>0</v>
      </c>
      <c r="L591" s="55" t="n">
        <v>920.36</v>
      </c>
      <c r="M591" s="55" t="n">
        <v>-33.64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116486</t>
        </is>
      </c>
      <c r="B592" s="52" t="n">
        <v>45999</v>
      </c>
      <c r="C592" s="36" t="inlineStr">
        <is>
          <t>00006057761</t>
        </is>
      </c>
      <c r="D592" s="53" t="inlineStr">
        <is>
          <t>JANUMET 50-1000MG TABLET</t>
        </is>
      </c>
      <c r="E592" s="36" t="n">
        <v>60</v>
      </c>
      <c r="F592" s="54" t="n">
        <v>180</v>
      </c>
      <c r="G592" s="54" t="n">
        <v>3</v>
      </c>
      <c r="H592" s="55" t="n">
        <v>954</v>
      </c>
      <c r="I592" s="55" t="n">
        <v>920.36</v>
      </c>
      <c r="J592" s="55" t="n">
        <v>0</v>
      </c>
      <c r="K592" s="55" t="n">
        <v>0</v>
      </c>
      <c r="L592" s="55" t="n">
        <v>920.36</v>
      </c>
      <c r="M592" s="55" t="n">
        <v>-33.64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RX1110</t>
        </is>
      </c>
    </row>
    <row r="593">
      <c r="A593" s="36" t="inlineStr">
        <is>
          <t>132305</t>
        </is>
      </c>
      <c r="B593" s="52" t="n">
        <v>46069</v>
      </c>
      <c r="C593" s="36" t="inlineStr">
        <is>
          <t>00006057761</t>
        </is>
      </c>
      <c r="D593" s="53" t="inlineStr">
        <is>
          <t>JANUMET 50-1000MG TABLET</t>
        </is>
      </c>
      <c r="E593" s="36" t="n">
        <v>60</v>
      </c>
      <c r="F593" s="54" t="n">
        <v>180</v>
      </c>
      <c r="G593" s="54" t="n">
        <v>3</v>
      </c>
      <c r="H593" s="55" t="n">
        <v>963</v>
      </c>
      <c r="I593" s="55" t="n">
        <v>898.72</v>
      </c>
      <c r="J593" s="55" t="n">
        <v>0</v>
      </c>
      <c r="K593" s="55" t="n">
        <v>0</v>
      </c>
      <c r="L593" s="55" t="n">
        <v>898.72</v>
      </c>
      <c r="M593" s="55" t="n">
        <v>-64.28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RX7682</t>
        </is>
      </c>
    </row>
    <row r="594">
      <c r="A594" s="36" t="inlineStr">
        <is>
          <t>133119</t>
        </is>
      </c>
      <c r="B594" s="52" t="n">
        <v>45992</v>
      </c>
      <c r="C594" s="36" t="inlineStr">
        <is>
          <t>00006057761</t>
        </is>
      </c>
      <c r="D594" s="53" t="inlineStr">
        <is>
          <t>JANUMET 50-1000MG TABLET</t>
        </is>
      </c>
      <c r="E594" s="36" t="n">
        <v>60</v>
      </c>
      <c r="F594" s="54" t="n">
        <v>180</v>
      </c>
      <c r="G594" s="54" t="n">
        <v>3</v>
      </c>
      <c r="H594" s="55" t="n">
        <v>954</v>
      </c>
      <c r="I594" s="55" t="n">
        <v>920.36</v>
      </c>
      <c r="J594" s="55" t="n">
        <v>0</v>
      </c>
      <c r="K594" s="55" t="n">
        <v>0</v>
      </c>
      <c r="L594" s="55" t="n">
        <v>920.36</v>
      </c>
      <c r="M594" s="55" t="n">
        <v>-33.64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129556</t>
        </is>
      </c>
      <c r="B595" s="52" t="n">
        <v>46020</v>
      </c>
      <c r="C595" s="36" t="inlineStr">
        <is>
          <t>00006057761</t>
        </is>
      </c>
      <c r="D595" s="53" t="inlineStr">
        <is>
          <t>JANUMET 50-1000MG TABLET</t>
        </is>
      </c>
      <c r="E595" s="36" t="n">
        <v>60</v>
      </c>
      <c r="F595" s="54" t="n">
        <v>60</v>
      </c>
      <c r="G595" s="54" t="n">
        <v>1</v>
      </c>
      <c r="H595" s="55" t="n">
        <v>318</v>
      </c>
      <c r="I595" s="55" t="n">
        <v>311.02</v>
      </c>
      <c r="J595" s="55" t="n">
        <v>0</v>
      </c>
      <c r="K595" s="55" t="n">
        <v>0</v>
      </c>
      <c r="L595" s="55" t="n">
        <v>311.02</v>
      </c>
      <c r="M595" s="55" t="n">
        <v>-6.98</v>
      </c>
      <c r="N595" s="36" t="inlineStr">
        <is>
          <t>004336</t>
        </is>
      </c>
      <c r="O595" s="36" t="inlineStr">
        <is>
          <t>CAREMARK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129556</t>
        </is>
      </c>
      <c r="B596" s="52" t="n">
        <v>46077</v>
      </c>
      <c r="C596" s="36" t="inlineStr">
        <is>
          <t>00006057761</t>
        </is>
      </c>
      <c r="D596" s="53" t="inlineStr">
        <is>
          <t>JANUMET 50-1000MG TABLET</t>
        </is>
      </c>
      <c r="E596" s="36" t="n">
        <v>60</v>
      </c>
      <c r="F596" s="54" t="n">
        <v>60</v>
      </c>
      <c r="G596" s="54" t="n">
        <v>1</v>
      </c>
      <c r="H596" s="55" t="n">
        <v>321</v>
      </c>
      <c r="I596" s="55" t="n">
        <v>308.89</v>
      </c>
      <c r="J596" s="55" t="n">
        <v>0</v>
      </c>
      <c r="K596" s="55" t="n">
        <v>4.9</v>
      </c>
      <c r="L596" s="55" t="n">
        <v>313.79</v>
      </c>
      <c r="M596" s="55" t="n">
        <v>-7.21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118427</t>
        </is>
      </c>
      <c r="B597" s="52" t="n">
        <v>46052</v>
      </c>
      <c r="C597" s="36" t="inlineStr">
        <is>
          <t>00006057761</t>
        </is>
      </c>
      <c r="D597" s="53" t="inlineStr">
        <is>
          <t>JANUMET 50-1000MG TABLET</t>
        </is>
      </c>
      <c r="E597" s="36" t="n">
        <v>60</v>
      </c>
      <c r="F597" s="54" t="n">
        <v>180</v>
      </c>
      <c r="G597" s="54" t="n">
        <v>3</v>
      </c>
      <c r="H597" s="55" t="n">
        <v>954</v>
      </c>
      <c r="I597" s="55" t="n">
        <v>921.4</v>
      </c>
      <c r="J597" s="55" t="n">
        <v>0</v>
      </c>
      <c r="K597" s="55" t="n">
        <v>4.9</v>
      </c>
      <c r="L597" s="55" t="n">
        <v>926.3</v>
      </c>
      <c r="M597" s="55" t="n">
        <v>-27.7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135124</t>
        </is>
      </c>
      <c r="B598" s="52" t="n">
        <v>46006</v>
      </c>
      <c r="C598" s="36" t="inlineStr">
        <is>
          <t>00006057761</t>
        </is>
      </c>
      <c r="D598" s="53" t="inlineStr">
        <is>
          <t>JANUMET 50-1000MG TABLET</t>
        </is>
      </c>
      <c r="E598" s="36" t="n">
        <v>60</v>
      </c>
      <c r="F598" s="54" t="n">
        <v>180</v>
      </c>
      <c r="G598" s="54" t="n">
        <v>3</v>
      </c>
      <c r="H598" s="55" t="n">
        <v>954</v>
      </c>
      <c r="I598" s="55" t="n">
        <v>910.86</v>
      </c>
      <c r="J598" s="55" t="n">
        <v>0</v>
      </c>
      <c r="K598" s="55" t="n">
        <v>0</v>
      </c>
      <c r="L598" s="55" t="n">
        <v>910.86</v>
      </c>
      <c r="M598" s="55" t="n">
        <v>-43.14</v>
      </c>
      <c r="N598" s="36" t="inlineStr">
        <is>
          <t>004336</t>
        </is>
      </c>
      <c r="O598" s="36" t="inlineStr">
        <is>
          <t>CAREMARK</t>
        </is>
      </c>
      <c r="P598" s="36" t="inlineStr">
        <is>
          <t>MEDDADV</t>
        </is>
      </c>
      <c r="Q598" s="36" t="inlineStr">
        <is>
          <t>RX8585</t>
        </is>
      </c>
    </row>
    <row r="599">
      <c r="A599" s="36" t="inlineStr">
        <is>
          <t>126199</t>
        </is>
      </c>
      <c r="B599" s="52" t="n">
        <v>46024</v>
      </c>
      <c r="C599" s="36" t="inlineStr">
        <is>
          <t>00006057761</t>
        </is>
      </c>
      <c r="D599" s="53" t="inlineStr">
        <is>
          <t>JANUMET 50-1000MG TABLET</t>
        </is>
      </c>
      <c r="E599" s="36" t="n">
        <v>60</v>
      </c>
      <c r="F599" s="54" t="n">
        <v>180</v>
      </c>
      <c r="G599" s="54" t="n">
        <v>3</v>
      </c>
      <c r="H599" s="55" t="n">
        <v>954</v>
      </c>
      <c r="I599" s="55" t="n">
        <v>405.12</v>
      </c>
      <c r="J599" s="55" t="n">
        <v>0</v>
      </c>
      <c r="K599" s="55" t="n">
        <v>521.1799999999999</v>
      </c>
      <c r="L599" s="55" t="n">
        <v>926.3</v>
      </c>
      <c r="M599" s="55" t="n">
        <v>-27.7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132805</t>
        </is>
      </c>
      <c r="B600" s="52" t="n">
        <v>46043</v>
      </c>
      <c r="C600" s="36" t="inlineStr">
        <is>
          <t>00006057761</t>
        </is>
      </c>
      <c r="D600" s="53" t="inlineStr">
        <is>
          <t>JANUMET 50-1000MG TABLET</t>
        </is>
      </c>
      <c r="E600" s="36" t="n">
        <v>60</v>
      </c>
      <c r="F600" s="54" t="n">
        <v>60</v>
      </c>
      <c r="G600" s="54" t="n">
        <v>1</v>
      </c>
      <c r="H600" s="55" t="n">
        <v>318</v>
      </c>
      <c r="I600" s="55" t="n">
        <v>308.89</v>
      </c>
      <c r="J600" s="55" t="n">
        <v>0</v>
      </c>
      <c r="K600" s="55" t="n">
        <v>4.9</v>
      </c>
      <c r="L600" s="55" t="n">
        <v>313.79</v>
      </c>
      <c r="M600" s="55" t="n">
        <v>-4.21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133742</t>
        </is>
      </c>
      <c r="B601" s="52" t="n">
        <v>46006</v>
      </c>
      <c r="C601" s="36" t="inlineStr">
        <is>
          <t>00006057761</t>
        </is>
      </c>
      <c r="D601" s="53" t="inlineStr">
        <is>
          <t>JANUMET 50-1000MG TABLET</t>
        </is>
      </c>
      <c r="E601" s="36" t="n">
        <v>60</v>
      </c>
      <c r="F601" s="54" t="n">
        <v>180</v>
      </c>
      <c r="G601" s="54" t="n">
        <v>3</v>
      </c>
      <c r="H601" s="55" t="n">
        <v>954</v>
      </c>
      <c r="I601" s="55" t="n">
        <v>973.87</v>
      </c>
      <c r="J601" s="55" t="n">
        <v>0</v>
      </c>
      <c r="K601" s="55" t="n">
        <v>0</v>
      </c>
      <c r="L601" s="55" t="n">
        <v>973.87</v>
      </c>
      <c r="M601" s="55" t="n">
        <v>19.87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RXCVSD</t>
        </is>
      </c>
    </row>
    <row r="602">
      <c r="A602" s="36" t="inlineStr">
        <is>
          <t>130849</t>
        </is>
      </c>
      <c r="B602" s="52" t="n">
        <v>46060</v>
      </c>
      <c r="C602" s="36" t="inlineStr">
        <is>
          <t>00006057761</t>
        </is>
      </c>
      <c r="D602" s="53" t="inlineStr">
        <is>
          <t>JANUMET 50-1000MG TABLET</t>
        </is>
      </c>
      <c r="E602" s="36" t="n">
        <v>60</v>
      </c>
      <c r="F602" s="54" t="n">
        <v>180</v>
      </c>
      <c r="G602" s="54" t="n">
        <v>3</v>
      </c>
      <c r="H602" s="55" t="n">
        <v>963</v>
      </c>
      <c r="I602" s="55" t="n">
        <v>921.4</v>
      </c>
      <c r="J602" s="55" t="n">
        <v>0</v>
      </c>
      <c r="K602" s="55" t="n">
        <v>4.9</v>
      </c>
      <c r="L602" s="55" t="n">
        <v>926.3</v>
      </c>
      <c r="M602" s="55" t="n">
        <v>-36.7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103728</t>
        </is>
      </c>
      <c r="B603" s="52" t="n">
        <v>46062</v>
      </c>
      <c r="C603" s="36" t="inlineStr">
        <is>
          <t>00006057761</t>
        </is>
      </c>
      <c r="D603" s="53" t="inlineStr">
        <is>
          <t>JANUMET 50-1000MG TABLET</t>
        </is>
      </c>
      <c r="E603" s="36" t="n">
        <v>60</v>
      </c>
      <c r="F603" s="54" t="n">
        <v>60</v>
      </c>
      <c r="G603" s="54" t="n">
        <v>1</v>
      </c>
      <c r="H603" s="55" t="n">
        <v>321</v>
      </c>
      <c r="I603" s="55" t="n">
        <v>307.65</v>
      </c>
      <c r="J603" s="55" t="n">
        <v>0</v>
      </c>
      <c r="K603" s="55" t="n">
        <v>4.9</v>
      </c>
      <c r="L603" s="55" t="n">
        <v>312.55</v>
      </c>
      <c r="M603" s="55" t="n">
        <v>-8.449999999999999</v>
      </c>
      <c r="N603" s="36" t="inlineStr">
        <is>
          <t>610502</t>
        </is>
      </c>
      <c r="O603" s="36" t="inlineStr">
        <is>
          <t>CAREMARK</t>
        </is>
      </c>
      <c r="P603" s="36" t="inlineStr">
        <is>
          <t>MEDDAET</t>
        </is>
      </c>
      <c r="Q603" s="36" t="inlineStr">
        <is>
          <t>RXAETD</t>
        </is>
      </c>
    </row>
    <row r="604">
      <c r="A604" s="36" t="inlineStr">
        <is>
          <t>103728</t>
        </is>
      </c>
      <c r="B604" s="52" t="n">
        <v>46006</v>
      </c>
      <c r="C604" s="36" t="inlineStr">
        <is>
          <t>00006057761</t>
        </is>
      </c>
      <c r="D604" s="53" t="inlineStr">
        <is>
          <t>JANUMET 50-1000MG TABLET</t>
        </is>
      </c>
      <c r="E604" s="36" t="n">
        <v>60</v>
      </c>
      <c r="F604" s="54" t="n">
        <v>60</v>
      </c>
      <c r="G604" s="54" t="n">
        <v>1</v>
      </c>
      <c r="H604" s="55" t="n">
        <v>318</v>
      </c>
      <c r="I604" s="55" t="n">
        <v>312.55</v>
      </c>
      <c r="J604" s="55" t="n">
        <v>0</v>
      </c>
      <c r="K604" s="55" t="n">
        <v>0</v>
      </c>
      <c r="L604" s="55" t="n">
        <v>312.55</v>
      </c>
      <c r="M604" s="55" t="n">
        <v>-5.45</v>
      </c>
      <c r="N604" s="36" t="inlineStr">
        <is>
          <t>610502</t>
        </is>
      </c>
      <c r="O604" s="36" t="inlineStr">
        <is>
          <t>CAREMARK</t>
        </is>
      </c>
      <c r="P604" s="36" t="inlineStr">
        <is>
          <t>MEDDAET</t>
        </is>
      </c>
      <c r="Q604" s="36" t="inlineStr">
        <is>
          <t>RXAETD</t>
        </is>
      </c>
    </row>
    <row r="605">
      <c r="A605" s="36" t="inlineStr">
        <is>
          <t>127559</t>
        </is>
      </c>
      <c r="B605" s="52" t="n">
        <v>46022</v>
      </c>
      <c r="C605" s="36" t="inlineStr">
        <is>
          <t>00006057761</t>
        </is>
      </c>
      <c r="D605" s="53" t="inlineStr">
        <is>
          <t>JANUMET 50-1000MG TABLET</t>
        </is>
      </c>
      <c r="E605" s="36" t="n">
        <v>60</v>
      </c>
      <c r="F605" s="54" t="n">
        <v>60</v>
      </c>
      <c r="G605" s="54" t="n">
        <v>1</v>
      </c>
      <c r="H605" s="55" t="n">
        <v>318</v>
      </c>
      <c r="I605" s="55" t="n">
        <v>290.22</v>
      </c>
      <c r="J605" s="55" t="n">
        <v>0</v>
      </c>
      <c r="K605" s="55" t="n">
        <v>4.8</v>
      </c>
      <c r="L605" s="55" t="n">
        <v>295.02</v>
      </c>
      <c r="M605" s="55" t="n">
        <v>-22.98</v>
      </c>
      <c r="N605" s="36" t="inlineStr">
        <is>
          <t>610014</t>
        </is>
      </c>
      <c r="O605" s="36" t="inlineStr">
        <is>
          <t>EXPRESS</t>
        </is>
      </c>
      <c r="P605" s="36" t="inlineStr">
        <is>
          <t>MEDDPRIME</t>
        </is>
      </c>
      <c r="Q605" s="36" t="inlineStr">
        <is>
          <t>2FGA</t>
        </is>
      </c>
    </row>
    <row r="606">
      <c r="A606" s="36" t="inlineStr">
        <is>
          <t>133311</t>
        </is>
      </c>
      <c r="B606" s="52" t="n">
        <v>45993</v>
      </c>
      <c r="C606" s="36" t="inlineStr">
        <is>
          <t>00006057761</t>
        </is>
      </c>
      <c r="D606" s="53" t="inlineStr">
        <is>
          <t>JANUMET 50-1000MG TABLET</t>
        </is>
      </c>
      <c r="E606" s="36" t="n">
        <v>60</v>
      </c>
      <c r="F606" s="54" t="n">
        <v>180</v>
      </c>
      <c r="G606" s="54" t="n">
        <v>3</v>
      </c>
      <c r="H606" s="55" t="n">
        <v>954</v>
      </c>
      <c r="I606" s="55" t="n">
        <v>920.36</v>
      </c>
      <c r="J606" s="55" t="n">
        <v>0</v>
      </c>
      <c r="K606" s="55" t="n">
        <v>0</v>
      </c>
      <c r="L606" s="55" t="n">
        <v>920.36</v>
      </c>
      <c r="M606" s="55" t="n">
        <v>-33.64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132805</t>
        </is>
      </c>
      <c r="B607" s="52" t="n">
        <v>46015</v>
      </c>
      <c r="C607" s="36" t="inlineStr">
        <is>
          <t>00006057761</t>
        </is>
      </c>
      <c r="D607" s="53" t="inlineStr">
        <is>
          <t>JANUMET 50-1000MG TABLET</t>
        </is>
      </c>
      <c r="E607" s="36" t="n">
        <v>60</v>
      </c>
      <c r="F607" s="54" t="n">
        <v>60</v>
      </c>
      <c r="G607" s="54" t="n">
        <v>1</v>
      </c>
      <c r="H607" s="55" t="n">
        <v>318</v>
      </c>
      <c r="I607" s="55" t="n">
        <v>311.02</v>
      </c>
      <c r="J607" s="55" t="n">
        <v>0</v>
      </c>
      <c r="K607" s="55" t="n">
        <v>0</v>
      </c>
      <c r="L607" s="55" t="n">
        <v>311.02</v>
      </c>
      <c r="M607" s="55" t="n">
        <v>-6.98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134864</t>
        </is>
      </c>
      <c r="B608" s="52" t="n">
        <v>46003</v>
      </c>
      <c r="C608" s="36" t="inlineStr">
        <is>
          <t>00006057761</t>
        </is>
      </c>
      <c r="D608" s="53" t="inlineStr">
        <is>
          <t>JANUMET 50-1000MG TABLET</t>
        </is>
      </c>
      <c r="E608" s="36" t="n">
        <v>60</v>
      </c>
      <c r="F608" s="54" t="n">
        <v>180</v>
      </c>
      <c r="G608" s="54" t="n">
        <v>3</v>
      </c>
      <c r="H608" s="55" t="n">
        <v>954</v>
      </c>
      <c r="I608" s="55" t="n">
        <v>920.36</v>
      </c>
      <c r="J608" s="55" t="n">
        <v>0</v>
      </c>
      <c r="K608" s="55" t="n">
        <v>0</v>
      </c>
      <c r="L608" s="55" t="n">
        <v>920.36</v>
      </c>
      <c r="M608" s="55" t="n">
        <v>-33.64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144036</t>
        </is>
      </c>
      <c r="B609" s="52" t="n">
        <v>46072</v>
      </c>
      <c r="C609" s="36" t="inlineStr">
        <is>
          <t>00006057761</t>
        </is>
      </c>
      <c r="D609" s="53" t="inlineStr">
        <is>
          <t>JANUMET 50-1000MG TABLET</t>
        </is>
      </c>
      <c r="E609" s="36" t="n">
        <v>60</v>
      </c>
      <c r="F609" s="54" t="n">
        <v>180</v>
      </c>
      <c r="G609" s="54" t="n">
        <v>3</v>
      </c>
      <c r="H609" s="55" t="n">
        <v>963</v>
      </c>
      <c r="I609" s="55" t="n">
        <v>921.4</v>
      </c>
      <c r="J609" s="55" t="n">
        <v>0</v>
      </c>
      <c r="K609" s="55" t="n">
        <v>4.9</v>
      </c>
      <c r="L609" s="55" t="n">
        <v>926.3</v>
      </c>
      <c r="M609" s="55" t="n">
        <v>-36.7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103728</t>
        </is>
      </c>
      <c r="B610" s="52" t="n">
        <v>46034</v>
      </c>
      <c r="C610" s="36" t="inlineStr">
        <is>
          <t>00006057761</t>
        </is>
      </c>
      <c r="D610" s="53" t="inlineStr">
        <is>
          <t>JANUMET 50-1000MG TABLET</t>
        </is>
      </c>
      <c r="E610" s="36" t="n">
        <v>60</v>
      </c>
      <c r="F610" s="54" t="n">
        <v>60</v>
      </c>
      <c r="G610" s="54" t="n">
        <v>1</v>
      </c>
      <c r="H610" s="55" t="n">
        <v>318</v>
      </c>
      <c r="I610" s="55" t="n">
        <v>307.65</v>
      </c>
      <c r="J610" s="55" t="n">
        <v>0</v>
      </c>
      <c r="K610" s="55" t="n">
        <v>4.9</v>
      </c>
      <c r="L610" s="55" t="n">
        <v>312.55</v>
      </c>
      <c r="M610" s="55" t="n">
        <v>-5.45</v>
      </c>
      <c r="N610" s="36" t="inlineStr">
        <is>
          <t>610502</t>
        </is>
      </c>
      <c r="O610" s="36" t="inlineStr">
        <is>
          <t>CAREMARK</t>
        </is>
      </c>
      <c r="P610" s="36" t="inlineStr">
        <is>
          <t>MEDDAET</t>
        </is>
      </c>
      <c r="Q610" s="36" t="inlineStr">
        <is>
          <t>RXAETD</t>
        </is>
      </c>
    </row>
    <row r="611">
      <c r="A611" s="36" t="inlineStr">
        <is>
          <t>127559</t>
        </is>
      </c>
      <c r="B611" s="52" t="n">
        <v>46076</v>
      </c>
      <c r="C611" s="36" t="inlineStr">
        <is>
          <t>00006057761</t>
        </is>
      </c>
      <c r="D611" s="53" t="inlineStr">
        <is>
          <t>JANUMET 50-1000MG TABLET</t>
        </is>
      </c>
      <c r="E611" s="36" t="n">
        <v>60</v>
      </c>
      <c r="F611" s="54" t="n">
        <v>60</v>
      </c>
      <c r="G611" s="54" t="n">
        <v>1</v>
      </c>
      <c r="H611" s="55" t="n">
        <v>321</v>
      </c>
      <c r="I611" s="55" t="n">
        <v>308.89</v>
      </c>
      <c r="J611" s="55" t="n">
        <v>0</v>
      </c>
      <c r="K611" s="55" t="n">
        <v>4.9</v>
      </c>
      <c r="L611" s="55" t="n">
        <v>313.79</v>
      </c>
      <c r="M611" s="55" t="n">
        <v>-7.21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144178</t>
        </is>
      </c>
      <c r="B612" s="52" t="n">
        <v>46073</v>
      </c>
      <c r="C612" s="36" t="inlineStr">
        <is>
          <t>00006057561</t>
        </is>
      </c>
      <c r="D612" s="53" t="inlineStr">
        <is>
          <t>JANUMET 50-500 MG ORAL TABLET</t>
        </is>
      </c>
      <c r="E612" s="36" t="n">
        <v>60</v>
      </c>
      <c r="F612" s="54" t="n">
        <v>180</v>
      </c>
      <c r="G612" s="54" t="n">
        <v>3</v>
      </c>
      <c r="H612" s="55" t="n">
        <v>954</v>
      </c>
      <c r="I612" s="55" t="n">
        <v>921.4</v>
      </c>
      <c r="J612" s="55" t="n">
        <v>0</v>
      </c>
      <c r="K612" s="55" t="n">
        <v>4.9</v>
      </c>
      <c r="L612" s="55" t="n">
        <v>926.3</v>
      </c>
      <c r="M612" s="55" t="n">
        <v>-27.7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121810</t>
        </is>
      </c>
      <c r="B613" s="52" t="n">
        <v>46024</v>
      </c>
      <c r="C613" s="36" t="inlineStr">
        <is>
          <t>00006057561</t>
        </is>
      </c>
      <c r="D613" s="53" t="inlineStr">
        <is>
          <t>JANUMET 50-500 MG ORAL TABLET</t>
        </is>
      </c>
      <c r="E613" s="36" t="n">
        <v>60</v>
      </c>
      <c r="F613" s="54" t="n">
        <v>60</v>
      </c>
      <c r="G613" s="54" t="n">
        <v>1</v>
      </c>
      <c r="H613" s="55" t="n">
        <v>318</v>
      </c>
      <c r="I613" s="55" t="n">
        <v>308.09</v>
      </c>
      <c r="J613" s="55" t="n">
        <v>0</v>
      </c>
      <c r="K613" s="55" t="n">
        <v>4.9</v>
      </c>
      <c r="L613" s="55" t="n">
        <v>312.99</v>
      </c>
      <c r="M613" s="55" t="n">
        <v>-5.01</v>
      </c>
      <c r="N613" s="36" t="inlineStr">
        <is>
          <t>015574</t>
        </is>
      </c>
      <c r="O613" s="36" t="inlineStr">
        <is>
          <t>MEDIMP</t>
        </is>
      </c>
      <c r="P613" s="36" t="inlineStr">
        <is>
          <t>ASPROD1</t>
        </is>
      </c>
      <c r="Q613" s="36" t="inlineStr">
        <is>
          <t>VNS01</t>
        </is>
      </c>
    </row>
    <row r="614">
      <c r="A614" s="36" t="inlineStr">
        <is>
          <t>121810</t>
        </is>
      </c>
      <c r="B614" s="52" t="n">
        <v>45994</v>
      </c>
      <c r="C614" s="36" t="inlineStr">
        <is>
          <t>00006057561</t>
        </is>
      </c>
      <c r="D614" s="53" t="inlineStr">
        <is>
          <t>JANUMET 50-500 MG ORAL TABLET</t>
        </is>
      </c>
      <c r="E614" s="36" t="n">
        <v>60</v>
      </c>
      <c r="F614" s="54" t="n">
        <v>60</v>
      </c>
      <c r="G614" s="54" t="n">
        <v>1</v>
      </c>
      <c r="H614" s="55" t="n">
        <v>318</v>
      </c>
      <c r="I614" s="55" t="n">
        <v>314.03</v>
      </c>
      <c r="J614" s="55" t="n">
        <v>0</v>
      </c>
      <c r="K614" s="55" t="n">
        <v>0</v>
      </c>
      <c r="L614" s="55" t="n">
        <v>314.03</v>
      </c>
      <c r="M614" s="55" t="n">
        <v>-3.97</v>
      </c>
      <c r="N614" s="36" t="inlineStr">
        <is>
          <t>015574</t>
        </is>
      </c>
      <c r="O614" s="36" t="inlineStr">
        <is>
          <t>MEDIMP</t>
        </is>
      </c>
      <c r="P614" s="36" t="inlineStr">
        <is>
          <t>ASPROD1</t>
        </is>
      </c>
      <c r="Q614" s="36" t="inlineStr">
        <is>
          <t>VNS01</t>
        </is>
      </c>
    </row>
    <row r="615">
      <c r="A615" s="36" t="inlineStr">
        <is>
          <t>121810</t>
        </is>
      </c>
      <c r="B615" s="52" t="n">
        <v>46055</v>
      </c>
      <c r="C615" s="36" t="inlineStr">
        <is>
          <t>00006057561</t>
        </is>
      </c>
      <c r="D615" s="53" t="inlineStr">
        <is>
          <t>JANUMET 50-500 MG ORAL TABLET</t>
        </is>
      </c>
      <c r="E615" s="36" t="n">
        <v>60</v>
      </c>
      <c r="F615" s="54" t="n">
        <v>60</v>
      </c>
      <c r="G615" s="54" t="n">
        <v>1</v>
      </c>
      <c r="H615" s="55" t="n">
        <v>318</v>
      </c>
      <c r="I615" s="55" t="n">
        <v>308.09</v>
      </c>
      <c r="J615" s="55" t="n">
        <v>0</v>
      </c>
      <c r="K615" s="55" t="n">
        <v>4.9</v>
      </c>
      <c r="L615" s="55" t="n">
        <v>312.99</v>
      </c>
      <c r="M615" s="55" t="n">
        <v>-5.01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137032</t>
        </is>
      </c>
      <c r="B616" s="52" t="n">
        <v>46021</v>
      </c>
      <c r="C616" s="36" t="inlineStr">
        <is>
          <t>00006057561</t>
        </is>
      </c>
      <c r="D616" s="53" t="inlineStr">
        <is>
          <t>JANUMET 50-500 MG ORAL TABLET</t>
        </is>
      </c>
      <c r="E616" s="36" t="n">
        <v>60</v>
      </c>
      <c r="F616" s="54" t="n">
        <v>180</v>
      </c>
      <c r="G616" s="54" t="n">
        <v>3</v>
      </c>
      <c r="H616" s="55" t="n">
        <v>954</v>
      </c>
      <c r="I616" s="55" t="n">
        <v>961.33</v>
      </c>
      <c r="J616" s="55" t="n">
        <v>0</v>
      </c>
      <c r="K616" s="55" t="n">
        <v>0</v>
      </c>
      <c r="L616" s="55" t="n">
        <v>961.33</v>
      </c>
      <c r="M616" s="55" t="n">
        <v>7.33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142822</t>
        </is>
      </c>
      <c r="B617" s="52" t="n">
        <v>46064</v>
      </c>
      <c r="C617" s="36" t="inlineStr">
        <is>
          <t>00006057561</t>
        </is>
      </c>
      <c r="D617" s="53" t="inlineStr">
        <is>
          <t>JANUMET 50-500 MG ORAL TABLET</t>
        </is>
      </c>
      <c r="E617" s="36" t="n">
        <v>60</v>
      </c>
      <c r="F617" s="54" t="n">
        <v>180</v>
      </c>
      <c r="G617" s="54" t="n">
        <v>3</v>
      </c>
      <c r="H617" s="55" t="n">
        <v>954</v>
      </c>
      <c r="I617" s="55" t="n">
        <v>902.54</v>
      </c>
      <c r="J617" s="55" t="n">
        <v>0</v>
      </c>
      <c r="K617" s="55" t="n">
        <v>0</v>
      </c>
      <c r="L617" s="55" t="n">
        <v>902.54</v>
      </c>
      <c r="M617" s="55" t="n">
        <v>-51.46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RX8585</t>
        </is>
      </c>
    </row>
    <row r="618">
      <c r="A618" s="36" t="inlineStr">
        <is>
          <t>140672</t>
        </is>
      </c>
      <c r="B618" s="52" t="n">
        <v>46049</v>
      </c>
      <c r="C618" s="36" t="inlineStr">
        <is>
          <t>00006008131</t>
        </is>
      </c>
      <c r="D618" s="53" t="inlineStr">
        <is>
          <t>JANUMET XR 100-1000MG TABLET</t>
        </is>
      </c>
      <c r="E618" s="36" t="n">
        <v>30</v>
      </c>
      <c r="F618" s="54" t="n">
        <v>90</v>
      </c>
      <c r="G618" s="54" t="n">
        <v>3</v>
      </c>
      <c r="H618" s="55" t="n">
        <v>954</v>
      </c>
      <c r="I618" s="55" t="n">
        <v>885.0599999999999</v>
      </c>
      <c r="J618" s="55" t="n">
        <v>0</v>
      </c>
      <c r="K618" s="55" t="n">
        <v>0</v>
      </c>
      <c r="L618" s="55" t="n">
        <v>885.0599999999999</v>
      </c>
      <c r="M618" s="55" t="n">
        <v>-68.94</v>
      </c>
      <c r="N618" s="36" t="inlineStr">
        <is>
          <t>015574</t>
        </is>
      </c>
      <c r="O618" s="36" t="inlineStr">
        <is>
          <t>MEDIMP</t>
        </is>
      </c>
      <c r="P618" s="36" t="inlineStr">
        <is>
          <t>ASPROD1</t>
        </is>
      </c>
      <c r="Q618" s="36" t="inlineStr">
        <is>
          <t>VNS01</t>
        </is>
      </c>
    </row>
    <row r="619">
      <c r="A619" s="36" t="inlineStr">
        <is>
          <t>122930</t>
        </is>
      </c>
      <c r="B619" s="52" t="n">
        <v>45999</v>
      </c>
      <c r="C619" s="36" t="inlineStr">
        <is>
          <t>00006008131</t>
        </is>
      </c>
      <c r="D619" s="53" t="inlineStr">
        <is>
          <t>JANUMET XR 100-1000MG TABLET</t>
        </is>
      </c>
      <c r="E619" s="36" t="n">
        <v>30</v>
      </c>
      <c r="F619" s="54" t="n">
        <v>90</v>
      </c>
      <c r="G619" s="54" t="n">
        <v>3</v>
      </c>
      <c r="H619" s="55" t="n">
        <v>954</v>
      </c>
      <c r="I619" s="55" t="n">
        <v>938.23</v>
      </c>
      <c r="J619" s="55" t="n">
        <v>0</v>
      </c>
      <c r="K619" s="55" t="n">
        <v>0</v>
      </c>
      <c r="L619" s="55" t="n">
        <v>938.23</v>
      </c>
      <c r="M619" s="55" t="n">
        <v>-15.77</v>
      </c>
      <c r="N619" s="36" t="inlineStr">
        <is>
          <t>610502</t>
        </is>
      </c>
      <c r="O619" s="36" t="inlineStr">
        <is>
          <t>CAREMARK</t>
        </is>
      </c>
      <c r="P619" s="36" t="inlineStr">
        <is>
          <t>MEDDAET</t>
        </is>
      </c>
      <c r="Q619" s="36" t="inlineStr">
        <is>
          <t>RXAETD</t>
        </is>
      </c>
    </row>
    <row r="620">
      <c r="A620" s="36" t="inlineStr">
        <is>
          <t>142690</t>
        </is>
      </c>
      <c r="B620" s="52" t="n">
        <v>46064</v>
      </c>
      <c r="C620" s="36" t="inlineStr">
        <is>
          <t>00006008131</t>
        </is>
      </c>
      <c r="D620" s="53" t="inlineStr">
        <is>
          <t>JANUMET XR 100-1000MG TABLET</t>
        </is>
      </c>
      <c r="E620" s="36" t="n">
        <v>30</v>
      </c>
      <c r="F620" s="54" t="n">
        <v>90</v>
      </c>
      <c r="G620" s="54" t="n">
        <v>3</v>
      </c>
      <c r="H620" s="55" t="n">
        <v>954</v>
      </c>
      <c r="I620" s="55" t="n">
        <v>938.23</v>
      </c>
      <c r="J620" s="55" t="n">
        <v>0</v>
      </c>
      <c r="K620" s="55" t="n">
        <v>0</v>
      </c>
      <c r="L620" s="55" t="n">
        <v>938.23</v>
      </c>
      <c r="M620" s="55" t="n">
        <v>-15.77</v>
      </c>
      <c r="N620" s="36" t="inlineStr">
        <is>
          <t>610502</t>
        </is>
      </c>
      <c r="O620" s="36" t="inlineStr">
        <is>
          <t>CAREMARK</t>
        </is>
      </c>
      <c r="P620" s="36" t="inlineStr">
        <is>
          <t>MEDDAET</t>
        </is>
      </c>
      <c r="Q620" s="36" t="inlineStr">
        <is>
          <t>RXAETD</t>
        </is>
      </c>
    </row>
    <row r="621">
      <c r="A621" s="36" t="inlineStr">
        <is>
          <t>144639</t>
        </is>
      </c>
      <c r="B621" s="52" t="n">
        <v>46077</v>
      </c>
      <c r="C621" s="36" t="inlineStr">
        <is>
          <t>00006008061</t>
        </is>
      </c>
      <c r="D621" s="53" t="inlineStr">
        <is>
          <t>JANUMET XR 50-1000MG TABLET</t>
        </is>
      </c>
      <c r="E621" s="36" t="n">
        <v>60</v>
      </c>
      <c r="F621" s="54" t="n">
        <v>60</v>
      </c>
      <c r="G621" s="54" t="n">
        <v>1</v>
      </c>
      <c r="H621" s="55" t="n">
        <v>0</v>
      </c>
      <c r="I621" s="55" t="n">
        <v>308.89</v>
      </c>
      <c r="J621" s="55" t="n">
        <v>0</v>
      </c>
      <c r="K621" s="55" t="n">
        <v>4.9</v>
      </c>
      <c r="L621" s="55" t="n">
        <v>313.79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126112</t>
        </is>
      </c>
      <c r="B622" s="52" t="n">
        <v>46022</v>
      </c>
      <c r="C622" s="36" t="inlineStr">
        <is>
          <t>00006027731</t>
        </is>
      </c>
      <c r="D622" s="53" t="inlineStr">
        <is>
          <t>JANUVIA 100MG TAB</t>
        </is>
      </c>
      <c r="E622" s="36" t="n">
        <v>30</v>
      </c>
      <c r="F622" s="54" t="n">
        <v>90</v>
      </c>
      <c r="G622" s="54" t="n">
        <v>3</v>
      </c>
      <c r="H622" s="55" t="n">
        <v>954</v>
      </c>
      <c r="I622" s="55" t="n">
        <v>920.36</v>
      </c>
      <c r="J622" s="55" t="n">
        <v>0</v>
      </c>
      <c r="K622" s="55" t="n">
        <v>0</v>
      </c>
      <c r="L622" s="55" t="n">
        <v>920.36</v>
      </c>
      <c r="M622" s="55" t="n">
        <v>-33.64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127581</t>
        </is>
      </c>
      <c r="B623" s="52" t="n">
        <v>46037</v>
      </c>
      <c r="C623" s="36" t="inlineStr">
        <is>
          <t>00006027731</t>
        </is>
      </c>
      <c r="D623" s="53" t="inlineStr">
        <is>
          <t>JANUVIA 100MG TAB</t>
        </is>
      </c>
      <c r="E623" s="36" t="n">
        <v>30</v>
      </c>
      <c r="F623" s="54" t="n">
        <v>90</v>
      </c>
      <c r="G623" s="54" t="n">
        <v>3</v>
      </c>
      <c r="H623" s="55" t="n">
        <v>954</v>
      </c>
      <c r="I623" s="55" t="n">
        <v>939.11</v>
      </c>
      <c r="J623" s="55" t="n">
        <v>0</v>
      </c>
      <c r="K623" s="55" t="n">
        <v>0</v>
      </c>
      <c r="L623" s="55" t="n">
        <v>939.11</v>
      </c>
      <c r="M623" s="55" t="n">
        <v>-14.89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ADV</t>
        </is>
      </c>
      <c r="Q623" s="36" t="inlineStr">
        <is>
          <t>RX1103</t>
        </is>
      </c>
    </row>
    <row r="624">
      <c r="A624" s="36" t="inlineStr">
        <is>
          <t>137417</t>
        </is>
      </c>
      <c r="B624" s="52" t="n">
        <v>46027</v>
      </c>
      <c r="C624" s="36" t="inlineStr">
        <is>
          <t>00006027731</t>
        </is>
      </c>
      <c r="D624" s="53" t="inlineStr">
        <is>
          <t>JANUVIA 100MG TAB</t>
        </is>
      </c>
      <c r="E624" s="36" t="n">
        <v>30</v>
      </c>
      <c r="F624" s="54" t="n">
        <v>90</v>
      </c>
      <c r="G624" s="54" t="n">
        <v>3</v>
      </c>
      <c r="H624" s="55" t="n">
        <v>954</v>
      </c>
      <c r="I624" s="55" t="n">
        <v>346.47</v>
      </c>
      <c r="J624" s="55" t="n">
        <v>638.29</v>
      </c>
      <c r="K624" s="55" t="n">
        <v>4.9</v>
      </c>
      <c r="L624" s="55" t="n">
        <v>989.66</v>
      </c>
      <c r="M624" s="55" t="n">
        <v>35.66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RX1110</t>
        </is>
      </c>
    </row>
    <row r="625">
      <c r="A625" s="36" t="inlineStr">
        <is>
          <t>126112</t>
        </is>
      </c>
      <c r="B625" s="52" t="n">
        <v>46043</v>
      </c>
      <c r="C625" s="36" t="inlineStr">
        <is>
          <t>00006027731</t>
        </is>
      </c>
      <c r="D625" s="53" t="inlineStr">
        <is>
          <t>JANUVIA 100MG TAB</t>
        </is>
      </c>
      <c r="E625" s="36" t="n">
        <v>30</v>
      </c>
      <c r="F625" s="54" t="n">
        <v>90</v>
      </c>
      <c r="G625" s="54" t="n">
        <v>3</v>
      </c>
      <c r="H625" s="55" t="n">
        <v>954</v>
      </c>
      <c r="I625" s="55" t="n">
        <v>343.75</v>
      </c>
      <c r="J625" s="55" t="n">
        <v>638.29</v>
      </c>
      <c r="K625" s="55" t="n">
        <v>12.65</v>
      </c>
      <c r="L625" s="55" t="n">
        <v>994.6900000000001</v>
      </c>
      <c r="M625" s="55" t="n">
        <v>40.69</v>
      </c>
      <c r="N625" s="36" t="inlineStr">
        <is>
          <t>015574</t>
        </is>
      </c>
      <c r="O625" s="36" t="inlineStr">
        <is>
          <t>MEDIMP</t>
        </is>
      </c>
      <c r="P625" s="36" t="inlineStr">
        <is>
          <t>ASPROD1</t>
        </is>
      </c>
      <c r="Q625" s="36" t="inlineStr">
        <is>
          <t>VNS01</t>
        </is>
      </c>
    </row>
    <row r="626">
      <c r="A626" s="36" t="inlineStr">
        <is>
          <t>139180</t>
        </is>
      </c>
      <c r="B626" s="52" t="n">
        <v>46037</v>
      </c>
      <c r="C626" s="36" t="inlineStr">
        <is>
          <t>00006027731</t>
        </is>
      </c>
      <c r="D626" s="53" t="inlineStr">
        <is>
          <t>JANUVIA 100MG TAB</t>
        </is>
      </c>
      <c r="E626" s="36" t="n">
        <v>30</v>
      </c>
      <c r="F626" s="54" t="n">
        <v>90</v>
      </c>
      <c r="G626" s="54" t="n">
        <v>3</v>
      </c>
      <c r="H626" s="55" t="n">
        <v>954</v>
      </c>
      <c r="I626" s="55" t="n">
        <v>346.47</v>
      </c>
      <c r="J626" s="55" t="n">
        <v>638.29</v>
      </c>
      <c r="K626" s="55" t="n">
        <v>4.9</v>
      </c>
      <c r="L626" s="55" t="n">
        <v>989.66</v>
      </c>
      <c r="M626" s="55" t="n">
        <v>35.66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139890</t>
        </is>
      </c>
      <c r="B627" s="52" t="n">
        <v>46042</v>
      </c>
      <c r="C627" s="36" t="inlineStr">
        <is>
          <t>00006027731</t>
        </is>
      </c>
      <c r="D627" s="53" t="inlineStr">
        <is>
          <t>JANUVIA 100MG TAB</t>
        </is>
      </c>
      <c r="E627" s="36" t="n">
        <v>30</v>
      </c>
      <c r="F627" s="54" t="n">
        <v>90</v>
      </c>
      <c r="G627" s="54" t="n">
        <v>3</v>
      </c>
      <c r="H627" s="55" t="n">
        <v>954</v>
      </c>
      <c r="I627" s="55" t="n">
        <v>346.47</v>
      </c>
      <c r="J627" s="55" t="n">
        <v>638.29</v>
      </c>
      <c r="K627" s="55" t="n">
        <v>4.9</v>
      </c>
      <c r="L627" s="55" t="n">
        <v>989.66</v>
      </c>
      <c r="M627" s="55" t="n">
        <v>35.66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115240</t>
        </is>
      </c>
      <c r="B628" s="52" t="n">
        <v>46027</v>
      </c>
      <c r="C628" s="36" t="inlineStr">
        <is>
          <t>00006027731</t>
        </is>
      </c>
      <c r="D628" s="53" t="inlineStr">
        <is>
          <t>JANUVIA 100MG TAB</t>
        </is>
      </c>
      <c r="E628" s="36" t="n">
        <v>30</v>
      </c>
      <c r="F628" s="54" t="n">
        <v>90</v>
      </c>
      <c r="G628" s="54" t="n">
        <v>3</v>
      </c>
      <c r="H628" s="55" t="n">
        <v>954</v>
      </c>
      <c r="I628" s="55" t="n">
        <v>351.37</v>
      </c>
      <c r="J628" s="55" t="n">
        <v>638.29</v>
      </c>
      <c r="K628" s="55" t="n">
        <v>0</v>
      </c>
      <c r="L628" s="55" t="n">
        <v>989.66</v>
      </c>
      <c r="M628" s="55" t="n">
        <v>35.66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133674</t>
        </is>
      </c>
      <c r="B629" s="52" t="n">
        <v>46027</v>
      </c>
      <c r="C629" s="36" t="inlineStr">
        <is>
          <t>00006027731</t>
        </is>
      </c>
      <c r="D629" s="53" t="inlineStr">
        <is>
          <t>JANUVIA 100MG TAB</t>
        </is>
      </c>
      <c r="E629" s="36" t="n">
        <v>30</v>
      </c>
      <c r="F629" s="54" t="n">
        <v>90</v>
      </c>
      <c r="G629" s="54" t="n">
        <v>3</v>
      </c>
      <c r="H629" s="55" t="n">
        <v>954</v>
      </c>
      <c r="I629" s="55" t="n">
        <v>356.4</v>
      </c>
      <c r="J629" s="55" t="n">
        <v>638.29</v>
      </c>
      <c r="K629" s="55" t="n">
        <v>0</v>
      </c>
      <c r="L629" s="55" t="n">
        <v>994.6900000000001</v>
      </c>
      <c r="M629" s="55" t="n">
        <v>40.69</v>
      </c>
      <c r="N629" s="36" t="inlineStr">
        <is>
          <t>015574</t>
        </is>
      </c>
      <c r="O629" s="36" t="inlineStr">
        <is>
          <t>MEDIMP</t>
        </is>
      </c>
      <c r="P629" s="36" t="inlineStr">
        <is>
          <t>ASPROD1</t>
        </is>
      </c>
      <c r="Q629" s="36" t="n">
        <v/>
      </c>
    </row>
    <row r="630">
      <c r="A630" s="36" t="inlineStr">
        <is>
          <t>137678</t>
        </is>
      </c>
      <c r="B630" s="52" t="n">
        <v>46028</v>
      </c>
      <c r="C630" s="36" t="inlineStr">
        <is>
          <t>00006027731</t>
        </is>
      </c>
      <c r="D630" s="53" t="inlineStr">
        <is>
          <t>JANUVIA 100MG TAB</t>
        </is>
      </c>
      <c r="E630" s="36" t="n">
        <v>30</v>
      </c>
      <c r="F630" s="54" t="n">
        <v>30</v>
      </c>
      <c r="G630" s="54" t="n">
        <v>1</v>
      </c>
      <c r="H630" s="55" t="n">
        <v>318</v>
      </c>
      <c r="I630" s="55" t="n">
        <v>117</v>
      </c>
      <c r="J630" s="55" t="n">
        <v>212.76</v>
      </c>
      <c r="K630" s="55" t="n">
        <v>0</v>
      </c>
      <c r="L630" s="55" t="n">
        <v>329.76</v>
      </c>
      <c r="M630" s="55" t="n">
        <v>11.76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137451</t>
        </is>
      </c>
      <c r="B631" s="52" t="n">
        <v>46027</v>
      </c>
      <c r="C631" s="36" t="inlineStr">
        <is>
          <t>00006027731</t>
        </is>
      </c>
      <c r="D631" s="53" t="inlineStr">
        <is>
          <t>JANUVIA 100MG TAB</t>
        </is>
      </c>
      <c r="E631" s="36" t="n">
        <v>30</v>
      </c>
      <c r="F631" s="54" t="n">
        <v>90</v>
      </c>
      <c r="G631" s="54" t="n">
        <v>3</v>
      </c>
      <c r="H631" s="55" t="n">
        <v>954</v>
      </c>
      <c r="I631" s="55" t="n">
        <v>346.47</v>
      </c>
      <c r="J631" s="55" t="n">
        <v>638.29</v>
      </c>
      <c r="K631" s="55" t="n">
        <v>4.9</v>
      </c>
      <c r="L631" s="55" t="n">
        <v>989.66</v>
      </c>
      <c r="M631" s="55" t="n">
        <v>35.66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136806</t>
        </is>
      </c>
      <c r="B632" s="52" t="n">
        <v>46020</v>
      </c>
      <c r="C632" s="36" t="inlineStr">
        <is>
          <t>00006027731</t>
        </is>
      </c>
      <c r="D632" s="53" t="inlineStr">
        <is>
          <t>JANUVIA 100MG TAB</t>
        </is>
      </c>
      <c r="E632" s="36" t="n">
        <v>30</v>
      </c>
      <c r="F632" s="54" t="n">
        <v>90</v>
      </c>
      <c r="G632" s="54" t="n">
        <v>3</v>
      </c>
      <c r="H632" s="55" t="n">
        <v>954</v>
      </c>
      <c r="I632" s="55" t="n">
        <v>816.16</v>
      </c>
      <c r="J632" s="55" t="n">
        <v>0</v>
      </c>
      <c r="K632" s="55" t="n">
        <v>0</v>
      </c>
      <c r="L632" s="55" t="n">
        <v>816.16</v>
      </c>
      <c r="M632" s="55" t="n">
        <v>-137.84</v>
      </c>
      <c r="N632" s="36" t="inlineStr">
        <is>
          <t>017010</t>
        </is>
      </c>
      <c r="O632" s="36" t="inlineStr">
        <is>
          <t>EXPRESS</t>
        </is>
      </c>
      <c r="P632" s="36" t="inlineStr">
        <is>
          <t>CIMCARE</t>
        </is>
      </c>
      <c r="Q632" s="36" t="inlineStr">
        <is>
          <t>CIGPDPRX</t>
        </is>
      </c>
    </row>
    <row r="633">
      <c r="A633" s="36" t="inlineStr">
        <is>
          <t>113721</t>
        </is>
      </c>
      <c r="B633" s="52" t="n">
        <v>46011</v>
      </c>
      <c r="C633" s="36" t="inlineStr">
        <is>
          <t>00006027731</t>
        </is>
      </c>
      <c r="D633" s="53" t="inlineStr">
        <is>
          <t>JANUVIA 100MG TAB</t>
        </is>
      </c>
      <c r="E633" s="36" t="n">
        <v>30</v>
      </c>
      <c r="F633" s="54" t="n">
        <v>90</v>
      </c>
      <c r="G633" s="54" t="n">
        <v>3</v>
      </c>
      <c r="H633" s="55" t="n">
        <v>954</v>
      </c>
      <c r="I633" s="55" t="n">
        <v>920.36</v>
      </c>
      <c r="J633" s="55" t="n">
        <v>0</v>
      </c>
      <c r="K633" s="55" t="n">
        <v>0</v>
      </c>
      <c r="L633" s="55" t="n">
        <v>920.36</v>
      </c>
      <c r="M633" s="55" t="n">
        <v>-33.64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119371</t>
        </is>
      </c>
      <c r="B634" s="52" t="n">
        <v>46059</v>
      </c>
      <c r="C634" s="36" t="inlineStr">
        <is>
          <t>00006027731</t>
        </is>
      </c>
      <c r="D634" s="53" t="inlineStr">
        <is>
          <t>JANUVIA 100MG TAB</t>
        </is>
      </c>
      <c r="E634" s="36" t="n">
        <v>30</v>
      </c>
      <c r="F634" s="54" t="n">
        <v>90</v>
      </c>
      <c r="G634" s="54" t="n">
        <v>3</v>
      </c>
      <c r="H634" s="55" t="n">
        <v>963</v>
      </c>
      <c r="I634" s="55" t="n">
        <v>346.47</v>
      </c>
      <c r="J634" s="55" t="n">
        <v>638.29</v>
      </c>
      <c r="K634" s="55" t="n">
        <v>4.9</v>
      </c>
      <c r="L634" s="55" t="n">
        <v>989.66</v>
      </c>
      <c r="M634" s="55" t="n">
        <v>26.66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138331</t>
        </is>
      </c>
      <c r="B635" s="52" t="n">
        <v>46064</v>
      </c>
      <c r="C635" s="36" t="inlineStr">
        <is>
          <t>00006027731</t>
        </is>
      </c>
      <c r="D635" s="53" t="inlineStr">
        <is>
          <t>JANUVIA 100MG TAB</t>
        </is>
      </c>
      <c r="E635" s="36" t="n">
        <v>30</v>
      </c>
      <c r="F635" s="54" t="n">
        <v>90</v>
      </c>
      <c r="G635" s="54" t="n">
        <v>3</v>
      </c>
      <c r="H635" s="55" t="n">
        <v>963</v>
      </c>
      <c r="I635" s="55" t="n">
        <v>351.37</v>
      </c>
      <c r="J635" s="55" t="n">
        <v>638.29</v>
      </c>
      <c r="K635" s="55" t="n">
        <v>0</v>
      </c>
      <c r="L635" s="55" t="n">
        <v>989.66</v>
      </c>
      <c r="M635" s="55" t="n">
        <v>26.66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MEDDADV</t>
        </is>
      </c>
      <c r="Q635" s="36" t="inlineStr">
        <is>
          <t>RX8585</t>
        </is>
      </c>
    </row>
    <row r="636">
      <c r="A636" s="36" t="inlineStr">
        <is>
          <t>134792</t>
        </is>
      </c>
      <c r="B636" s="52" t="n">
        <v>46002</v>
      </c>
      <c r="C636" s="36" t="inlineStr">
        <is>
          <t>00006027731</t>
        </is>
      </c>
      <c r="D636" s="53" t="inlineStr">
        <is>
          <t>JANUVIA 100MG TAB</t>
        </is>
      </c>
      <c r="E636" s="36" t="n">
        <v>30</v>
      </c>
      <c r="F636" s="54" t="n">
        <v>90</v>
      </c>
      <c r="G636" s="54" t="n">
        <v>3</v>
      </c>
      <c r="H636" s="55" t="n">
        <v>954</v>
      </c>
      <c r="I636" s="55" t="n">
        <v>920.36</v>
      </c>
      <c r="J636" s="55" t="n">
        <v>0</v>
      </c>
      <c r="K636" s="55" t="n">
        <v>0</v>
      </c>
      <c r="L636" s="55" t="n">
        <v>920.36</v>
      </c>
      <c r="M636" s="55" t="n">
        <v>-33.64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123265</t>
        </is>
      </c>
      <c r="B637" s="52" t="n">
        <v>46003</v>
      </c>
      <c r="C637" s="36" t="inlineStr">
        <is>
          <t>00006027731</t>
        </is>
      </c>
      <c r="D637" s="53" t="inlineStr">
        <is>
          <t>JANUVIA 100MG TAB</t>
        </is>
      </c>
      <c r="E637" s="36" t="n">
        <v>30</v>
      </c>
      <c r="F637" s="54" t="n">
        <v>90</v>
      </c>
      <c r="G637" s="54" t="n">
        <v>3</v>
      </c>
      <c r="H637" s="55" t="n">
        <v>954</v>
      </c>
      <c r="I637" s="55" t="n">
        <v>920.36</v>
      </c>
      <c r="J637" s="55" t="n">
        <v>0</v>
      </c>
      <c r="K637" s="55" t="n">
        <v>0</v>
      </c>
      <c r="L637" s="55" t="n">
        <v>920.36</v>
      </c>
      <c r="M637" s="55" t="n">
        <v>-33.64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143116</t>
        </is>
      </c>
      <c r="B638" s="52" t="n">
        <v>46065</v>
      </c>
      <c r="C638" s="36" t="inlineStr">
        <is>
          <t>00006027731</t>
        </is>
      </c>
      <c r="D638" s="53" t="inlineStr">
        <is>
          <t>JANUVIA 100MG TAB</t>
        </is>
      </c>
      <c r="E638" s="36" t="n">
        <v>30</v>
      </c>
      <c r="F638" s="54" t="n">
        <v>90</v>
      </c>
      <c r="G638" s="54" t="n">
        <v>3</v>
      </c>
      <c r="H638" s="55" t="n">
        <v>963</v>
      </c>
      <c r="I638" s="55" t="n">
        <v>346.47</v>
      </c>
      <c r="J638" s="55" t="n">
        <v>638.29</v>
      </c>
      <c r="K638" s="55" t="n">
        <v>4.9</v>
      </c>
      <c r="L638" s="55" t="n">
        <v>989.66</v>
      </c>
      <c r="M638" s="55" t="n">
        <v>26.66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137678</t>
        </is>
      </c>
      <c r="B639" s="52" t="n">
        <v>46056</v>
      </c>
      <c r="C639" s="36" t="inlineStr">
        <is>
          <t>00006027731</t>
        </is>
      </c>
      <c r="D639" s="53" t="inlineStr">
        <is>
          <t>JANUVIA 100MG TAB</t>
        </is>
      </c>
      <c r="E639" s="36" t="n">
        <v>30</v>
      </c>
      <c r="F639" s="54" t="n">
        <v>30</v>
      </c>
      <c r="G639" s="54" t="n">
        <v>1</v>
      </c>
      <c r="H639" s="55" t="n">
        <v>321</v>
      </c>
      <c r="I639" s="55" t="n">
        <v>117</v>
      </c>
      <c r="J639" s="55" t="n">
        <v>212.76</v>
      </c>
      <c r="K639" s="55" t="n">
        <v>0</v>
      </c>
      <c r="L639" s="55" t="n">
        <v>329.76</v>
      </c>
      <c r="M639" s="55" t="n">
        <v>8.76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138331</t>
        </is>
      </c>
      <c r="B640" s="52" t="n">
        <v>46031</v>
      </c>
      <c r="C640" s="36" t="inlineStr">
        <is>
          <t>00006027731</t>
        </is>
      </c>
      <c r="D640" s="53" t="inlineStr">
        <is>
          <t>JANUVIA 100MG TAB</t>
        </is>
      </c>
      <c r="E640" s="36" t="n">
        <v>30</v>
      </c>
      <c r="F640" s="54" t="n">
        <v>90</v>
      </c>
      <c r="G640" s="54" t="n">
        <v>3</v>
      </c>
      <c r="H640" s="55" t="n">
        <v>954</v>
      </c>
      <c r="I640" s="55" t="n">
        <v>352.71</v>
      </c>
      <c r="J640" s="55" t="n">
        <v>638.29</v>
      </c>
      <c r="K640" s="55" t="n">
        <v>0</v>
      </c>
      <c r="L640" s="55" t="n">
        <v>991</v>
      </c>
      <c r="M640" s="55" t="n">
        <v>37</v>
      </c>
      <c r="N640" s="36" t="inlineStr">
        <is>
          <t>610014</t>
        </is>
      </c>
      <c r="O640" s="36" t="inlineStr">
        <is>
          <t>EXPRESS</t>
        </is>
      </c>
      <c r="P640" s="36" t="inlineStr">
        <is>
          <t>MEDDPRIME</t>
        </is>
      </c>
      <c r="Q640" s="36" t="inlineStr">
        <is>
          <t>2FFA</t>
        </is>
      </c>
    </row>
    <row r="641">
      <c r="A641" s="36" t="inlineStr">
        <is>
          <t>138531</t>
        </is>
      </c>
      <c r="B641" s="52" t="n">
        <v>46034</v>
      </c>
      <c r="C641" s="36" t="inlineStr">
        <is>
          <t>00006027731</t>
        </is>
      </c>
      <c r="D641" s="53" t="inlineStr">
        <is>
          <t>JANUVIA 100MG TAB</t>
        </is>
      </c>
      <c r="E641" s="36" t="n">
        <v>30</v>
      </c>
      <c r="F641" s="54" t="n">
        <v>90</v>
      </c>
      <c r="G641" s="54" t="n">
        <v>3</v>
      </c>
      <c r="H641" s="55" t="n">
        <v>954</v>
      </c>
      <c r="I641" s="55" t="n">
        <v>346.47</v>
      </c>
      <c r="J641" s="55" t="n">
        <v>638.29</v>
      </c>
      <c r="K641" s="55" t="n">
        <v>4.9</v>
      </c>
      <c r="L641" s="55" t="n">
        <v>989.66</v>
      </c>
      <c r="M641" s="55" t="n">
        <v>35.66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141186</t>
        </is>
      </c>
      <c r="B642" s="52" t="n">
        <v>46052</v>
      </c>
      <c r="C642" s="36" t="inlineStr">
        <is>
          <t>00006027731</t>
        </is>
      </c>
      <c r="D642" s="53" t="inlineStr">
        <is>
          <t>JANUVIA 100MG TAB</t>
        </is>
      </c>
      <c r="E642" s="36" t="n">
        <v>30</v>
      </c>
      <c r="F642" s="54" t="n">
        <v>90</v>
      </c>
      <c r="G642" s="54" t="n">
        <v>3</v>
      </c>
      <c r="H642" s="55" t="n">
        <v>954</v>
      </c>
      <c r="I642" s="55" t="n">
        <v>351.5</v>
      </c>
      <c r="J642" s="55" t="n">
        <v>638.29</v>
      </c>
      <c r="K642" s="55" t="n">
        <v>4.9</v>
      </c>
      <c r="L642" s="55" t="n">
        <v>994.6900000000001</v>
      </c>
      <c r="M642" s="55" t="n">
        <v>40.69</v>
      </c>
      <c r="N642" s="36" t="inlineStr">
        <is>
          <t>015574</t>
        </is>
      </c>
      <c r="O642" s="36" t="inlineStr">
        <is>
          <t>MEDIMP</t>
        </is>
      </c>
      <c r="P642" s="36" t="inlineStr">
        <is>
          <t>ASPROD1</t>
        </is>
      </c>
      <c r="Q642" s="36" t="inlineStr">
        <is>
          <t>VNS01</t>
        </is>
      </c>
    </row>
    <row r="643">
      <c r="A643" s="36" t="inlineStr">
        <is>
          <t>134181</t>
        </is>
      </c>
      <c r="B643" s="52" t="n">
        <v>46006</v>
      </c>
      <c r="C643" s="36" t="inlineStr">
        <is>
          <t>00006027731</t>
        </is>
      </c>
      <c r="D643" s="53" t="inlineStr">
        <is>
          <t>JANUVIA 100MG TAB</t>
        </is>
      </c>
      <c r="E643" s="36" t="n">
        <v>30</v>
      </c>
      <c r="F643" s="54" t="n">
        <v>90</v>
      </c>
      <c r="G643" s="54" t="n">
        <v>3</v>
      </c>
      <c r="H643" s="55" t="n">
        <v>954</v>
      </c>
      <c r="I643" s="55" t="n">
        <v>920.36</v>
      </c>
      <c r="J643" s="55" t="n">
        <v>0</v>
      </c>
      <c r="K643" s="55" t="n">
        <v>0</v>
      </c>
      <c r="L643" s="55" t="n">
        <v>920.36</v>
      </c>
      <c r="M643" s="55" t="n">
        <v>-33.64</v>
      </c>
      <c r="N643" s="36" t="inlineStr">
        <is>
          <t>004336</t>
        </is>
      </c>
      <c r="O643" s="36" t="inlineStr">
        <is>
          <t>CAREMARK</t>
        </is>
      </c>
      <c r="P643" s="36" t="inlineStr">
        <is>
          <t>MEDDADV</t>
        </is>
      </c>
      <c r="Q643" s="36" t="inlineStr">
        <is>
          <t>RX1110</t>
        </is>
      </c>
    </row>
    <row r="644">
      <c r="A644" s="36" t="inlineStr">
        <is>
          <t>141774</t>
        </is>
      </c>
      <c r="B644" s="52" t="n">
        <v>46057</v>
      </c>
      <c r="C644" s="36" t="inlineStr">
        <is>
          <t>00006027731</t>
        </is>
      </c>
      <c r="D644" s="53" t="inlineStr">
        <is>
          <t>JANUVIA 100MG TAB</t>
        </is>
      </c>
      <c r="E644" s="36" t="n">
        <v>30</v>
      </c>
      <c r="F644" s="54" t="n">
        <v>90</v>
      </c>
      <c r="G644" s="54" t="n">
        <v>3</v>
      </c>
      <c r="H644" s="55" t="n">
        <v>963</v>
      </c>
      <c r="I644" s="55" t="n">
        <v>352.71</v>
      </c>
      <c r="J644" s="55" t="n">
        <v>0</v>
      </c>
      <c r="K644" s="55" t="n">
        <v>0</v>
      </c>
      <c r="L644" s="55" t="n">
        <v>352.71</v>
      </c>
      <c r="M644" s="55" t="n">
        <v>-610.29</v>
      </c>
      <c r="N644" s="36" t="inlineStr">
        <is>
          <t>610014</t>
        </is>
      </c>
      <c r="O644" s="36" t="inlineStr">
        <is>
          <t>EXPRESS</t>
        </is>
      </c>
      <c r="P644" s="36" t="inlineStr">
        <is>
          <t>MEDDPRIME</t>
        </is>
      </c>
      <c r="Q644" s="36" t="inlineStr">
        <is>
          <t>2FGA</t>
        </is>
      </c>
    </row>
    <row r="645">
      <c r="A645" s="36" t="inlineStr">
        <is>
          <t>130807</t>
        </is>
      </c>
      <c r="B645" s="52" t="n">
        <v>46060</v>
      </c>
      <c r="C645" s="36" t="inlineStr">
        <is>
          <t>00006027731</t>
        </is>
      </c>
      <c r="D645" s="53" t="inlineStr">
        <is>
          <t>JANUVIA 100MG TAB</t>
        </is>
      </c>
      <c r="E645" s="36" t="n">
        <v>30</v>
      </c>
      <c r="F645" s="54" t="n">
        <v>90</v>
      </c>
      <c r="G645" s="54" t="n">
        <v>3</v>
      </c>
      <c r="H645" s="55" t="n">
        <v>963</v>
      </c>
      <c r="I645" s="55" t="n">
        <v>351.37</v>
      </c>
      <c r="J645" s="55" t="n">
        <v>638.29</v>
      </c>
      <c r="K645" s="55" t="n">
        <v>0</v>
      </c>
      <c r="L645" s="55" t="n">
        <v>989.66</v>
      </c>
      <c r="M645" s="55" t="n">
        <v>26.66</v>
      </c>
      <c r="N645" s="36" t="inlineStr">
        <is>
          <t>004336</t>
        </is>
      </c>
      <c r="O645" s="36" t="inlineStr">
        <is>
          <t>CAREMARK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133824</t>
        </is>
      </c>
      <c r="B646" s="52" t="n">
        <v>45995</v>
      </c>
      <c r="C646" s="36" t="inlineStr">
        <is>
          <t>00006027731</t>
        </is>
      </c>
      <c r="D646" s="53" t="inlineStr">
        <is>
          <t>JANUVIA 100MG TAB</t>
        </is>
      </c>
      <c r="E646" s="36" t="n">
        <v>30</v>
      </c>
      <c r="F646" s="54" t="n">
        <v>90</v>
      </c>
      <c r="G646" s="54" t="n">
        <v>3</v>
      </c>
      <c r="H646" s="55" t="n">
        <v>954</v>
      </c>
      <c r="I646" s="55" t="n">
        <v>920.36</v>
      </c>
      <c r="J646" s="55" t="n">
        <v>0</v>
      </c>
      <c r="K646" s="55" t="n">
        <v>0</v>
      </c>
      <c r="L646" s="55" t="n">
        <v>920.36</v>
      </c>
      <c r="M646" s="55" t="n">
        <v>-33.64</v>
      </c>
      <c r="N646" s="36" t="inlineStr">
        <is>
          <t>004336</t>
        </is>
      </c>
      <c r="O646" s="36" t="inlineStr">
        <is>
          <t>CAREMARK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133674</t>
        </is>
      </c>
      <c r="B647" s="52" t="n">
        <v>45995</v>
      </c>
      <c r="C647" s="36" t="inlineStr">
        <is>
          <t>00006027731</t>
        </is>
      </c>
      <c r="D647" s="53" t="inlineStr">
        <is>
          <t>JANUVIA 100MG TAB</t>
        </is>
      </c>
      <c r="E647" s="36" t="n">
        <v>30</v>
      </c>
      <c r="F647" s="54" t="n">
        <v>90</v>
      </c>
      <c r="G647" s="54" t="n">
        <v>3</v>
      </c>
      <c r="H647" s="55" t="n">
        <v>954</v>
      </c>
      <c r="I647" s="55" t="n">
        <v>920.36</v>
      </c>
      <c r="J647" s="55" t="n">
        <v>0</v>
      </c>
      <c r="K647" s="55" t="n">
        <v>0</v>
      </c>
      <c r="L647" s="55" t="n">
        <v>920.36</v>
      </c>
      <c r="M647" s="55" t="n">
        <v>-33.64</v>
      </c>
      <c r="N647" s="36" t="inlineStr">
        <is>
          <t>004336</t>
        </is>
      </c>
      <c r="O647" s="36" t="inlineStr">
        <is>
          <t>CAREMARK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135046</t>
        </is>
      </c>
      <c r="B648" s="52" t="n">
        <v>46006</v>
      </c>
      <c r="C648" s="36" t="inlineStr">
        <is>
          <t>00006027731</t>
        </is>
      </c>
      <c r="D648" s="53" t="inlineStr">
        <is>
          <t>JANUVIA 100MG TAB</t>
        </is>
      </c>
      <c r="E648" s="36" t="n">
        <v>30</v>
      </c>
      <c r="F648" s="54" t="n">
        <v>90</v>
      </c>
      <c r="G648" s="54" t="n">
        <v>3</v>
      </c>
      <c r="H648" s="55" t="n">
        <v>954</v>
      </c>
      <c r="I648" s="55" t="n">
        <v>959.9400000000001</v>
      </c>
      <c r="J648" s="55" t="n">
        <v>0</v>
      </c>
      <c r="K648" s="55" t="n">
        <v>0</v>
      </c>
      <c r="L648" s="55" t="n">
        <v>959.9400000000001</v>
      </c>
      <c r="M648" s="55" t="n">
        <v>5.94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141204</t>
        </is>
      </c>
      <c r="B649" s="52" t="n">
        <v>46052</v>
      </c>
      <c r="C649" s="36" t="inlineStr">
        <is>
          <t>00006027731</t>
        </is>
      </c>
      <c r="D649" s="53" t="inlineStr">
        <is>
          <t>JANUVIA 100MG TAB</t>
        </is>
      </c>
      <c r="E649" s="36" t="n">
        <v>30</v>
      </c>
      <c r="F649" s="54" t="n">
        <v>90</v>
      </c>
      <c r="G649" s="54" t="n">
        <v>3</v>
      </c>
      <c r="H649" s="55" t="n">
        <v>954</v>
      </c>
      <c r="I649" s="55" t="n">
        <v>960.09</v>
      </c>
      <c r="J649" s="55" t="n">
        <v>0</v>
      </c>
      <c r="K649" s="55" t="n">
        <v>0</v>
      </c>
      <c r="L649" s="55" t="n">
        <v>960.09</v>
      </c>
      <c r="M649" s="55" t="n">
        <v>6.09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135423</t>
        </is>
      </c>
      <c r="B650" s="52" t="n">
        <v>46008</v>
      </c>
      <c r="C650" s="36" t="inlineStr">
        <is>
          <t>00006027731</t>
        </is>
      </c>
      <c r="D650" s="53" t="inlineStr">
        <is>
          <t>JANUVIA 100MG TAB</t>
        </is>
      </c>
      <c r="E650" s="36" t="n">
        <v>30</v>
      </c>
      <c r="F650" s="54" t="n">
        <v>90</v>
      </c>
      <c r="G650" s="54" t="n">
        <v>3</v>
      </c>
      <c r="H650" s="55" t="n">
        <v>954</v>
      </c>
      <c r="I650" s="55" t="n">
        <v>920.36</v>
      </c>
      <c r="J650" s="55" t="n">
        <v>0</v>
      </c>
      <c r="K650" s="55" t="n">
        <v>0</v>
      </c>
      <c r="L650" s="55" t="n">
        <v>920.36</v>
      </c>
      <c r="M650" s="55" t="n">
        <v>-33.64</v>
      </c>
      <c r="N650" s="36" t="inlineStr">
        <is>
          <t>004336</t>
        </is>
      </c>
      <c r="O650" s="36" t="inlineStr">
        <is>
          <t>CAREMARK</t>
        </is>
      </c>
      <c r="P650" s="36" t="inlineStr">
        <is>
          <t>MEDDADV</t>
        </is>
      </c>
      <c r="Q650" s="36" t="inlineStr">
        <is>
          <t>RX1110</t>
        </is>
      </c>
    </row>
    <row r="651">
      <c r="A651" s="36" t="inlineStr">
        <is>
          <t>119181</t>
        </is>
      </c>
      <c r="B651" s="52" t="n">
        <v>45996</v>
      </c>
      <c r="C651" s="36" t="inlineStr">
        <is>
          <t>00006027731</t>
        </is>
      </c>
      <c r="D651" s="53" t="inlineStr">
        <is>
          <t>JANUVIA 100MG TAB</t>
        </is>
      </c>
      <c r="E651" s="36" t="n">
        <v>30</v>
      </c>
      <c r="F651" s="54" t="n">
        <v>30</v>
      </c>
      <c r="G651" s="54" t="n">
        <v>1</v>
      </c>
      <c r="H651" s="55" t="n">
        <v>318</v>
      </c>
      <c r="I651" s="55" t="n">
        <v>291.85</v>
      </c>
      <c r="J651" s="55" t="n">
        <v>0</v>
      </c>
      <c r="K651" s="55" t="n">
        <v>0</v>
      </c>
      <c r="L651" s="55" t="n">
        <v>291.85</v>
      </c>
      <c r="M651" s="55" t="n">
        <v>-26.15</v>
      </c>
      <c r="N651" s="36" t="inlineStr">
        <is>
          <t>017010</t>
        </is>
      </c>
      <c r="O651" s="36" t="inlineStr">
        <is>
          <t>EXPRESS</t>
        </is>
      </c>
      <c r="P651" s="36" t="inlineStr">
        <is>
          <t>CIMCARE</t>
        </is>
      </c>
      <c r="Q651" s="36" t="inlineStr">
        <is>
          <t>CIGPDPRX</t>
        </is>
      </c>
    </row>
    <row r="652">
      <c r="A652" s="36" t="inlineStr">
        <is>
          <t>140578</t>
        </is>
      </c>
      <c r="B652" s="52" t="n">
        <v>46049</v>
      </c>
      <c r="C652" s="36" t="inlineStr">
        <is>
          <t>00006022131</t>
        </is>
      </c>
      <c r="D652" s="53" t="inlineStr">
        <is>
          <t>JANUVIA 25MG TABLET</t>
        </is>
      </c>
      <c r="E652" s="36" t="n">
        <v>30</v>
      </c>
      <c r="F652" s="54" t="n">
        <v>30</v>
      </c>
      <c r="G652" s="54" t="n">
        <v>1</v>
      </c>
      <c r="H652" s="55" t="n">
        <v>318</v>
      </c>
      <c r="I652" s="55" t="n">
        <v>127.74</v>
      </c>
      <c r="J652" s="55" t="n">
        <v>212.76</v>
      </c>
      <c r="K652" s="55" t="n">
        <v>0</v>
      </c>
      <c r="L652" s="55" t="n">
        <v>340.5</v>
      </c>
      <c r="M652" s="55" t="n">
        <v>22.5</v>
      </c>
      <c r="N652" s="36" t="inlineStr">
        <is>
          <t>017010</t>
        </is>
      </c>
      <c r="O652" s="36" t="inlineStr">
        <is>
          <t>EXPRESS</t>
        </is>
      </c>
      <c r="P652" s="36" t="inlineStr">
        <is>
          <t>CIMCARE</t>
        </is>
      </c>
      <c r="Q652" s="36" t="inlineStr">
        <is>
          <t>CIGPDPRX</t>
        </is>
      </c>
    </row>
    <row r="653">
      <c r="A653" s="36" t="inlineStr">
        <is>
          <t>133719</t>
        </is>
      </c>
      <c r="B653" s="52" t="n">
        <v>45995</v>
      </c>
      <c r="C653" s="36" t="inlineStr">
        <is>
          <t>00006022131</t>
        </is>
      </c>
      <c r="D653" s="53" t="inlineStr">
        <is>
          <t>JANUVIA 25MG TABLET</t>
        </is>
      </c>
      <c r="E653" s="36" t="n">
        <v>30</v>
      </c>
      <c r="F653" s="54" t="n">
        <v>30</v>
      </c>
      <c r="G653" s="54" t="n">
        <v>1</v>
      </c>
      <c r="H653" s="55" t="n">
        <v>318</v>
      </c>
      <c r="I653" s="55" t="n">
        <v>291.85</v>
      </c>
      <c r="J653" s="55" t="n">
        <v>0</v>
      </c>
      <c r="K653" s="55" t="n">
        <v>0</v>
      </c>
      <c r="L653" s="55" t="n">
        <v>291.85</v>
      </c>
      <c r="M653" s="55" t="n">
        <v>-26.15</v>
      </c>
      <c r="N653" s="36" t="inlineStr">
        <is>
          <t>017010</t>
        </is>
      </c>
      <c r="O653" s="36" t="inlineStr">
        <is>
          <t>EXPRESS</t>
        </is>
      </c>
      <c r="P653" s="36" t="inlineStr">
        <is>
          <t>CIMCARE</t>
        </is>
      </c>
      <c r="Q653" s="36" t="inlineStr">
        <is>
          <t>CIGPDPRX</t>
        </is>
      </c>
    </row>
    <row r="654">
      <c r="A654" s="36" t="inlineStr">
        <is>
          <t>144507</t>
        </is>
      </c>
      <c r="B654" s="52" t="n">
        <v>46077</v>
      </c>
      <c r="C654" s="36" t="inlineStr">
        <is>
          <t>00006022131</t>
        </is>
      </c>
      <c r="D654" s="53" t="inlineStr">
        <is>
          <t>JANUVIA 25MG TABLET</t>
        </is>
      </c>
      <c r="E654" s="36" t="n">
        <v>30</v>
      </c>
      <c r="F654" s="54" t="n">
        <v>30</v>
      </c>
      <c r="G654" s="54" t="n">
        <v>1</v>
      </c>
      <c r="H654" s="55" t="n">
        <v>318</v>
      </c>
      <c r="I654" s="55" t="n">
        <v>127.74</v>
      </c>
      <c r="J654" s="55" t="n">
        <v>212.76</v>
      </c>
      <c r="K654" s="55" t="n">
        <v>0</v>
      </c>
      <c r="L654" s="55" t="n">
        <v>340.5</v>
      </c>
      <c r="M654" s="55" t="n">
        <v>22.5</v>
      </c>
      <c r="N654" s="36" t="inlineStr">
        <is>
          <t>017010</t>
        </is>
      </c>
      <c r="O654" s="36" t="inlineStr">
        <is>
          <t>EXPRESS</t>
        </is>
      </c>
      <c r="P654" s="36" t="inlineStr">
        <is>
          <t>CIMCARE</t>
        </is>
      </c>
      <c r="Q654" s="36" t="inlineStr">
        <is>
          <t>CIGPDPRX</t>
        </is>
      </c>
    </row>
    <row r="655">
      <c r="A655" s="36" t="inlineStr">
        <is>
          <t>137130</t>
        </is>
      </c>
      <c r="B655" s="52" t="n">
        <v>46022</v>
      </c>
      <c r="C655" s="36" t="inlineStr">
        <is>
          <t>00006022131</t>
        </is>
      </c>
      <c r="D655" s="53" t="inlineStr">
        <is>
          <t>JANUVIA 25MG TABLET</t>
        </is>
      </c>
      <c r="E655" s="36" t="n">
        <v>30</v>
      </c>
      <c r="F655" s="54" t="n">
        <v>30</v>
      </c>
      <c r="G655" s="54" t="n">
        <v>1</v>
      </c>
      <c r="H655" s="55" t="n">
        <v>318</v>
      </c>
      <c r="I655" s="55" t="n">
        <v>291.85</v>
      </c>
      <c r="J655" s="55" t="n">
        <v>0</v>
      </c>
      <c r="K655" s="55" t="n">
        <v>0</v>
      </c>
      <c r="L655" s="55" t="n">
        <v>291.85</v>
      </c>
      <c r="M655" s="55" t="n">
        <v>-26.15</v>
      </c>
      <c r="N655" s="36" t="inlineStr">
        <is>
          <t>017010</t>
        </is>
      </c>
      <c r="O655" s="36" t="inlineStr">
        <is>
          <t>EXPRESS</t>
        </is>
      </c>
      <c r="P655" s="36" t="inlineStr">
        <is>
          <t>CIMCARE</t>
        </is>
      </c>
      <c r="Q655" s="36" t="inlineStr">
        <is>
          <t>CIGPDPRX</t>
        </is>
      </c>
    </row>
    <row r="656">
      <c r="A656" s="36" t="inlineStr">
        <is>
          <t>137059</t>
        </is>
      </c>
      <c r="B656" s="52" t="n">
        <v>46022</v>
      </c>
      <c r="C656" s="36" t="inlineStr">
        <is>
          <t>00006022131</t>
        </is>
      </c>
      <c r="D656" s="53" t="inlineStr">
        <is>
          <t>JANUVIA 25MG TABLET</t>
        </is>
      </c>
      <c r="E656" s="36" t="n">
        <v>30</v>
      </c>
      <c r="F656" s="54" t="n">
        <v>90</v>
      </c>
      <c r="G656" s="54" t="n">
        <v>3</v>
      </c>
      <c r="H656" s="55" t="n">
        <v>954</v>
      </c>
      <c r="I656" s="55" t="n">
        <v>920.36</v>
      </c>
      <c r="J656" s="55" t="n">
        <v>0</v>
      </c>
      <c r="K656" s="55" t="n">
        <v>0</v>
      </c>
      <c r="L656" s="55" t="n">
        <v>920.36</v>
      </c>
      <c r="M656" s="55" t="n">
        <v>-33.64</v>
      </c>
      <c r="N656" s="36" t="inlineStr">
        <is>
          <t>004336</t>
        </is>
      </c>
      <c r="O656" s="36" t="inlineStr">
        <is>
          <t>CAREMARK</t>
        </is>
      </c>
      <c r="P656" s="36" t="inlineStr">
        <is>
          <t>MEDDADV</t>
        </is>
      </c>
      <c r="Q656" s="36" t="inlineStr">
        <is>
          <t>RX1110</t>
        </is>
      </c>
    </row>
    <row r="657">
      <c r="A657" s="36" t="inlineStr">
        <is>
          <t>126587</t>
        </is>
      </c>
      <c r="B657" s="52" t="n">
        <v>45995</v>
      </c>
      <c r="C657" s="36" t="inlineStr">
        <is>
          <t>00006022131</t>
        </is>
      </c>
      <c r="D657" s="53" t="inlineStr">
        <is>
          <t>JANUVIA 25MG TABLET</t>
        </is>
      </c>
      <c r="E657" s="36" t="n">
        <v>30</v>
      </c>
      <c r="F657" s="54" t="n">
        <v>30</v>
      </c>
      <c r="G657" s="54" t="n">
        <v>1</v>
      </c>
      <c r="H657" s="55" t="n">
        <v>318</v>
      </c>
      <c r="I657" s="55" t="n">
        <v>311.02</v>
      </c>
      <c r="J657" s="55" t="n">
        <v>0</v>
      </c>
      <c r="K657" s="55" t="n">
        <v>0</v>
      </c>
      <c r="L657" s="55" t="n">
        <v>311.02</v>
      </c>
      <c r="M657" s="55" t="n">
        <v>-6.98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MEDDADV</t>
        </is>
      </c>
      <c r="Q657" s="36" t="inlineStr">
        <is>
          <t>RX1110</t>
        </is>
      </c>
    </row>
    <row r="658">
      <c r="A658" s="36" t="inlineStr">
        <is>
          <t>142289</t>
        </is>
      </c>
      <c r="B658" s="52" t="n">
        <v>46062</v>
      </c>
      <c r="C658" s="36" t="inlineStr">
        <is>
          <t>00006011231</t>
        </is>
      </c>
      <c r="D658" s="53" t="inlineStr">
        <is>
          <t>JANUVIA 50MG TABLET</t>
        </is>
      </c>
      <c r="E658" s="36" t="n">
        <v>30</v>
      </c>
      <c r="F658" s="54" t="n">
        <v>90</v>
      </c>
      <c r="G658" s="54" t="n">
        <v>3</v>
      </c>
      <c r="H658" s="55" t="n">
        <v>963</v>
      </c>
      <c r="I658" s="55" t="n">
        <v>351.37</v>
      </c>
      <c r="J658" s="55" t="n">
        <v>638.29</v>
      </c>
      <c r="K658" s="55" t="n">
        <v>0</v>
      </c>
      <c r="L658" s="55" t="n">
        <v>989.66</v>
      </c>
      <c r="M658" s="55" t="n">
        <v>26.66</v>
      </c>
      <c r="N658" s="36" t="inlineStr">
        <is>
          <t>004336</t>
        </is>
      </c>
      <c r="O658" s="36" t="inlineStr">
        <is>
          <t>CAREMARK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138860</t>
        </is>
      </c>
      <c r="B659" s="52" t="n">
        <v>46035</v>
      </c>
      <c r="C659" s="36" t="inlineStr">
        <is>
          <t>00006011231</t>
        </is>
      </c>
      <c r="D659" s="53" t="inlineStr">
        <is>
          <t>JANUVIA 50MG TABLET</t>
        </is>
      </c>
      <c r="E659" s="36" t="n">
        <v>30</v>
      </c>
      <c r="F659" s="54" t="n">
        <v>90</v>
      </c>
      <c r="G659" s="54" t="n">
        <v>3</v>
      </c>
      <c r="H659" s="55" t="n">
        <v>954</v>
      </c>
      <c r="I659" s="55" t="n">
        <v>351.37</v>
      </c>
      <c r="J659" s="55" t="n">
        <v>638.29</v>
      </c>
      <c r="K659" s="55" t="n">
        <v>0</v>
      </c>
      <c r="L659" s="55" t="n">
        <v>989.66</v>
      </c>
      <c r="M659" s="55" t="n">
        <v>35.66</v>
      </c>
      <c r="N659" s="36" t="inlineStr">
        <is>
          <t>004336</t>
        </is>
      </c>
      <c r="O659" s="36" t="inlineStr">
        <is>
          <t>CAREMARK</t>
        </is>
      </c>
      <c r="P659" s="36" t="inlineStr">
        <is>
          <t>MEDDADV</t>
        </is>
      </c>
      <c r="Q659" s="36" t="inlineStr">
        <is>
          <t>RX1110</t>
        </is>
      </c>
    </row>
    <row r="660">
      <c r="A660" s="36" t="inlineStr">
        <is>
          <t>124233</t>
        </is>
      </c>
      <c r="B660" s="52" t="n">
        <v>46010</v>
      </c>
      <c r="C660" s="36" t="inlineStr">
        <is>
          <t>00006011231</t>
        </is>
      </c>
      <c r="D660" s="53" t="inlineStr">
        <is>
          <t>JANUVIA 50MG TABLET</t>
        </is>
      </c>
      <c r="E660" s="36" t="n">
        <v>30</v>
      </c>
      <c r="F660" s="54" t="n">
        <v>90</v>
      </c>
      <c r="G660" s="54" t="n">
        <v>3</v>
      </c>
      <c r="H660" s="55" t="n">
        <v>954</v>
      </c>
      <c r="I660" s="55" t="n">
        <v>906.0599999999999</v>
      </c>
      <c r="J660" s="55" t="n">
        <v>0</v>
      </c>
      <c r="K660" s="55" t="n">
        <v>4.8</v>
      </c>
      <c r="L660" s="55" t="n">
        <v>910.86</v>
      </c>
      <c r="M660" s="55" t="n">
        <v>-43.14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MEDDADV</t>
        </is>
      </c>
      <c r="Q660" s="36" t="inlineStr">
        <is>
          <t>RX8585</t>
        </is>
      </c>
    </row>
    <row r="661">
      <c r="A661" s="36" t="inlineStr">
        <is>
          <t>124258</t>
        </is>
      </c>
      <c r="B661" s="52" t="n">
        <v>46010</v>
      </c>
      <c r="C661" s="36" t="inlineStr">
        <is>
          <t>00006011231</t>
        </is>
      </c>
      <c r="D661" s="53" t="inlineStr">
        <is>
          <t>JANUVIA 50MG TABLET</t>
        </is>
      </c>
      <c r="E661" s="36" t="n">
        <v>30</v>
      </c>
      <c r="F661" s="54" t="n">
        <v>90</v>
      </c>
      <c r="G661" s="54" t="n">
        <v>3</v>
      </c>
      <c r="H661" s="55" t="n">
        <v>954</v>
      </c>
      <c r="I661" s="55" t="n">
        <v>860.71</v>
      </c>
      <c r="J661" s="55" t="n">
        <v>0</v>
      </c>
      <c r="K661" s="55" t="n">
        <v>0</v>
      </c>
      <c r="L661" s="55" t="n">
        <v>860.71</v>
      </c>
      <c r="M661" s="55" t="n">
        <v>-93.29000000000001</v>
      </c>
      <c r="N661" s="36" t="inlineStr">
        <is>
          <t>003858</t>
        </is>
      </c>
      <c r="O661" s="36" t="inlineStr">
        <is>
          <t>EXPRESS</t>
        </is>
      </c>
      <c r="P661" s="36" t="inlineStr">
        <is>
          <t>A4</t>
        </is>
      </c>
      <c r="Q661" s="36" t="inlineStr">
        <is>
          <t>2GKA</t>
        </is>
      </c>
    </row>
    <row r="662">
      <c r="A662" s="36" t="inlineStr">
        <is>
          <t>135049</t>
        </is>
      </c>
      <c r="B662" s="52" t="n">
        <v>46034</v>
      </c>
      <c r="C662" s="36" t="inlineStr">
        <is>
          <t>00006011231</t>
        </is>
      </c>
      <c r="D662" s="53" t="inlineStr">
        <is>
          <t>JANUVIA 50MG TABLET</t>
        </is>
      </c>
      <c r="E662" s="36" t="n">
        <v>30</v>
      </c>
      <c r="F662" s="54" t="n">
        <v>30</v>
      </c>
      <c r="G662" s="54" t="n">
        <v>1</v>
      </c>
      <c r="H662" s="55" t="n">
        <v>318</v>
      </c>
      <c r="I662" s="55" t="n">
        <v>326.82</v>
      </c>
      <c r="J662" s="55" t="n">
        <v>0</v>
      </c>
      <c r="K662" s="55" t="n">
        <v>0</v>
      </c>
      <c r="L662" s="55" t="n">
        <v>326.82</v>
      </c>
      <c r="M662" s="55" t="n">
        <v>8.82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132015</t>
        </is>
      </c>
      <c r="B663" s="52" t="n">
        <v>46008</v>
      </c>
      <c r="C663" s="36" t="inlineStr">
        <is>
          <t>00006011231</t>
        </is>
      </c>
      <c r="D663" s="53" t="inlineStr">
        <is>
          <t>JANUVIA 50MG TABLET</t>
        </is>
      </c>
      <c r="E663" s="36" t="n">
        <v>30</v>
      </c>
      <c r="F663" s="54" t="n">
        <v>30</v>
      </c>
      <c r="G663" s="54" t="n">
        <v>1</v>
      </c>
      <c r="H663" s="55" t="n">
        <v>318</v>
      </c>
      <c r="I663" s="55" t="n">
        <v>303.93</v>
      </c>
      <c r="J663" s="55" t="n">
        <v>0</v>
      </c>
      <c r="K663" s="55" t="n">
        <v>0</v>
      </c>
      <c r="L663" s="55" t="n">
        <v>303.93</v>
      </c>
      <c r="M663" s="55" t="n">
        <v>-14.07</v>
      </c>
      <c r="N663" s="36" t="inlineStr">
        <is>
          <t>400023</t>
        </is>
      </c>
      <c r="O663" s="36" t="inlineStr">
        <is>
          <t>EXPRESS</t>
        </is>
      </c>
      <c r="P663" s="36" t="inlineStr">
        <is>
          <t>01071998</t>
        </is>
      </c>
      <c r="Q663" s="36" t="n">
        <v/>
      </c>
    </row>
    <row r="664">
      <c r="A664" s="36" t="inlineStr">
        <is>
          <t>116072</t>
        </is>
      </c>
      <c r="B664" s="52" t="n">
        <v>46022</v>
      </c>
      <c r="C664" s="36" t="inlineStr">
        <is>
          <t>00006011231</t>
        </is>
      </c>
      <c r="D664" s="53" t="inlineStr">
        <is>
          <t>JANUVIA 50MG TABLET</t>
        </is>
      </c>
      <c r="E664" s="36" t="n">
        <v>30</v>
      </c>
      <c r="F664" s="54" t="n">
        <v>30</v>
      </c>
      <c r="G664" s="54" t="n">
        <v>1</v>
      </c>
      <c r="H664" s="55" t="n">
        <v>318</v>
      </c>
      <c r="I664" s="55" t="n">
        <v>295.02</v>
      </c>
      <c r="J664" s="55" t="n">
        <v>0</v>
      </c>
      <c r="K664" s="55" t="n">
        <v>0</v>
      </c>
      <c r="L664" s="55" t="n">
        <v>295.02</v>
      </c>
      <c r="M664" s="55" t="n">
        <v>-22.98</v>
      </c>
      <c r="N664" s="36" t="inlineStr">
        <is>
          <t>610014</t>
        </is>
      </c>
      <c r="O664" s="36" t="inlineStr">
        <is>
          <t>EXPRESS</t>
        </is>
      </c>
      <c r="P664" s="36" t="inlineStr">
        <is>
          <t>MEDDPRIME</t>
        </is>
      </c>
      <c r="Q664" s="36" t="inlineStr">
        <is>
          <t>2FFA</t>
        </is>
      </c>
    </row>
    <row r="665">
      <c r="A665" s="36" t="inlineStr">
        <is>
          <t>138446</t>
        </is>
      </c>
      <c r="B665" s="52" t="n">
        <v>46032</v>
      </c>
      <c r="C665" s="36" t="inlineStr">
        <is>
          <t>00006011231</t>
        </is>
      </c>
      <c r="D665" s="53" t="inlineStr">
        <is>
          <t>JANUVIA 50MG TABLET</t>
        </is>
      </c>
      <c r="E665" s="36" t="n">
        <v>30</v>
      </c>
      <c r="F665" s="54" t="n">
        <v>90</v>
      </c>
      <c r="G665" s="54" t="n">
        <v>3</v>
      </c>
      <c r="H665" s="55" t="n">
        <v>954</v>
      </c>
      <c r="I665" s="55" t="n">
        <v>346.47</v>
      </c>
      <c r="J665" s="55" t="n">
        <v>638.29</v>
      </c>
      <c r="K665" s="55" t="n">
        <v>4.9</v>
      </c>
      <c r="L665" s="55" t="n">
        <v>989.66</v>
      </c>
      <c r="M665" s="55" t="n">
        <v>35.66</v>
      </c>
      <c r="N665" s="36" t="inlineStr">
        <is>
          <t>004336</t>
        </is>
      </c>
      <c r="O665" s="36" t="inlineStr">
        <is>
          <t>CAREMARK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135049</t>
        </is>
      </c>
      <c r="B666" s="52" t="n">
        <v>46006</v>
      </c>
      <c r="C666" s="36" t="inlineStr">
        <is>
          <t>00006011231</t>
        </is>
      </c>
      <c r="D666" s="53" t="inlineStr">
        <is>
          <t>JANUVIA 50MG TABLET</t>
        </is>
      </c>
      <c r="E666" s="36" t="n">
        <v>30</v>
      </c>
      <c r="F666" s="54" t="n">
        <v>30</v>
      </c>
      <c r="G666" s="54" t="n">
        <v>1</v>
      </c>
      <c r="H666" s="55" t="n">
        <v>318</v>
      </c>
      <c r="I666" s="55" t="n">
        <v>326.78</v>
      </c>
      <c r="J666" s="55" t="n">
        <v>0</v>
      </c>
      <c r="K666" s="55" t="n">
        <v>0</v>
      </c>
      <c r="L666" s="55" t="n">
        <v>326.78</v>
      </c>
      <c r="M666" s="55" t="n">
        <v>8.779999999999999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142886</t>
        </is>
      </c>
      <c r="B667" s="52" t="n">
        <v>46064</v>
      </c>
      <c r="C667" s="36" t="inlineStr">
        <is>
          <t>00006011231</t>
        </is>
      </c>
      <c r="D667" s="53" t="inlineStr">
        <is>
          <t>JANUVIA 50MG TABLET</t>
        </is>
      </c>
      <c r="E667" s="36" t="n">
        <v>30</v>
      </c>
      <c r="F667" s="54" t="n">
        <v>60</v>
      </c>
      <c r="G667" s="54" t="n">
        <v>2</v>
      </c>
      <c r="H667" s="55" t="n">
        <v>642</v>
      </c>
      <c r="I667" s="55" t="n">
        <v>234.77</v>
      </c>
      <c r="J667" s="55" t="n">
        <v>425.53</v>
      </c>
      <c r="K667" s="55" t="n">
        <v>0</v>
      </c>
      <c r="L667" s="55" t="n">
        <v>660.3</v>
      </c>
      <c r="M667" s="55" t="n">
        <v>18.3</v>
      </c>
      <c r="N667" s="36" t="inlineStr">
        <is>
          <t>015599</t>
        </is>
      </c>
      <c r="O667" s="36" t="inlineStr">
        <is>
          <t>ARG/HUM</t>
        </is>
      </c>
      <c r="P667" s="36" t="inlineStr">
        <is>
          <t>05440000</t>
        </is>
      </c>
      <c r="Q667" s="36" t="n">
        <v/>
      </c>
    </row>
    <row r="668">
      <c r="A668" s="36" t="inlineStr">
        <is>
          <t>107980</t>
        </is>
      </c>
      <c r="B668" s="52" t="n">
        <v>46048</v>
      </c>
      <c r="C668" s="36" t="inlineStr">
        <is>
          <t>00006011231</t>
        </is>
      </c>
      <c r="D668" s="53" t="inlineStr">
        <is>
          <t>JANUVIA 50MG TABLET</t>
        </is>
      </c>
      <c r="E668" s="36" t="n">
        <v>30</v>
      </c>
      <c r="F668" s="54" t="n">
        <v>90</v>
      </c>
      <c r="G668" s="54" t="n">
        <v>3</v>
      </c>
      <c r="H668" s="55" t="n">
        <v>954</v>
      </c>
      <c r="I668" s="55" t="n">
        <v>346.47</v>
      </c>
      <c r="J668" s="55" t="n">
        <v>638.29</v>
      </c>
      <c r="K668" s="55" t="n">
        <v>4.9</v>
      </c>
      <c r="L668" s="55" t="n">
        <v>989.66</v>
      </c>
      <c r="M668" s="55" t="n">
        <v>35.66</v>
      </c>
      <c r="N668" s="36" t="inlineStr">
        <is>
          <t>004336</t>
        </is>
      </c>
      <c r="O668" s="36" t="inlineStr">
        <is>
          <t>CAREMARK</t>
        </is>
      </c>
      <c r="P668" s="36" t="inlineStr">
        <is>
          <t>MEDDADV</t>
        </is>
      </c>
      <c r="Q668" s="36" t="inlineStr">
        <is>
          <t>RX1110</t>
        </is>
      </c>
    </row>
    <row r="669">
      <c r="A669" s="36" t="inlineStr">
        <is>
          <t>116072</t>
        </is>
      </c>
      <c r="B669" s="52" t="n">
        <v>46049</v>
      </c>
      <c r="C669" s="36" t="inlineStr">
        <is>
          <t>00006011231</t>
        </is>
      </c>
      <c r="D669" s="53" t="inlineStr">
        <is>
          <t>JANUVIA 50MG TABLET</t>
        </is>
      </c>
      <c r="E669" s="36" t="n">
        <v>30</v>
      </c>
      <c r="F669" s="54" t="n">
        <v>30</v>
      </c>
      <c r="G669" s="54" t="n">
        <v>1</v>
      </c>
      <c r="H669" s="55" t="n">
        <v>318</v>
      </c>
      <c r="I669" s="55" t="n">
        <v>113.34</v>
      </c>
      <c r="J669" s="55" t="n">
        <v>212.76</v>
      </c>
      <c r="K669" s="55" t="n">
        <v>4.9</v>
      </c>
      <c r="L669" s="55" t="n">
        <v>331</v>
      </c>
      <c r="M669" s="55" t="n">
        <v>13</v>
      </c>
      <c r="N669" s="36" t="inlineStr">
        <is>
          <t>610014</t>
        </is>
      </c>
      <c r="O669" s="36" t="inlineStr">
        <is>
          <t>EXPRESS</t>
        </is>
      </c>
      <c r="P669" s="36" t="inlineStr">
        <is>
          <t>MEDDPRIME</t>
        </is>
      </c>
      <c r="Q669" s="36" t="inlineStr">
        <is>
          <t>2FFA</t>
        </is>
      </c>
    </row>
    <row r="670">
      <c r="A670" s="36" t="inlineStr">
        <is>
          <t>133092</t>
        </is>
      </c>
      <c r="B670" s="52" t="n">
        <v>45992</v>
      </c>
      <c r="C670" s="36" t="inlineStr">
        <is>
          <t>00006011231</t>
        </is>
      </c>
      <c r="D670" s="53" t="inlineStr">
        <is>
          <t>JANUVIA 50MG TABLET</t>
        </is>
      </c>
      <c r="E670" s="36" t="n">
        <v>30</v>
      </c>
      <c r="F670" s="54" t="n">
        <v>90</v>
      </c>
      <c r="G670" s="54" t="n">
        <v>3</v>
      </c>
      <c r="H670" s="55" t="n">
        <v>954</v>
      </c>
      <c r="I670" s="55" t="n">
        <v>920.36</v>
      </c>
      <c r="J670" s="55" t="n">
        <v>0</v>
      </c>
      <c r="K670" s="55" t="n">
        <v>0</v>
      </c>
      <c r="L670" s="55" t="n">
        <v>920.36</v>
      </c>
      <c r="M670" s="55" t="n">
        <v>-33.64</v>
      </c>
      <c r="N670" s="36" t="inlineStr">
        <is>
          <t>004336</t>
        </is>
      </c>
      <c r="O670" s="36" t="inlineStr">
        <is>
          <t>CAREMARK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131732</t>
        </is>
      </c>
      <c r="B671" s="52" t="n">
        <v>46069</v>
      </c>
      <c r="C671" s="36" t="inlineStr">
        <is>
          <t>00006011231</t>
        </is>
      </c>
      <c r="D671" s="53" t="inlineStr">
        <is>
          <t>JANUVIA 50MG TABLET</t>
        </is>
      </c>
      <c r="E671" s="36" t="n">
        <v>30</v>
      </c>
      <c r="F671" s="54" t="n">
        <v>90</v>
      </c>
      <c r="G671" s="54" t="n">
        <v>3</v>
      </c>
      <c r="H671" s="55" t="n">
        <v>963</v>
      </c>
      <c r="I671" s="55" t="n">
        <v>316.71</v>
      </c>
      <c r="J671" s="55" t="n">
        <v>638.29</v>
      </c>
      <c r="K671" s="55" t="n">
        <v>45</v>
      </c>
      <c r="L671" s="55" t="n">
        <v>1000</v>
      </c>
      <c r="M671" s="55" t="n">
        <v>37</v>
      </c>
      <c r="N671" s="36" t="inlineStr">
        <is>
          <t>610455</t>
        </is>
      </c>
      <c r="O671" s="36" t="inlineStr">
        <is>
          <t>PRIMECAPRX</t>
        </is>
      </c>
      <c r="P671" s="36" t="inlineStr">
        <is>
          <t>NY4000</t>
        </is>
      </c>
      <c r="Q671" s="36" t="inlineStr">
        <is>
          <t>MAPD</t>
        </is>
      </c>
    </row>
    <row r="672">
      <c r="A672" s="36" t="inlineStr">
        <is>
          <t>137603</t>
        </is>
      </c>
      <c r="B672" s="52" t="n">
        <v>46027</v>
      </c>
      <c r="C672" s="36" t="inlineStr">
        <is>
          <t>00006011231</t>
        </is>
      </c>
      <c r="D672" s="53" t="inlineStr">
        <is>
          <t>JANUVIA 50MG TABLET</t>
        </is>
      </c>
      <c r="E672" s="36" t="n">
        <v>30</v>
      </c>
      <c r="F672" s="54" t="n">
        <v>90</v>
      </c>
      <c r="G672" s="54" t="n">
        <v>3</v>
      </c>
      <c r="H672" s="55" t="n">
        <v>954</v>
      </c>
      <c r="I672" s="55" t="n">
        <v>351.37</v>
      </c>
      <c r="J672" s="55" t="n">
        <v>638.29</v>
      </c>
      <c r="K672" s="55" t="n">
        <v>0</v>
      </c>
      <c r="L672" s="55" t="n">
        <v>989.66</v>
      </c>
      <c r="M672" s="55" t="n">
        <v>35.66</v>
      </c>
      <c r="N672" s="36" t="inlineStr">
        <is>
          <t>004336</t>
        </is>
      </c>
      <c r="O672" s="36" t="inlineStr">
        <is>
          <t>CAREMARK</t>
        </is>
      </c>
      <c r="P672" s="36" t="inlineStr">
        <is>
          <t>MEDDADV</t>
        </is>
      </c>
      <c r="Q672" s="36" t="inlineStr">
        <is>
          <t>RX1110</t>
        </is>
      </c>
    </row>
    <row r="673">
      <c r="A673" s="36" t="inlineStr">
        <is>
          <t>142710</t>
        </is>
      </c>
      <c r="B673" s="52" t="n">
        <v>46064</v>
      </c>
      <c r="C673" s="36" t="inlineStr">
        <is>
          <t>00006011231</t>
        </is>
      </c>
      <c r="D673" s="53" t="inlineStr">
        <is>
          <t>JANUVIA 50MG TABLET</t>
        </is>
      </c>
      <c r="E673" s="36" t="n">
        <v>30</v>
      </c>
      <c r="F673" s="54" t="n">
        <v>90</v>
      </c>
      <c r="G673" s="54" t="n">
        <v>3</v>
      </c>
      <c r="H673" s="55" t="n">
        <v>963</v>
      </c>
      <c r="I673" s="55" t="n">
        <v>351.37</v>
      </c>
      <c r="J673" s="55" t="n">
        <v>638.29</v>
      </c>
      <c r="K673" s="55" t="n">
        <v>0</v>
      </c>
      <c r="L673" s="55" t="n">
        <v>989.66</v>
      </c>
      <c r="M673" s="55" t="n">
        <v>26.66</v>
      </c>
      <c r="N673" s="36" t="inlineStr">
        <is>
          <t>004336</t>
        </is>
      </c>
      <c r="O673" s="36" t="inlineStr">
        <is>
          <t>CAREMARK</t>
        </is>
      </c>
      <c r="P673" s="36" t="inlineStr">
        <is>
          <t>MEDDADV</t>
        </is>
      </c>
      <c r="Q673" s="36" t="inlineStr">
        <is>
          <t>RX1110</t>
        </is>
      </c>
    </row>
    <row r="674">
      <c r="A674" s="36" t="inlineStr">
        <is>
          <t>116072</t>
        </is>
      </c>
      <c r="B674" s="52" t="n">
        <v>45996</v>
      </c>
      <c r="C674" s="36" t="inlineStr">
        <is>
          <t>00006011231</t>
        </is>
      </c>
      <c r="D674" s="53" t="inlineStr">
        <is>
          <t>JANUVIA 50MG TABLET</t>
        </is>
      </c>
      <c r="E674" s="36" t="n">
        <v>30</v>
      </c>
      <c r="F674" s="54" t="n">
        <v>30</v>
      </c>
      <c r="G674" s="54" t="n">
        <v>1</v>
      </c>
      <c r="H674" s="55" t="n">
        <v>318</v>
      </c>
      <c r="I674" s="55" t="n">
        <v>295.02</v>
      </c>
      <c r="J674" s="55" t="n">
        <v>0</v>
      </c>
      <c r="K674" s="55" t="n">
        <v>0</v>
      </c>
      <c r="L674" s="55" t="n">
        <v>295.02</v>
      </c>
      <c r="M674" s="55" t="n">
        <v>-22.98</v>
      </c>
      <c r="N674" s="36" t="inlineStr">
        <is>
          <t>610014</t>
        </is>
      </c>
      <c r="O674" s="36" t="inlineStr">
        <is>
          <t>EXPRESS</t>
        </is>
      </c>
      <c r="P674" s="36" t="inlineStr">
        <is>
          <t>MEDDPRIME</t>
        </is>
      </c>
      <c r="Q674" s="36" t="inlineStr">
        <is>
          <t>2FFA</t>
        </is>
      </c>
    </row>
    <row r="675">
      <c r="A675" s="36" t="inlineStr">
        <is>
          <t>116072</t>
        </is>
      </c>
      <c r="B675" s="52" t="n">
        <v>46077</v>
      </c>
      <c r="C675" s="36" t="inlineStr">
        <is>
          <t>00006011231</t>
        </is>
      </c>
      <c r="D675" s="53" t="inlineStr">
        <is>
          <t>JANUVIA 50MG TABLET</t>
        </is>
      </c>
      <c r="E675" s="36" t="n">
        <v>30</v>
      </c>
      <c r="F675" s="54" t="n">
        <v>30</v>
      </c>
      <c r="G675" s="54" t="n">
        <v>1</v>
      </c>
      <c r="H675" s="55" t="n">
        <v>321</v>
      </c>
      <c r="I675" s="55" t="n">
        <v>113.34</v>
      </c>
      <c r="J675" s="55" t="n">
        <v>212.76</v>
      </c>
      <c r="K675" s="55" t="n">
        <v>4.9</v>
      </c>
      <c r="L675" s="55" t="n">
        <v>331</v>
      </c>
      <c r="M675" s="55" t="n">
        <v>10</v>
      </c>
      <c r="N675" s="36" t="inlineStr">
        <is>
          <t>610014</t>
        </is>
      </c>
      <c r="O675" s="36" t="inlineStr">
        <is>
          <t>EXPRESS</t>
        </is>
      </c>
      <c r="P675" s="36" t="inlineStr">
        <is>
          <t>MEDDPRIME</t>
        </is>
      </c>
      <c r="Q675" s="36" t="inlineStr">
        <is>
          <t>2FFA</t>
        </is>
      </c>
    </row>
    <row r="676">
      <c r="A676" s="36" t="inlineStr">
        <is>
          <t>99751</t>
        </is>
      </c>
      <c r="B676" s="52" t="n">
        <v>46020</v>
      </c>
      <c r="C676" s="36" t="inlineStr">
        <is>
          <t>00006011231</t>
        </is>
      </c>
      <c r="D676" s="53" t="inlineStr">
        <is>
          <t>JANUVIA 50MG TABLET</t>
        </is>
      </c>
      <c r="E676" s="36" t="n">
        <v>30</v>
      </c>
      <c r="F676" s="54" t="n">
        <v>90</v>
      </c>
      <c r="G676" s="54" t="n">
        <v>3</v>
      </c>
      <c r="H676" s="55" t="n">
        <v>954</v>
      </c>
      <c r="I676" s="55" t="n">
        <v>885.0599999999999</v>
      </c>
      <c r="J676" s="55" t="n">
        <v>0</v>
      </c>
      <c r="K676" s="55" t="n">
        <v>0</v>
      </c>
      <c r="L676" s="55" t="n">
        <v>885.0599999999999</v>
      </c>
      <c r="M676" s="55" t="n">
        <v>-68.94</v>
      </c>
      <c r="N676" s="36" t="inlineStr">
        <is>
          <t>015574</t>
        </is>
      </c>
      <c r="O676" s="36" t="inlineStr">
        <is>
          <t>MEDIMP</t>
        </is>
      </c>
      <c r="P676" s="36" t="inlineStr">
        <is>
          <t>ASPROD1</t>
        </is>
      </c>
      <c r="Q676" s="36" t="inlineStr">
        <is>
          <t>VNS01</t>
        </is>
      </c>
    </row>
    <row r="677">
      <c r="A677" s="36" t="inlineStr">
        <is>
          <t>130931</t>
        </is>
      </c>
      <c r="B677" s="52" t="n">
        <v>46060</v>
      </c>
      <c r="C677" s="36" t="inlineStr">
        <is>
          <t>00597015230</t>
        </is>
      </c>
      <c r="D677" s="53" t="inlineStr">
        <is>
          <t xml:space="preserve">JARDIANCE 10MG TAB </t>
        </is>
      </c>
      <c r="E677" s="36" t="n">
        <v>30</v>
      </c>
      <c r="F677" s="54" t="n">
        <v>90</v>
      </c>
      <c r="G677" s="54" t="n">
        <v>3</v>
      </c>
      <c r="H677" s="55" t="n">
        <v>1020</v>
      </c>
      <c r="I677" s="55" t="n">
        <v>606.22</v>
      </c>
      <c r="J677" s="55" t="n">
        <v>438.54</v>
      </c>
      <c r="K677" s="55" t="n">
        <v>4.9</v>
      </c>
      <c r="L677" s="55" t="n">
        <v>1049.66</v>
      </c>
      <c r="M677" s="55" t="n">
        <v>29.66</v>
      </c>
      <c r="N677" s="36" t="inlineStr">
        <is>
          <t>004336</t>
        </is>
      </c>
      <c r="O677" s="36" t="inlineStr">
        <is>
          <t>CAREMARK</t>
        </is>
      </c>
      <c r="P677" s="36" t="inlineStr">
        <is>
          <t>MEDDADV</t>
        </is>
      </c>
      <c r="Q677" s="36" t="inlineStr">
        <is>
          <t>RX1110</t>
        </is>
      </c>
    </row>
    <row r="678">
      <c r="A678" s="36" t="inlineStr">
        <is>
          <t>132102</t>
        </is>
      </c>
      <c r="B678" s="52" t="n">
        <v>46070</v>
      </c>
      <c r="C678" s="36" t="inlineStr">
        <is>
          <t>00597015230</t>
        </is>
      </c>
      <c r="D678" s="53" t="inlineStr">
        <is>
          <t xml:space="preserve">JARDIANCE 10MG TAB </t>
        </is>
      </c>
      <c r="E678" s="36" t="n">
        <v>30</v>
      </c>
      <c r="F678" s="54" t="n">
        <v>90</v>
      </c>
      <c r="G678" s="54" t="n">
        <v>3</v>
      </c>
      <c r="H678" s="55" t="n">
        <v>1020</v>
      </c>
      <c r="I678" s="55" t="n">
        <v>1016.84</v>
      </c>
      <c r="J678" s="55" t="n">
        <v>0</v>
      </c>
      <c r="K678" s="55" t="n">
        <v>1</v>
      </c>
      <c r="L678" s="55" t="n">
        <v>1017.84</v>
      </c>
      <c r="M678" s="55" t="n">
        <v>-2.16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142225</t>
        </is>
      </c>
      <c r="B679" s="52" t="n">
        <v>46059</v>
      </c>
      <c r="C679" s="36" t="inlineStr">
        <is>
          <t>00597015230</t>
        </is>
      </c>
      <c r="D679" s="53" t="inlineStr">
        <is>
          <t xml:space="preserve">JARDIANCE 10MG TAB </t>
        </is>
      </c>
      <c r="E679" s="36" t="n">
        <v>30</v>
      </c>
      <c r="F679" s="54" t="n">
        <v>90</v>
      </c>
      <c r="G679" s="54" t="n">
        <v>3</v>
      </c>
      <c r="H679" s="55" t="n">
        <v>1020</v>
      </c>
      <c r="I679" s="55" t="n">
        <v>621.96</v>
      </c>
      <c r="J679" s="55" t="n">
        <v>438.54</v>
      </c>
      <c r="K679" s="55" t="n">
        <v>0</v>
      </c>
      <c r="L679" s="55" t="n">
        <v>1060.5</v>
      </c>
      <c r="M679" s="55" t="n">
        <v>40.5</v>
      </c>
      <c r="N679" s="36" t="inlineStr">
        <is>
          <t>017010</t>
        </is>
      </c>
      <c r="O679" s="36" t="inlineStr">
        <is>
          <t>EXPRESS</t>
        </is>
      </c>
      <c r="P679" s="36" t="inlineStr">
        <is>
          <t>CIMCARE</t>
        </is>
      </c>
      <c r="Q679" s="36" t="inlineStr">
        <is>
          <t>CIGPDPRX</t>
        </is>
      </c>
    </row>
    <row r="680">
      <c r="A680" s="36" t="inlineStr">
        <is>
          <t>122702</t>
        </is>
      </c>
      <c r="B680" s="52" t="n">
        <v>45995</v>
      </c>
      <c r="C680" s="36" t="inlineStr">
        <is>
          <t>00597015230</t>
        </is>
      </c>
      <c r="D680" s="53" t="inlineStr">
        <is>
          <t xml:space="preserve">JARDIANCE 10MG TAB </t>
        </is>
      </c>
      <c r="E680" s="36" t="n">
        <v>30</v>
      </c>
      <c r="F680" s="54" t="n">
        <v>30</v>
      </c>
      <c r="G680" s="54" t="n">
        <v>1</v>
      </c>
      <c r="H680" s="55" t="n">
        <v>606</v>
      </c>
      <c r="I680" s="55" t="n">
        <v>614.13</v>
      </c>
      <c r="J680" s="55" t="n">
        <v>0</v>
      </c>
      <c r="K680" s="55" t="n">
        <v>0</v>
      </c>
      <c r="L680" s="55" t="n">
        <v>614.13</v>
      </c>
      <c r="M680" s="55" t="n">
        <v>8.130000000000001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135037</t>
        </is>
      </c>
      <c r="B681" s="52" t="n">
        <v>46006</v>
      </c>
      <c r="C681" s="36" t="inlineStr">
        <is>
          <t>00597015230</t>
        </is>
      </c>
      <c r="D681" s="53" t="inlineStr">
        <is>
          <t xml:space="preserve">JARDIANCE 10MG TAB </t>
        </is>
      </c>
      <c r="E681" s="36" t="n">
        <v>30</v>
      </c>
      <c r="F681" s="54" t="n">
        <v>30</v>
      </c>
      <c r="G681" s="54" t="n">
        <v>1</v>
      </c>
      <c r="H681" s="55" t="n">
        <v>606</v>
      </c>
      <c r="I681" s="55" t="n">
        <v>598.79</v>
      </c>
      <c r="J681" s="55" t="n">
        <v>0</v>
      </c>
      <c r="K681" s="55" t="n">
        <v>0</v>
      </c>
      <c r="L681" s="55" t="n">
        <v>598.79</v>
      </c>
      <c r="M681" s="55" t="n">
        <v>-7.21</v>
      </c>
      <c r="N681" s="36" t="inlineStr">
        <is>
          <t>015574</t>
        </is>
      </c>
      <c r="O681" s="36" t="inlineStr">
        <is>
          <t>MEDIMP</t>
        </is>
      </c>
      <c r="P681" s="36" t="inlineStr">
        <is>
          <t>ASPROD1</t>
        </is>
      </c>
      <c r="Q681" s="36" t="inlineStr">
        <is>
          <t>VNS01</t>
        </is>
      </c>
    </row>
    <row r="682">
      <c r="A682" s="36" t="inlineStr">
        <is>
          <t>144564</t>
        </is>
      </c>
      <c r="B682" s="52" t="n">
        <v>46077</v>
      </c>
      <c r="C682" s="36" t="inlineStr">
        <is>
          <t>00597015230</t>
        </is>
      </c>
      <c r="D682" s="53" t="inlineStr">
        <is>
          <t xml:space="preserve">JARDIANCE 10MG TAB </t>
        </is>
      </c>
      <c r="E682" s="36" t="n">
        <v>30</v>
      </c>
      <c r="F682" s="54" t="n">
        <v>90</v>
      </c>
      <c r="G682" s="54" t="n">
        <v>3</v>
      </c>
      <c r="H682" s="55" t="n">
        <v>1020</v>
      </c>
      <c r="I682" s="55" t="n">
        <v>606.22</v>
      </c>
      <c r="J682" s="55" t="n">
        <v>438.54</v>
      </c>
      <c r="K682" s="55" t="n">
        <v>4.9</v>
      </c>
      <c r="L682" s="55" t="n">
        <v>1049.66</v>
      </c>
      <c r="M682" s="55" t="n">
        <v>29.66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133948</t>
        </is>
      </c>
      <c r="B683" s="52" t="n">
        <v>45996</v>
      </c>
      <c r="C683" s="36" t="inlineStr">
        <is>
          <t>00597015230</t>
        </is>
      </c>
      <c r="D683" s="53" t="inlineStr">
        <is>
          <t xml:space="preserve">JARDIANCE 10MG TAB </t>
        </is>
      </c>
      <c r="E683" s="36" t="n">
        <v>30</v>
      </c>
      <c r="F683" s="54" t="n">
        <v>90</v>
      </c>
      <c r="G683" s="54" t="n">
        <v>3</v>
      </c>
      <c r="H683" s="55" t="n">
        <v>1818</v>
      </c>
      <c r="I683" s="55" t="n">
        <v>1821.03</v>
      </c>
      <c r="J683" s="55" t="n">
        <v>0</v>
      </c>
      <c r="K683" s="55" t="n">
        <v>1</v>
      </c>
      <c r="L683" s="55" t="n">
        <v>1822.03</v>
      </c>
      <c r="M683" s="55" t="n">
        <v>4.03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144530</t>
        </is>
      </c>
      <c r="B684" s="52" t="n">
        <v>46077</v>
      </c>
      <c r="C684" s="36" t="inlineStr">
        <is>
          <t>00597015230</t>
        </is>
      </c>
      <c r="D684" s="53" t="inlineStr">
        <is>
          <t xml:space="preserve">JARDIANCE 10MG TAB </t>
        </is>
      </c>
      <c r="E684" s="36" t="n">
        <v>30</v>
      </c>
      <c r="F684" s="54" t="n">
        <v>30</v>
      </c>
      <c r="G684" s="54" t="n">
        <v>1</v>
      </c>
      <c r="H684" s="55" t="n">
        <v>340</v>
      </c>
      <c r="I684" s="55" t="n">
        <v>346.07</v>
      </c>
      <c r="J684" s="55" t="n">
        <v>0</v>
      </c>
      <c r="K684" s="55" t="n">
        <v>0</v>
      </c>
      <c r="L684" s="55" t="n">
        <v>346.07</v>
      </c>
      <c r="M684" s="55" t="n">
        <v>6.07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110099</t>
        </is>
      </c>
      <c r="B685" s="52" t="n">
        <v>46072</v>
      </c>
      <c r="C685" s="36" t="inlineStr">
        <is>
          <t>00597015230</t>
        </is>
      </c>
      <c r="D685" s="53" t="inlineStr">
        <is>
          <t xml:space="preserve">JARDIANCE 10MG TAB </t>
        </is>
      </c>
      <c r="E685" s="36" t="n">
        <v>30</v>
      </c>
      <c r="F685" s="54" t="n">
        <v>90</v>
      </c>
      <c r="G685" s="54" t="n">
        <v>3</v>
      </c>
      <c r="H685" s="55" t="n">
        <v>1020</v>
      </c>
      <c r="I685" s="55" t="n">
        <v>606.22</v>
      </c>
      <c r="J685" s="55" t="n">
        <v>438.54</v>
      </c>
      <c r="K685" s="55" t="n">
        <v>4.9</v>
      </c>
      <c r="L685" s="55" t="n">
        <v>1049.66</v>
      </c>
      <c r="M685" s="55" t="n">
        <v>29.66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135051</t>
        </is>
      </c>
      <c r="B686" s="52" t="n">
        <v>46006</v>
      </c>
      <c r="C686" s="36" t="inlineStr">
        <is>
          <t>00597015230</t>
        </is>
      </c>
      <c r="D686" s="53" t="inlineStr">
        <is>
          <t xml:space="preserve">JARDIANCE 10MG TAB </t>
        </is>
      </c>
      <c r="E686" s="36" t="n">
        <v>30</v>
      </c>
      <c r="F686" s="54" t="n">
        <v>90</v>
      </c>
      <c r="G686" s="54" t="n">
        <v>3</v>
      </c>
      <c r="H686" s="55" t="n">
        <v>1818</v>
      </c>
      <c r="I686" s="55" t="n">
        <v>1755.78</v>
      </c>
      <c r="J686" s="55" t="n">
        <v>0</v>
      </c>
      <c r="K686" s="55" t="n">
        <v>0</v>
      </c>
      <c r="L686" s="55" t="n">
        <v>1755.78</v>
      </c>
      <c r="M686" s="55" t="n">
        <v>-62.22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RX1110</t>
        </is>
      </c>
    </row>
    <row r="687">
      <c r="A687" s="36" t="inlineStr">
        <is>
          <t>142175</t>
        </is>
      </c>
      <c r="B687" s="52" t="n">
        <v>46059</v>
      </c>
      <c r="C687" s="36" t="inlineStr">
        <is>
          <t>00597015230</t>
        </is>
      </c>
      <c r="D687" s="53" t="inlineStr">
        <is>
          <t xml:space="preserve">JARDIANCE 10MG TAB </t>
        </is>
      </c>
      <c r="E687" s="36" t="n">
        <v>30</v>
      </c>
      <c r="F687" s="54" t="n">
        <v>90</v>
      </c>
      <c r="G687" s="54" t="n">
        <v>3</v>
      </c>
      <c r="H687" s="55" t="n">
        <v>1020</v>
      </c>
      <c r="I687" s="55" t="n">
        <v>606.22</v>
      </c>
      <c r="J687" s="55" t="n">
        <v>438.54</v>
      </c>
      <c r="K687" s="55" t="n">
        <v>4.9</v>
      </c>
      <c r="L687" s="55" t="n">
        <v>1049.66</v>
      </c>
      <c r="M687" s="55" t="n">
        <v>29.66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MEDDADV</t>
        </is>
      </c>
      <c r="Q687" s="36" t="inlineStr">
        <is>
          <t>RX8585</t>
        </is>
      </c>
    </row>
    <row r="688">
      <c r="A688" s="36" t="inlineStr">
        <is>
          <t>140621</t>
        </is>
      </c>
      <c r="B688" s="52" t="n">
        <v>46077</v>
      </c>
      <c r="C688" s="36" t="inlineStr">
        <is>
          <t>00597015230</t>
        </is>
      </c>
      <c r="D688" s="53" t="inlineStr">
        <is>
          <t xml:space="preserve">JARDIANCE 10MG TAB </t>
        </is>
      </c>
      <c r="E688" s="36" t="n">
        <v>30</v>
      </c>
      <c r="F688" s="54" t="n">
        <v>30</v>
      </c>
      <c r="G688" s="54" t="n">
        <v>1</v>
      </c>
      <c r="H688" s="55" t="n">
        <v>340</v>
      </c>
      <c r="I688" s="55" t="n">
        <v>345.07</v>
      </c>
      <c r="J688" s="55" t="n">
        <v>0</v>
      </c>
      <c r="K688" s="55" t="n">
        <v>1</v>
      </c>
      <c r="L688" s="55" t="n">
        <v>346.07</v>
      </c>
      <c r="M688" s="55" t="n">
        <v>6.07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142130</t>
        </is>
      </c>
      <c r="B689" s="52" t="n">
        <v>46059</v>
      </c>
      <c r="C689" s="36" t="inlineStr">
        <is>
          <t>00597015230</t>
        </is>
      </c>
      <c r="D689" s="53" t="inlineStr">
        <is>
          <t xml:space="preserve">JARDIANCE 10MG TAB </t>
        </is>
      </c>
      <c r="E689" s="36" t="n">
        <v>30</v>
      </c>
      <c r="F689" s="54" t="n">
        <v>90</v>
      </c>
      <c r="G689" s="54" t="n">
        <v>3</v>
      </c>
      <c r="H689" s="55" t="n">
        <v>1020</v>
      </c>
      <c r="I689" s="55" t="n">
        <v>571.17</v>
      </c>
      <c r="J689" s="55" t="n">
        <v>438.54</v>
      </c>
      <c r="K689" s="55" t="n">
        <v>40</v>
      </c>
      <c r="L689" s="55" t="n">
        <v>1049.71</v>
      </c>
      <c r="M689" s="55" t="n">
        <v>29.71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RXCVSD</t>
        </is>
      </c>
    </row>
    <row r="690">
      <c r="A690" s="36" t="inlineStr">
        <is>
          <t>139138</t>
        </is>
      </c>
      <c r="B690" s="52" t="n">
        <v>46037</v>
      </c>
      <c r="C690" s="36" t="inlineStr">
        <is>
          <t>00597015230</t>
        </is>
      </c>
      <c r="D690" s="53" t="inlineStr">
        <is>
          <t xml:space="preserve">JARDIANCE 10MG TAB </t>
        </is>
      </c>
      <c r="E690" s="36" t="n">
        <v>30</v>
      </c>
      <c r="F690" s="54" t="n">
        <v>90</v>
      </c>
      <c r="G690" s="54" t="n">
        <v>3</v>
      </c>
      <c r="H690" s="55" t="n">
        <v>1014</v>
      </c>
      <c r="I690" s="55" t="n">
        <v>611.12</v>
      </c>
      <c r="J690" s="55" t="n">
        <v>438.54</v>
      </c>
      <c r="K690" s="55" t="n">
        <v>0</v>
      </c>
      <c r="L690" s="55" t="n">
        <v>1049.66</v>
      </c>
      <c r="M690" s="55" t="n">
        <v>35.66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122708</t>
        </is>
      </c>
      <c r="B691" s="52" t="n">
        <v>46006</v>
      </c>
      <c r="C691" s="36" t="inlineStr">
        <is>
          <t>00597015230</t>
        </is>
      </c>
      <c r="D691" s="53" t="inlineStr">
        <is>
          <t xml:space="preserve">JARDIANCE 10MG TAB </t>
        </is>
      </c>
      <c r="E691" s="36" t="n">
        <v>30</v>
      </c>
      <c r="F691" s="54" t="n">
        <v>60</v>
      </c>
      <c r="G691" s="54" t="n">
        <v>2</v>
      </c>
      <c r="H691" s="55" t="n">
        <v>1212</v>
      </c>
      <c r="I691" s="55" t="n">
        <v>1199.21</v>
      </c>
      <c r="J691" s="55" t="n">
        <v>0</v>
      </c>
      <c r="K691" s="55" t="n">
        <v>0</v>
      </c>
      <c r="L691" s="55" t="n">
        <v>1199.21</v>
      </c>
      <c r="M691" s="55" t="n">
        <v>-12.79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123542</t>
        </is>
      </c>
      <c r="B692" s="52" t="n">
        <v>46004</v>
      </c>
      <c r="C692" s="36" t="inlineStr">
        <is>
          <t>00597015230</t>
        </is>
      </c>
      <c r="D692" s="53" t="inlineStr">
        <is>
          <t xml:space="preserve">JARDIANCE 10MG TAB </t>
        </is>
      </c>
      <c r="E692" s="36" t="n">
        <v>30</v>
      </c>
      <c r="F692" s="54" t="n">
        <v>90</v>
      </c>
      <c r="G692" s="54" t="n">
        <v>3</v>
      </c>
      <c r="H692" s="55" t="n">
        <v>1818</v>
      </c>
      <c r="I692" s="55" t="n">
        <v>1708.78</v>
      </c>
      <c r="J692" s="55" t="n">
        <v>0</v>
      </c>
      <c r="K692" s="55" t="n">
        <v>47</v>
      </c>
      <c r="L692" s="55" t="n">
        <v>1755.78</v>
      </c>
      <c r="M692" s="55" t="n">
        <v>-62.22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139186</t>
        </is>
      </c>
      <c r="B693" s="52" t="n">
        <v>46037</v>
      </c>
      <c r="C693" s="36" t="inlineStr">
        <is>
          <t>00597015230</t>
        </is>
      </c>
      <c r="D693" s="53" t="inlineStr">
        <is>
          <t xml:space="preserve">JARDIANCE 10MG TAB </t>
        </is>
      </c>
      <c r="E693" s="36" t="n">
        <v>30</v>
      </c>
      <c r="F693" s="54" t="n">
        <v>90</v>
      </c>
      <c r="G693" s="54" t="n">
        <v>3</v>
      </c>
      <c r="H693" s="55" t="n">
        <v>1014</v>
      </c>
      <c r="I693" s="55" t="n">
        <v>606.27</v>
      </c>
      <c r="J693" s="55" t="n">
        <v>438.54</v>
      </c>
      <c r="K693" s="55" t="n">
        <v>4.9</v>
      </c>
      <c r="L693" s="55" t="n">
        <v>1049.71</v>
      </c>
      <c r="M693" s="55" t="n">
        <v>35.71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RXCVSD</t>
        </is>
      </c>
    </row>
    <row r="694">
      <c r="A694" s="36" t="inlineStr">
        <is>
          <t>134591</t>
        </is>
      </c>
      <c r="B694" s="52" t="n">
        <v>46001</v>
      </c>
      <c r="C694" s="36" t="inlineStr">
        <is>
          <t>00597015230</t>
        </is>
      </c>
      <c r="D694" s="53" t="inlineStr">
        <is>
          <t xml:space="preserve">JARDIANCE 10MG TAB </t>
        </is>
      </c>
      <c r="E694" s="36" t="n">
        <v>30</v>
      </c>
      <c r="F694" s="54" t="n">
        <v>90</v>
      </c>
      <c r="G694" s="54" t="n">
        <v>3</v>
      </c>
      <c r="H694" s="55" t="n">
        <v>1818</v>
      </c>
      <c r="I694" s="55" t="n">
        <v>1822.03</v>
      </c>
      <c r="J694" s="55" t="n">
        <v>0</v>
      </c>
      <c r="K694" s="55" t="n">
        <v>0</v>
      </c>
      <c r="L694" s="55" t="n">
        <v>1822.03</v>
      </c>
      <c r="M694" s="55" t="n">
        <v>4.03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134530</t>
        </is>
      </c>
      <c r="B695" s="52" t="n">
        <v>46001</v>
      </c>
      <c r="C695" s="36" t="inlineStr">
        <is>
          <t>00597015230</t>
        </is>
      </c>
      <c r="D695" s="53" t="inlineStr">
        <is>
          <t xml:space="preserve">JARDIANCE 10MG TAB </t>
        </is>
      </c>
      <c r="E695" s="36" t="n">
        <v>30</v>
      </c>
      <c r="F695" s="54" t="n">
        <v>90</v>
      </c>
      <c r="G695" s="54" t="n">
        <v>3</v>
      </c>
      <c r="H695" s="55" t="n">
        <v>1818</v>
      </c>
      <c r="I695" s="55" t="n">
        <v>1764.05</v>
      </c>
      <c r="J695" s="55" t="n">
        <v>0</v>
      </c>
      <c r="K695" s="55" t="n">
        <v>0</v>
      </c>
      <c r="L695" s="55" t="n">
        <v>1764.05</v>
      </c>
      <c r="M695" s="55" t="n">
        <v>-53.95</v>
      </c>
      <c r="N695" s="36" t="inlineStr">
        <is>
          <t>004336</t>
        </is>
      </c>
      <c r="O695" s="36" t="inlineStr">
        <is>
          <t>CAREMARK</t>
        </is>
      </c>
      <c r="P695" s="36" t="inlineStr">
        <is>
          <t>ADV</t>
        </is>
      </c>
      <c r="Q695" s="36" t="inlineStr">
        <is>
          <t>RX1104</t>
        </is>
      </c>
    </row>
    <row r="696">
      <c r="A696" s="36" t="inlineStr">
        <is>
          <t>126746</t>
        </is>
      </c>
      <c r="B696" s="52" t="n">
        <v>46027</v>
      </c>
      <c r="C696" s="36" t="inlineStr">
        <is>
          <t>00597015230</t>
        </is>
      </c>
      <c r="D696" s="53" t="inlineStr">
        <is>
          <t xml:space="preserve">JARDIANCE 10MG TAB </t>
        </is>
      </c>
      <c r="E696" s="36" t="n">
        <v>30</v>
      </c>
      <c r="F696" s="54" t="n">
        <v>90</v>
      </c>
      <c r="G696" s="54" t="n">
        <v>3</v>
      </c>
      <c r="H696" s="55" t="n">
        <v>1014</v>
      </c>
      <c r="I696" s="55" t="n">
        <v>606.22</v>
      </c>
      <c r="J696" s="55" t="n">
        <v>438.54</v>
      </c>
      <c r="K696" s="55" t="n">
        <v>4.9</v>
      </c>
      <c r="L696" s="55" t="n">
        <v>1049.66</v>
      </c>
      <c r="M696" s="55" t="n">
        <v>35.66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142693</t>
        </is>
      </c>
      <c r="B697" s="52" t="n">
        <v>46064</v>
      </c>
      <c r="C697" s="36" t="inlineStr">
        <is>
          <t>00597015230</t>
        </is>
      </c>
      <c r="D697" s="53" t="inlineStr">
        <is>
          <t xml:space="preserve">JARDIANCE 10MG TAB </t>
        </is>
      </c>
      <c r="E697" s="36" t="n">
        <v>30</v>
      </c>
      <c r="F697" s="54" t="n">
        <v>90</v>
      </c>
      <c r="G697" s="54" t="n">
        <v>3</v>
      </c>
      <c r="H697" s="55" t="n">
        <v>1020</v>
      </c>
      <c r="I697" s="55" t="n">
        <v>996.03</v>
      </c>
      <c r="J697" s="55" t="n">
        <v>0</v>
      </c>
      <c r="K697" s="55" t="n">
        <v>0</v>
      </c>
      <c r="L697" s="55" t="n">
        <v>996.03</v>
      </c>
      <c r="M697" s="55" t="n">
        <v>-23.97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ADV</t>
        </is>
      </c>
      <c r="Q697" s="36" t="inlineStr">
        <is>
          <t>RX1103</t>
        </is>
      </c>
    </row>
    <row r="698">
      <c r="A698" s="36" t="inlineStr">
        <is>
          <t>131954</t>
        </is>
      </c>
      <c r="B698" s="52" t="n">
        <v>46064</v>
      </c>
      <c r="C698" s="36" t="inlineStr">
        <is>
          <t>00597015230</t>
        </is>
      </c>
      <c r="D698" s="53" t="inlineStr">
        <is>
          <t xml:space="preserve">JARDIANCE 10MG TAB </t>
        </is>
      </c>
      <c r="E698" s="36" t="n">
        <v>30</v>
      </c>
      <c r="F698" s="54" t="n">
        <v>30</v>
      </c>
      <c r="G698" s="54" t="n">
        <v>1</v>
      </c>
      <c r="H698" s="55" t="n">
        <v>340</v>
      </c>
      <c r="I698" s="55" t="n">
        <v>345.07</v>
      </c>
      <c r="J698" s="55" t="n">
        <v>0</v>
      </c>
      <c r="K698" s="55" t="n">
        <v>1</v>
      </c>
      <c r="L698" s="55" t="n">
        <v>346.07</v>
      </c>
      <c r="M698" s="55" t="n">
        <v>6.07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122594</t>
        </is>
      </c>
      <c r="B699" s="52" t="n">
        <v>45994</v>
      </c>
      <c r="C699" s="36" t="inlineStr">
        <is>
          <t>00597015230</t>
        </is>
      </c>
      <c r="D699" s="53" t="inlineStr">
        <is>
          <t xml:space="preserve">JARDIANCE 10MG TAB </t>
        </is>
      </c>
      <c r="E699" s="36" t="n">
        <v>30</v>
      </c>
      <c r="F699" s="54" t="n">
        <v>30</v>
      </c>
      <c r="G699" s="54" t="n">
        <v>1</v>
      </c>
      <c r="H699" s="55" t="n">
        <v>606</v>
      </c>
      <c r="I699" s="55" t="n">
        <v>556.67</v>
      </c>
      <c r="J699" s="55" t="n">
        <v>0</v>
      </c>
      <c r="K699" s="55" t="n">
        <v>0</v>
      </c>
      <c r="L699" s="55" t="n">
        <v>556.67</v>
      </c>
      <c r="M699" s="55" t="n">
        <v>-49.33</v>
      </c>
      <c r="N699" s="36" t="inlineStr">
        <is>
          <t>017010</t>
        </is>
      </c>
      <c r="O699" s="36" t="inlineStr">
        <is>
          <t>EXPRESS</t>
        </is>
      </c>
      <c r="P699" s="36" t="inlineStr">
        <is>
          <t>CIMCARE</t>
        </is>
      </c>
      <c r="Q699" s="36" t="inlineStr">
        <is>
          <t>CIGPDPRX</t>
        </is>
      </c>
    </row>
    <row r="700">
      <c r="A700" s="36" t="inlineStr">
        <is>
          <t>142599</t>
        </is>
      </c>
      <c r="B700" s="52" t="n">
        <v>46063</v>
      </c>
      <c r="C700" s="36" t="inlineStr">
        <is>
          <t>00597015230</t>
        </is>
      </c>
      <c r="D700" s="53" t="inlineStr">
        <is>
          <t xml:space="preserve">JARDIANCE 10MG TAB </t>
        </is>
      </c>
      <c r="E700" s="36" t="n">
        <v>30</v>
      </c>
      <c r="F700" s="54" t="n">
        <v>90</v>
      </c>
      <c r="G700" s="54" t="n">
        <v>3</v>
      </c>
      <c r="H700" s="55" t="n">
        <v>1020</v>
      </c>
      <c r="I700" s="55" t="n">
        <v>606.22</v>
      </c>
      <c r="J700" s="55" t="n">
        <v>438.54</v>
      </c>
      <c r="K700" s="55" t="n">
        <v>4.9</v>
      </c>
      <c r="L700" s="55" t="n">
        <v>1049.66</v>
      </c>
      <c r="M700" s="55" t="n">
        <v>29.66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122708</t>
        </is>
      </c>
      <c r="B701" s="52" t="n">
        <v>46063</v>
      </c>
      <c r="C701" s="36" t="inlineStr">
        <is>
          <t>00597015230</t>
        </is>
      </c>
      <c r="D701" s="53" t="inlineStr">
        <is>
          <t xml:space="preserve">JARDIANCE 10MG TAB </t>
        </is>
      </c>
      <c r="E701" s="36" t="n">
        <v>30</v>
      </c>
      <c r="F701" s="54" t="n">
        <v>60</v>
      </c>
      <c r="G701" s="54" t="n">
        <v>2</v>
      </c>
      <c r="H701" s="55" t="n">
        <v>680</v>
      </c>
      <c r="I701" s="55" t="n">
        <v>407.4</v>
      </c>
      <c r="J701" s="55" t="n">
        <v>292.36</v>
      </c>
      <c r="K701" s="55" t="n">
        <v>0</v>
      </c>
      <c r="L701" s="55" t="n">
        <v>699.76</v>
      </c>
      <c r="M701" s="55" t="n">
        <v>19.76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RX8585</t>
        </is>
      </c>
    </row>
    <row r="702">
      <c r="A702" s="36" t="inlineStr">
        <is>
          <t>116082</t>
        </is>
      </c>
      <c r="B702" s="52" t="n">
        <v>46003</v>
      </c>
      <c r="C702" s="36" t="inlineStr">
        <is>
          <t>00597015230</t>
        </is>
      </c>
      <c r="D702" s="53" t="inlineStr">
        <is>
          <t xml:space="preserve">JARDIANCE 10MG TAB </t>
        </is>
      </c>
      <c r="E702" s="36" t="n">
        <v>30</v>
      </c>
      <c r="F702" s="54" t="n">
        <v>30</v>
      </c>
      <c r="G702" s="54" t="n">
        <v>1</v>
      </c>
      <c r="H702" s="55" t="n">
        <v>606</v>
      </c>
      <c r="I702" s="55" t="n">
        <v>593.4400000000001</v>
      </c>
      <c r="J702" s="55" t="n">
        <v>0</v>
      </c>
      <c r="K702" s="55" t="n">
        <v>0</v>
      </c>
      <c r="L702" s="55" t="n">
        <v>593.4400000000001</v>
      </c>
      <c r="M702" s="55" t="n">
        <v>-12.56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139219</t>
        </is>
      </c>
      <c r="B703" s="52" t="n">
        <v>46037</v>
      </c>
      <c r="C703" s="36" t="inlineStr">
        <is>
          <t>00597015230</t>
        </is>
      </c>
      <c r="D703" s="53" t="inlineStr">
        <is>
          <t xml:space="preserve">JARDIANCE 10MG TAB </t>
        </is>
      </c>
      <c r="E703" s="36" t="n">
        <v>30</v>
      </c>
      <c r="F703" s="54" t="n">
        <v>90</v>
      </c>
      <c r="G703" s="54" t="n">
        <v>3</v>
      </c>
      <c r="H703" s="55" t="n">
        <v>1014</v>
      </c>
      <c r="I703" s="55" t="n">
        <v>607.5599999999999</v>
      </c>
      <c r="J703" s="55" t="n">
        <v>438.54</v>
      </c>
      <c r="K703" s="55" t="n">
        <v>4.9</v>
      </c>
      <c r="L703" s="55" t="n">
        <v>1051</v>
      </c>
      <c r="M703" s="55" t="n">
        <v>37</v>
      </c>
      <c r="N703" s="36" t="inlineStr">
        <is>
          <t>610014</t>
        </is>
      </c>
      <c r="O703" s="36" t="inlineStr">
        <is>
          <t>EXPRESS</t>
        </is>
      </c>
      <c r="P703" s="36" t="inlineStr">
        <is>
          <t>MEDDPRIME</t>
        </is>
      </c>
      <c r="Q703" s="36" t="inlineStr">
        <is>
          <t>2FFA</t>
        </is>
      </c>
    </row>
    <row r="704">
      <c r="A704" s="36" t="inlineStr">
        <is>
          <t>123299</t>
        </is>
      </c>
      <c r="B704" s="52" t="n">
        <v>46003</v>
      </c>
      <c r="C704" s="36" t="inlineStr">
        <is>
          <t>00597015230</t>
        </is>
      </c>
      <c r="D704" s="53" t="inlineStr">
        <is>
          <t xml:space="preserve">JARDIANCE 10MG TAB </t>
        </is>
      </c>
      <c r="E704" s="36" t="n">
        <v>30</v>
      </c>
      <c r="F704" s="54" t="n">
        <v>90</v>
      </c>
      <c r="G704" s="54" t="n">
        <v>3</v>
      </c>
      <c r="H704" s="55" t="n">
        <v>1818</v>
      </c>
      <c r="I704" s="55" t="n">
        <v>1764.05</v>
      </c>
      <c r="J704" s="55" t="n">
        <v>0</v>
      </c>
      <c r="K704" s="55" t="n">
        <v>0</v>
      </c>
      <c r="L704" s="55" t="n">
        <v>1764.05</v>
      </c>
      <c r="M704" s="55" t="n">
        <v>-53.95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ADV</t>
        </is>
      </c>
      <c r="Q704" s="36" t="inlineStr">
        <is>
          <t>RX1103</t>
        </is>
      </c>
    </row>
    <row r="705">
      <c r="A705" s="36" t="inlineStr">
        <is>
          <t>142421</t>
        </is>
      </c>
      <c r="B705" s="52" t="n">
        <v>46062</v>
      </c>
      <c r="C705" s="36" t="inlineStr">
        <is>
          <t>00597015230</t>
        </is>
      </c>
      <c r="D705" s="53" t="inlineStr">
        <is>
          <t xml:space="preserve">JARDIANCE 10MG TAB </t>
        </is>
      </c>
      <c r="E705" s="36" t="n">
        <v>30</v>
      </c>
      <c r="F705" s="54" t="n">
        <v>90</v>
      </c>
      <c r="G705" s="54" t="n">
        <v>3</v>
      </c>
      <c r="H705" s="55" t="n">
        <v>1020</v>
      </c>
      <c r="I705" s="55" t="n">
        <v>612.46</v>
      </c>
      <c r="J705" s="55" t="n">
        <v>438.54</v>
      </c>
      <c r="K705" s="55" t="n">
        <v>0</v>
      </c>
      <c r="L705" s="55" t="n">
        <v>1051</v>
      </c>
      <c r="M705" s="55" t="n">
        <v>31</v>
      </c>
      <c r="N705" s="36" t="inlineStr">
        <is>
          <t>610014</t>
        </is>
      </c>
      <c r="O705" s="36" t="inlineStr">
        <is>
          <t>EXPRESS</t>
        </is>
      </c>
      <c r="P705" s="36" t="inlineStr">
        <is>
          <t>MEDDPRIME</t>
        </is>
      </c>
      <c r="Q705" s="36" t="inlineStr">
        <is>
          <t>2FFA</t>
        </is>
      </c>
    </row>
    <row r="706">
      <c r="A706" s="36" t="inlineStr">
        <is>
          <t>134276</t>
        </is>
      </c>
      <c r="B706" s="52" t="n">
        <v>45999</v>
      </c>
      <c r="C706" s="36" t="inlineStr">
        <is>
          <t>00597015230</t>
        </is>
      </c>
      <c r="D706" s="53" t="inlineStr">
        <is>
          <t xml:space="preserve">JARDIANCE 10MG TAB </t>
        </is>
      </c>
      <c r="E706" s="36" t="n">
        <v>30</v>
      </c>
      <c r="F706" s="54" t="n">
        <v>90</v>
      </c>
      <c r="G706" s="54" t="n">
        <v>3</v>
      </c>
      <c r="H706" s="55" t="n">
        <v>1818</v>
      </c>
      <c r="I706" s="55" t="n">
        <v>1755.78</v>
      </c>
      <c r="J706" s="55" t="n">
        <v>0</v>
      </c>
      <c r="K706" s="55" t="n">
        <v>0</v>
      </c>
      <c r="L706" s="55" t="n">
        <v>1755.78</v>
      </c>
      <c r="M706" s="55" t="n">
        <v>-62.22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134145</t>
        </is>
      </c>
      <c r="B707" s="52" t="n">
        <v>45999</v>
      </c>
      <c r="C707" s="36" t="inlineStr">
        <is>
          <t>00597015230</t>
        </is>
      </c>
      <c r="D707" s="53" t="inlineStr">
        <is>
          <t xml:space="preserve">JARDIANCE 10MG TAB </t>
        </is>
      </c>
      <c r="E707" s="36" t="n">
        <v>30</v>
      </c>
      <c r="F707" s="54" t="n">
        <v>90</v>
      </c>
      <c r="G707" s="54" t="n">
        <v>3</v>
      </c>
      <c r="H707" s="55" t="n">
        <v>1818</v>
      </c>
      <c r="I707" s="55" t="n">
        <v>1641.69</v>
      </c>
      <c r="J707" s="55" t="n">
        <v>0</v>
      </c>
      <c r="K707" s="55" t="n">
        <v>0</v>
      </c>
      <c r="L707" s="55" t="n">
        <v>1641.69</v>
      </c>
      <c r="M707" s="55" t="n">
        <v>-176.31</v>
      </c>
      <c r="N707" s="36" t="inlineStr">
        <is>
          <t>003858</t>
        </is>
      </c>
      <c r="O707" s="36" t="inlineStr">
        <is>
          <t>EXPRESS</t>
        </is>
      </c>
      <c r="P707" s="36" t="inlineStr">
        <is>
          <t>A4</t>
        </is>
      </c>
      <c r="Q707" s="36" t="inlineStr">
        <is>
          <t>2GKA</t>
        </is>
      </c>
    </row>
    <row r="708">
      <c r="A708" s="36" t="inlineStr">
        <is>
          <t>128885</t>
        </is>
      </c>
      <c r="B708" s="52" t="n">
        <v>46035</v>
      </c>
      <c r="C708" s="36" t="inlineStr">
        <is>
          <t>00597015230</t>
        </is>
      </c>
      <c r="D708" s="53" t="inlineStr">
        <is>
          <t xml:space="preserve">JARDIANCE 10MG TAB </t>
        </is>
      </c>
      <c r="E708" s="36" t="n">
        <v>30</v>
      </c>
      <c r="F708" s="54" t="n">
        <v>90</v>
      </c>
      <c r="G708" s="54" t="n">
        <v>3</v>
      </c>
      <c r="H708" s="55" t="n">
        <v>1014</v>
      </c>
      <c r="I708" s="55" t="n">
        <v>996.03</v>
      </c>
      <c r="J708" s="55" t="n">
        <v>0</v>
      </c>
      <c r="K708" s="55" t="n">
        <v>0</v>
      </c>
      <c r="L708" s="55" t="n">
        <v>996.03</v>
      </c>
      <c r="M708" s="55" t="n">
        <v>-17.97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ADV</t>
        </is>
      </c>
      <c r="Q708" s="36" t="inlineStr">
        <is>
          <t>RX1103</t>
        </is>
      </c>
    </row>
    <row r="709">
      <c r="A709" s="36" t="inlineStr">
        <is>
          <t>143416</t>
        </is>
      </c>
      <c r="B709" s="52" t="n">
        <v>46069</v>
      </c>
      <c r="C709" s="36" t="inlineStr">
        <is>
          <t>00597015230</t>
        </is>
      </c>
      <c r="D709" s="53" t="inlineStr">
        <is>
          <t xml:space="preserve">JARDIANCE 10MG TAB </t>
        </is>
      </c>
      <c r="E709" s="36" t="n">
        <v>30</v>
      </c>
      <c r="F709" s="54" t="n">
        <v>90</v>
      </c>
      <c r="G709" s="54" t="n">
        <v>3</v>
      </c>
      <c r="H709" s="55" t="n">
        <v>1020</v>
      </c>
      <c r="I709" s="55" t="n">
        <v>458.34</v>
      </c>
      <c r="J709" s="55" t="n">
        <v>438.54</v>
      </c>
      <c r="K709" s="55" t="n">
        <v>152.78</v>
      </c>
      <c r="L709" s="55" t="n">
        <v>1049.66</v>
      </c>
      <c r="M709" s="55" t="n">
        <v>29.66</v>
      </c>
      <c r="N709" s="36" t="inlineStr">
        <is>
          <t>004336</t>
        </is>
      </c>
      <c r="O709" s="36" t="inlineStr">
        <is>
          <t>CAREMARK</t>
        </is>
      </c>
      <c r="P709" s="36" t="inlineStr">
        <is>
          <t>MEDDADV</t>
        </is>
      </c>
      <c r="Q709" s="36" t="inlineStr">
        <is>
          <t>RXCVSD</t>
        </is>
      </c>
    </row>
    <row r="710">
      <c r="A710" s="36" t="inlineStr">
        <is>
          <t>137349</t>
        </is>
      </c>
      <c r="B710" s="52" t="n">
        <v>46024</v>
      </c>
      <c r="C710" s="36" t="inlineStr">
        <is>
          <t>00597015230</t>
        </is>
      </c>
      <c r="D710" s="53" t="inlineStr">
        <is>
          <t xml:space="preserve">JARDIANCE 10MG TAB </t>
        </is>
      </c>
      <c r="E710" s="36" t="n">
        <v>30</v>
      </c>
      <c r="F710" s="54" t="n">
        <v>30</v>
      </c>
      <c r="G710" s="54" t="n">
        <v>1</v>
      </c>
      <c r="H710" s="55" t="n">
        <v>338</v>
      </c>
      <c r="I710" s="55" t="n">
        <v>203.58</v>
      </c>
      <c r="J710" s="55" t="n">
        <v>146.18</v>
      </c>
      <c r="K710" s="55" t="n">
        <v>0</v>
      </c>
      <c r="L710" s="55" t="n">
        <v>349.76</v>
      </c>
      <c r="M710" s="55" t="n">
        <v>11.76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RXCVSD</t>
        </is>
      </c>
    </row>
    <row r="711">
      <c r="A711" s="36" t="inlineStr">
        <is>
          <t>122658</t>
        </is>
      </c>
      <c r="B711" s="52" t="n">
        <v>45997</v>
      </c>
      <c r="C711" s="36" t="inlineStr">
        <is>
          <t>00597015230</t>
        </is>
      </c>
      <c r="D711" s="53" t="inlineStr">
        <is>
          <t xml:space="preserve">JARDIANCE 10MG TAB </t>
        </is>
      </c>
      <c r="E711" s="36" t="n">
        <v>30</v>
      </c>
      <c r="F711" s="54" t="n">
        <v>90</v>
      </c>
      <c r="G711" s="54" t="n">
        <v>3</v>
      </c>
      <c r="H711" s="55" t="n">
        <v>1818</v>
      </c>
      <c r="I711" s="55" t="n">
        <v>1683.34</v>
      </c>
      <c r="J711" s="55" t="n">
        <v>0</v>
      </c>
      <c r="K711" s="55" t="n">
        <v>4.8</v>
      </c>
      <c r="L711" s="55" t="n">
        <v>1688.14</v>
      </c>
      <c r="M711" s="55" t="n">
        <v>-129.86</v>
      </c>
      <c r="N711" s="36" t="inlineStr">
        <is>
          <t>610014</t>
        </is>
      </c>
      <c r="O711" s="36" t="inlineStr">
        <is>
          <t>EXPRESS</t>
        </is>
      </c>
      <c r="P711" s="36" t="inlineStr">
        <is>
          <t>MEDDPRIME</t>
        </is>
      </c>
      <c r="Q711" s="36" t="inlineStr">
        <is>
          <t>2FGA</t>
        </is>
      </c>
    </row>
    <row r="712">
      <c r="A712" s="36" t="inlineStr">
        <is>
          <t>126424</t>
        </is>
      </c>
      <c r="B712" s="52" t="n">
        <v>46027</v>
      </c>
      <c r="C712" s="36" t="inlineStr">
        <is>
          <t>00597015230</t>
        </is>
      </c>
      <c r="D712" s="53" t="inlineStr">
        <is>
          <t xml:space="preserve">JARDIANCE 10MG TAB </t>
        </is>
      </c>
      <c r="E712" s="36" t="n">
        <v>30</v>
      </c>
      <c r="F712" s="54" t="n">
        <v>90</v>
      </c>
      <c r="G712" s="54" t="n">
        <v>3</v>
      </c>
      <c r="H712" s="55" t="n">
        <v>1014</v>
      </c>
      <c r="I712" s="55" t="n">
        <v>18.65</v>
      </c>
      <c r="J712" s="55" t="n">
        <v>438.54</v>
      </c>
      <c r="K712" s="55" t="n">
        <v>592.47</v>
      </c>
      <c r="L712" s="55" t="n">
        <v>1049.66</v>
      </c>
      <c r="M712" s="55" t="n">
        <v>35.66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140562</t>
        </is>
      </c>
      <c r="B713" s="52" t="n">
        <v>46048</v>
      </c>
      <c r="C713" s="36" t="inlineStr">
        <is>
          <t>00597015230</t>
        </is>
      </c>
      <c r="D713" s="53" t="inlineStr">
        <is>
          <t xml:space="preserve">JARDIANCE 10MG TAB </t>
        </is>
      </c>
      <c r="E713" s="36" t="n">
        <v>30</v>
      </c>
      <c r="F713" s="54" t="n">
        <v>30</v>
      </c>
      <c r="G713" s="54" t="n">
        <v>1</v>
      </c>
      <c r="H713" s="55" t="n">
        <v>338</v>
      </c>
      <c r="I713" s="55" t="n">
        <v>203.61</v>
      </c>
      <c r="J713" s="55" t="n">
        <v>146.18</v>
      </c>
      <c r="K713" s="55" t="n">
        <v>4.9</v>
      </c>
      <c r="L713" s="55" t="n">
        <v>354.69</v>
      </c>
      <c r="M713" s="55" t="n">
        <v>16.69</v>
      </c>
      <c r="N713" s="36" t="inlineStr">
        <is>
          <t>015574</t>
        </is>
      </c>
      <c r="O713" s="36" t="inlineStr">
        <is>
          <t>MEDIMP</t>
        </is>
      </c>
      <c r="P713" s="36" t="inlineStr">
        <is>
          <t>ASPROD1</t>
        </is>
      </c>
      <c r="Q713" s="36" t="inlineStr">
        <is>
          <t>VNS01</t>
        </is>
      </c>
    </row>
    <row r="714">
      <c r="A714" s="36" t="inlineStr">
        <is>
          <t>131954</t>
        </is>
      </c>
      <c r="B714" s="52" t="n">
        <v>46036</v>
      </c>
      <c r="C714" s="36" t="inlineStr">
        <is>
          <t>00597015230</t>
        </is>
      </c>
      <c r="D714" s="53" t="inlineStr">
        <is>
          <t xml:space="preserve">JARDIANCE 10MG TAB </t>
        </is>
      </c>
      <c r="E714" s="36" t="n">
        <v>30</v>
      </c>
      <c r="F714" s="54" t="n">
        <v>30</v>
      </c>
      <c r="G714" s="54" t="n">
        <v>1</v>
      </c>
      <c r="H714" s="55" t="n">
        <v>338</v>
      </c>
      <c r="I714" s="55" t="n">
        <v>345.07</v>
      </c>
      <c r="J714" s="55" t="n">
        <v>0</v>
      </c>
      <c r="K714" s="55" t="n">
        <v>1</v>
      </c>
      <c r="L714" s="55" t="n">
        <v>346.07</v>
      </c>
      <c r="M714" s="55" t="n">
        <v>8.07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138951</t>
        </is>
      </c>
      <c r="B715" s="52" t="n">
        <v>46035</v>
      </c>
      <c r="C715" s="36" t="inlineStr">
        <is>
          <t>00597015230</t>
        </is>
      </c>
      <c r="D715" s="53" t="inlineStr">
        <is>
          <t xml:space="preserve">JARDIANCE 10MG TAB </t>
        </is>
      </c>
      <c r="E715" s="36" t="n">
        <v>30</v>
      </c>
      <c r="F715" s="54" t="n">
        <v>90</v>
      </c>
      <c r="G715" s="54" t="n">
        <v>3</v>
      </c>
      <c r="H715" s="55" t="n">
        <v>1014</v>
      </c>
      <c r="I715" s="55" t="n">
        <v>611.12</v>
      </c>
      <c r="J715" s="55" t="n">
        <v>438.54</v>
      </c>
      <c r="K715" s="55" t="n">
        <v>0</v>
      </c>
      <c r="L715" s="55" t="n">
        <v>1049.66</v>
      </c>
      <c r="M715" s="55" t="n">
        <v>35.66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RX1110</t>
        </is>
      </c>
    </row>
    <row r="716">
      <c r="A716" s="36" t="inlineStr">
        <is>
          <t>104183</t>
        </is>
      </c>
      <c r="B716" s="52" t="n">
        <v>46022</v>
      </c>
      <c r="C716" s="36" t="inlineStr">
        <is>
          <t>00597015230</t>
        </is>
      </c>
      <c r="D716" s="53" t="inlineStr">
        <is>
          <t xml:space="preserve">JARDIANCE 10MG TAB </t>
        </is>
      </c>
      <c r="E716" s="36" t="n">
        <v>30</v>
      </c>
      <c r="F716" s="54" t="n">
        <v>90</v>
      </c>
      <c r="G716" s="54" t="n">
        <v>3</v>
      </c>
      <c r="H716" s="55" t="n">
        <v>1818</v>
      </c>
      <c r="I716" s="55" t="n">
        <v>1688.14</v>
      </c>
      <c r="J716" s="55" t="n">
        <v>0</v>
      </c>
      <c r="K716" s="55" t="n">
        <v>0</v>
      </c>
      <c r="L716" s="55" t="n">
        <v>1688.14</v>
      </c>
      <c r="M716" s="55" t="n">
        <v>-129.86</v>
      </c>
      <c r="N716" s="36" t="inlineStr">
        <is>
          <t>015574</t>
        </is>
      </c>
      <c r="O716" s="36" t="inlineStr">
        <is>
          <t>MEDIMP</t>
        </is>
      </c>
      <c r="P716" s="36" t="inlineStr">
        <is>
          <t>ASPROD1</t>
        </is>
      </c>
      <c r="Q716" s="36" t="inlineStr">
        <is>
          <t>VNS01</t>
        </is>
      </c>
    </row>
    <row r="717">
      <c r="A717" s="36" t="inlineStr">
        <is>
          <t>141487</t>
        </is>
      </c>
      <c r="B717" s="52" t="n">
        <v>46055</v>
      </c>
      <c r="C717" s="36" t="inlineStr">
        <is>
          <t>00597015230</t>
        </is>
      </c>
      <c r="D717" s="53" t="inlineStr">
        <is>
          <t xml:space="preserve">JARDIANCE 10MG TAB </t>
        </is>
      </c>
      <c r="E717" s="36" t="n">
        <v>30</v>
      </c>
      <c r="F717" s="54" t="n">
        <v>90</v>
      </c>
      <c r="G717" s="54" t="n">
        <v>3</v>
      </c>
      <c r="H717" s="55" t="n">
        <v>1020</v>
      </c>
      <c r="I717" s="55" t="n">
        <v>611.12</v>
      </c>
      <c r="J717" s="55" t="n">
        <v>438.54</v>
      </c>
      <c r="K717" s="55" t="n">
        <v>0</v>
      </c>
      <c r="L717" s="55" t="n">
        <v>1049.66</v>
      </c>
      <c r="M717" s="55" t="n">
        <v>29.66</v>
      </c>
      <c r="N717" s="36" t="inlineStr">
        <is>
          <t>004336</t>
        </is>
      </c>
      <c r="O717" s="36" t="inlineStr">
        <is>
          <t>CAREMARK</t>
        </is>
      </c>
      <c r="P717" s="36" t="inlineStr">
        <is>
          <t>MEDDADV</t>
        </is>
      </c>
      <c r="Q717" s="36" t="inlineStr">
        <is>
          <t>RX1110</t>
        </is>
      </c>
    </row>
    <row r="718">
      <c r="A718" s="36" t="inlineStr">
        <is>
          <t>124130</t>
        </is>
      </c>
      <c r="B718" s="52" t="n">
        <v>46008</v>
      </c>
      <c r="C718" s="36" t="inlineStr">
        <is>
          <t>00597015230</t>
        </is>
      </c>
      <c r="D718" s="53" t="inlineStr">
        <is>
          <t xml:space="preserve">JARDIANCE 10MG TAB </t>
        </is>
      </c>
      <c r="E718" s="36" t="n">
        <v>30</v>
      </c>
      <c r="F718" s="54" t="n">
        <v>90</v>
      </c>
      <c r="G718" s="54" t="n">
        <v>3</v>
      </c>
      <c r="H718" s="55" t="n">
        <v>1818</v>
      </c>
      <c r="I718" s="55" t="n">
        <v>1755.78</v>
      </c>
      <c r="J718" s="55" t="n">
        <v>0</v>
      </c>
      <c r="K718" s="55" t="n">
        <v>0</v>
      </c>
      <c r="L718" s="55" t="n">
        <v>1755.78</v>
      </c>
      <c r="M718" s="55" t="n">
        <v>-62.22</v>
      </c>
      <c r="N718" s="36" t="inlineStr">
        <is>
          <t>004336</t>
        </is>
      </c>
      <c r="O718" s="36" t="inlineStr">
        <is>
          <t>CAREMARK</t>
        </is>
      </c>
      <c r="P718" s="36" t="inlineStr">
        <is>
          <t>MEDDADV</t>
        </is>
      </c>
      <c r="Q718" s="36" t="inlineStr">
        <is>
          <t>RX1110</t>
        </is>
      </c>
    </row>
    <row r="719">
      <c r="A719" s="36" t="inlineStr">
        <is>
          <t>136187</t>
        </is>
      </c>
      <c r="B719" s="52" t="n">
        <v>46013</v>
      </c>
      <c r="C719" s="36" t="inlineStr">
        <is>
          <t>00597015230</t>
        </is>
      </c>
      <c r="D719" s="53" t="inlineStr">
        <is>
          <t xml:space="preserve">JARDIANCE 10MG TAB </t>
        </is>
      </c>
      <c r="E719" s="36" t="n">
        <v>30</v>
      </c>
      <c r="F719" s="54" t="n">
        <v>90</v>
      </c>
      <c r="G719" s="54" t="n">
        <v>3</v>
      </c>
      <c r="H719" s="55" t="n">
        <v>1818</v>
      </c>
      <c r="I719" s="55" t="n">
        <v>1755.78</v>
      </c>
      <c r="J719" s="55" t="n">
        <v>0</v>
      </c>
      <c r="K719" s="55" t="n">
        <v>0</v>
      </c>
      <c r="L719" s="55" t="n">
        <v>1755.78</v>
      </c>
      <c r="M719" s="55" t="n">
        <v>-62.22</v>
      </c>
      <c r="N719" s="36" t="inlineStr">
        <is>
          <t>004336</t>
        </is>
      </c>
      <c r="O719" s="36" t="inlineStr">
        <is>
          <t>CAREMARK</t>
        </is>
      </c>
      <c r="P719" s="36" t="inlineStr">
        <is>
          <t>MEDDADV</t>
        </is>
      </c>
      <c r="Q719" s="36" t="inlineStr">
        <is>
          <t>RX1110</t>
        </is>
      </c>
    </row>
    <row r="720">
      <c r="A720" s="36" t="inlineStr">
        <is>
          <t>107982</t>
        </is>
      </c>
      <c r="B720" s="52" t="n">
        <v>46048</v>
      </c>
      <c r="C720" s="36" t="inlineStr">
        <is>
          <t>00597015230</t>
        </is>
      </c>
      <c r="D720" s="53" t="inlineStr">
        <is>
          <t xml:space="preserve">JARDIANCE 10MG TAB </t>
        </is>
      </c>
      <c r="E720" s="36" t="n">
        <v>30</v>
      </c>
      <c r="F720" s="54" t="n">
        <v>90</v>
      </c>
      <c r="G720" s="54" t="n">
        <v>3</v>
      </c>
      <c r="H720" s="55" t="n">
        <v>1014</v>
      </c>
      <c r="I720" s="55" t="n">
        <v>606.22</v>
      </c>
      <c r="J720" s="55" t="n">
        <v>438.54</v>
      </c>
      <c r="K720" s="55" t="n">
        <v>4.9</v>
      </c>
      <c r="L720" s="55" t="n">
        <v>1049.66</v>
      </c>
      <c r="M720" s="55" t="n">
        <v>35.66</v>
      </c>
      <c r="N720" s="36" t="inlineStr">
        <is>
          <t>004336</t>
        </is>
      </c>
      <c r="O720" s="36" t="inlineStr">
        <is>
          <t>CAREMARK</t>
        </is>
      </c>
      <c r="P720" s="36" t="inlineStr">
        <is>
          <t>MEDDADV</t>
        </is>
      </c>
      <c r="Q720" s="36" t="inlineStr">
        <is>
          <t>RX1110</t>
        </is>
      </c>
    </row>
    <row r="721">
      <c r="A721" s="36" t="inlineStr">
        <is>
          <t>125004</t>
        </is>
      </c>
      <c r="B721" s="52" t="n">
        <v>46015</v>
      </c>
      <c r="C721" s="36" t="inlineStr">
        <is>
          <t>00597015230</t>
        </is>
      </c>
      <c r="D721" s="53" t="inlineStr">
        <is>
          <t xml:space="preserve">JARDIANCE 10MG TAB </t>
        </is>
      </c>
      <c r="E721" s="36" t="n">
        <v>30</v>
      </c>
      <c r="F721" s="54" t="n">
        <v>90</v>
      </c>
      <c r="G721" s="54" t="n">
        <v>3</v>
      </c>
      <c r="H721" s="55" t="n">
        <v>1818</v>
      </c>
      <c r="I721" s="55" t="n">
        <v>1755.78</v>
      </c>
      <c r="J721" s="55" t="n">
        <v>0</v>
      </c>
      <c r="K721" s="55" t="n">
        <v>0</v>
      </c>
      <c r="L721" s="55" t="n">
        <v>1755.78</v>
      </c>
      <c r="M721" s="55" t="n">
        <v>-62.22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134145</t>
        </is>
      </c>
      <c r="B722" s="52" t="n">
        <v>46036</v>
      </c>
      <c r="C722" s="36" t="inlineStr">
        <is>
          <t>00597015230</t>
        </is>
      </c>
      <c r="D722" s="53" t="inlineStr">
        <is>
          <t xml:space="preserve">JARDIANCE 10MG TAB </t>
        </is>
      </c>
      <c r="E722" s="36" t="n">
        <v>30</v>
      </c>
      <c r="F722" s="54" t="n">
        <v>90</v>
      </c>
      <c r="G722" s="54" t="n">
        <v>3</v>
      </c>
      <c r="H722" s="55" t="n">
        <v>1014</v>
      </c>
      <c r="I722" s="55" t="n">
        <v>912.87</v>
      </c>
      <c r="J722" s="55" t="n">
        <v>0</v>
      </c>
      <c r="K722" s="55" t="n">
        <v>0</v>
      </c>
      <c r="L722" s="55" t="n">
        <v>912.87</v>
      </c>
      <c r="M722" s="55" t="n">
        <v>-101.13</v>
      </c>
      <c r="N722" s="36" t="inlineStr">
        <is>
          <t>610455</t>
        </is>
      </c>
      <c r="O722" s="36" t="inlineStr">
        <is>
          <t>PRIMECAPRX</t>
        </is>
      </c>
      <c r="P722" s="36" t="inlineStr">
        <is>
          <t>NY1000</t>
        </is>
      </c>
      <c r="Q722" s="36" t="inlineStr">
        <is>
          <t>NY2000</t>
        </is>
      </c>
    </row>
    <row r="723">
      <c r="A723" s="36" t="inlineStr">
        <is>
          <t>137349</t>
        </is>
      </c>
      <c r="B723" s="52" t="n">
        <v>46051</v>
      </c>
      <c r="C723" s="36" t="inlineStr">
        <is>
          <t>00597015230</t>
        </is>
      </c>
      <c r="D723" s="53" t="inlineStr">
        <is>
          <t xml:space="preserve">JARDIANCE 10MG TAB </t>
        </is>
      </c>
      <c r="E723" s="36" t="n">
        <v>30</v>
      </c>
      <c r="F723" s="54" t="n">
        <v>30</v>
      </c>
      <c r="G723" s="54" t="n">
        <v>1</v>
      </c>
      <c r="H723" s="55" t="n">
        <v>338</v>
      </c>
      <c r="I723" s="55" t="n">
        <v>203.58</v>
      </c>
      <c r="J723" s="55" t="n">
        <v>146.18</v>
      </c>
      <c r="K723" s="55" t="n">
        <v>0</v>
      </c>
      <c r="L723" s="55" t="n">
        <v>349.76</v>
      </c>
      <c r="M723" s="55" t="n">
        <v>11.76</v>
      </c>
      <c r="N723" s="36" t="inlineStr">
        <is>
          <t>004336</t>
        </is>
      </c>
      <c r="O723" s="36" t="inlineStr">
        <is>
          <t>CAREMARK</t>
        </is>
      </c>
      <c r="P723" s="36" t="inlineStr">
        <is>
          <t>MEDDADV</t>
        </is>
      </c>
      <c r="Q723" s="36" t="inlineStr">
        <is>
          <t>RXCVSD</t>
        </is>
      </c>
    </row>
    <row r="724">
      <c r="A724" s="36" t="inlineStr">
        <is>
          <t>140806</t>
        </is>
      </c>
      <c r="B724" s="52" t="n">
        <v>46050</v>
      </c>
      <c r="C724" s="36" t="inlineStr">
        <is>
          <t>00597015230</t>
        </is>
      </c>
      <c r="D724" s="53" t="inlineStr">
        <is>
          <t xml:space="preserve">JARDIANCE 10MG TAB </t>
        </is>
      </c>
      <c r="E724" s="36" t="n">
        <v>30</v>
      </c>
      <c r="F724" s="54" t="n">
        <v>90</v>
      </c>
      <c r="G724" s="54" t="n">
        <v>3</v>
      </c>
      <c r="H724" s="55" t="n">
        <v>1014</v>
      </c>
      <c r="I724" s="55" t="n">
        <v>1017.84</v>
      </c>
      <c r="J724" s="55" t="n">
        <v>0</v>
      </c>
      <c r="K724" s="55" t="n">
        <v>0</v>
      </c>
      <c r="L724" s="55" t="n">
        <v>1017.84</v>
      </c>
      <c r="M724" s="55" t="n">
        <v>3.84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124919</t>
        </is>
      </c>
      <c r="B725" s="52" t="n">
        <v>46017</v>
      </c>
      <c r="C725" s="36" t="inlineStr">
        <is>
          <t>00597015230</t>
        </is>
      </c>
      <c r="D725" s="53" t="inlineStr">
        <is>
          <t xml:space="preserve">JARDIANCE 10MG TAB </t>
        </is>
      </c>
      <c r="E725" s="36" t="n">
        <v>30</v>
      </c>
      <c r="F725" s="54" t="n">
        <v>90</v>
      </c>
      <c r="G725" s="54" t="n">
        <v>3</v>
      </c>
      <c r="H725" s="55" t="n">
        <v>1818</v>
      </c>
      <c r="I725" s="55" t="n">
        <v>1737.65</v>
      </c>
      <c r="J725" s="55" t="n">
        <v>0</v>
      </c>
      <c r="K725" s="55" t="n">
        <v>0</v>
      </c>
      <c r="L725" s="55" t="n">
        <v>1737.65</v>
      </c>
      <c r="M725" s="55" t="n">
        <v>-80.34999999999999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RX8585</t>
        </is>
      </c>
    </row>
    <row r="726">
      <c r="A726" s="36" t="inlineStr">
        <is>
          <t>125080</t>
        </is>
      </c>
      <c r="B726" s="52" t="n">
        <v>46017</v>
      </c>
      <c r="C726" s="36" t="inlineStr">
        <is>
          <t>00597015230</t>
        </is>
      </c>
      <c r="D726" s="53" t="inlineStr">
        <is>
          <t xml:space="preserve">JARDIANCE 10MG TAB </t>
        </is>
      </c>
      <c r="E726" s="36" t="n">
        <v>30</v>
      </c>
      <c r="F726" s="54" t="n">
        <v>90</v>
      </c>
      <c r="G726" s="54" t="n">
        <v>3</v>
      </c>
      <c r="H726" s="55" t="n">
        <v>1818</v>
      </c>
      <c r="I726" s="55" t="n">
        <v>1755.78</v>
      </c>
      <c r="J726" s="55" t="n">
        <v>0</v>
      </c>
      <c r="K726" s="55" t="n">
        <v>0</v>
      </c>
      <c r="L726" s="55" t="n">
        <v>1755.78</v>
      </c>
      <c r="M726" s="55" t="n">
        <v>-62.22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125110</t>
        </is>
      </c>
      <c r="B727" s="52" t="n">
        <v>46017</v>
      </c>
      <c r="C727" s="36" t="inlineStr">
        <is>
          <t>00597015230</t>
        </is>
      </c>
      <c r="D727" s="53" t="inlineStr">
        <is>
          <t xml:space="preserve">JARDIANCE 10MG TAB </t>
        </is>
      </c>
      <c r="E727" s="36" t="n">
        <v>30</v>
      </c>
      <c r="F727" s="54" t="n">
        <v>90</v>
      </c>
      <c r="G727" s="54" t="n">
        <v>3</v>
      </c>
      <c r="H727" s="55" t="n">
        <v>1818</v>
      </c>
      <c r="I727" s="55" t="n">
        <v>1893.96</v>
      </c>
      <c r="J727" s="55" t="n">
        <v>0</v>
      </c>
      <c r="K727" s="55" t="n">
        <v>0</v>
      </c>
      <c r="L727" s="55" t="n">
        <v>1893.96</v>
      </c>
      <c r="M727" s="55" t="n">
        <v>75.95999999999999</v>
      </c>
      <c r="N727" s="36" t="inlineStr">
        <is>
          <t>610097</t>
        </is>
      </c>
      <c r="O727" s="36" t="inlineStr">
        <is>
          <t>OPTUM</t>
        </is>
      </c>
      <c r="P727" s="36" t="inlineStr">
        <is>
          <t>9999</t>
        </is>
      </c>
      <c r="Q727" s="36" t="inlineStr">
        <is>
          <t>PDPIND</t>
        </is>
      </c>
    </row>
    <row r="728">
      <c r="A728" s="36" t="inlineStr">
        <is>
          <t>144395</t>
        </is>
      </c>
      <c r="B728" s="52" t="n">
        <v>46076</v>
      </c>
      <c r="C728" s="36" t="inlineStr">
        <is>
          <t>00597015230</t>
        </is>
      </c>
      <c r="D728" s="53" t="inlineStr">
        <is>
          <t xml:space="preserve">JARDIANCE 10MG TAB </t>
        </is>
      </c>
      <c r="E728" s="36" t="n">
        <v>30</v>
      </c>
      <c r="F728" s="54" t="n">
        <v>30</v>
      </c>
      <c r="G728" s="54" t="n">
        <v>1</v>
      </c>
      <c r="H728" s="55" t="n">
        <v>340</v>
      </c>
      <c r="I728" s="55" t="n">
        <v>203.61</v>
      </c>
      <c r="J728" s="55" t="n">
        <v>146.18</v>
      </c>
      <c r="K728" s="55" t="n">
        <v>4.9</v>
      </c>
      <c r="L728" s="55" t="n">
        <v>354.69</v>
      </c>
      <c r="M728" s="55" t="n">
        <v>14.69</v>
      </c>
      <c r="N728" s="36" t="inlineStr">
        <is>
          <t>015574</t>
        </is>
      </c>
      <c r="O728" s="36" t="inlineStr">
        <is>
          <t>MEDIMP</t>
        </is>
      </c>
      <c r="P728" s="36" t="inlineStr">
        <is>
          <t>ASPROD1</t>
        </is>
      </c>
      <c r="Q728" s="36" t="inlineStr">
        <is>
          <t>VNS01</t>
        </is>
      </c>
    </row>
    <row r="729">
      <c r="A729" s="36" t="inlineStr">
        <is>
          <t>122702</t>
        </is>
      </c>
      <c r="B729" s="52" t="n">
        <v>46021</v>
      </c>
      <c r="C729" s="36" t="inlineStr">
        <is>
          <t>00597015230</t>
        </is>
      </c>
      <c r="D729" s="53" t="inlineStr">
        <is>
          <t xml:space="preserve">JARDIANCE 10MG TAB </t>
        </is>
      </c>
      <c r="E729" s="36" t="n">
        <v>30</v>
      </c>
      <c r="F729" s="54" t="n">
        <v>30</v>
      </c>
      <c r="G729" s="54" t="n">
        <v>1</v>
      </c>
      <c r="H729" s="55" t="n">
        <v>606</v>
      </c>
      <c r="I729" s="55" t="n">
        <v>614.23</v>
      </c>
      <c r="J729" s="55" t="n">
        <v>0</v>
      </c>
      <c r="K729" s="55" t="n">
        <v>0</v>
      </c>
      <c r="L729" s="55" t="n">
        <v>614.23</v>
      </c>
      <c r="M729" s="55" t="n">
        <v>8.23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122594</t>
        </is>
      </c>
      <c r="B730" s="52" t="n">
        <v>46021</v>
      </c>
      <c r="C730" s="36" t="inlineStr">
        <is>
          <t>00597015230</t>
        </is>
      </c>
      <c r="D730" s="53" t="inlineStr">
        <is>
          <t xml:space="preserve">JARDIANCE 10MG TAB </t>
        </is>
      </c>
      <c r="E730" s="36" t="n">
        <v>30</v>
      </c>
      <c r="F730" s="54" t="n">
        <v>30</v>
      </c>
      <c r="G730" s="54" t="n">
        <v>1</v>
      </c>
      <c r="H730" s="55" t="n">
        <v>606</v>
      </c>
      <c r="I730" s="55" t="n">
        <v>556.67</v>
      </c>
      <c r="J730" s="55" t="n">
        <v>0</v>
      </c>
      <c r="K730" s="55" t="n">
        <v>0</v>
      </c>
      <c r="L730" s="55" t="n">
        <v>556.67</v>
      </c>
      <c r="M730" s="55" t="n">
        <v>-49.33</v>
      </c>
      <c r="N730" s="36" t="inlineStr">
        <is>
          <t>017010</t>
        </is>
      </c>
      <c r="O730" s="36" t="inlineStr">
        <is>
          <t>EXPRESS</t>
        </is>
      </c>
      <c r="P730" s="36" t="inlineStr">
        <is>
          <t>CIMCARE</t>
        </is>
      </c>
      <c r="Q730" s="36" t="inlineStr">
        <is>
          <t>CIGPDPRX</t>
        </is>
      </c>
    </row>
    <row r="731">
      <c r="A731" s="36" t="inlineStr">
        <is>
          <t>122141</t>
        </is>
      </c>
      <c r="B731" s="52" t="n">
        <v>45993</v>
      </c>
      <c r="C731" s="36" t="inlineStr">
        <is>
          <t>00597015230</t>
        </is>
      </c>
      <c r="D731" s="53" t="inlineStr">
        <is>
          <t xml:space="preserve">JARDIANCE 10MG TAB </t>
        </is>
      </c>
      <c r="E731" s="36" t="n">
        <v>30</v>
      </c>
      <c r="F731" s="54" t="n">
        <v>90</v>
      </c>
      <c r="G731" s="54" t="n">
        <v>3</v>
      </c>
      <c r="H731" s="55" t="n">
        <v>1818</v>
      </c>
      <c r="I731" s="55" t="n">
        <v>1822.03</v>
      </c>
      <c r="J731" s="55" t="n">
        <v>0</v>
      </c>
      <c r="K731" s="55" t="n">
        <v>0</v>
      </c>
      <c r="L731" s="55" t="n">
        <v>1822.03</v>
      </c>
      <c r="M731" s="55" t="n">
        <v>4.03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115248</t>
        </is>
      </c>
      <c r="B732" s="52" t="n">
        <v>46021</v>
      </c>
      <c r="C732" s="36" t="inlineStr">
        <is>
          <t>00597015230</t>
        </is>
      </c>
      <c r="D732" s="53" t="inlineStr">
        <is>
          <t xml:space="preserve">JARDIANCE 10MG TAB </t>
        </is>
      </c>
      <c r="E732" s="36" t="n">
        <v>30</v>
      </c>
      <c r="F732" s="54" t="n">
        <v>30</v>
      </c>
      <c r="G732" s="54" t="n">
        <v>1</v>
      </c>
      <c r="H732" s="55" t="n">
        <v>606</v>
      </c>
      <c r="I732" s="55" t="n">
        <v>613.23</v>
      </c>
      <c r="J732" s="55" t="n">
        <v>0</v>
      </c>
      <c r="K732" s="55" t="n">
        <v>1</v>
      </c>
      <c r="L732" s="55" t="n">
        <v>614.23</v>
      </c>
      <c r="M732" s="55" t="n">
        <v>8.23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140621</t>
        </is>
      </c>
      <c r="B733" s="52" t="n">
        <v>46049</v>
      </c>
      <c r="C733" s="36" t="inlineStr">
        <is>
          <t>00597015230</t>
        </is>
      </c>
      <c r="D733" s="53" t="inlineStr">
        <is>
          <t xml:space="preserve">JARDIANCE 10MG TAB </t>
        </is>
      </c>
      <c r="E733" s="36" t="n">
        <v>30</v>
      </c>
      <c r="F733" s="54" t="n">
        <v>30</v>
      </c>
      <c r="G733" s="54" t="n">
        <v>1</v>
      </c>
      <c r="H733" s="55" t="n">
        <v>338</v>
      </c>
      <c r="I733" s="55" t="n">
        <v>345.07</v>
      </c>
      <c r="J733" s="55" t="n">
        <v>0</v>
      </c>
      <c r="K733" s="55" t="n">
        <v>1</v>
      </c>
      <c r="L733" s="55" t="n">
        <v>346.07</v>
      </c>
      <c r="M733" s="55" t="n">
        <v>8.07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115248</t>
        </is>
      </c>
      <c r="B734" s="52" t="n">
        <v>45993</v>
      </c>
      <c r="C734" s="36" t="inlineStr">
        <is>
          <t>00597015230</t>
        </is>
      </c>
      <c r="D734" s="53" t="inlineStr">
        <is>
          <t xml:space="preserve">JARDIANCE 10MG TAB </t>
        </is>
      </c>
      <c r="E734" s="36" t="n">
        <v>30</v>
      </c>
      <c r="F734" s="54" t="n">
        <v>30</v>
      </c>
      <c r="G734" s="54" t="n">
        <v>1</v>
      </c>
      <c r="H734" s="55" t="n">
        <v>606</v>
      </c>
      <c r="I734" s="55" t="n">
        <v>613.13</v>
      </c>
      <c r="J734" s="55" t="n">
        <v>0</v>
      </c>
      <c r="K734" s="55" t="n">
        <v>1</v>
      </c>
      <c r="L734" s="55" t="n">
        <v>614.13</v>
      </c>
      <c r="M734" s="55" t="n">
        <v>8.130000000000001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122702</t>
        </is>
      </c>
      <c r="B735" s="52" t="n">
        <v>46049</v>
      </c>
      <c r="C735" s="36" t="inlineStr">
        <is>
          <t>00597015230</t>
        </is>
      </c>
      <c r="D735" s="53" t="inlineStr">
        <is>
          <t xml:space="preserve">JARDIANCE 10MG TAB </t>
        </is>
      </c>
      <c r="E735" s="36" t="n">
        <v>30</v>
      </c>
      <c r="F735" s="54" t="n">
        <v>30</v>
      </c>
      <c r="G735" s="54" t="n">
        <v>1</v>
      </c>
      <c r="H735" s="55" t="n">
        <v>338</v>
      </c>
      <c r="I735" s="55" t="n">
        <v>346.07</v>
      </c>
      <c r="J735" s="55" t="n">
        <v>0</v>
      </c>
      <c r="K735" s="55" t="n">
        <v>0</v>
      </c>
      <c r="L735" s="55" t="n">
        <v>346.07</v>
      </c>
      <c r="M735" s="55" t="n">
        <v>8.07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141668</t>
        </is>
      </c>
      <c r="B736" s="52" t="n">
        <v>46056</v>
      </c>
      <c r="C736" s="36" t="inlineStr">
        <is>
          <t>00597015230</t>
        </is>
      </c>
      <c r="D736" s="53" t="inlineStr">
        <is>
          <t xml:space="preserve">JARDIANCE 10MG TAB </t>
        </is>
      </c>
      <c r="E736" s="36" t="n">
        <v>30</v>
      </c>
      <c r="F736" s="54" t="n">
        <v>90</v>
      </c>
      <c r="G736" s="54" t="n">
        <v>3</v>
      </c>
      <c r="H736" s="55" t="n">
        <v>1020</v>
      </c>
      <c r="I736" s="55" t="n">
        <v>611.17</v>
      </c>
      <c r="J736" s="55" t="n">
        <v>438.54</v>
      </c>
      <c r="K736" s="55" t="n">
        <v>0</v>
      </c>
      <c r="L736" s="55" t="n">
        <v>1049.71</v>
      </c>
      <c r="M736" s="55" t="n">
        <v>29.71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RXCVSD</t>
        </is>
      </c>
    </row>
    <row r="737">
      <c r="A737" s="36" t="inlineStr">
        <is>
          <t>131148</t>
        </is>
      </c>
      <c r="B737" s="52" t="n">
        <v>46057</v>
      </c>
      <c r="C737" s="36" t="inlineStr">
        <is>
          <t>00597015230</t>
        </is>
      </c>
      <c r="D737" s="53" t="inlineStr">
        <is>
          <t xml:space="preserve">JARDIANCE 10MG TAB </t>
        </is>
      </c>
      <c r="E737" s="36" t="n">
        <v>30</v>
      </c>
      <c r="F737" s="54" t="n">
        <v>90</v>
      </c>
      <c r="G737" s="54" t="n">
        <v>3</v>
      </c>
      <c r="H737" s="55" t="n">
        <v>1020</v>
      </c>
      <c r="I737" s="55" t="n">
        <v>1017.84</v>
      </c>
      <c r="J737" s="55" t="n">
        <v>0</v>
      </c>
      <c r="K737" s="55" t="n">
        <v>0</v>
      </c>
      <c r="L737" s="55" t="n">
        <v>1017.84</v>
      </c>
      <c r="M737" s="55" t="n">
        <v>-2.16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130404</t>
        </is>
      </c>
      <c r="B738" s="52" t="n">
        <v>46056</v>
      </c>
      <c r="C738" s="36" t="inlineStr">
        <is>
          <t>00597015230</t>
        </is>
      </c>
      <c r="D738" s="53" t="inlineStr">
        <is>
          <t xml:space="preserve">JARDIANCE 10MG TAB </t>
        </is>
      </c>
      <c r="E738" s="36" t="n">
        <v>30</v>
      </c>
      <c r="F738" s="54" t="n">
        <v>90</v>
      </c>
      <c r="G738" s="54" t="n">
        <v>3</v>
      </c>
      <c r="H738" s="55" t="n">
        <v>1020</v>
      </c>
      <c r="I738" s="55" t="n">
        <v>611.12</v>
      </c>
      <c r="J738" s="55" t="n">
        <v>438.54</v>
      </c>
      <c r="K738" s="55" t="n">
        <v>0</v>
      </c>
      <c r="L738" s="55" t="n">
        <v>1049.66</v>
      </c>
      <c r="M738" s="55" t="n">
        <v>29.66</v>
      </c>
      <c r="N738" s="36" t="inlineStr">
        <is>
          <t>004336</t>
        </is>
      </c>
      <c r="O738" s="36" t="inlineStr">
        <is>
          <t>CAREMARK</t>
        </is>
      </c>
      <c r="P738" s="36" t="inlineStr">
        <is>
          <t>MEDDADV</t>
        </is>
      </c>
      <c r="Q738" s="36" t="inlineStr">
        <is>
          <t>RX8585</t>
        </is>
      </c>
    </row>
    <row r="739">
      <c r="A739" s="36" t="inlineStr">
        <is>
          <t>132769</t>
        </is>
      </c>
      <c r="B739" s="52" t="n">
        <v>46074</v>
      </c>
      <c r="C739" s="36" t="inlineStr">
        <is>
          <t>00597015230</t>
        </is>
      </c>
      <c r="D739" s="53" t="inlineStr">
        <is>
          <t xml:space="preserve">JARDIANCE 10MG TAB </t>
        </is>
      </c>
      <c r="E739" s="36" t="n">
        <v>30</v>
      </c>
      <c r="F739" s="54" t="n">
        <v>90</v>
      </c>
      <c r="G739" s="54" t="n">
        <v>3</v>
      </c>
      <c r="H739" s="55" t="n">
        <v>1020</v>
      </c>
      <c r="I739" s="55" t="n">
        <v>1017.84</v>
      </c>
      <c r="J739" s="55" t="n">
        <v>0</v>
      </c>
      <c r="K739" s="55" t="n">
        <v>0</v>
      </c>
      <c r="L739" s="55" t="n">
        <v>1017.84</v>
      </c>
      <c r="M739" s="55" t="n">
        <v>-2.16</v>
      </c>
      <c r="N739" s="36" t="inlineStr">
        <is>
          <t>004740</t>
        </is>
      </c>
      <c r="O739" s="36" t="inlineStr">
        <is>
          <t>NYM</t>
        </is>
      </c>
      <c r="P739" s="36" t="inlineStr">
        <is>
          <t>9314DA31</t>
        </is>
      </c>
      <c r="Q739" s="36" t="n">
        <v/>
      </c>
    </row>
    <row r="740">
      <c r="A740" s="36" t="inlineStr">
        <is>
          <t>128876</t>
        </is>
      </c>
      <c r="B740" s="52" t="n">
        <v>46044</v>
      </c>
      <c r="C740" s="36" t="inlineStr">
        <is>
          <t>00597015230</t>
        </is>
      </c>
      <c r="D740" s="53" t="inlineStr">
        <is>
          <t xml:space="preserve">JARDIANCE 10MG TAB </t>
        </is>
      </c>
      <c r="E740" s="36" t="n">
        <v>30</v>
      </c>
      <c r="F740" s="54" t="n">
        <v>90</v>
      </c>
      <c r="G740" s="54" t="n">
        <v>3</v>
      </c>
      <c r="H740" s="55" t="n">
        <v>1014</v>
      </c>
      <c r="I740" s="55" t="n">
        <v>606.22</v>
      </c>
      <c r="J740" s="55" t="n">
        <v>438.54</v>
      </c>
      <c r="K740" s="55" t="n">
        <v>4.9</v>
      </c>
      <c r="L740" s="55" t="n">
        <v>1049.66</v>
      </c>
      <c r="M740" s="55" t="n">
        <v>35.66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RX8541</t>
        </is>
      </c>
    </row>
    <row r="741">
      <c r="A741" s="36" t="inlineStr">
        <is>
          <t>131954</t>
        </is>
      </c>
      <c r="B741" s="52" t="n">
        <v>46008</v>
      </c>
      <c r="C741" s="36" t="inlineStr">
        <is>
          <t>00597015230</t>
        </is>
      </c>
      <c r="D741" s="53" t="inlineStr">
        <is>
          <t xml:space="preserve">JARDIANCE 10MG TAB </t>
        </is>
      </c>
      <c r="E741" s="36" t="n">
        <v>30</v>
      </c>
      <c r="F741" s="54" t="n">
        <v>30</v>
      </c>
      <c r="G741" s="54" t="n">
        <v>1</v>
      </c>
      <c r="H741" s="55" t="n">
        <v>606</v>
      </c>
      <c r="I741" s="55" t="n">
        <v>613.13</v>
      </c>
      <c r="J741" s="55" t="n">
        <v>0</v>
      </c>
      <c r="K741" s="55" t="n">
        <v>1</v>
      </c>
      <c r="L741" s="55" t="n">
        <v>614.13</v>
      </c>
      <c r="M741" s="55" t="n">
        <v>8.130000000000001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98081</t>
        </is>
      </c>
      <c r="B742" s="52" t="n">
        <v>45993</v>
      </c>
      <c r="C742" s="36" t="inlineStr">
        <is>
          <t>00597015230</t>
        </is>
      </c>
      <c r="D742" s="53" t="inlineStr">
        <is>
          <t xml:space="preserve">JARDIANCE 10MG TAB </t>
        </is>
      </c>
      <c r="E742" s="36" t="n">
        <v>30</v>
      </c>
      <c r="F742" s="54" t="n">
        <v>90</v>
      </c>
      <c r="G742" s="54" t="n">
        <v>3</v>
      </c>
      <c r="H742" s="55" t="n">
        <v>1818</v>
      </c>
      <c r="I742" s="55" t="n">
        <v>1683.34</v>
      </c>
      <c r="J742" s="55" t="n">
        <v>0</v>
      </c>
      <c r="K742" s="55" t="n">
        <v>4.8</v>
      </c>
      <c r="L742" s="55" t="n">
        <v>1688.14</v>
      </c>
      <c r="M742" s="55" t="n">
        <v>-129.86</v>
      </c>
      <c r="N742" s="36" t="inlineStr">
        <is>
          <t>610014</t>
        </is>
      </c>
      <c r="O742" s="36" t="inlineStr">
        <is>
          <t>EXPRESS</t>
        </is>
      </c>
      <c r="P742" s="36" t="inlineStr">
        <is>
          <t>MEDDPRIME</t>
        </is>
      </c>
      <c r="Q742" s="36" t="inlineStr">
        <is>
          <t>2FGA</t>
        </is>
      </c>
    </row>
    <row r="743">
      <c r="A743" s="36" t="inlineStr">
        <is>
          <t>138680</t>
        </is>
      </c>
      <c r="B743" s="52" t="n">
        <v>46034</v>
      </c>
      <c r="C743" s="36" t="inlineStr">
        <is>
          <t>00597015330</t>
        </is>
      </c>
      <c r="D743" s="53" t="inlineStr">
        <is>
          <t xml:space="preserve">JARDIANCE 25MG TAB </t>
        </is>
      </c>
      <c r="E743" s="36" t="n">
        <v>30</v>
      </c>
      <c r="F743" s="54" t="n">
        <v>90</v>
      </c>
      <c r="G743" s="54" t="n">
        <v>3</v>
      </c>
      <c r="H743" s="55" t="n">
        <v>1014</v>
      </c>
      <c r="I743" s="55" t="n">
        <v>606.22</v>
      </c>
      <c r="J743" s="55" t="n">
        <v>438.54</v>
      </c>
      <c r="K743" s="55" t="n">
        <v>4.9</v>
      </c>
      <c r="L743" s="55" t="n">
        <v>1049.66</v>
      </c>
      <c r="M743" s="55" t="n">
        <v>35.66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132244</t>
        </is>
      </c>
      <c r="B744" s="52" t="n">
        <v>46037</v>
      </c>
      <c r="C744" s="36" t="inlineStr">
        <is>
          <t>00597015330</t>
        </is>
      </c>
      <c r="D744" s="53" t="inlineStr">
        <is>
          <t xml:space="preserve">JARDIANCE 25MG TAB </t>
        </is>
      </c>
      <c r="E744" s="36" t="n">
        <v>30</v>
      </c>
      <c r="F744" s="54" t="n">
        <v>30</v>
      </c>
      <c r="G744" s="54" t="n">
        <v>1</v>
      </c>
      <c r="H744" s="55" t="n">
        <v>338</v>
      </c>
      <c r="I744" s="55" t="n">
        <v>203.61</v>
      </c>
      <c r="J744" s="55" t="n">
        <v>146.18</v>
      </c>
      <c r="K744" s="55" t="n">
        <v>4.9</v>
      </c>
      <c r="L744" s="55" t="n">
        <v>354.69</v>
      </c>
      <c r="M744" s="55" t="n">
        <v>16.69</v>
      </c>
      <c r="N744" s="36" t="inlineStr">
        <is>
          <t>015574</t>
        </is>
      </c>
      <c r="O744" s="36" t="inlineStr">
        <is>
          <t>MEDIMP</t>
        </is>
      </c>
      <c r="P744" s="36" t="inlineStr">
        <is>
          <t>ASPROD1</t>
        </is>
      </c>
      <c r="Q744" s="36" t="inlineStr">
        <is>
          <t>VNS01</t>
        </is>
      </c>
    </row>
    <row r="745">
      <c r="A745" s="36" t="inlineStr">
        <is>
          <t>135072</t>
        </is>
      </c>
      <c r="B745" s="52" t="n">
        <v>46006</v>
      </c>
      <c r="C745" s="36" t="inlineStr">
        <is>
          <t>00597015330</t>
        </is>
      </c>
      <c r="D745" s="53" t="inlineStr">
        <is>
          <t xml:space="preserve">JARDIANCE 25MG TAB </t>
        </is>
      </c>
      <c r="E745" s="36" t="n">
        <v>30</v>
      </c>
      <c r="F745" s="54" t="n">
        <v>90</v>
      </c>
      <c r="G745" s="54" t="n">
        <v>3</v>
      </c>
      <c r="H745" s="55" t="n">
        <v>1818</v>
      </c>
      <c r="I745" s="55" t="n">
        <v>1755.78</v>
      </c>
      <c r="J745" s="55" t="n">
        <v>0</v>
      </c>
      <c r="K745" s="55" t="n">
        <v>0</v>
      </c>
      <c r="L745" s="55" t="n">
        <v>1755.78</v>
      </c>
      <c r="M745" s="55" t="n">
        <v>-62.22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122086</t>
        </is>
      </c>
      <c r="B746" s="52" t="n">
        <v>46017</v>
      </c>
      <c r="C746" s="36" t="inlineStr">
        <is>
          <t>00597015330</t>
        </is>
      </c>
      <c r="D746" s="53" t="inlineStr">
        <is>
          <t xml:space="preserve">JARDIANCE 25MG TAB </t>
        </is>
      </c>
      <c r="E746" s="36" t="n">
        <v>30</v>
      </c>
      <c r="F746" s="54" t="n">
        <v>30</v>
      </c>
      <c r="G746" s="54" t="n">
        <v>1</v>
      </c>
      <c r="H746" s="55" t="n">
        <v>606</v>
      </c>
      <c r="I746" s="55" t="n">
        <v>598.79</v>
      </c>
      <c r="J746" s="55" t="n">
        <v>0</v>
      </c>
      <c r="K746" s="55" t="n">
        <v>0</v>
      </c>
      <c r="L746" s="55" t="n">
        <v>598.79</v>
      </c>
      <c r="M746" s="55" t="n">
        <v>-7.21</v>
      </c>
      <c r="N746" s="36" t="inlineStr">
        <is>
          <t>015574</t>
        </is>
      </c>
      <c r="O746" s="36" t="inlineStr">
        <is>
          <t>MEDIMP</t>
        </is>
      </c>
      <c r="P746" s="36" t="inlineStr">
        <is>
          <t>ASPROD1</t>
        </is>
      </c>
      <c r="Q746" s="36" t="inlineStr">
        <is>
          <t>VNS01</t>
        </is>
      </c>
    </row>
    <row r="747">
      <c r="A747" s="36" t="inlineStr">
        <is>
          <t>134195</t>
        </is>
      </c>
      <c r="B747" s="52" t="n">
        <v>45999</v>
      </c>
      <c r="C747" s="36" t="inlineStr">
        <is>
          <t>00597015330</t>
        </is>
      </c>
      <c r="D747" s="53" t="inlineStr">
        <is>
          <t xml:space="preserve">JARDIANCE 25MG TAB </t>
        </is>
      </c>
      <c r="E747" s="36" t="n">
        <v>30</v>
      </c>
      <c r="F747" s="54" t="n">
        <v>90</v>
      </c>
      <c r="G747" s="54" t="n">
        <v>3</v>
      </c>
      <c r="H747" s="55" t="n">
        <v>1818</v>
      </c>
      <c r="I747" s="55" t="n">
        <v>1755.78</v>
      </c>
      <c r="J747" s="55" t="n">
        <v>0</v>
      </c>
      <c r="K747" s="55" t="n">
        <v>0</v>
      </c>
      <c r="L747" s="55" t="n">
        <v>1755.78</v>
      </c>
      <c r="M747" s="55" t="n">
        <v>-62.22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143279</t>
        </is>
      </c>
      <c r="B748" s="52" t="n">
        <v>46066</v>
      </c>
      <c r="C748" s="36" t="inlineStr">
        <is>
          <t>00597015330</t>
        </is>
      </c>
      <c r="D748" s="53" t="inlineStr">
        <is>
          <t xml:space="preserve">JARDIANCE 25MG TAB </t>
        </is>
      </c>
      <c r="E748" s="36" t="n">
        <v>30</v>
      </c>
      <c r="F748" s="54" t="n">
        <v>30</v>
      </c>
      <c r="G748" s="54" t="n">
        <v>1</v>
      </c>
      <c r="H748" s="55" t="n">
        <v>340</v>
      </c>
      <c r="I748" s="55" t="n">
        <v>326.97</v>
      </c>
      <c r="J748" s="55" t="n">
        <v>0</v>
      </c>
      <c r="K748" s="55" t="n">
        <v>0</v>
      </c>
      <c r="L748" s="55" t="n">
        <v>326.97</v>
      </c>
      <c r="M748" s="55" t="n">
        <v>-13.03</v>
      </c>
      <c r="N748" s="36" t="inlineStr">
        <is>
          <t>004336</t>
        </is>
      </c>
      <c r="O748" s="36" t="inlineStr">
        <is>
          <t>CAREMARK</t>
        </is>
      </c>
      <c r="P748" s="36" t="inlineStr">
        <is>
          <t>ADV</t>
        </is>
      </c>
      <c r="Q748" s="36" t="inlineStr">
        <is>
          <t>RX23MD</t>
        </is>
      </c>
    </row>
    <row r="749">
      <c r="A749" s="36" t="inlineStr">
        <is>
          <t>129778</t>
        </is>
      </c>
      <c r="B749" s="52" t="n">
        <v>45993</v>
      </c>
      <c r="C749" s="36" t="inlineStr">
        <is>
          <t>00597015330</t>
        </is>
      </c>
      <c r="D749" s="53" t="inlineStr">
        <is>
          <t xml:space="preserve">JARDIANCE 25MG TAB </t>
        </is>
      </c>
      <c r="E749" s="36" t="n">
        <v>30</v>
      </c>
      <c r="F749" s="54" t="n">
        <v>30</v>
      </c>
      <c r="G749" s="54" t="n">
        <v>1</v>
      </c>
      <c r="H749" s="55" t="n">
        <v>606</v>
      </c>
      <c r="I749" s="55" t="n">
        <v>556.67</v>
      </c>
      <c r="J749" s="55" t="n">
        <v>0</v>
      </c>
      <c r="K749" s="55" t="n">
        <v>0</v>
      </c>
      <c r="L749" s="55" t="n">
        <v>556.67</v>
      </c>
      <c r="M749" s="55" t="n">
        <v>-49.33</v>
      </c>
      <c r="N749" s="36" t="inlineStr">
        <is>
          <t>017010</t>
        </is>
      </c>
      <c r="O749" s="36" t="inlineStr">
        <is>
          <t>EXPRESS</t>
        </is>
      </c>
      <c r="P749" s="36" t="inlineStr">
        <is>
          <t>CIMCARE</t>
        </is>
      </c>
      <c r="Q749" s="36" t="inlineStr">
        <is>
          <t>CIGPDPRX</t>
        </is>
      </c>
    </row>
    <row r="750">
      <c r="A750" s="36" t="inlineStr">
        <is>
          <t>139213</t>
        </is>
      </c>
      <c r="B750" s="52" t="n">
        <v>46065</v>
      </c>
      <c r="C750" s="36" t="inlineStr">
        <is>
          <t>00597015330</t>
        </is>
      </c>
      <c r="D750" s="53" t="inlineStr">
        <is>
          <t xml:space="preserve">JARDIANCE 25MG TAB </t>
        </is>
      </c>
      <c r="E750" s="36" t="n">
        <v>30</v>
      </c>
      <c r="F750" s="54" t="n">
        <v>30</v>
      </c>
      <c r="G750" s="54" t="n">
        <v>1</v>
      </c>
      <c r="H750" s="55" t="n">
        <v>340</v>
      </c>
      <c r="I750" s="55" t="n">
        <v>326.97</v>
      </c>
      <c r="J750" s="55" t="n">
        <v>0</v>
      </c>
      <c r="K750" s="55" t="n">
        <v>0</v>
      </c>
      <c r="L750" s="55" t="n">
        <v>326.97</v>
      </c>
      <c r="M750" s="55" t="n">
        <v>-13.03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ADV</t>
        </is>
      </c>
      <c r="Q750" s="36" t="inlineStr">
        <is>
          <t>RX7682</t>
        </is>
      </c>
    </row>
    <row r="751">
      <c r="A751" s="36" t="inlineStr">
        <is>
          <t>123052</t>
        </is>
      </c>
      <c r="B751" s="52" t="n">
        <v>45999</v>
      </c>
      <c r="C751" s="36" t="inlineStr">
        <is>
          <t>00597015330</t>
        </is>
      </c>
      <c r="D751" s="53" t="inlineStr">
        <is>
          <t xml:space="preserve">JARDIANCE 25MG TAB </t>
        </is>
      </c>
      <c r="E751" s="36" t="n">
        <v>30</v>
      </c>
      <c r="F751" s="54" t="n">
        <v>30</v>
      </c>
      <c r="G751" s="54" t="n">
        <v>1</v>
      </c>
      <c r="H751" s="55" t="n">
        <v>606</v>
      </c>
      <c r="I751" s="55" t="n">
        <v>593.4400000000001</v>
      </c>
      <c r="J751" s="55" t="n">
        <v>0</v>
      </c>
      <c r="K751" s="55" t="n">
        <v>0</v>
      </c>
      <c r="L751" s="55" t="n">
        <v>593.4400000000001</v>
      </c>
      <c r="M751" s="55" t="n">
        <v>-12.56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115881</t>
        </is>
      </c>
      <c r="B752" s="52" t="n">
        <v>46034</v>
      </c>
      <c r="C752" s="36" t="inlineStr">
        <is>
          <t>00597015330</t>
        </is>
      </c>
      <c r="D752" s="53" t="inlineStr">
        <is>
          <t xml:space="preserve">JARDIANCE 25MG TAB </t>
        </is>
      </c>
      <c r="E752" s="36" t="n">
        <v>30</v>
      </c>
      <c r="F752" s="54" t="n">
        <v>90</v>
      </c>
      <c r="G752" s="54" t="n">
        <v>3</v>
      </c>
      <c r="H752" s="55" t="n">
        <v>1014</v>
      </c>
      <c r="I752" s="55" t="n">
        <v>606.22</v>
      </c>
      <c r="J752" s="55" t="n">
        <v>438.54</v>
      </c>
      <c r="K752" s="55" t="n">
        <v>4.9</v>
      </c>
      <c r="L752" s="55" t="n">
        <v>1049.66</v>
      </c>
      <c r="M752" s="55" t="n">
        <v>35.66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143957</t>
        </is>
      </c>
      <c r="B753" s="52" t="n">
        <v>46072</v>
      </c>
      <c r="C753" s="36" t="inlineStr">
        <is>
          <t>00597015330</t>
        </is>
      </c>
      <c r="D753" s="53" t="inlineStr">
        <is>
          <t xml:space="preserve">JARDIANCE 25MG TAB </t>
        </is>
      </c>
      <c r="E753" s="36" t="n">
        <v>30</v>
      </c>
      <c r="F753" s="54" t="n">
        <v>90</v>
      </c>
      <c r="G753" s="54" t="n">
        <v>3</v>
      </c>
      <c r="H753" s="55" t="n">
        <v>1020</v>
      </c>
      <c r="I753" s="55" t="n">
        <v>606.22</v>
      </c>
      <c r="J753" s="55" t="n">
        <v>438.54</v>
      </c>
      <c r="K753" s="55" t="n">
        <v>4.9</v>
      </c>
      <c r="L753" s="55" t="n">
        <v>1049.66</v>
      </c>
      <c r="M753" s="55" t="n">
        <v>29.66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RX1110</t>
        </is>
      </c>
    </row>
    <row r="754">
      <c r="A754" s="36" t="inlineStr">
        <is>
          <t>137418</t>
        </is>
      </c>
      <c r="B754" s="52" t="n">
        <v>46027</v>
      </c>
      <c r="C754" s="36" t="inlineStr">
        <is>
          <t>00597015330</t>
        </is>
      </c>
      <c r="D754" s="53" t="inlineStr">
        <is>
          <t xml:space="preserve">JARDIANCE 25MG TAB </t>
        </is>
      </c>
      <c r="E754" s="36" t="n">
        <v>30</v>
      </c>
      <c r="F754" s="54" t="n">
        <v>90</v>
      </c>
      <c r="G754" s="54" t="n">
        <v>3</v>
      </c>
      <c r="H754" s="55" t="n">
        <v>1014</v>
      </c>
      <c r="I754" s="55" t="n">
        <v>606.22</v>
      </c>
      <c r="J754" s="55" t="n">
        <v>438.54</v>
      </c>
      <c r="K754" s="55" t="n">
        <v>4.9</v>
      </c>
      <c r="L754" s="55" t="n">
        <v>1049.66</v>
      </c>
      <c r="M754" s="55" t="n">
        <v>35.66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132244</t>
        </is>
      </c>
      <c r="B755" s="52" t="n">
        <v>46065</v>
      </c>
      <c r="C755" s="36" t="inlineStr">
        <is>
          <t>00597015330</t>
        </is>
      </c>
      <c r="D755" s="53" t="inlineStr">
        <is>
          <t xml:space="preserve">JARDIANCE 25MG TAB </t>
        </is>
      </c>
      <c r="E755" s="36" t="n">
        <v>30</v>
      </c>
      <c r="F755" s="54" t="n">
        <v>30</v>
      </c>
      <c r="G755" s="54" t="n">
        <v>1</v>
      </c>
      <c r="H755" s="55" t="n">
        <v>340</v>
      </c>
      <c r="I755" s="55" t="n">
        <v>203.61</v>
      </c>
      <c r="J755" s="55" t="n">
        <v>146.18</v>
      </c>
      <c r="K755" s="55" t="n">
        <v>4.9</v>
      </c>
      <c r="L755" s="55" t="n">
        <v>354.69</v>
      </c>
      <c r="M755" s="55" t="n">
        <v>14.69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121267</t>
        </is>
      </c>
      <c r="B756" s="52" t="n">
        <v>46065</v>
      </c>
      <c r="C756" s="36" t="inlineStr">
        <is>
          <t>00597015330</t>
        </is>
      </c>
      <c r="D756" s="53" t="inlineStr">
        <is>
          <t xml:space="preserve">JARDIANCE 25MG TAB </t>
        </is>
      </c>
      <c r="E756" s="36" t="n">
        <v>30</v>
      </c>
      <c r="F756" s="54" t="n">
        <v>30</v>
      </c>
      <c r="G756" s="54" t="n">
        <v>1</v>
      </c>
      <c r="H756" s="55" t="n">
        <v>340</v>
      </c>
      <c r="I756" s="55" t="n">
        <v>326.97</v>
      </c>
      <c r="J756" s="55" t="n">
        <v>0</v>
      </c>
      <c r="K756" s="55" t="n">
        <v>0</v>
      </c>
      <c r="L756" s="55" t="n">
        <v>326.97</v>
      </c>
      <c r="M756" s="55" t="n">
        <v>-13.03</v>
      </c>
      <c r="N756" s="36" t="inlineStr">
        <is>
          <t>020107</t>
        </is>
      </c>
      <c r="O756" s="36" t="inlineStr">
        <is>
          <t>CAREMARK</t>
        </is>
      </c>
      <c r="P756" s="36" t="inlineStr">
        <is>
          <t>AC</t>
        </is>
      </c>
      <c r="Q756" s="36" t="inlineStr">
        <is>
          <t>RX8478</t>
        </is>
      </c>
    </row>
    <row r="757">
      <c r="A757" s="36" t="inlineStr">
        <is>
          <t>143963</t>
        </is>
      </c>
      <c r="B757" s="52" t="n">
        <v>46072</v>
      </c>
      <c r="C757" s="36" t="inlineStr">
        <is>
          <t>00597015330</t>
        </is>
      </c>
      <c r="D757" s="53" t="inlineStr">
        <is>
          <t xml:space="preserve">JARDIANCE 25MG TAB </t>
        </is>
      </c>
      <c r="E757" s="36" t="n">
        <v>30</v>
      </c>
      <c r="F757" s="54" t="n">
        <v>30</v>
      </c>
      <c r="G757" s="54" t="n">
        <v>1</v>
      </c>
      <c r="H757" s="55" t="n">
        <v>340</v>
      </c>
      <c r="I757" s="55" t="n">
        <v>208.51</v>
      </c>
      <c r="J757" s="55" t="n">
        <v>146.18</v>
      </c>
      <c r="K757" s="55" t="n">
        <v>0</v>
      </c>
      <c r="L757" s="55" t="n">
        <v>354.69</v>
      </c>
      <c r="M757" s="55" t="n">
        <v>14.69</v>
      </c>
      <c r="N757" s="36" t="inlineStr">
        <is>
          <t>015574</t>
        </is>
      </c>
      <c r="O757" s="36" t="inlineStr">
        <is>
          <t>MEDIMP</t>
        </is>
      </c>
      <c r="P757" s="36" t="inlineStr">
        <is>
          <t>ASPROD1</t>
        </is>
      </c>
      <c r="Q757" s="36" t="inlineStr">
        <is>
          <t>VNS01</t>
        </is>
      </c>
    </row>
    <row r="758">
      <c r="A758" s="36" t="inlineStr">
        <is>
          <t>109458</t>
        </is>
      </c>
      <c r="B758" s="52" t="n">
        <v>46065</v>
      </c>
      <c r="C758" s="36" t="inlineStr">
        <is>
          <t>00597015330</t>
        </is>
      </c>
      <c r="D758" s="53" t="inlineStr">
        <is>
          <t xml:space="preserve">JARDIANCE 25MG TAB </t>
        </is>
      </c>
      <c r="E758" s="36" t="n">
        <v>30</v>
      </c>
      <c r="F758" s="54" t="n">
        <v>90</v>
      </c>
      <c r="G758" s="54" t="n">
        <v>3</v>
      </c>
      <c r="H758" s="55" t="n">
        <v>1020</v>
      </c>
      <c r="I758" s="55" t="n">
        <v>606.22</v>
      </c>
      <c r="J758" s="55" t="n">
        <v>438.54</v>
      </c>
      <c r="K758" s="55" t="n">
        <v>4.9</v>
      </c>
      <c r="L758" s="55" t="n">
        <v>1049.66</v>
      </c>
      <c r="M758" s="55" t="n">
        <v>29.66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127136</t>
        </is>
      </c>
      <c r="B759" s="52" t="n">
        <v>46031</v>
      </c>
      <c r="C759" s="36" t="inlineStr">
        <is>
          <t>00597015330</t>
        </is>
      </c>
      <c r="D759" s="53" t="inlineStr">
        <is>
          <t xml:space="preserve">JARDIANCE 25MG TAB </t>
        </is>
      </c>
      <c r="E759" s="36" t="n">
        <v>30</v>
      </c>
      <c r="F759" s="54" t="n">
        <v>90</v>
      </c>
      <c r="G759" s="54" t="n">
        <v>3</v>
      </c>
      <c r="H759" s="55" t="n">
        <v>1014</v>
      </c>
      <c r="I759" s="55" t="n">
        <v>611.12</v>
      </c>
      <c r="J759" s="55" t="n">
        <v>438.54</v>
      </c>
      <c r="K759" s="55" t="n">
        <v>0</v>
      </c>
      <c r="L759" s="55" t="n">
        <v>1049.66</v>
      </c>
      <c r="M759" s="55" t="n">
        <v>35.66</v>
      </c>
      <c r="N759" s="36" t="inlineStr">
        <is>
          <t>004336</t>
        </is>
      </c>
      <c r="O759" s="36" t="inlineStr">
        <is>
          <t>CAREMARK</t>
        </is>
      </c>
      <c r="P759" s="36" t="inlineStr">
        <is>
          <t>MEDDADV</t>
        </is>
      </c>
      <c r="Q759" s="36" t="inlineStr">
        <is>
          <t>RX1110</t>
        </is>
      </c>
    </row>
    <row r="760">
      <c r="A760" s="36" t="inlineStr">
        <is>
          <t>122086</t>
        </is>
      </c>
      <c r="B760" s="52" t="n">
        <v>46044</v>
      </c>
      <c r="C760" s="36" t="inlineStr">
        <is>
          <t>00597015330</t>
        </is>
      </c>
      <c r="D760" s="53" t="inlineStr">
        <is>
          <t xml:space="preserve">JARDIANCE 25MG TAB </t>
        </is>
      </c>
      <c r="E760" s="36" t="n">
        <v>30</v>
      </c>
      <c r="F760" s="54" t="n">
        <v>30</v>
      </c>
      <c r="G760" s="54" t="n">
        <v>1</v>
      </c>
      <c r="H760" s="55" t="n">
        <v>338</v>
      </c>
      <c r="I760" s="55" t="n">
        <v>208.51</v>
      </c>
      <c r="J760" s="55" t="n">
        <v>146.18</v>
      </c>
      <c r="K760" s="55" t="n">
        <v>0</v>
      </c>
      <c r="L760" s="55" t="n">
        <v>354.69</v>
      </c>
      <c r="M760" s="55" t="n">
        <v>16.69</v>
      </c>
      <c r="N760" s="36" t="inlineStr">
        <is>
          <t>015574</t>
        </is>
      </c>
      <c r="O760" s="36" t="inlineStr">
        <is>
          <t>MEDIMP</t>
        </is>
      </c>
      <c r="P760" s="36" t="inlineStr">
        <is>
          <t>ASPROD1</t>
        </is>
      </c>
      <c r="Q760" s="36" t="inlineStr">
        <is>
          <t>VNS01</t>
        </is>
      </c>
    </row>
    <row r="761">
      <c r="A761" s="36" t="inlineStr">
        <is>
          <t>130251</t>
        </is>
      </c>
      <c r="B761" s="52" t="n">
        <v>46050</v>
      </c>
      <c r="C761" s="36" t="inlineStr">
        <is>
          <t>00597015330</t>
        </is>
      </c>
      <c r="D761" s="53" t="inlineStr">
        <is>
          <t xml:space="preserve">JARDIANCE 25MG TAB </t>
        </is>
      </c>
      <c r="E761" s="36" t="n">
        <v>30</v>
      </c>
      <c r="F761" s="54" t="n">
        <v>30</v>
      </c>
      <c r="G761" s="54" t="n">
        <v>1</v>
      </c>
      <c r="H761" s="55" t="n">
        <v>338</v>
      </c>
      <c r="I761" s="55" t="n">
        <v>199.92</v>
      </c>
      <c r="J761" s="55" t="n">
        <v>146.18</v>
      </c>
      <c r="K761" s="55" t="n">
        <v>4.9</v>
      </c>
      <c r="L761" s="55" t="n">
        <v>351</v>
      </c>
      <c r="M761" s="55" t="n">
        <v>13</v>
      </c>
      <c r="N761" s="36" t="inlineStr">
        <is>
          <t>610014</t>
        </is>
      </c>
      <c r="O761" s="36" t="inlineStr">
        <is>
          <t>EXPRESS</t>
        </is>
      </c>
      <c r="P761" s="36" t="inlineStr">
        <is>
          <t>MEDDPRIME</t>
        </is>
      </c>
      <c r="Q761" s="36" t="inlineStr">
        <is>
          <t>2FFA</t>
        </is>
      </c>
    </row>
    <row r="762">
      <c r="A762" s="36" t="inlineStr">
        <is>
          <t>143510</t>
        </is>
      </c>
      <c r="B762" s="52" t="n">
        <v>46069</v>
      </c>
      <c r="C762" s="36" t="inlineStr">
        <is>
          <t>00597015330</t>
        </is>
      </c>
      <c r="D762" s="53" t="inlineStr">
        <is>
          <t xml:space="preserve">JARDIANCE 25MG TAB </t>
        </is>
      </c>
      <c r="E762" s="36" t="n">
        <v>30</v>
      </c>
      <c r="F762" s="54" t="n">
        <v>90</v>
      </c>
      <c r="G762" s="54" t="n">
        <v>3</v>
      </c>
      <c r="H762" s="55" t="n">
        <v>1020</v>
      </c>
      <c r="I762" s="55" t="n">
        <v>606.22</v>
      </c>
      <c r="J762" s="55" t="n">
        <v>438.54</v>
      </c>
      <c r="K762" s="55" t="n">
        <v>4.9</v>
      </c>
      <c r="L762" s="55" t="n">
        <v>1049.66</v>
      </c>
      <c r="M762" s="55" t="n">
        <v>29.66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130251</t>
        </is>
      </c>
      <c r="B763" s="52" t="n">
        <v>45995</v>
      </c>
      <c r="C763" s="36" t="inlineStr">
        <is>
          <t>00597015330</t>
        </is>
      </c>
      <c r="D763" s="53" t="inlineStr">
        <is>
          <t xml:space="preserve">JARDIANCE 25MG TAB </t>
        </is>
      </c>
      <c r="E763" s="36" t="n">
        <v>30</v>
      </c>
      <c r="F763" s="54" t="n">
        <v>30</v>
      </c>
      <c r="G763" s="54" t="n">
        <v>1</v>
      </c>
      <c r="H763" s="55" t="n">
        <v>606</v>
      </c>
      <c r="I763" s="55" t="n">
        <v>562.71</v>
      </c>
      <c r="J763" s="55" t="n">
        <v>0</v>
      </c>
      <c r="K763" s="55" t="n">
        <v>0</v>
      </c>
      <c r="L763" s="55" t="n">
        <v>562.71</v>
      </c>
      <c r="M763" s="55" t="n">
        <v>-43.29</v>
      </c>
      <c r="N763" s="36" t="inlineStr">
        <is>
          <t>610014</t>
        </is>
      </c>
      <c r="O763" s="36" t="inlineStr">
        <is>
          <t>EXPRESS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140549</t>
        </is>
      </c>
      <c r="B764" s="52" t="n">
        <v>46048</v>
      </c>
      <c r="C764" s="36" t="inlineStr">
        <is>
          <t>00597015330</t>
        </is>
      </c>
      <c r="D764" s="53" t="inlineStr">
        <is>
          <t xml:space="preserve">JARDIANCE 25MG TAB </t>
        </is>
      </c>
      <c r="E764" s="36" t="n">
        <v>30</v>
      </c>
      <c r="F764" s="54" t="n">
        <v>90</v>
      </c>
      <c r="G764" s="54" t="n">
        <v>3</v>
      </c>
      <c r="H764" s="55" t="n">
        <v>1014</v>
      </c>
      <c r="I764" s="55" t="n">
        <v>616.15</v>
      </c>
      <c r="J764" s="55" t="n">
        <v>438.54</v>
      </c>
      <c r="K764" s="55" t="n">
        <v>0</v>
      </c>
      <c r="L764" s="55" t="n">
        <v>1054.69</v>
      </c>
      <c r="M764" s="55" t="n">
        <v>40.69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120982</t>
        </is>
      </c>
      <c r="B765" s="52" t="n">
        <v>46072</v>
      </c>
      <c r="C765" s="36" t="inlineStr">
        <is>
          <t>00597015330</t>
        </is>
      </c>
      <c r="D765" s="53" t="inlineStr">
        <is>
          <t xml:space="preserve">JARDIANCE 25MG TAB </t>
        </is>
      </c>
      <c r="E765" s="36" t="n">
        <v>30</v>
      </c>
      <c r="F765" s="54" t="n">
        <v>90</v>
      </c>
      <c r="G765" s="54" t="n">
        <v>3</v>
      </c>
      <c r="H765" s="55" t="n">
        <v>1020</v>
      </c>
      <c r="I765" s="55" t="n">
        <v>598.47</v>
      </c>
      <c r="J765" s="55" t="n">
        <v>438.54</v>
      </c>
      <c r="K765" s="55" t="n">
        <v>12.65</v>
      </c>
      <c r="L765" s="55" t="n">
        <v>1049.66</v>
      </c>
      <c r="M765" s="55" t="n">
        <v>29.66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129542</t>
        </is>
      </c>
      <c r="B766" s="52" t="n">
        <v>46049</v>
      </c>
      <c r="C766" s="36" t="inlineStr">
        <is>
          <t>00597015330</t>
        </is>
      </c>
      <c r="D766" s="53" t="inlineStr">
        <is>
          <t xml:space="preserve">JARDIANCE 25MG TAB </t>
        </is>
      </c>
      <c r="E766" s="36" t="n">
        <v>30</v>
      </c>
      <c r="F766" s="54" t="n">
        <v>90</v>
      </c>
      <c r="G766" s="54" t="n">
        <v>3</v>
      </c>
      <c r="H766" s="55" t="n">
        <v>1014</v>
      </c>
      <c r="I766" s="55" t="n">
        <v>606.22</v>
      </c>
      <c r="J766" s="55" t="n">
        <v>438.54</v>
      </c>
      <c r="K766" s="55" t="n">
        <v>4.9</v>
      </c>
      <c r="L766" s="55" t="n">
        <v>1049.66</v>
      </c>
      <c r="M766" s="55" t="n">
        <v>35.66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RX1110</t>
        </is>
      </c>
    </row>
    <row r="767">
      <c r="A767" s="36" t="inlineStr">
        <is>
          <t>130635</t>
        </is>
      </c>
      <c r="B767" s="52" t="n">
        <v>46059</v>
      </c>
      <c r="C767" s="36" t="inlineStr">
        <is>
          <t>00597015330</t>
        </is>
      </c>
      <c r="D767" s="53" t="inlineStr">
        <is>
          <t xml:space="preserve">JARDIANCE 25MG TAB </t>
        </is>
      </c>
      <c r="E767" s="36" t="n">
        <v>30</v>
      </c>
      <c r="F767" s="54" t="n">
        <v>90</v>
      </c>
      <c r="G767" s="54" t="n">
        <v>3</v>
      </c>
      <c r="H767" s="55" t="n">
        <v>1020</v>
      </c>
      <c r="I767" s="55" t="n">
        <v>611.12</v>
      </c>
      <c r="J767" s="55" t="n">
        <v>438.54</v>
      </c>
      <c r="K767" s="55" t="n">
        <v>0</v>
      </c>
      <c r="L767" s="55" t="n">
        <v>1049.66</v>
      </c>
      <c r="M767" s="55" t="n">
        <v>29.66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137894</t>
        </is>
      </c>
      <c r="B768" s="52" t="n">
        <v>46029</v>
      </c>
      <c r="C768" s="36" t="inlineStr">
        <is>
          <t>00597015330</t>
        </is>
      </c>
      <c r="D768" s="53" t="inlineStr">
        <is>
          <t xml:space="preserve">JARDIANCE 25MG TAB </t>
        </is>
      </c>
      <c r="E768" s="36" t="n">
        <v>30</v>
      </c>
      <c r="F768" s="54" t="n">
        <v>90</v>
      </c>
      <c r="G768" s="54" t="n">
        <v>3</v>
      </c>
      <c r="H768" s="55" t="n">
        <v>1014</v>
      </c>
      <c r="I768" s="55" t="n">
        <v>611.25</v>
      </c>
      <c r="J768" s="55" t="n">
        <v>438.54</v>
      </c>
      <c r="K768" s="55" t="n">
        <v>4.9</v>
      </c>
      <c r="L768" s="55" t="n">
        <v>1054.69</v>
      </c>
      <c r="M768" s="55" t="n">
        <v>40.69</v>
      </c>
      <c r="N768" s="36" t="inlineStr">
        <is>
          <t>015574</t>
        </is>
      </c>
      <c r="O768" s="36" t="inlineStr">
        <is>
          <t>MEDIMP</t>
        </is>
      </c>
      <c r="P768" s="36" t="inlineStr">
        <is>
          <t>ASPROD1</t>
        </is>
      </c>
      <c r="Q768" s="36" t="inlineStr">
        <is>
          <t>VNS01</t>
        </is>
      </c>
    </row>
    <row r="769">
      <c r="A769" s="36" t="inlineStr">
        <is>
          <t>139450</t>
        </is>
      </c>
      <c r="B769" s="52" t="n">
        <v>46038</v>
      </c>
      <c r="C769" s="36" t="inlineStr">
        <is>
          <t>00597015330</t>
        </is>
      </c>
      <c r="D769" s="53" t="inlineStr">
        <is>
          <t xml:space="preserve">JARDIANCE 25MG TAB </t>
        </is>
      </c>
      <c r="E769" s="36" t="n">
        <v>30</v>
      </c>
      <c r="F769" s="54" t="n">
        <v>90</v>
      </c>
      <c r="G769" s="54" t="n">
        <v>3</v>
      </c>
      <c r="H769" s="55" t="n">
        <v>1014</v>
      </c>
      <c r="I769" s="55" t="n">
        <v>996.03</v>
      </c>
      <c r="J769" s="55" t="n">
        <v>0</v>
      </c>
      <c r="K769" s="55" t="n">
        <v>0</v>
      </c>
      <c r="L769" s="55" t="n">
        <v>996.03</v>
      </c>
      <c r="M769" s="55" t="n">
        <v>-17.97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ADV</t>
        </is>
      </c>
      <c r="Q769" s="36" t="inlineStr">
        <is>
          <t>RX1103</t>
        </is>
      </c>
    </row>
    <row r="770">
      <c r="A770" s="36" t="inlineStr">
        <is>
          <t>144641</t>
        </is>
      </c>
      <c r="B770" s="52" t="n">
        <v>46077</v>
      </c>
      <c r="C770" s="36" t="inlineStr">
        <is>
          <t>00597015330</t>
        </is>
      </c>
      <c r="D770" s="53" t="inlineStr">
        <is>
          <t xml:space="preserve">JARDIANCE 25MG TAB </t>
        </is>
      </c>
      <c r="E770" s="36" t="n">
        <v>30</v>
      </c>
      <c r="F770" s="54" t="n">
        <v>30</v>
      </c>
      <c r="G770" s="54" t="n">
        <v>1</v>
      </c>
      <c r="H770" s="55" t="n">
        <v>340</v>
      </c>
      <c r="I770" s="55" t="n">
        <v>198.68</v>
      </c>
      <c r="J770" s="55" t="n">
        <v>146.18</v>
      </c>
      <c r="K770" s="55" t="n">
        <v>4.9</v>
      </c>
      <c r="L770" s="55" t="n">
        <v>349.76</v>
      </c>
      <c r="M770" s="55" t="n">
        <v>9.76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138969</t>
        </is>
      </c>
      <c r="B771" s="52" t="n">
        <v>46036</v>
      </c>
      <c r="C771" s="36" t="inlineStr">
        <is>
          <t>00597015330</t>
        </is>
      </c>
      <c r="D771" s="53" t="inlineStr">
        <is>
          <t xml:space="preserve">JARDIANCE 25MG TAB </t>
        </is>
      </c>
      <c r="E771" s="36" t="n">
        <v>30</v>
      </c>
      <c r="F771" s="54" t="n">
        <v>90</v>
      </c>
      <c r="G771" s="54" t="n">
        <v>3</v>
      </c>
      <c r="H771" s="55" t="n">
        <v>1014</v>
      </c>
      <c r="I771" s="55" t="n">
        <v>611.12</v>
      </c>
      <c r="J771" s="55" t="n">
        <v>438.54</v>
      </c>
      <c r="K771" s="55" t="n">
        <v>0</v>
      </c>
      <c r="L771" s="55" t="n">
        <v>1049.66</v>
      </c>
      <c r="M771" s="55" t="n">
        <v>35.66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130717</t>
        </is>
      </c>
      <c r="B772" s="52" t="n">
        <v>46059</v>
      </c>
      <c r="C772" s="36" t="inlineStr">
        <is>
          <t>00597015330</t>
        </is>
      </c>
      <c r="D772" s="53" t="inlineStr">
        <is>
          <t xml:space="preserve">JARDIANCE 25MG TAB </t>
        </is>
      </c>
      <c r="E772" s="36" t="n">
        <v>30</v>
      </c>
      <c r="F772" s="54" t="n">
        <v>90</v>
      </c>
      <c r="G772" s="54" t="n">
        <v>3</v>
      </c>
      <c r="H772" s="55" t="n">
        <v>1020</v>
      </c>
      <c r="I772" s="55" t="n">
        <v>1016.87</v>
      </c>
      <c r="J772" s="55" t="n">
        <v>0</v>
      </c>
      <c r="K772" s="55" t="n">
        <v>1</v>
      </c>
      <c r="L772" s="55" t="n">
        <v>1017.87</v>
      </c>
      <c r="M772" s="55" t="n">
        <v>-2.13</v>
      </c>
      <c r="N772" s="36" t="inlineStr">
        <is>
          <t>004740</t>
        </is>
      </c>
      <c r="O772" s="36" t="inlineStr">
        <is>
          <t>NYM</t>
        </is>
      </c>
      <c r="P772" s="36" t="inlineStr">
        <is>
          <t>9314DA31</t>
        </is>
      </c>
      <c r="Q772" s="36" t="n">
        <v/>
      </c>
    </row>
    <row r="773">
      <c r="A773" s="36" t="inlineStr">
        <is>
          <t>122456</t>
        </is>
      </c>
      <c r="B773" s="52" t="n">
        <v>45996</v>
      </c>
      <c r="C773" s="36" t="inlineStr">
        <is>
          <t>00597015330</t>
        </is>
      </c>
      <c r="D773" s="53" t="inlineStr">
        <is>
          <t xml:space="preserve">JARDIANCE 25MG TAB </t>
        </is>
      </c>
      <c r="E773" s="36" t="n">
        <v>30</v>
      </c>
      <c r="F773" s="54" t="n">
        <v>90</v>
      </c>
      <c r="G773" s="54" t="n">
        <v>3</v>
      </c>
      <c r="H773" s="55" t="n">
        <v>1818</v>
      </c>
      <c r="I773" s="55" t="n">
        <v>1755.78</v>
      </c>
      <c r="J773" s="55" t="n">
        <v>0</v>
      </c>
      <c r="K773" s="55" t="n">
        <v>0</v>
      </c>
      <c r="L773" s="55" t="n">
        <v>1755.78</v>
      </c>
      <c r="M773" s="55" t="n">
        <v>-62.22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117435</t>
        </is>
      </c>
      <c r="B774" s="52" t="n">
        <v>46039</v>
      </c>
      <c r="C774" s="36" t="inlineStr">
        <is>
          <t>00597015330</t>
        </is>
      </c>
      <c r="D774" s="53" t="inlineStr">
        <is>
          <t xml:space="preserve">JARDIANCE 25MG TAB </t>
        </is>
      </c>
      <c r="E774" s="36" t="n">
        <v>30</v>
      </c>
      <c r="F774" s="54" t="n">
        <v>90</v>
      </c>
      <c r="G774" s="54" t="n">
        <v>3</v>
      </c>
      <c r="H774" s="55" t="n">
        <v>1014</v>
      </c>
      <c r="I774" s="55" t="n">
        <v>611.12</v>
      </c>
      <c r="J774" s="55" t="n">
        <v>438.54</v>
      </c>
      <c r="K774" s="55" t="n">
        <v>0</v>
      </c>
      <c r="L774" s="55" t="n">
        <v>1049.66</v>
      </c>
      <c r="M774" s="55" t="n">
        <v>35.66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137242</t>
        </is>
      </c>
      <c r="B775" s="52" t="n">
        <v>46022</v>
      </c>
      <c r="C775" s="36" t="inlineStr">
        <is>
          <t>00597015330</t>
        </is>
      </c>
      <c r="D775" s="53" t="inlineStr">
        <is>
          <t xml:space="preserve">JARDIANCE 25MG TAB </t>
        </is>
      </c>
      <c r="E775" s="36" t="n">
        <v>30</v>
      </c>
      <c r="F775" s="54" t="n">
        <v>90</v>
      </c>
      <c r="G775" s="54" t="n">
        <v>3</v>
      </c>
      <c r="H775" s="55" t="n">
        <v>1818</v>
      </c>
      <c r="I775" s="55" t="n">
        <v>1812.48</v>
      </c>
      <c r="J775" s="55" t="n">
        <v>438.54</v>
      </c>
      <c r="K775" s="55" t="n">
        <v>0</v>
      </c>
      <c r="L775" s="55" t="n">
        <v>2251.02</v>
      </c>
      <c r="M775" s="55" t="n">
        <v>433.02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RXCVSD</t>
        </is>
      </c>
    </row>
    <row r="776">
      <c r="A776" s="36" t="inlineStr">
        <is>
          <t>143566</t>
        </is>
      </c>
      <c r="B776" s="52" t="n">
        <v>46070</v>
      </c>
      <c r="C776" s="36" t="inlineStr">
        <is>
          <t>00597015330</t>
        </is>
      </c>
      <c r="D776" s="53" t="inlineStr">
        <is>
          <t xml:space="preserve">JARDIANCE 25MG TAB </t>
        </is>
      </c>
      <c r="E776" s="36" t="n">
        <v>30</v>
      </c>
      <c r="F776" s="54" t="n">
        <v>90</v>
      </c>
      <c r="G776" s="54" t="n">
        <v>3</v>
      </c>
      <c r="H776" s="55" t="n">
        <v>1020</v>
      </c>
      <c r="I776" s="55" t="n">
        <v>606.47</v>
      </c>
      <c r="J776" s="55" t="n">
        <v>438.54</v>
      </c>
      <c r="K776" s="55" t="n">
        <v>4.9</v>
      </c>
      <c r="L776" s="55" t="n">
        <v>1049.91</v>
      </c>
      <c r="M776" s="55" t="n">
        <v>29.91</v>
      </c>
      <c r="N776" s="36" t="inlineStr">
        <is>
          <t>020115</t>
        </is>
      </c>
      <c r="O776" s="36" t="inlineStr">
        <is>
          <t>CAREMARK</t>
        </is>
      </c>
      <c r="P776" s="36" t="inlineStr">
        <is>
          <t>IS</t>
        </is>
      </c>
      <c r="Q776" s="36" t="inlineStr">
        <is>
          <t>WM2A</t>
        </is>
      </c>
    </row>
    <row r="777">
      <c r="A777" s="36" t="inlineStr">
        <is>
          <t>138172</t>
        </is>
      </c>
      <c r="B777" s="52" t="n">
        <v>46030</v>
      </c>
      <c r="C777" s="36" t="inlineStr">
        <is>
          <t>00597015330</t>
        </is>
      </c>
      <c r="D777" s="53" t="inlineStr">
        <is>
          <t xml:space="preserve">JARDIANCE 25MG TAB </t>
        </is>
      </c>
      <c r="E777" s="36" t="n">
        <v>30</v>
      </c>
      <c r="F777" s="54" t="n">
        <v>90</v>
      </c>
      <c r="G777" s="54" t="n">
        <v>3</v>
      </c>
      <c r="H777" s="55" t="n">
        <v>1014</v>
      </c>
      <c r="I777" s="55" t="n">
        <v>1822.37</v>
      </c>
      <c r="J777" s="55" t="n">
        <v>0</v>
      </c>
      <c r="K777" s="55" t="n">
        <v>0</v>
      </c>
      <c r="L777" s="55" t="n">
        <v>1822.37</v>
      </c>
      <c r="M777" s="55" t="n">
        <v>808.37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142141</t>
        </is>
      </c>
      <c r="B778" s="52" t="n">
        <v>46059</v>
      </c>
      <c r="C778" s="36" t="inlineStr">
        <is>
          <t>00597015330</t>
        </is>
      </c>
      <c r="D778" s="53" t="inlineStr">
        <is>
          <t xml:space="preserve">JARDIANCE 25MG TAB </t>
        </is>
      </c>
      <c r="E778" s="36" t="n">
        <v>30</v>
      </c>
      <c r="F778" s="54" t="n">
        <v>90</v>
      </c>
      <c r="G778" s="54" t="n">
        <v>3</v>
      </c>
      <c r="H778" s="55" t="n">
        <v>1020</v>
      </c>
      <c r="I778" s="55" t="n">
        <v>611.12</v>
      </c>
      <c r="J778" s="55" t="n">
        <v>438.54</v>
      </c>
      <c r="K778" s="55" t="n">
        <v>0</v>
      </c>
      <c r="L778" s="55" t="n">
        <v>1049.66</v>
      </c>
      <c r="M778" s="55" t="n">
        <v>29.66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125797</t>
        </is>
      </c>
      <c r="B779" s="52" t="n">
        <v>46024</v>
      </c>
      <c r="C779" s="36" t="inlineStr">
        <is>
          <t>00597015330</t>
        </is>
      </c>
      <c r="D779" s="53" t="inlineStr">
        <is>
          <t xml:space="preserve">JARDIANCE 25MG TAB </t>
        </is>
      </c>
      <c r="E779" s="36" t="n">
        <v>30</v>
      </c>
      <c r="F779" s="54" t="n">
        <v>90</v>
      </c>
      <c r="G779" s="54" t="n">
        <v>3</v>
      </c>
      <c r="H779" s="55" t="n">
        <v>1014</v>
      </c>
      <c r="I779" s="55" t="n">
        <v>1822.37</v>
      </c>
      <c r="J779" s="55" t="n">
        <v>0</v>
      </c>
      <c r="K779" s="55" t="n">
        <v>0</v>
      </c>
      <c r="L779" s="55" t="n">
        <v>1822.37</v>
      </c>
      <c r="M779" s="55" t="n">
        <v>808.37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135053</t>
        </is>
      </c>
      <c r="B780" s="52" t="n">
        <v>46006</v>
      </c>
      <c r="C780" s="36" t="inlineStr">
        <is>
          <t>00597015330</t>
        </is>
      </c>
      <c r="D780" s="53" t="inlineStr">
        <is>
          <t xml:space="preserve">JARDIANCE 25MG TAB </t>
        </is>
      </c>
      <c r="E780" s="36" t="n">
        <v>30</v>
      </c>
      <c r="F780" s="54" t="n">
        <v>90</v>
      </c>
      <c r="G780" s="54" t="n">
        <v>3</v>
      </c>
      <c r="H780" s="55" t="n">
        <v>1818</v>
      </c>
      <c r="I780" s="55" t="n">
        <v>1688.14</v>
      </c>
      <c r="J780" s="55" t="n">
        <v>0</v>
      </c>
      <c r="K780" s="55" t="n">
        <v>0</v>
      </c>
      <c r="L780" s="55" t="n">
        <v>1688.14</v>
      </c>
      <c r="M780" s="55" t="n">
        <v>-129.86</v>
      </c>
      <c r="N780" s="36" t="inlineStr">
        <is>
          <t>610014</t>
        </is>
      </c>
      <c r="O780" s="36" t="inlineStr">
        <is>
          <t>EXPRESS</t>
        </is>
      </c>
      <c r="P780" s="36" t="inlineStr">
        <is>
          <t>MEDDPRIME</t>
        </is>
      </c>
      <c r="Q780" s="36" t="inlineStr">
        <is>
          <t>2FFA</t>
        </is>
      </c>
    </row>
    <row r="781">
      <c r="A781" s="36" t="inlineStr">
        <is>
          <t>142863</t>
        </is>
      </c>
      <c r="B781" s="52" t="n">
        <v>46064</v>
      </c>
      <c r="C781" s="36" t="inlineStr">
        <is>
          <t>00597015330</t>
        </is>
      </c>
      <c r="D781" s="53" t="inlineStr">
        <is>
          <t xml:space="preserve">JARDIANCE 25MG TAB </t>
        </is>
      </c>
      <c r="E781" s="36" t="n">
        <v>30</v>
      </c>
      <c r="F781" s="54" t="n">
        <v>90</v>
      </c>
      <c r="G781" s="54" t="n">
        <v>3</v>
      </c>
      <c r="H781" s="55" t="n">
        <v>1020</v>
      </c>
      <c r="I781" s="55" t="n">
        <v>611.12</v>
      </c>
      <c r="J781" s="55" t="n">
        <v>438.54</v>
      </c>
      <c r="K781" s="55" t="n">
        <v>0</v>
      </c>
      <c r="L781" s="55" t="n">
        <v>1049.66</v>
      </c>
      <c r="M781" s="55" t="n">
        <v>29.66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140100</t>
        </is>
      </c>
      <c r="B782" s="52" t="n">
        <v>46044</v>
      </c>
      <c r="C782" s="36" t="inlineStr">
        <is>
          <t>00597015330</t>
        </is>
      </c>
      <c r="D782" s="53" t="inlineStr">
        <is>
          <t xml:space="preserve">JARDIANCE 25MG TAB </t>
        </is>
      </c>
      <c r="E782" s="36" t="n">
        <v>30</v>
      </c>
      <c r="F782" s="54" t="n">
        <v>90</v>
      </c>
      <c r="G782" s="54" t="n">
        <v>3</v>
      </c>
      <c r="H782" s="55" t="n">
        <v>1014</v>
      </c>
      <c r="I782" s="55" t="n">
        <v>606.22</v>
      </c>
      <c r="J782" s="55" t="n">
        <v>438.54</v>
      </c>
      <c r="K782" s="55" t="n">
        <v>4.9</v>
      </c>
      <c r="L782" s="55" t="n">
        <v>1049.66</v>
      </c>
      <c r="M782" s="55" t="n">
        <v>35.66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142853</t>
        </is>
      </c>
      <c r="B783" s="52" t="n">
        <v>46064</v>
      </c>
      <c r="C783" s="36" t="inlineStr">
        <is>
          <t>00597015330</t>
        </is>
      </c>
      <c r="D783" s="53" t="inlineStr">
        <is>
          <t xml:space="preserve">JARDIANCE 25MG TAB </t>
        </is>
      </c>
      <c r="E783" s="36" t="n">
        <v>30</v>
      </c>
      <c r="F783" s="54" t="n">
        <v>90</v>
      </c>
      <c r="G783" s="54" t="n">
        <v>3</v>
      </c>
      <c r="H783" s="55" t="n">
        <v>1020</v>
      </c>
      <c r="I783" s="55" t="n">
        <v>606.22</v>
      </c>
      <c r="J783" s="55" t="n">
        <v>438.54</v>
      </c>
      <c r="K783" s="55" t="n">
        <v>4.9</v>
      </c>
      <c r="L783" s="55" t="n">
        <v>1049.66</v>
      </c>
      <c r="M783" s="55" t="n">
        <v>29.66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118839</t>
        </is>
      </c>
      <c r="B784" s="52" t="n">
        <v>46013</v>
      </c>
      <c r="C784" s="36" t="inlineStr">
        <is>
          <t>00597015330</t>
        </is>
      </c>
      <c r="D784" s="53" t="inlineStr">
        <is>
          <t xml:space="preserve">JARDIANCE 25MG TAB </t>
        </is>
      </c>
      <c r="E784" s="36" t="n">
        <v>30</v>
      </c>
      <c r="F784" s="54" t="n">
        <v>90</v>
      </c>
      <c r="G784" s="54" t="n">
        <v>3</v>
      </c>
      <c r="H784" s="55" t="n">
        <v>1818</v>
      </c>
      <c r="I784" s="55" t="n">
        <v>1893.96</v>
      </c>
      <c r="J784" s="55" t="n">
        <v>0</v>
      </c>
      <c r="K784" s="55" t="n">
        <v>0</v>
      </c>
      <c r="L784" s="55" t="n">
        <v>1893.96</v>
      </c>
      <c r="M784" s="55" t="n">
        <v>75.95999999999999</v>
      </c>
      <c r="N784" s="36" t="inlineStr">
        <is>
          <t>610097</t>
        </is>
      </c>
      <c r="O784" s="36" t="inlineStr">
        <is>
          <t>OPTUM</t>
        </is>
      </c>
      <c r="P784" s="36" t="inlineStr">
        <is>
          <t>9999</t>
        </is>
      </c>
      <c r="Q784" s="36" t="inlineStr">
        <is>
          <t>PDPIND</t>
        </is>
      </c>
    </row>
    <row r="785">
      <c r="A785" s="36" t="inlineStr">
        <is>
          <t>134701</t>
        </is>
      </c>
      <c r="B785" s="52" t="n">
        <v>46057</v>
      </c>
      <c r="C785" s="36" t="inlineStr">
        <is>
          <t>00597015330</t>
        </is>
      </c>
      <c r="D785" s="53" t="inlineStr">
        <is>
          <t xml:space="preserve">JARDIANCE 25MG TAB </t>
        </is>
      </c>
      <c r="E785" s="36" t="n">
        <v>30</v>
      </c>
      <c r="F785" s="54" t="n">
        <v>30</v>
      </c>
      <c r="G785" s="54" t="n">
        <v>1</v>
      </c>
      <c r="H785" s="55" t="n">
        <v>340</v>
      </c>
      <c r="I785" s="55" t="n">
        <v>307.11</v>
      </c>
      <c r="J785" s="55" t="n">
        <v>0</v>
      </c>
      <c r="K785" s="55" t="n">
        <v>25</v>
      </c>
      <c r="L785" s="55" t="n">
        <v>332.11</v>
      </c>
      <c r="M785" s="55" t="n">
        <v>-7.89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ADV</t>
        </is>
      </c>
      <c r="Q785" s="36" t="inlineStr">
        <is>
          <t>RX1471</t>
        </is>
      </c>
    </row>
    <row r="786">
      <c r="A786" s="36" t="inlineStr">
        <is>
          <t>133376</t>
        </is>
      </c>
      <c r="B786" s="52" t="n">
        <v>45993</v>
      </c>
      <c r="C786" s="36" t="inlineStr">
        <is>
          <t>00597015330</t>
        </is>
      </c>
      <c r="D786" s="53" t="inlineStr">
        <is>
          <t xml:space="preserve">JARDIANCE 25MG TAB </t>
        </is>
      </c>
      <c r="E786" s="36" t="n">
        <v>30</v>
      </c>
      <c r="F786" s="54" t="n">
        <v>90</v>
      </c>
      <c r="G786" s="54" t="n">
        <v>3</v>
      </c>
      <c r="H786" s="55" t="n">
        <v>1818</v>
      </c>
      <c r="I786" s="55" t="n">
        <v>1822.07</v>
      </c>
      <c r="J786" s="55" t="n">
        <v>0</v>
      </c>
      <c r="K786" s="55" t="n">
        <v>0</v>
      </c>
      <c r="L786" s="55" t="n">
        <v>1822.07</v>
      </c>
      <c r="M786" s="55" t="n">
        <v>4.07</v>
      </c>
      <c r="N786" s="36" t="inlineStr">
        <is>
          <t>004740</t>
        </is>
      </c>
      <c r="O786" s="36" t="inlineStr">
        <is>
          <t>NYM</t>
        </is>
      </c>
      <c r="P786" s="36" t="inlineStr">
        <is>
          <t>9314DA31</t>
        </is>
      </c>
      <c r="Q786" s="36" t="n">
        <v/>
      </c>
    </row>
    <row r="787">
      <c r="A787" s="36" t="inlineStr">
        <is>
          <t>135913</t>
        </is>
      </c>
      <c r="B787" s="52" t="n">
        <v>46011</v>
      </c>
      <c r="C787" s="36" t="inlineStr">
        <is>
          <t>00597015330</t>
        </is>
      </c>
      <c r="D787" s="53" t="inlineStr">
        <is>
          <t xml:space="preserve">JARDIANCE 25MG TAB </t>
        </is>
      </c>
      <c r="E787" s="36" t="n">
        <v>30</v>
      </c>
      <c r="F787" s="54" t="n">
        <v>90</v>
      </c>
      <c r="G787" s="54" t="n">
        <v>3</v>
      </c>
      <c r="H787" s="55" t="n">
        <v>1818</v>
      </c>
      <c r="I787" s="55" t="n">
        <v>1755.78</v>
      </c>
      <c r="J787" s="55" t="n">
        <v>0</v>
      </c>
      <c r="K787" s="55" t="n">
        <v>0</v>
      </c>
      <c r="L787" s="55" t="n">
        <v>1755.78</v>
      </c>
      <c r="M787" s="55" t="n">
        <v>-62.22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142333</t>
        </is>
      </c>
      <c r="B788" s="52" t="n">
        <v>46062</v>
      </c>
      <c r="C788" s="36" t="inlineStr">
        <is>
          <t>00597015330</t>
        </is>
      </c>
      <c r="D788" s="53" t="inlineStr">
        <is>
          <t xml:space="preserve">JARDIANCE 25MG TAB </t>
        </is>
      </c>
      <c r="E788" s="36" t="n">
        <v>30</v>
      </c>
      <c r="F788" s="54" t="n">
        <v>90</v>
      </c>
      <c r="G788" s="54" t="n">
        <v>3</v>
      </c>
      <c r="H788" s="55" t="n">
        <v>1020</v>
      </c>
      <c r="I788" s="55" t="n">
        <v>611.12</v>
      </c>
      <c r="J788" s="55" t="n">
        <v>438.54</v>
      </c>
      <c r="K788" s="55" t="n">
        <v>0</v>
      </c>
      <c r="L788" s="55" t="n">
        <v>1049.66</v>
      </c>
      <c r="M788" s="55" t="n">
        <v>29.66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134974</t>
        </is>
      </c>
      <c r="B789" s="52" t="n">
        <v>46003</v>
      </c>
      <c r="C789" s="36" t="inlineStr">
        <is>
          <t>00597015330</t>
        </is>
      </c>
      <c r="D789" s="53" t="inlineStr">
        <is>
          <t xml:space="preserve">JARDIANCE 25MG TAB </t>
        </is>
      </c>
      <c r="E789" s="36" t="n">
        <v>30</v>
      </c>
      <c r="F789" s="54" t="n">
        <v>90</v>
      </c>
      <c r="G789" s="54" t="n">
        <v>3</v>
      </c>
      <c r="H789" s="55" t="n">
        <v>1818</v>
      </c>
      <c r="I789" s="55" t="n">
        <v>1755.78</v>
      </c>
      <c r="J789" s="55" t="n">
        <v>0</v>
      </c>
      <c r="K789" s="55" t="n">
        <v>0</v>
      </c>
      <c r="L789" s="55" t="n">
        <v>1755.78</v>
      </c>
      <c r="M789" s="55" t="n">
        <v>-62.22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139194</t>
        </is>
      </c>
      <c r="B790" s="52" t="n">
        <v>46037</v>
      </c>
      <c r="C790" s="36" t="inlineStr">
        <is>
          <t>00597015330</t>
        </is>
      </c>
      <c r="D790" s="53" t="inlineStr">
        <is>
          <t xml:space="preserve">JARDIANCE 25MG TAB </t>
        </is>
      </c>
      <c r="E790" s="36" t="n">
        <v>30</v>
      </c>
      <c r="F790" s="54" t="n">
        <v>90</v>
      </c>
      <c r="G790" s="54" t="n">
        <v>3</v>
      </c>
      <c r="H790" s="55" t="n">
        <v>1014</v>
      </c>
      <c r="I790" s="55" t="n">
        <v>606.22</v>
      </c>
      <c r="J790" s="55" t="n">
        <v>438.54</v>
      </c>
      <c r="K790" s="55" t="n">
        <v>4.9</v>
      </c>
      <c r="L790" s="55" t="n">
        <v>1049.66</v>
      </c>
      <c r="M790" s="55" t="n">
        <v>35.66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MEDDADV</t>
        </is>
      </c>
      <c r="Q790" s="36" t="inlineStr">
        <is>
          <t>RX1110</t>
        </is>
      </c>
    </row>
    <row r="791">
      <c r="A791" s="36" t="inlineStr">
        <is>
          <t>124346</t>
        </is>
      </c>
      <c r="B791" s="52" t="n">
        <v>46010</v>
      </c>
      <c r="C791" s="36" t="inlineStr">
        <is>
          <t>00597015330</t>
        </is>
      </c>
      <c r="D791" s="53" t="inlineStr">
        <is>
          <t xml:space="preserve">JARDIANCE 25MG TAB </t>
        </is>
      </c>
      <c r="E791" s="36" t="n">
        <v>30</v>
      </c>
      <c r="F791" s="54" t="n">
        <v>90</v>
      </c>
      <c r="G791" s="54" t="n">
        <v>3</v>
      </c>
      <c r="H791" s="55" t="n">
        <v>1818</v>
      </c>
      <c r="I791" s="55" t="n">
        <v>1801.1</v>
      </c>
      <c r="J791" s="55" t="n">
        <v>0</v>
      </c>
      <c r="K791" s="55" t="n">
        <v>0</v>
      </c>
      <c r="L791" s="55" t="n">
        <v>1801.1</v>
      </c>
      <c r="M791" s="55" t="n">
        <v>-16.9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RXCVSD</t>
        </is>
      </c>
    </row>
    <row r="792">
      <c r="A792" s="36" t="inlineStr">
        <is>
          <t>124280</t>
        </is>
      </c>
      <c r="B792" s="52" t="n">
        <v>46010</v>
      </c>
      <c r="C792" s="36" t="inlineStr">
        <is>
          <t>00597015330</t>
        </is>
      </c>
      <c r="D792" s="53" t="inlineStr">
        <is>
          <t xml:space="preserve">JARDIANCE 25MG TAB </t>
        </is>
      </c>
      <c r="E792" s="36" t="n">
        <v>30</v>
      </c>
      <c r="F792" s="54" t="n">
        <v>90</v>
      </c>
      <c r="G792" s="54" t="n">
        <v>3</v>
      </c>
      <c r="H792" s="55" t="n">
        <v>1818</v>
      </c>
      <c r="I792" s="55" t="n">
        <v>1821.07</v>
      </c>
      <c r="J792" s="55" t="n">
        <v>0</v>
      </c>
      <c r="K792" s="55" t="n">
        <v>1</v>
      </c>
      <c r="L792" s="55" t="n">
        <v>1822.07</v>
      </c>
      <c r="M792" s="55" t="n">
        <v>4.07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142308</t>
        </is>
      </c>
      <c r="B793" s="52" t="n">
        <v>46062</v>
      </c>
      <c r="C793" s="36" t="inlineStr">
        <is>
          <t>00597015330</t>
        </is>
      </c>
      <c r="D793" s="53" t="inlineStr">
        <is>
          <t xml:space="preserve">JARDIANCE 25MG TAB </t>
        </is>
      </c>
      <c r="E793" s="36" t="n">
        <v>30</v>
      </c>
      <c r="F793" s="54" t="n">
        <v>90</v>
      </c>
      <c r="G793" s="54" t="n">
        <v>3</v>
      </c>
      <c r="H793" s="55" t="n">
        <v>1020</v>
      </c>
      <c r="I793" s="55" t="n">
        <v>1017.87</v>
      </c>
      <c r="J793" s="55" t="n">
        <v>0</v>
      </c>
      <c r="K793" s="55" t="n">
        <v>0</v>
      </c>
      <c r="L793" s="55" t="n">
        <v>1017.87</v>
      </c>
      <c r="M793" s="55" t="n">
        <v>-2.13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139157</t>
        </is>
      </c>
      <c r="B794" s="52" t="n">
        <v>46037</v>
      </c>
      <c r="C794" s="36" t="inlineStr">
        <is>
          <t>00597015330</t>
        </is>
      </c>
      <c r="D794" s="53" t="inlineStr">
        <is>
          <t xml:space="preserve">JARDIANCE 25MG TAB </t>
        </is>
      </c>
      <c r="E794" s="36" t="n">
        <v>30</v>
      </c>
      <c r="F794" s="54" t="n">
        <v>90</v>
      </c>
      <c r="G794" s="54" t="n">
        <v>3</v>
      </c>
      <c r="H794" s="55" t="n">
        <v>1014</v>
      </c>
      <c r="I794" s="55" t="n">
        <v>606.22</v>
      </c>
      <c r="J794" s="55" t="n">
        <v>438.54</v>
      </c>
      <c r="K794" s="55" t="n">
        <v>4.9</v>
      </c>
      <c r="L794" s="55" t="n">
        <v>1049.66</v>
      </c>
      <c r="M794" s="55" t="n">
        <v>35.66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127562</t>
        </is>
      </c>
      <c r="B795" s="52" t="n">
        <v>46022</v>
      </c>
      <c r="C795" s="36" t="inlineStr">
        <is>
          <t>00597015330</t>
        </is>
      </c>
      <c r="D795" s="53" t="inlineStr">
        <is>
          <t xml:space="preserve">JARDIANCE 25MG TAB </t>
        </is>
      </c>
      <c r="E795" s="36" t="n">
        <v>30</v>
      </c>
      <c r="F795" s="54" t="n">
        <v>30</v>
      </c>
      <c r="G795" s="54" t="n">
        <v>1</v>
      </c>
      <c r="H795" s="55" t="n">
        <v>606</v>
      </c>
      <c r="I795" s="55" t="n">
        <v>557.91</v>
      </c>
      <c r="J795" s="55" t="n">
        <v>0</v>
      </c>
      <c r="K795" s="55" t="n">
        <v>4.8</v>
      </c>
      <c r="L795" s="55" t="n">
        <v>562.71</v>
      </c>
      <c r="M795" s="55" t="n">
        <v>-43.29</v>
      </c>
      <c r="N795" s="36" t="inlineStr">
        <is>
          <t>610014</t>
        </is>
      </c>
      <c r="O795" s="36" t="inlineStr">
        <is>
          <t>EXPRESS</t>
        </is>
      </c>
      <c r="P795" s="36" t="inlineStr">
        <is>
          <t>MEDDPRIME</t>
        </is>
      </c>
      <c r="Q795" s="36" t="inlineStr">
        <is>
          <t>2FGA</t>
        </is>
      </c>
    </row>
    <row r="796">
      <c r="A796" s="36" t="inlineStr">
        <is>
          <t>138900</t>
        </is>
      </c>
      <c r="B796" s="52" t="n">
        <v>46035</v>
      </c>
      <c r="C796" s="36" t="inlineStr">
        <is>
          <t>00597015330</t>
        </is>
      </c>
      <c r="D796" s="53" t="inlineStr">
        <is>
          <t xml:space="preserve">JARDIANCE 25MG TAB </t>
        </is>
      </c>
      <c r="E796" s="36" t="n">
        <v>30</v>
      </c>
      <c r="F796" s="54" t="n">
        <v>90</v>
      </c>
      <c r="G796" s="54" t="n">
        <v>3</v>
      </c>
      <c r="H796" s="55" t="n">
        <v>1014</v>
      </c>
      <c r="I796" s="55" t="n">
        <v>606.22</v>
      </c>
      <c r="J796" s="55" t="n">
        <v>438.54</v>
      </c>
      <c r="K796" s="55" t="n">
        <v>4.9</v>
      </c>
      <c r="L796" s="55" t="n">
        <v>1049.66</v>
      </c>
      <c r="M796" s="55" t="n">
        <v>35.66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138051</t>
        </is>
      </c>
      <c r="B797" s="52" t="n">
        <v>46030</v>
      </c>
      <c r="C797" s="36" t="inlineStr">
        <is>
          <t>00597015330</t>
        </is>
      </c>
      <c r="D797" s="53" t="inlineStr">
        <is>
          <t xml:space="preserve">JARDIANCE 25MG TAB </t>
        </is>
      </c>
      <c r="E797" s="36" t="n">
        <v>30</v>
      </c>
      <c r="F797" s="54" t="n">
        <v>90</v>
      </c>
      <c r="G797" s="54" t="n">
        <v>3</v>
      </c>
      <c r="H797" s="55" t="n">
        <v>1014</v>
      </c>
      <c r="I797" s="55" t="n">
        <v>606.22</v>
      </c>
      <c r="J797" s="55" t="n">
        <v>438.54</v>
      </c>
      <c r="K797" s="55" t="n">
        <v>4.9</v>
      </c>
      <c r="L797" s="55" t="n">
        <v>1049.66</v>
      </c>
      <c r="M797" s="55" t="n">
        <v>35.66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130031</t>
        </is>
      </c>
      <c r="B798" s="52" t="n">
        <v>46060</v>
      </c>
      <c r="C798" s="36" t="inlineStr">
        <is>
          <t>00597015330</t>
        </is>
      </c>
      <c r="D798" s="53" t="inlineStr">
        <is>
          <t xml:space="preserve">JARDIANCE 25MG TAB </t>
        </is>
      </c>
      <c r="E798" s="36" t="n">
        <v>30</v>
      </c>
      <c r="F798" s="54" t="n">
        <v>90</v>
      </c>
      <c r="G798" s="54" t="n">
        <v>3</v>
      </c>
      <c r="H798" s="55" t="n">
        <v>1020</v>
      </c>
      <c r="I798" s="55" t="n">
        <v>611.12</v>
      </c>
      <c r="J798" s="55" t="n">
        <v>438.54</v>
      </c>
      <c r="K798" s="55" t="n">
        <v>0</v>
      </c>
      <c r="L798" s="55" t="n">
        <v>1049.66</v>
      </c>
      <c r="M798" s="55" t="n">
        <v>29.66</v>
      </c>
      <c r="N798" s="36" t="inlineStr">
        <is>
          <t>004336</t>
        </is>
      </c>
      <c r="O798" s="36" t="inlineStr">
        <is>
          <t>CAREMARK</t>
        </is>
      </c>
      <c r="P798" s="36" t="inlineStr">
        <is>
          <t>MEDDADV</t>
        </is>
      </c>
      <c r="Q798" s="36" t="inlineStr">
        <is>
          <t>RX1110</t>
        </is>
      </c>
    </row>
    <row r="799">
      <c r="A799" s="36" t="inlineStr">
        <is>
          <t>130251</t>
        </is>
      </c>
      <c r="B799" s="52" t="n">
        <v>46022</v>
      </c>
      <c r="C799" s="36" t="inlineStr">
        <is>
          <t>00597015330</t>
        </is>
      </c>
      <c r="D799" s="53" t="inlineStr">
        <is>
          <t xml:space="preserve">JARDIANCE 25MG TAB </t>
        </is>
      </c>
      <c r="E799" s="36" t="n">
        <v>30</v>
      </c>
      <c r="F799" s="54" t="n">
        <v>30</v>
      </c>
      <c r="G799" s="54" t="n">
        <v>1</v>
      </c>
      <c r="H799" s="55" t="n">
        <v>606</v>
      </c>
      <c r="I799" s="55" t="n">
        <v>562.71</v>
      </c>
      <c r="J799" s="55" t="n">
        <v>0</v>
      </c>
      <c r="K799" s="55" t="n">
        <v>0</v>
      </c>
      <c r="L799" s="55" t="n">
        <v>562.71</v>
      </c>
      <c r="M799" s="55" t="n">
        <v>-43.29</v>
      </c>
      <c r="N799" s="36" t="inlineStr">
        <is>
          <t>610014</t>
        </is>
      </c>
      <c r="O799" s="36" t="inlineStr">
        <is>
          <t>EXPRESS</t>
        </is>
      </c>
      <c r="P799" s="36" t="inlineStr">
        <is>
          <t>MEDDPRIME</t>
        </is>
      </c>
      <c r="Q799" s="36" t="inlineStr">
        <is>
          <t>2FFA</t>
        </is>
      </c>
    </row>
    <row r="800">
      <c r="A800" s="36" t="inlineStr">
        <is>
          <t>110802</t>
        </is>
      </c>
      <c r="B800" s="52" t="n">
        <v>46062</v>
      </c>
      <c r="C800" s="36" t="inlineStr">
        <is>
          <t>00597015330</t>
        </is>
      </c>
      <c r="D800" s="53" t="inlineStr">
        <is>
          <t xml:space="preserve">JARDIANCE 25MG TAB </t>
        </is>
      </c>
      <c r="E800" s="36" t="n">
        <v>30</v>
      </c>
      <c r="F800" s="54" t="n">
        <v>90</v>
      </c>
      <c r="G800" s="54" t="n">
        <v>3</v>
      </c>
      <c r="H800" s="55" t="n">
        <v>1020</v>
      </c>
      <c r="I800" s="55" t="n">
        <v>867.87</v>
      </c>
      <c r="J800" s="55" t="n">
        <v>0</v>
      </c>
      <c r="K800" s="55" t="n">
        <v>45</v>
      </c>
      <c r="L800" s="55" t="n">
        <v>912.87</v>
      </c>
      <c r="M800" s="55" t="n">
        <v>-107.13</v>
      </c>
      <c r="N800" s="36" t="inlineStr">
        <is>
          <t>003858</t>
        </is>
      </c>
      <c r="O800" s="36" t="inlineStr">
        <is>
          <t>EXPRESS</t>
        </is>
      </c>
      <c r="P800" s="36" t="inlineStr">
        <is>
          <t>A4</t>
        </is>
      </c>
      <c r="Q800" s="36" t="inlineStr">
        <is>
          <t>2GKA</t>
        </is>
      </c>
    </row>
    <row r="801">
      <c r="A801" s="36" t="inlineStr">
        <is>
          <t>121267</t>
        </is>
      </c>
      <c r="B801" s="52" t="n">
        <v>46037</v>
      </c>
      <c r="C801" s="36" t="inlineStr">
        <is>
          <t>00597015330</t>
        </is>
      </c>
      <c r="D801" s="53" t="inlineStr">
        <is>
          <t xml:space="preserve">JARDIANCE 25MG TAB </t>
        </is>
      </c>
      <c r="E801" s="36" t="n">
        <v>30</v>
      </c>
      <c r="F801" s="54" t="n">
        <v>30</v>
      </c>
      <c r="G801" s="54" t="n">
        <v>1</v>
      </c>
      <c r="H801" s="55" t="n">
        <v>338</v>
      </c>
      <c r="I801" s="55" t="n">
        <v>326.97</v>
      </c>
      <c r="J801" s="55" t="n">
        <v>0</v>
      </c>
      <c r="K801" s="55" t="n">
        <v>0</v>
      </c>
      <c r="L801" s="55" t="n">
        <v>326.97</v>
      </c>
      <c r="M801" s="55" t="n">
        <v>-11.03</v>
      </c>
      <c r="N801" s="36" t="inlineStr">
        <is>
          <t>020107</t>
        </is>
      </c>
      <c r="O801" s="36" t="inlineStr">
        <is>
          <t>CAREMARK</t>
        </is>
      </c>
      <c r="P801" s="36" t="inlineStr">
        <is>
          <t>AC</t>
        </is>
      </c>
      <c r="Q801" s="36" t="inlineStr">
        <is>
          <t>RX8478</t>
        </is>
      </c>
    </row>
    <row r="802">
      <c r="A802" s="36" t="inlineStr">
        <is>
          <t>138352</t>
        </is>
      </c>
      <c r="B802" s="52" t="n">
        <v>46031</v>
      </c>
      <c r="C802" s="36" t="inlineStr">
        <is>
          <t>00597015330</t>
        </is>
      </c>
      <c r="D802" s="53" t="inlineStr">
        <is>
          <t xml:space="preserve">JARDIANCE 25MG TAB </t>
        </is>
      </c>
      <c r="E802" s="36" t="n">
        <v>30</v>
      </c>
      <c r="F802" s="54" t="n">
        <v>90</v>
      </c>
      <c r="G802" s="54" t="n">
        <v>3</v>
      </c>
      <c r="H802" s="55" t="n">
        <v>1014</v>
      </c>
      <c r="I802" s="55" t="n">
        <v>1822.37</v>
      </c>
      <c r="J802" s="55" t="n">
        <v>0</v>
      </c>
      <c r="K802" s="55" t="n">
        <v>0</v>
      </c>
      <c r="L802" s="55" t="n">
        <v>1822.37</v>
      </c>
      <c r="M802" s="55" t="n">
        <v>808.37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138876</t>
        </is>
      </c>
      <c r="B803" s="52" t="n">
        <v>46035</v>
      </c>
      <c r="C803" s="36" t="inlineStr">
        <is>
          <t>00597015330</t>
        </is>
      </c>
      <c r="D803" s="53" t="inlineStr">
        <is>
          <t xml:space="preserve">JARDIANCE 25MG TAB </t>
        </is>
      </c>
      <c r="E803" s="36" t="n">
        <v>30</v>
      </c>
      <c r="F803" s="54" t="n">
        <v>90</v>
      </c>
      <c r="G803" s="54" t="n">
        <v>3</v>
      </c>
      <c r="H803" s="55" t="n">
        <v>1014</v>
      </c>
      <c r="I803" s="55" t="n">
        <v>606.22</v>
      </c>
      <c r="J803" s="55" t="n">
        <v>438.54</v>
      </c>
      <c r="K803" s="55" t="n">
        <v>4.9</v>
      </c>
      <c r="L803" s="55" t="n">
        <v>1049.66</v>
      </c>
      <c r="M803" s="55" t="n">
        <v>35.66</v>
      </c>
      <c r="N803" s="36" t="inlineStr">
        <is>
          <t>004336</t>
        </is>
      </c>
      <c r="O803" s="36" t="inlineStr">
        <is>
          <t>CAREMARK</t>
        </is>
      </c>
      <c r="P803" s="36" t="inlineStr">
        <is>
          <t>MEDDADV</t>
        </is>
      </c>
      <c r="Q803" s="36" t="inlineStr">
        <is>
          <t>RX8585</t>
        </is>
      </c>
    </row>
    <row r="804">
      <c r="A804" s="36" t="inlineStr">
        <is>
          <t>123052</t>
        </is>
      </c>
      <c r="B804" s="52" t="n">
        <v>46027</v>
      </c>
      <c r="C804" s="36" t="inlineStr">
        <is>
          <t>00597015330</t>
        </is>
      </c>
      <c r="D804" s="53" t="inlineStr">
        <is>
          <t xml:space="preserve">JARDIANCE 25MG TAB </t>
        </is>
      </c>
      <c r="E804" s="36" t="n">
        <v>30</v>
      </c>
      <c r="F804" s="54" t="n">
        <v>30</v>
      </c>
      <c r="G804" s="54" t="n">
        <v>1</v>
      </c>
      <c r="H804" s="55" t="n">
        <v>338</v>
      </c>
      <c r="I804" s="55" t="n">
        <v>203.58</v>
      </c>
      <c r="J804" s="55" t="n">
        <v>146.18</v>
      </c>
      <c r="K804" s="55" t="n">
        <v>0</v>
      </c>
      <c r="L804" s="55" t="n">
        <v>349.76</v>
      </c>
      <c r="M804" s="55" t="n">
        <v>11.76</v>
      </c>
      <c r="N804" s="36" t="inlineStr">
        <is>
          <t>004336</t>
        </is>
      </c>
      <c r="O804" s="36" t="inlineStr">
        <is>
          <t>CAREMARK</t>
        </is>
      </c>
      <c r="P804" s="36" t="inlineStr">
        <is>
          <t>MEDDADV</t>
        </is>
      </c>
      <c r="Q804" s="36" t="inlineStr">
        <is>
          <t>RX1110</t>
        </is>
      </c>
    </row>
    <row r="805">
      <c r="A805" s="36" t="inlineStr">
        <is>
          <t>136805</t>
        </is>
      </c>
      <c r="B805" s="52" t="n">
        <v>46020</v>
      </c>
      <c r="C805" s="36" t="inlineStr">
        <is>
          <t>00597015330</t>
        </is>
      </c>
      <c r="D805" s="53" t="inlineStr">
        <is>
          <t xml:space="preserve">JARDIANCE 25MG TAB </t>
        </is>
      </c>
      <c r="E805" s="36" t="n">
        <v>30</v>
      </c>
      <c r="F805" s="54" t="n">
        <v>90</v>
      </c>
      <c r="G805" s="54" t="n">
        <v>3</v>
      </c>
      <c r="H805" s="55" t="n">
        <v>1818</v>
      </c>
      <c r="I805" s="55" t="n">
        <v>1556.71</v>
      </c>
      <c r="J805" s="55" t="n">
        <v>0</v>
      </c>
      <c r="K805" s="55" t="n">
        <v>0</v>
      </c>
      <c r="L805" s="55" t="n">
        <v>1556.71</v>
      </c>
      <c r="M805" s="55" t="n">
        <v>-261.29</v>
      </c>
      <c r="N805" s="36" t="inlineStr">
        <is>
          <t>017010</t>
        </is>
      </c>
      <c r="O805" s="36" t="inlineStr">
        <is>
          <t>EXPRESS</t>
        </is>
      </c>
      <c r="P805" s="36" t="inlineStr">
        <is>
          <t>CIMCARE</t>
        </is>
      </c>
      <c r="Q805" s="36" t="inlineStr">
        <is>
          <t>CIGPDPRX</t>
        </is>
      </c>
    </row>
    <row r="806">
      <c r="A806" s="36" t="inlineStr">
        <is>
          <t>143966</t>
        </is>
      </c>
      <c r="B806" s="52" t="n">
        <v>46072</v>
      </c>
      <c r="C806" s="36" t="inlineStr">
        <is>
          <t>00597015330</t>
        </is>
      </c>
      <c r="D806" s="53" t="inlineStr">
        <is>
          <t xml:space="preserve">JARDIANCE 25MG TAB </t>
        </is>
      </c>
      <c r="E806" s="36" t="n">
        <v>30</v>
      </c>
      <c r="F806" s="54" t="n">
        <v>90</v>
      </c>
      <c r="G806" s="54" t="n">
        <v>3</v>
      </c>
      <c r="H806" s="55" t="n">
        <v>1020</v>
      </c>
      <c r="I806" s="55" t="n">
        <v>598.47</v>
      </c>
      <c r="J806" s="55" t="n">
        <v>438.54</v>
      </c>
      <c r="K806" s="55" t="n">
        <v>12.65</v>
      </c>
      <c r="L806" s="55" t="n">
        <v>1049.66</v>
      </c>
      <c r="M806" s="55" t="n">
        <v>29.66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134519</t>
        </is>
      </c>
      <c r="B807" s="52" t="n">
        <v>46001</v>
      </c>
      <c r="C807" s="36" t="inlineStr">
        <is>
          <t>00597015330</t>
        </is>
      </c>
      <c r="D807" s="53" t="inlineStr">
        <is>
          <t xml:space="preserve">JARDIANCE 25MG TAB </t>
        </is>
      </c>
      <c r="E807" s="36" t="n">
        <v>30</v>
      </c>
      <c r="F807" s="54" t="n">
        <v>90</v>
      </c>
      <c r="G807" s="54" t="n">
        <v>3</v>
      </c>
      <c r="H807" s="55" t="n">
        <v>1818</v>
      </c>
      <c r="I807" s="55" t="n">
        <v>1755.78</v>
      </c>
      <c r="J807" s="55" t="n">
        <v>0</v>
      </c>
      <c r="K807" s="55" t="n">
        <v>0</v>
      </c>
      <c r="L807" s="55" t="n">
        <v>1755.78</v>
      </c>
      <c r="M807" s="55" t="n">
        <v>-62.22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124872</t>
        </is>
      </c>
      <c r="B808" s="52" t="n">
        <v>46015</v>
      </c>
      <c r="C808" s="36" t="inlineStr">
        <is>
          <t>00597015330</t>
        </is>
      </c>
      <c r="D808" s="53" t="inlineStr">
        <is>
          <t xml:space="preserve">JARDIANCE 25MG TAB </t>
        </is>
      </c>
      <c r="E808" s="36" t="n">
        <v>30</v>
      </c>
      <c r="F808" s="54" t="n">
        <v>90</v>
      </c>
      <c r="G808" s="54" t="n">
        <v>3</v>
      </c>
      <c r="H808" s="55" t="n">
        <v>1818</v>
      </c>
      <c r="I808" s="55" t="n">
        <v>1822.37</v>
      </c>
      <c r="J808" s="55" t="n">
        <v>0</v>
      </c>
      <c r="K808" s="55" t="n">
        <v>0</v>
      </c>
      <c r="L808" s="55" t="n">
        <v>1822.37</v>
      </c>
      <c r="M808" s="55" t="n">
        <v>4.37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141026</t>
        </is>
      </c>
      <c r="B809" s="52" t="n">
        <v>46051</v>
      </c>
      <c r="C809" s="36" t="inlineStr">
        <is>
          <t>00597015330</t>
        </is>
      </c>
      <c r="D809" s="53" t="inlineStr">
        <is>
          <t xml:space="preserve">JARDIANCE 25MG TAB </t>
        </is>
      </c>
      <c r="E809" s="36" t="n">
        <v>30</v>
      </c>
      <c r="F809" s="54" t="n">
        <v>90</v>
      </c>
      <c r="G809" s="54" t="n">
        <v>3</v>
      </c>
      <c r="H809" s="55" t="n">
        <v>1014</v>
      </c>
      <c r="I809" s="55" t="n">
        <v>611.12</v>
      </c>
      <c r="J809" s="55" t="n">
        <v>438.54</v>
      </c>
      <c r="K809" s="55" t="n">
        <v>0</v>
      </c>
      <c r="L809" s="55" t="n">
        <v>1049.66</v>
      </c>
      <c r="M809" s="55" t="n">
        <v>35.66</v>
      </c>
      <c r="N809" s="36" t="inlineStr">
        <is>
          <t>004336</t>
        </is>
      </c>
      <c r="O809" s="36" t="inlineStr">
        <is>
          <t>CAREMARK</t>
        </is>
      </c>
      <c r="P809" s="36" t="inlineStr">
        <is>
          <t>MEDDADV</t>
        </is>
      </c>
      <c r="Q809" s="36" t="inlineStr">
        <is>
          <t>RX1110</t>
        </is>
      </c>
    </row>
    <row r="810">
      <c r="A810" s="36" t="inlineStr">
        <is>
          <t>127562</t>
        </is>
      </c>
      <c r="B810" s="52" t="n">
        <v>45995</v>
      </c>
      <c r="C810" s="36" t="inlineStr">
        <is>
          <t>00597015330</t>
        </is>
      </c>
      <c r="D810" s="53" t="inlineStr">
        <is>
          <t xml:space="preserve">JARDIANCE 25MG TAB </t>
        </is>
      </c>
      <c r="E810" s="36" t="n">
        <v>30</v>
      </c>
      <c r="F810" s="54" t="n">
        <v>30</v>
      </c>
      <c r="G810" s="54" t="n">
        <v>1</v>
      </c>
      <c r="H810" s="55" t="n">
        <v>606</v>
      </c>
      <c r="I810" s="55" t="n">
        <v>557.91</v>
      </c>
      <c r="J810" s="55" t="n">
        <v>0</v>
      </c>
      <c r="K810" s="55" t="n">
        <v>4.8</v>
      </c>
      <c r="L810" s="55" t="n">
        <v>562.71</v>
      </c>
      <c r="M810" s="55" t="n">
        <v>-43.29</v>
      </c>
      <c r="N810" s="36" t="inlineStr">
        <is>
          <t>610014</t>
        </is>
      </c>
      <c r="O810" s="36" t="inlineStr">
        <is>
          <t>EXPRESS</t>
        </is>
      </c>
      <c r="P810" s="36" t="inlineStr">
        <is>
          <t>MEDDPRIME</t>
        </is>
      </c>
      <c r="Q810" s="36" t="inlineStr">
        <is>
          <t>2FGA</t>
        </is>
      </c>
    </row>
    <row r="811">
      <c r="A811" s="36" t="inlineStr">
        <is>
          <t>117418</t>
        </is>
      </c>
      <c r="B811" s="52" t="n">
        <v>46009</v>
      </c>
      <c r="C811" s="36" t="inlineStr">
        <is>
          <t>00597015330</t>
        </is>
      </c>
      <c r="D811" s="53" t="inlineStr">
        <is>
          <t xml:space="preserve">JARDIANCE 25MG TAB </t>
        </is>
      </c>
      <c r="E811" s="36" t="n">
        <v>30</v>
      </c>
      <c r="F811" s="54" t="n">
        <v>30</v>
      </c>
      <c r="G811" s="54" t="n">
        <v>1</v>
      </c>
      <c r="H811" s="55" t="n">
        <v>606</v>
      </c>
      <c r="I811" s="55" t="n">
        <v>588.02</v>
      </c>
      <c r="J811" s="55" t="n">
        <v>0</v>
      </c>
      <c r="K811" s="55" t="n">
        <v>0</v>
      </c>
      <c r="L811" s="55" t="n">
        <v>588.02</v>
      </c>
      <c r="M811" s="55" t="n">
        <v>-17.98</v>
      </c>
      <c r="N811" s="36" t="inlineStr">
        <is>
          <t>004336</t>
        </is>
      </c>
      <c r="O811" s="36" t="inlineStr">
        <is>
          <t>CAREMARK</t>
        </is>
      </c>
      <c r="P811" s="36" t="inlineStr">
        <is>
          <t>ADV</t>
        </is>
      </c>
      <c r="Q811" s="36" t="inlineStr">
        <is>
          <t>RX7682</t>
        </is>
      </c>
    </row>
    <row r="812">
      <c r="A812" s="36" t="inlineStr">
        <is>
          <t>139213</t>
        </is>
      </c>
      <c r="B812" s="52" t="n">
        <v>46037</v>
      </c>
      <c r="C812" s="36" t="inlineStr">
        <is>
          <t>00597015330</t>
        </is>
      </c>
      <c r="D812" s="53" t="inlineStr">
        <is>
          <t xml:space="preserve">JARDIANCE 25MG TAB </t>
        </is>
      </c>
      <c r="E812" s="36" t="n">
        <v>30</v>
      </c>
      <c r="F812" s="54" t="n">
        <v>30</v>
      </c>
      <c r="G812" s="54" t="n">
        <v>1</v>
      </c>
      <c r="H812" s="55" t="n">
        <v>338</v>
      </c>
      <c r="I812" s="55" t="n">
        <v>326.97</v>
      </c>
      <c r="J812" s="55" t="n">
        <v>0</v>
      </c>
      <c r="K812" s="55" t="n">
        <v>0</v>
      </c>
      <c r="L812" s="55" t="n">
        <v>326.97</v>
      </c>
      <c r="M812" s="55" t="n">
        <v>-11.03</v>
      </c>
      <c r="N812" s="36" t="inlineStr">
        <is>
          <t>004336</t>
        </is>
      </c>
      <c r="O812" s="36" t="inlineStr">
        <is>
          <t>CAREMARK</t>
        </is>
      </c>
      <c r="P812" s="36" t="inlineStr">
        <is>
          <t>ADV</t>
        </is>
      </c>
      <c r="Q812" s="36" t="inlineStr">
        <is>
          <t>RX7682</t>
        </is>
      </c>
    </row>
    <row r="813">
      <c r="A813" s="36" t="inlineStr">
        <is>
          <t>132244</t>
        </is>
      </c>
      <c r="B813" s="52" t="n">
        <v>46009</v>
      </c>
      <c r="C813" s="36" t="inlineStr">
        <is>
          <t>00597015330</t>
        </is>
      </c>
      <c r="D813" s="53" t="inlineStr">
        <is>
          <t xml:space="preserve">JARDIANCE 25MG TAB </t>
        </is>
      </c>
      <c r="E813" s="36" t="n">
        <v>30</v>
      </c>
      <c r="F813" s="54" t="n">
        <v>30</v>
      </c>
      <c r="G813" s="54" t="n">
        <v>1</v>
      </c>
      <c r="H813" s="55" t="n">
        <v>606</v>
      </c>
      <c r="I813" s="55" t="n">
        <v>598.79</v>
      </c>
      <c r="J813" s="55" t="n">
        <v>0</v>
      </c>
      <c r="K813" s="55" t="n">
        <v>0</v>
      </c>
      <c r="L813" s="55" t="n">
        <v>598.79</v>
      </c>
      <c r="M813" s="55" t="n">
        <v>-7.21</v>
      </c>
      <c r="N813" s="36" t="inlineStr">
        <is>
          <t>015574</t>
        </is>
      </c>
      <c r="O813" s="36" t="inlineStr">
        <is>
          <t>MEDIMP</t>
        </is>
      </c>
      <c r="P813" s="36" t="inlineStr">
        <is>
          <t>ASPROD1</t>
        </is>
      </c>
      <c r="Q813" s="36" t="inlineStr">
        <is>
          <t>VNS01</t>
        </is>
      </c>
    </row>
    <row r="814">
      <c r="A814" s="36" t="inlineStr">
        <is>
          <t>123052</t>
        </is>
      </c>
      <c r="B814" s="52" t="n">
        <v>46055</v>
      </c>
      <c r="C814" s="36" t="inlineStr">
        <is>
          <t>00597015330</t>
        </is>
      </c>
      <c r="D814" s="53" t="inlineStr">
        <is>
          <t xml:space="preserve">JARDIANCE 25MG TAB </t>
        </is>
      </c>
      <c r="E814" s="36" t="n">
        <v>30</v>
      </c>
      <c r="F814" s="54" t="n">
        <v>30</v>
      </c>
      <c r="G814" s="54" t="n">
        <v>1</v>
      </c>
      <c r="H814" s="55" t="n">
        <v>340</v>
      </c>
      <c r="I814" s="55" t="n">
        <v>203.58</v>
      </c>
      <c r="J814" s="55" t="n">
        <v>146.18</v>
      </c>
      <c r="K814" s="55" t="n">
        <v>0</v>
      </c>
      <c r="L814" s="55" t="n">
        <v>349.76</v>
      </c>
      <c r="M814" s="55" t="n">
        <v>9.76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RX1110</t>
        </is>
      </c>
    </row>
    <row r="815">
      <c r="A815" s="36" t="inlineStr">
        <is>
          <t>112552</t>
        </is>
      </c>
      <c r="B815" s="52" t="n">
        <v>46002</v>
      </c>
      <c r="C815" s="36" t="inlineStr">
        <is>
          <t>00597015330</t>
        </is>
      </c>
      <c r="D815" s="53" t="inlineStr">
        <is>
          <t xml:space="preserve">JARDIANCE 25MG TAB </t>
        </is>
      </c>
      <c r="E815" s="36" t="n">
        <v>30</v>
      </c>
      <c r="F815" s="54" t="n">
        <v>90</v>
      </c>
      <c r="G815" s="54" t="n">
        <v>3</v>
      </c>
      <c r="H815" s="55" t="n">
        <v>1818</v>
      </c>
      <c r="I815" s="55" t="n">
        <v>1755.78</v>
      </c>
      <c r="J815" s="55" t="n">
        <v>0</v>
      </c>
      <c r="K815" s="55" t="n">
        <v>0</v>
      </c>
      <c r="L815" s="55" t="n">
        <v>1755.78</v>
      </c>
      <c r="M815" s="55" t="n">
        <v>-62.22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134701</t>
        </is>
      </c>
      <c r="B816" s="52" t="n">
        <v>46029</v>
      </c>
      <c r="C816" s="36" t="inlineStr">
        <is>
          <t>00597015330</t>
        </is>
      </c>
      <c r="D816" s="53" t="inlineStr">
        <is>
          <t xml:space="preserve">JARDIANCE 25MG TAB </t>
        </is>
      </c>
      <c r="E816" s="36" t="n">
        <v>30</v>
      </c>
      <c r="F816" s="54" t="n">
        <v>30</v>
      </c>
      <c r="G816" s="54" t="n">
        <v>1</v>
      </c>
      <c r="H816" s="55" t="n">
        <v>338</v>
      </c>
      <c r="I816" s="55" t="n">
        <v>307.11</v>
      </c>
      <c r="J816" s="55" t="n">
        <v>0</v>
      </c>
      <c r="K816" s="55" t="n">
        <v>25</v>
      </c>
      <c r="L816" s="55" t="n">
        <v>332.11</v>
      </c>
      <c r="M816" s="55" t="n">
        <v>-5.89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ADV</t>
        </is>
      </c>
      <c r="Q816" s="36" t="inlineStr">
        <is>
          <t>RX1471</t>
        </is>
      </c>
    </row>
    <row r="817">
      <c r="A817" s="36" t="inlineStr">
        <is>
          <t>138809</t>
        </is>
      </c>
      <c r="B817" s="52" t="n">
        <v>46035</v>
      </c>
      <c r="C817" s="36" t="inlineStr">
        <is>
          <t>00597015330</t>
        </is>
      </c>
      <c r="D817" s="53" t="inlineStr">
        <is>
          <t xml:space="preserve">JARDIANCE 25MG TAB </t>
        </is>
      </c>
      <c r="E817" s="36" t="n">
        <v>30</v>
      </c>
      <c r="F817" s="54" t="n">
        <v>90</v>
      </c>
      <c r="G817" s="54" t="n">
        <v>3</v>
      </c>
      <c r="H817" s="55" t="n">
        <v>1014</v>
      </c>
      <c r="I817" s="55" t="n">
        <v>611.12</v>
      </c>
      <c r="J817" s="55" t="n">
        <v>438.54</v>
      </c>
      <c r="K817" s="55" t="n">
        <v>0</v>
      </c>
      <c r="L817" s="55" t="n">
        <v>1049.66</v>
      </c>
      <c r="M817" s="55" t="n">
        <v>35.66</v>
      </c>
      <c r="N817" s="36" t="inlineStr">
        <is>
          <t>004336</t>
        </is>
      </c>
      <c r="O817" s="36" t="inlineStr">
        <is>
          <t>CAREMARK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127562</t>
        </is>
      </c>
      <c r="B818" s="52" t="n">
        <v>46076</v>
      </c>
      <c r="C818" s="36" t="inlineStr">
        <is>
          <t>00597015330</t>
        </is>
      </c>
      <c r="D818" s="53" t="inlineStr">
        <is>
          <t xml:space="preserve">JARDIANCE 25MG TAB </t>
        </is>
      </c>
      <c r="E818" s="36" t="n">
        <v>30</v>
      </c>
      <c r="F818" s="54" t="n">
        <v>30</v>
      </c>
      <c r="G818" s="54" t="n">
        <v>1</v>
      </c>
      <c r="H818" s="55" t="n">
        <v>340</v>
      </c>
      <c r="I818" s="55" t="n">
        <v>198.68</v>
      </c>
      <c r="J818" s="55" t="n">
        <v>146.18</v>
      </c>
      <c r="K818" s="55" t="n">
        <v>4.9</v>
      </c>
      <c r="L818" s="55" t="n">
        <v>349.76</v>
      </c>
      <c r="M818" s="55" t="n">
        <v>9.76</v>
      </c>
      <c r="N818" s="36" t="inlineStr">
        <is>
          <t>004336</t>
        </is>
      </c>
      <c r="O818" s="36" t="inlineStr">
        <is>
          <t>CAREMARK</t>
        </is>
      </c>
      <c r="P818" s="36" t="inlineStr">
        <is>
          <t>MEDDADV</t>
        </is>
      </c>
      <c r="Q818" s="36" t="inlineStr">
        <is>
          <t>RX1110</t>
        </is>
      </c>
    </row>
    <row r="819">
      <c r="A819" s="36" t="inlineStr">
        <is>
          <t>127603</t>
        </is>
      </c>
      <c r="B819" s="52" t="n">
        <v>46035</v>
      </c>
      <c r="C819" s="36" t="inlineStr">
        <is>
          <t>00597015330</t>
        </is>
      </c>
      <c r="D819" s="53" t="inlineStr">
        <is>
          <t xml:space="preserve">JARDIANCE 25MG TAB </t>
        </is>
      </c>
      <c r="E819" s="36" t="n">
        <v>30</v>
      </c>
      <c r="F819" s="54" t="n">
        <v>90</v>
      </c>
      <c r="G819" s="54" t="n">
        <v>3</v>
      </c>
      <c r="H819" s="55" t="n">
        <v>1014</v>
      </c>
      <c r="I819" s="55" t="n">
        <v>1017.87</v>
      </c>
      <c r="J819" s="55" t="n">
        <v>0</v>
      </c>
      <c r="K819" s="55" t="n">
        <v>0</v>
      </c>
      <c r="L819" s="55" t="n">
        <v>1017.87</v>
      </c>
      <c r="M819" s="55" t="n">
        <v>3.87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126980</t>
        </is>
      </c>
      <c r="B820" s="52" t="n">
        <v>46032</v>
      </c>
      <c r="C820" s="36" t="inlineStr">
        <is>
          <t>00597015330</t>
        </is>
      </c>
      <c r="D820" s="53" t="inlineStr">
        <is>
          <t xml:space="preserve">JARDIANCE 25MG TAB </t>
        </is>
      </c>
      <c r="E820" s="36" t="n">
        <v>30</v>
      </c>
      <c r="F820" s="54" t="n">
        <v>90</v>
      </c>
      <c r="G820" s="54" t="n">
        <v>3</v>
      </c>
      <c r="H820" s="55" t="n">
        <v>1014</v>
      </c>
      <c r="I820" s="55" t="n">
        <v>616.15</v>
      </c>
      <c r="J820" s="55" t="n">
        <v>438.54</v>
      </c>
      <c r="K820" s="55" t="n">
        <v>0</v>
      </c>
      <c r="L820" s="55" t="n">
        <v>1054.69</v>
      </c>
      <c r="M820" s="55" t="n">
        <v>40.69</v>
      </c>
      <c r="N820" s="36" t="inlineStr">
        <is>
          <t>015574</t>
        </is>
      </c>
      <c r="O820" s="36" t="inlineStr">
        <is>
          <t>MEDIMP</t>
        </is>
      </c>
      <c r="P820" s="36" t="inlineStr">
        <is>
          <t>ASPROD1</t>
        </is>
      </c>
      <c r="Q820" s="36" t="inlineStr">
        <is>
          <t>VNS01</t>
        </is>
      </c>
    </row>
    <row r="821">
      <c r="A821" s="36" t="inlineStr">
        <is>
          <t>139746</t>
        </is>
      </c>
      <c r="B821" s="52" t="n">
        <v>46042</v>
      </c>
      <c r="C821" s="36" t="inlineStr">
        <is>
          <t>00597015330</t>
        </is>
      </c>
      <c r="D821" s="53" t="inlineStr">
        <is>
          <t xml:space="preserve">JARDIANCE 25MG TAB </t>
        </is>
      </c>
      <c r="E821" s="36" t="n">
        <v>30</v>
      </c>
      <c r="F821" s="54" t="n">
        <v>90</v>
      </c>
      <c r="G821" s="54" t="n">
        <v>3</v>
      </c>
      <c r="H821" s="55" t="n">
        <v>1014</v>
      </c>
      <c r="I821" s="55" t="n">
        <v>606.22</v>
      </c>
      <c r="J821" s="55" t="n">
        <v>438.54</v>
      </c>
      <c r="K821" s="55" t="n">
        <v>4.9</v>
      </c>
      <c r="L821" s="55" t="n">
        <v>1049.66</v>
      </c>
      <c r="M821" s="55" t="n">
        <v>35.66</v>
      </c>
      <c r="N821" s="36" t="inlineStr">
        <is>
          <t>004336</t>
        </is>
      </c>
      <c r="O821" s="36" t="inlineStr">
        <is>
          <t>CAREMARK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134701</t>
        </is>
      </c>
      <c r="B822" s="52" t="n">
        <v>46002</v>
      </c>
      <c r="C822" s="36" t="inlineStr">
        <is>
          <t>00597015330</t>
        </is>
      </c>
      <c r="D822" s="53" t="inlineStr">
        <is>
          <t xml:space="preserve">JARDIANCE 25MG TAB </t>
        </is>
      </c>
      <c r="E822" s="36" t="n">
        <v>30</v>
      </c>
      <c r="F822" s="54" t="n">
        <v>30</v>
      </c>
      <c r="G822" s="54" t="n">
        <v>1</v>
      </c>
      <c r="H822" s="55" t="n">
        <v>606</v>
      </c>
      <c r="I822" s="55" t="n">
        <v>579.41</v>
      </c>
      <c r="J822" s="55" t="n">
        <v>0</v>
      </c>
      <c r="K822" s="55" t="n">
        <v>25</v>
      </c>
      <c r="L822" s="55" t="n">
        <v>604.41</v>
      </c>
      <c r="M822" s="55" t="n">
        <v>-1.59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ADV</t>
        </is>
      </c>
      <c r="Q822" s="36" t="inlineStr">
        <is>
          <t>RX1471</t>
        </is>
      </c>
    </row>
    <row r="823">
      <c r="A823" s="36" t="inlineStr">
        <is>
          <t>121267</t>
        </is>
      </c>
      <c r="B823" s="52" t="n">
        <v>46009</v>
      </c>
      <c r="C823" s="36" t="inlineStr">
        <is>
          <t>00597015330</t>
        </is>
      </c>
      <c r="D823" s="53" t="inlineStr">
        <is>
          <t xml:space="preserve">JARDIANCE 25MG TAB </t>
        </is>
      </c>
      <c r="E823" s="36" t="n">
        <v>30</v>
      </c>
      <c r="F823" s="54" t="n">
        <v>30</v>
      </c>
      <c r="G823" s="54" t="n">
        <v>1</v>
      </c>
      <c r="H823" s="55" t="n">
        <v>606</v>
      </c>
      <c r="I823" s="55" t="n">
        <v>588.02</v>
      </c>
      <c r="J823" s="55" t="n">
        <v>0</v>
      </c>
      <c r="K823" s="55" t="n">
        <v>0</v>
      </c>
      <c r="L823" s="55" t="n">
        <v>588.02</v>
      </c>
      <c r="M823" s="55" t="n">
        <v>-17.98</v>
      </c>
      <c r="N823" s="36" t="inlineStr">
        <is>
          <t>020107</t>
        </is>
      </c>
      <c r="O823" s="36" t="inlineStr">
        <is>
          <t>CAREMARK</t>
        </is>
      </c>
      <c r="P823" s="36" t="inlineStr">
        <is>
          <t>AC</t>
        </is>
      </c>
      <c r="Q823" s="36" t="inlineStr">
        <is>
          <t>RX8478</t>
        </is>
      </c>
    </row>
    <row r="824">
      <c r="A824" s="36" t="inlineStr">
        <is>
          <t>113285</t>
        </is>
      </c>
      <c r="B824" s="52" t="n">
        <v>46008</v>
      </c>
      <c r="C824" s="36" t="inlineStr">
        <is>
          <t>00597015330</t>
        </is>
      </c>
      <c r="D824" s="53" t="inlineStr">
        <is>
          <t xml:space="preserve">JARDIANCE 25MG TAB </t>
        </is>
      </c>
      <c r="E824" s="36" t="n">
        <v>30</v>
      </c>
      <c r="F824" s="54" t="n">
        <v>90</v>
      </c>
      <c r="G824" s="54" t="n">
        <v>3</v>
      </c>
      <c r="H824" s="55" t="n">
        <v>1818</v>
      </c>
      <c r="I824" s="55" t="n">
        <v>1755.78</v>
      </c>
      <c r="J824" s="55" t="n">
        <v>0</v>
      </c>
      <c r="K824" s="55" t="n">
        <v>0</v>
      </c>
      <c r="L824" s="55" t="n">
        <v>1755.78</v>
      </c>
      <c r="M824" s="55" t="n">
        <v>-62.22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132859</t>
        </is>
      </c>
      <c r="B825" s="52" t="n">
        <v>46014</v>
      </c>
      <c r="C825" s="36" t="inlineStr">
        <is>
          <t>00187540008</t>
        </is>
      </c>
      <c r="D825" s="53" t="inlineStr">
        <is>
          <t>JUBLIA 10 % EXTERNAL SOLUTION</t>
        </is>
      </c>
      <c r="E825" s="36" t="n">
        <v>8</v>
      </c>
      <c r="F825" s="54" t="n">
        <v>8</v>
      </c>
      <c r="G825" s="54" t="n">
        <v>1</v>
      </c>
      <c r="H825" s="55" t="n">
        <v>1590</v>
      </c>
      <c r="I825" s="55" t="n">
        <v>1547.26</v>
      </c>
      <c r="J825" s="55" t="n">
        <v>0</v>
      </c>
      <c r="K825" s="55" t="n">
        <v>0</v>
      </c>
      <c r="L825" s="55" t="n">
        <v>1547.26</v>
      </c>
      <c r="M825" s="55" t="n">
        <v>-42.74</v>
      </c>
      <c r="N825" s="36" t="inlineStr">
        <is>
          <t>610097</t>
        </is>
      </c>
      <c r="O825" s="36" t="inlineStr">
        <is>
          <t>OPTUM</t>
        </is>
      </c>
      <c r="P825" s="36" t="inlineStr">
        <is>
          <t>9999</t>
        </is>
      </c>
      <c r="Q825" s="36" t="inlineStr">
        <is>
          <t>MPDCSP</t>
        </is>
      </c>
    </row>
    <row r="826">
      <c r="A826" s="36" t="inlineStr">
        <is>
          <t>143605</t>
        </is>
      </c>
      <c r="B826" s="52" t="n">
        <v>46070</v>
      </c>
      <c r="C826" s="36" t="inlineStr">
        <is>
          <t>00187540008</t>
        </is>
      </c>
      <c r="D826" s="53" t="inlineStr">
        <is>
          <t>JUBLIA 10 % EXTERNAL SOLUTION</t>
        </is>
      </c>
      <c r="E826" s="36" t="n">
        <v>8</v>
      </c>
      <c r="F826" s="54" t="n">
        <v>8</v>
      </c>
      <c r="G826" s="54" t="n">
        <v>1</v>
      </c>
      <c r="H826" s="55" t="n">
        <v>1590</v>
      </c>
      <c r="I826" s="55" t="n">
        <v>1639.07</v>
      </c>
      <c r="J826" s="55" t="n">
        <v>0</v>
      </c>
      <c r="K826" s="55" t="n">
        <v>0</v>
      </c>
      <c r="L826" s="55" t="n">
        <v>1639.07</v>
      </c>
      <c r="M826" s="55" t="n">
        <v>49.07</v>
      </c>
      <c r="N826" s="36" t="inlineStr">
        <is>
          <t>610097</t>
        </is>
      </c>
      <c r="O826" s="36" t="inlineStr">
        <is>
          <t>OPTUM</t>
        </is>
      </c>
      <c r="P826" s="36" t="inlineStr">
        <is>
          <t>9999</t>
        </is>
      </c>
      <c r="Q826" s="36" t="inlineStr">
        <is>
          <t>MPDCSP</t>
        </is>
      </c>
    </row>
    <row r="827">
      <c r="A827" s="36" t="inlineStr">
        <is>
          <t>132859</t>
        </is>
      </c>
      <c r="B827" s="52" t="n">
        <v>46042</v>
      </c>
      <c r="C827" s="36" t="inlineStr">
        <is>
          <t>00187540008</t>
        </is>
      </c>
      <c r="D827" s="53" t="inlineStr">
        <is>
          <t>JUBLIA 10 % EXTERNAL SOLUTION</t>
        </is>
      </c>
      <c r="E827" s="36" t="n">
        <v>8</v>
      </c>
      <c r="F827" s="54" t="n">
        <v>8</v>
      </c>
      <c r="G827" s="54" t="n">
        <v>1</v>
      </c>
      <c r="H827" s="55" t="n">
        <v>1590</v>
      </c>
      <c r="I827" s="55" t="n">
        <v>1639.07</v>
      </c>
      <c r="J827" s="55" t="n">
        <v>0</v>
      </c>
      <c r="K827" s="55" t="n">
        <v>0</v>
      </c>
      <c r="L827" s="55" t="n">
        <v>1639.07</v>
      </c>
      <c r="M827" s="55" t="n">
        <v>49.07</v>
      </c>
      <c r="N827" s="36" t="inlineStr">
        <is>
          <t>610097</t>
        </is>
      </c>
      <c r="O827" s="36" t="inlineStr">
        <is>
          <t>OPTUM</t>
        </is>
      </c>
      <c r="P827" s="36" t="inlineStr">
        <is>
          <t>9999</t>
        </is>
      </c>
      <c r="Q827" s="36" t="inlineStr">
        <is>
          <t>MPDCSP</t>
        </is>
      </c>
    </row>
    <row r="828">
      <c r="A828" s="36" t="inlineStr">
        <is>
          <t>125256</t>
        </is>
      </c>
      <c r="B828" s="52" t="n">
        <v>46043</v>
      </c>
      <c r="C828" s="36" t="inlineStr">
        <is>
          <t>49702024213</t>
        </is>
      </c>
      <c r="D828" s="53" t="inlineStr">
        <is>
          <t>JULUCA 50-25MG TABLET</t>
        </is>
      </c>
      <c r="E828" s="36" t="n">
        <v>30</v>
      </c>
      <c r="F828" s="54" t="n">
        <v>30</v>
      </c>
      <c r="G828" s="54" t="n">
        <v>1</v>
      </c>
      <c r="H828" s="55" t="n">
        <v>3561</v>
      </c>
      <c r="I828" s="55" t="n">
        <v>3597.65</v>
      </c>
      <c r="J828" s="55" t="n">
        <v>0</v>
      </c>
      <c r="K828" s="55" t="n">
        <v>4.9</v>
      </c>
      <c r="L828" s="55" t="n">
        <v>3602.55</v>
      </c>
      <c r="M828" s="55" t="n">
        <v>41.55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RX8541</t>
        </is>
      </c>
    </row>
    <row r="829">
      <c r="A829" s="36" t="inlineStr">
        <is>
          <t>129944</t>
        </is>
      </c>
      <c r="B829" s="52" t="n">
        <v>45999</v>
      </c>
      <c r="C829" s="36" t="inlineStr">
        <is>
          <t>49702024213</t>
        </is>
      </c>
      <c r="D829" s="53" t="inlineStr">
        <is>
          <t>JULUCA 50-25MG TABLET</t>
        </is>
      </c>
      <c r="E829" s="36" t="n">
        <v>30</v>
      </c>
      <c r="F829" s="54" t="n">
        <v>30</v>
      </c>
      <c r="G829" s="54" t="n">
        <v>1</v>
      </c>
      <c r="H829" s="55" t="n">
        <v>3561</v>
      </c>
      <c r="I829" s="55" t="n">
        <v>3558.77</v>
      </c>
      <c r="J829" s="55" t="n">
        <v>0</v>
      </c>
      <c r="K829" s="55" t="n">
        <v>3</v>
      </c>
      <c r="L829" s="55" t="n">
        <v>3561.77</v>
      </c>
      <c r="M829" s="55" t="n">
        <v>0.77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143750</t>
        </is>
      </c>
      <c r="B830" s="52" t="n">
        <v>46071</v>
      </c>
      <c r="C830" s="36" t="inlineStr">
        <is>
          <t>49702024213</t>
        </is>
      </c>
      <c r="D830" s="53" t="inlineStr">
        <is>
          <t>JULUCA 50-25MG TABLET</t>
        </is>
      </c>
      <c r="E830" s="36" t="n">
        <v>30</v>
      </c>
      <c r="F830" s="54" t="n">
        <v>30</v>
      </c>
      <c r="G830" s="54" t="n">
        <v>1</v>
      </c>
      <c r="H830" s="55" t="n">
        <v>3561</v>
      </c>
      <c r="I830" s="55" t="n">
        <v>3597.65</v>
      </c>
      <c r="J830" s="55" t="n">
        <v>0</v>
      </c>
      <c r="K830" s="55" t="n">
        <v>4.9</v>
      </c>
      <c r="L830" s="55" t="n">
        <v>3602.55</v>
      </c>
      <c r="M830" s="55" t="n">
        <v>41.55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RX8541</t>
        </is>
      </c>
    </row>
    <row r="831">
      <c r="A831" s="36" t="inlineStr">
        <is>
          <t>141412</t>
        </is>
      </c>
      <c r="B831" s="52" t="n">
        <v>46055</v>
      </c>
      <c r="C831" s="36" t="inlineStr">
        <is>
          <t>49702024213</t>
        </is>
      </c>
      <c r="D831" s="53" t="inlineStr">
        <is>
          <t>JULUCA 50-25MG TABLET</t>
        </is>
      </c>
      <c r="E831" s="36" t="n">
        <v>30</v>
      </c>
      <c r="F831" s="54" t="n">
        <v>30</v>
      </c>
      <c r="G831" s="54" t="n">
        <v>1</v>
      </c>
      <c r="H831" s="55" t="n">
        <v>3561</v>
      </c>
      <c r="I831" s="55" t="n">
        <v>3668.66</v>
      </c>
      <c r="J831" s="55" t="n">
        <v>0</v>
      </c>
      <c r="K831" s="55" t="n">
        <v>0</v>
      </c>
      <c r="L831" s="55" t="n">
        <v>3668.66</v>
      </c>
      <c r="M831" s="55" t="n">
        <v>107.66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125256</t>
        </is>
      </c>
      <c r="B832" s="52" t="n">
        <v>46015</v>
      </c>
      <c r="C832" s="36" t="inlineStr">
        <is>
          <t>49702024213</t>
        </is>
      </c>
      <c r="D832" s="53" t="inlineStr">
        <is>
          <t>JULUCA 50-25MG TABLET</t>
        </is>
      </c>
      <c r="E832" s="36" t="n">
        <v>30</v>
      </c>
      <c r="F832" s="54" t="n">
        <v>30</v>
      </c>
      <c r="G832" s="54" t="n">
        <v>1</v>
      </c>
      <c r="H832" s="55" t="n">
        <v>3561</v>
      </c>
      <c r="I832" s="55" t="n">
        <v>3493.23</v>
      </c>
      <c r="J832" s="55" t="n">
        <v>0</v>
      </c>
      <c r="K832" s="55" t="n">
        <v>0</v>
      </c>
      <c r="L832" s="55" t="n">
        <v>3493.23</v>
      </c>
      <c r="M832" s="55" t="n">
        <v>-67.77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RX8541</t>
        </is>
      </c>
    </row>
    <row r="833">
      <c r="A833" s="36" t="inlineStr">
        <is>
          <t>129944</t>
        </is>
      </c>
      <c r="B833" s="52" t="n">
        <v>46027</v>
      </c>
      <c r="C833" s="36" t="inlineStr">
        <is>
          <t>49702024213</t>
        </is>
      </c>
      <c r="D833" s="53" t="inlineStr">
        <is>
          <t>JULUCA 50-25MG TABLET</t>
        </is>
      </c>
      <c r="E833" s="36" t="n">
        <v>30</v>
      </c>
      <c r="F833" s="54" t="n">
        <v>30</v>
      </c>
      <c r="G833" s="54" t="n">
        <v>1</v>
      </c>
      <c r="H833" s="55" t="n">
        <v>3561</v>
      </c>
      <c r="I833" s="55" t="n">
        <v>3562.1</v>
      </c>
      <c r="J833" s="55" t="n">
        <v>0</v>
      </c>
      <c r="K833" s="55" t="n">
        <v>0</v>
      </c>
      <c r="L833" s="55" t="n">
        <v>3562.1</v>
      </c>
      <c r="M833" s="55" t="n">
        <v>1.1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138052</t>
        </is>
      </c>
      <c r="B834" s="52" t="n">
        <v>46030</v>
      </c>
      <c r="C834" s="36" t="inlineStr">
        <is>
          <t>50419054001</t>
        </is>
      </c>
      <c r="D834" s="53" t="inlineStr">
        <is>
          <t>KERENDIA 10 MG TABLET</t>
        </is>
      </c>
      <c r="E834" s="36" t="n">
        <v>30</v>
      </c>
      <c r="F834" s="54" t="n">
        <v>90</v>
      </c>
      <c r="G834" s="54" t="n">
        <v>3</v>
      </c>
      <c r="H834" s="55" t="n">
        <v>2070</v>
      </c>
      <c r="I834" s="55" t="n">
        <v>2003.88</v>
      </c>
      <c r="J834" s="55" t="n">
        <v>0</v>
      </c>
      <c r="K834" s="55" t="n">
        <v>4.9</v>
      </c>
      <c r="L834" s="55" t="n">
        <v>2008.78</v>
      </c>
      <c r="M834" s="55" t="n">
        <v>-61.22</v>
      </c>
      <c r="N834" s="36" t="inlineStr">
        <is>
          <t>004336</t>
        </is>
      </c>
      <c r="O834" s="36" t="inlineStr">
        <is>
          <t>CAREMARK</t>
        </is>
      </c>
      <c r="P834" s="36" t="inlineStr">
        <is>
          <t>MEDDADV</t>
        </is>
      </c>
      <c r="Q834" s="36" t="inlineStr">
        <is>
          <t>RX1110</t>
        </is>
      </c>
    </row>
    <row r="835">
      <c r="A835" s="36" t="inlineStr">
        <is>
          <t>126093</t>
        </is>
      </c>
      <c r="B835" s="52" t="n">
        <v>46024</v>
      </c>
      <c r="C835" s="36" t="inlineStr">
        <is>
          <t>50419054001</t>
        </is>
      </c>
      <c r="D835" s="53" t="inlineStr">
        <is>
          <t>KERENDIA 10 MG TABLET</t>
        </is>
      </c>
      <c r="E835" s="36" t="n">
        <v>30</v>
      </c>
      <c r="F835" s="54" t="n">
        <v>90</v>
      </c>
      <c r="G835" s="54" t="n">
        <v>3</v>
      </c>
      <c r="H835" s="55" t="n">
        <v>2070</v>
      </c>
      <c r="I835" s="55" t="n">
        <v>2008.78</v>
      </c>
      <c r="J835" s="55" t="n">
        <v>0</v>
      </c>
      <c r="K835" s="55" t="n">
        <v>0</v>
      </c>
      <c r="L835" s="55" t="n">
        <v>2008.78</v>
      </c>
      <c r="M835" s="55" t="n">
        <v>-61.22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136831</t>
        </is>
      </c>
      <c r="B836" s="52" t="n">
        <v>46024</v>
      </c>
      <c r="C836" s="36" t="inlineStr">
        <is>
          <t>50419054001</t>
        </is>
      </c>
      <c r="D836" s="53" t="inlineStr">
        <is>
          <t>KERENDIA 10 MG TABLET</t>
        </is>
      </c>
      <c r="E836" s="36" t="n">
        <v>30</v>
      </c>
      <c r="F836" s="54" t="n">
        <v>90</v>
      </c>
      <c r="G836" s="54" t="n">
        <v>3</v>
      </c>
      <c r="H836" s="55" t="n">
        <v>2070</v>
      </c>
      <c r="I836" s="55" t="n">
        <v>2008.78</v>
      </c>
      <c r="J836" s="55" t="n">
        <v>0</v>
      </c>
      <c r="K836" s="55" t="n">
        <v>0</v>
      </c>
      <c r="L836" s="55" t="n">
        <v>2008.78</v>
      </c>
      <c r="M836" s="55" t="n">
        <v>-61.22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137185</t>
        </is>
      </c>
      <c r="B837" s="52" t="n">
        <v>46024</v>
      </c>
      <c r="C837" s="36" t="inlineStr">
        <is>
          <t>50419054001</t>
        </is>
      </c>
      <c r="D837" s="53" t="inlineStr">
        <is>
          <t>KERENDIA 10 MG TABLET</t>
        </is>
      </c>
      <c r="E837" s="36" t="n">
        <v>30</v>
      </c>
      <c r="F837" s="54" t="n">
        <v>90</v>
      </c>
      <c r="G837" s="54" t="n">
        <v>3</v>
      </c>
      <c r="H837" s="55" t="n">
        <v>2070</v>
      </c>
      <c r="I837" s="55" t="n">
        <v>2034.59</v>
      </c>
      <c r="J837" s="55" t="n">
        <v>0</v>
      </c>
      <c r="K837" s="55" t="n">
        <v>0</v>
      </c>
      <c r="L837" s="55" t="n">
        <v>2034.59</v>
      </c>
      <c r="M837" s="55" t="n">
        <v>-35.41</v>
      </c>
      <c r="N837" s="36" t="inlineStr">
        <is>
          <t>610502</t>
        </is>
      </c>
      <c r="O837" s="36" t="inlineStr">
        <is>
          <t>CAREMARK</t>
        </is>
      </c>
      <c r="P837" s="36" t="inlineStr">
        <is>
          <t>MEDDAET</t>
        </is>
      </c>
      <c r="Q837" s="36" t="inlineStr">
        <is>
          <t>RXAETD</t>
        </is>
      </c>
    </row>
    <row r="838">
      <c r="A838" s="36" t="inlineStr">
        <is>
          <t>137221</t>
        </is>
      </c>
      <c r="B838" s="52" t="n">
        <v>46024</v>
      </c>
      <c r="C838" s="36" t="inlineStr">
        <is>
          <t>50419054001</t>
        </is>
      </c>
      <c r="D838" s="53" t="inlineStr">
        <is>
          <t>KERENDIA 10 MG TABLET</t>
        </is>
      </c>
      <c r="E838" s="36" t="n">
        <v>30</v>
      </c>
      <c r="F838" s="54" t="n">
        <v>90</v>
      </c>
      <c r="G838" s="54" t="n">
        <v>3</v>
      </c>
      <c r="H838" s="55" t="n">
        <v>2070</v>
      </c>
      <c r="I838" s="55" t="n">
        <v>2003.88</v>
      </c>
      <c r="J838" s="55" t="n">
        <v>0</v>
      </c>
      <c r="K838" s="55" t="n">
        <v>4.9</v>
      </c>
      <c r="L838" s="55" t="n">
        <v>2008.78</v>
      </c>
      <c r="M838" s="55" t="n">
        <v>-61.22</v>
      </c>
      <c r="N838" s="36" t="inlineStr">
        <is>
          <t>004336</t>
        </is>
      </c>
      <c r="O838" s="36" t="inlineStr">
        <is>
          <t>CAREMARK</t>
        </is>
      </c>
      <c r="P838" s="36" t="inlineStr">
        <is>
          <t>MEDDADV</t>
        </is>
      </c>
      <c r="Q838" s="36" t="inlineStr">
        <is>
          <t>RX1110</t>
        </is>
      </c>
    </row>
    <row r="839">
      <c r="A839" s="36" t="inlineStr">
        <is>
          <t>122313</t>
        </is>
      </c>
      <c r="B839" s="52" t="n">
        <v>45995</v>
      </c>
      <c r="C839" s="36" t="inlineStr">
        <is>
          <t>50419054001</t>
        </is>
      </c>
      <c r="D839" s="53" t="inlineStr">
        <is>
          <t>KERENDIA 10 MG TABLET</t>
        </is>
      </c>
      <c r="E839" s="36" t="n">
        <v>30</v>
      </c>
      <c r="F839" s="54" t="n">
        <v>90</v>
      </c>
      <c r="G839" s="54" t="n">
        <v>3</v>
      </c>
      <c r="H839" s="55" t="n">
        <v>1983</v>
      </c>
      <c r="I839" s="55" t="n">
        <v>1915.55</v>
      </c>
      <c r="J839" s="55" t="n">
        <v>0</v>
      </c>
      <c r="K839" s="55" t="n">
        <v>0</v>
      </c>
      <c r="L839" s="55" t="n">
        <v>1915.55</v>
      </c>
      <c r="M839" s="55" t="n">
        <v>-67.45</v>
      </c>
      <c r="N839" s="36" t="inlineStr">
        <is>
          <t>004336</t>
        </is>
      </c>
      <c r="O839" s="36" t="inlineStr">
        <is>
          <t>CAREMARK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136147</t>
        </is>
      </c>
      <c r="B840" s="52" t="n">
        <v>46013</v>
      </c>
      <c r="C840" s="36" t="inlineStr">
        <is>
          <t>50419054001</t>
        </is>
      </c>
      <c r="D840" s="53" t="inlineStr">
        <is>
          <t>KERENDIA 10 MG TABLET</t>
        </is>
      </c>
      <c r="E840" s="36" t="n">
        <v>30</v>
      </c>
      <c r="F840" s="54" t="n">
        <v>90</v>
      </c>
      <c r="G840" s="54" t="n">
        <v>3</v>
      </c>
      <c r="H840" s="55" t="n">
        <v>1983</v>
      </c>
      <c r="I840" s="55" t="n">
        <v>1915.55</v>
      </c>
      <c r="J840" s="55" t="n">
        <v>0</v>
      </c>
      <c r="K840" s="55" t="n">
        <v>0</v>
      </c>
      <c r="L840" s="55" t="n">
        <v>1915.55</v>
      </c>
      <c r="M840" s="55" t="n">
        <v>-67.45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137334</t>
        </is>
      </c>
      <c r="B841" s="52" t="n">
        <v>46024</v>
      </c>
      <c r="C841" s="36" t="inlineStr">
        <is>
          <t>50419054001</t>
        </is>
      </c>
      <c r="D841" s="53" t="inlineStr">
        <is>
          <t>KERENDIA 10 MG TABLET</t>
        </is>
      </c>
      <c r="E841" s="36" t="n">
        <v>30</v>
      </c>
      <c r="F841" s="54" t="n">
        <v>90</v>
      </c>
      <c r="G841" s="54" t="n">
        <v>3</v>
      </c>
      <c r="H841" s="55" t="n">
        <v>2070</v>
      </c>
      <c r="I841" s="55" t="n">
        <v>2003.88</v>
      </c>
      <c r="J841" s="55" t="n">
        <v>0</v>
      </c>
      <c r="K841" s="55" t="n">
        <v>4.9</v>
      </c>
      <c r="L841" s="55" t="n">
        <v>2008.78</v>
      </c>
      <c r="M841" s="55" t="n">
        <v>-61.22</v>
      </c>
      <c r="N841" s="36" t="inlineStr">
        <is>
          <t>004336</t>
        </is>
      </c>
      <c r="O841" s="36" t="inlineStr">
        <is>
          <t>CAREMARK</t>
        </is>
      </c>
      <c r="P841" s="36" t="inlineStr">
        <is>
          <t>MEDDADV</t>
        </is>
      </c>
      <c r="Q841" s="36" t="inlineStr">
        <is>
          <t>RXCVSD</t>
        </is>
      </c>
    </row>
    <row r="842">
      <c r="A842" s="36" t="inlineStr">
        <is>
          <t>141971</t>
        </is>
      </c>
      <c r="B842" s="52" t="n">
        <v>46058</v>
      </c>
      <c r="C842" s="36" t="inlineStr">
        <is>
          <t>50419054001</t>
        </is>
      </c>
      <c r="D842" s="53" t="inlineStr">
        <is>
          <t>KERENDIA 10 MG TABLET</t>
        </is>
      </c>
      <c r="E842" s="36" t="n">
        <v>30</v>
      </c>
      <c r="F842" s="54" t="n">
        <v>90</v>
      </c>
      <c r="G842" s="54" t="n">
        <v>3</v>
      </c>
      <c r="H842" s="55" t="n">
        <v>2088</v>
      </c>
      <c r="I842" s="55" t="n">
        <v>2008.78</v>
      </c>
      <c r="J842" s="55" t="n">
        <v>0</v>
      </c>
      <c r="K842" s="55" t="n">
        <v>0</v>
      </c>
      <c r="L842" s="55" t="n">
        <v>2008.78</v>
      </c>
      <c r="M842" s="55" t="n">
        <v>-79.22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133949</t>
        </is>
      </c>
      <c r="B843" s="52" t="n">
        <v>46006</v>
      </c>
      <c r="C843" s="36" t="inlineStr">
        <is>
          <t>50419054001</t>
        </is>
      </c>
      <c r="D843" s="53" t="inlineStr">
        <is>
          <t>KERENDIA 10 MG TABLET</t>
        </is>
      </c>
      <c r="E843" s="36" t="n">
        <v>30</v>
      </c>
      <c r="F843" s="54" t="n">
        <v>90</v>
      </c>
      <c r="G843" s="54" t="n">
        <v>3</v>
      </c>
      <c r="H843" s="55" t="n">
        <v>1983</v>
      </c>
      <c r="I843" s="55" t="n">
        <v>1982.74</v>
      </c>
      <c r="J843" s="55" t="n">
        <v>0</v>
      </c>
      <c r="K843" s="55" t="n">
        <v>3</v>
      </c>
      <c r="L843" s="55" t="n">
        <v>1985.74</v>
      </c>
      <c r="M843" s="55" t="n">
        <v>2.74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134605</t>
        </is>
      </c>
      <c r="B844" s="52" t="n">
        <v>46001</v>
      </c>
      <c r="C844" s="36" t="inlineStr">
        <is>
          <t>50419054101</t>
        </is>
      </c>
      <c r="D844" s="53" t="inlineStr">
        <is>
          <t>KERENDIA 20MG TABLET</t>
        </is>
      </c>
      <c r="E844" s="36" t="n">
        <v>30</v>
      </c>
      <c r="F844" s="54" t="n">
        <v>90</v>
      </c>
      <c r="G844" s="54" t="n">
        <v>3</v>
      </c>
      <c r="H844" s="55" t="n">
        <v>1983</v>
      </c>
      <c r="I844" s="55" t="n">
        <v>1841.73</v>
      </c>
      <c r="J844" s="55" t="n">
        <v>0</v>
      </c>
      <c r="K844" s="55" t="n">
        <v>0</v>
      </c>
      <c r="L844" s="55" t="n">
        <v>1841.73</v>
      </c>
      <c r="M844" s="55" t="n">
        <v>-141.27</v>
      </c>
      <c r="N844" s="36" t="inlineStr">
        <is>
          <t>610014</t>
        </is>
      </c>
      <c r="O844" s="36" t="inlineStr">
        <is>
          <t>EXPRESS</t>
        </is>
      </c>
      <c r="P844" s="36" t="inlineStr">
        <is>
          <t>MEDDPRIME</t>
        </is>
      </c>
      <c r="Q844" s="36" t="inlineStr">
        <is>
          <t>2FFA</t>
        </is>
      </c>
    </row>
    <row r="845">
      <c r="A845" s="36" t="inlineStr">
        <is>
          <t>123991</t>
        </is>
      </c>
      <c r="B845" s="52" t="n">
        <v>46009</v>
      </c>
      <c r="C845" s="36" t="inlineStr">
        <is>
          <t>50419054101</t>
        </is>
      </c>
      <c r="D845" s="53" t="inlineStr">
        <is>
          <t>KERENDIA 20MG TABLET</t>
        </is>
      </c>
      <c r="E845" s="36" t="n">
        <v>30</v>
      </c>
      <c r="F845" s="54" t="n">
        <v>90</v>
      </c>
      <c r="G845" s="54" t="n">
        <v>3</v>
      </c>
      <c r="H845" s="55" t="n">
        <v>1983</v>
      </c>
      <c r="I845" s="55" t="n">
        <v>1984.63</v>
      </c>
      <c r="J845" s="55" t="n">
        <v>0</v>
      </c>
      <c r="K845" s="55" t="n">
        <v>0</v>
      </c>
      <c r="L845" s="55" t="n">
        <v>1984.63</v>
      </c>
      <c r="M845" s="55" t="n">
        <v>1.63</v>
      </c>
      <c r="N845" s="36" t="inlineStr">
        <is>
          <t>004740</t>
        </is>
      </c>
      <c r="O845" s="36" t="inlineStr">
        <is>
          <t>NYM</t>
        </is>
      </c>
      <c r="P845" s="36" t="inlineStr">
        <is>
          <t>9314DA31</t>
        </is>
      </c>
      <c r="Q845" s="36" t="n">
        <v/>
      </c>
    </row>
    <row r="846">
      <c r="A846" s="36" t="inlineStr">
        <is>
          <t>141468</t>
        </is>
      </c>
      <c r="B846" s="52" t="n">
        <v>46055</v>
      </c>
      <c r="C846" s="36" t="inlineStr">
        <is>
          <t>59467067901</t>
        </is>
      </c>
      <c r="D846" s="53" t="inlineStr">
        <is>
          <t>KLOXXADO 8 MG/0.1ML NASAL LIQUID</t>
        </is>
      </c>
      <c r="E846" s="36" t="n">
        <v>2</v>
      </c>
      <c r="F846" s="54" t="n">
        <v>2</v>
      </c>
      <c r="G846" s="54" t="n">
        <v>1</v>
      </c>
      <c r="H846" s="55" t="n">
        <v>122</v>
      </c>
      <c r="I846" s="55" t="n">
        <v>114.56</v>
      </c>
      <c r="J846" s="55" t="n">
        <v>0</v>
      </c>
      <c r="K846" s="55" t="n">
        <v>4.9</v>
      </c>
      <c r="L846" s="55" t="n">
        <v>119.46</v>
      </c>
      <c r="M846" s="55" t="n">
        <v>-2.54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RX8541</t>
        </is>
      </c>
    </row>
    <row r="847">
      <c r="A847" s="36" t="inlineStr">
        <is>
          <t>142327</t>
        </is>
      </c>
      <c r="B847" s="52" t="n">
        <v>46062</v>
      </c>
      <c r="C847" s="36" t="inlineStr">
        <is>
          <t>59467067901</t>
        </is>
      </c>
      <c r="D847" s="53" t="inlineStr">
        <is>
          <t>KLOXXADO 8 MG/0.1ML NASAL LIQUID</t>
        </is>
      </c>
      <c r="E847" s="36" t="n">
        <v>2</v>
      </c>
      <c r="F847" s="54" t="n">
        <v>2</v>
      </c>
      <c r="G847" s="54" t="n">
        <v>1</v>
      </c>
      <c r="H847" s="55" t="n">
        <v>122</v>
      </c>
      <c r="I847" s="55" t="n">
        <v>126.93</v>
      </c>
      <c r="J847" s="55" t="n">
        <v>0</v>
      </c>
      <c r="K847" s="55" t="n">
        <v>3</v>
      </c>
      <c r="L847" s="55" t="n">
        <v>129.93</v>
      </c>
      <c r="M847" s="55" t="n">
        <v>7.93</v>
      </c>
      <c r="N847" s="36" t="inlineStr">
        <is>
          <t>004740</t>
        </is>
      </c>
      <c r="O847" s="36" t="inlineStr">
        <is>
          <t>NYM</t>
        </is>
      </c>
      <c r="P847" s="36" t="inlineStr">
        <is>
          <t>9314DA31</t>
        </is>
      </c>
      <c r="Q847" s="36" t="n">
        <v/>
      </c>
    </row>
    <row r="848">
      <c r="A848" s="36" t="inlineStr">
        <is>
          <t>141541</t>
        </is>
      </c>
      <c r="B848" s="52" t="n">
        <v>46055</v>
      </c>
      <c r="C848" s="36" t="inlineStr">
        <is>
          <t>59467067901</t>
        </is>
      </c>
      <c r="D848" s="53" t="inlineStr">
        <is>
          <t>KLOXXADO 8 MG/0.1ML NASAL LIQUID</t>
        </is>
      </c>
      <c r="E848" s="36" t="n">
        <v>2</v>
      </c>
      <c r="F848" s="54" t="n">
        <v>2</v>
      </c>
      <c r="G848" s="54" t="n">
        <v>1</v>
      </c>
      <c r="H848" s="55" t="n">
        <v>122</v>
      </c>
      <c r="I848" s="55" t="n">
        <v>126</v>
      </c>
      <c r="J848" s="55" t="n">
        <v>0</v>
      </c>
      <c r="K848" s="55" t="n">
        <v>0</v>
      </c>
      <c r="L848" s="55" t="n">
        <v>126</v>
      </c>
      <c r="M848" s="55" t="n">
        <v>4</v>
      </c>
      <c r="N848" s="36" t="inlineStr">
        <is>
          <t>610097</t>
        </is>
      </c>
      <c r="O848" s="36" t="inlineStr">
        <is>
          <t>OPTUM</t>
        </is>
      </c>
      <c r="P848" s="36" t="inlineStr">
        <is>
          <t>9999</t>
        </is>
      </c>
      <c r="Q848" s="36" t="inlineStr">
        <is>
          <t>MPDCSP</t>
        </is>
      </c>
    </row>
    <row r="849">
      <c r="A849" s="36" t="inlineStr">
        <is>
          <t>141552</t>
        </is>
      </c>
      <c r="B849" s="52" t="n">
        <v>46055</v>
      </c>
      <c r="C849" s="36" t="inlineStr">
        <is>
          <t>59467067901</t>
        </is>
      </c>
      <c r="D849" s="53" t="inlineStr">
        <is>
          <t>KLOXXADO 8 MG/0.1ML NASAL LIQUID</t>
        </is>
      </c>
      <c r="E849" s="36" t="n">
        <v>2</v>
      </c>
      <c r="F849" s="54" t="n">
        <v>2</v>
      </c>
      <c r="G849" s="54" t="n">
        <v>1</v>
      </c>
      <c r="H849" s="55" t="n">
        <v>122</v>
      </c>
      <c r="I849" s="55" t="n">
        <v>118.65</v>
      </c>
      <c r="J849" s="55" t="n">
        <v>0</v>
      </c>
      <c r="K849" s="55" t="n">
        <v>0</v>
      </c>
      <c r="L849" s="55" t="n">
        <v>118.65</v>
      </c>
      <c r="M849" s="55" t="n">
        <v>-3.35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inlineStr">
        <is>
          <t>VNS01</t>
        </is>
      </c>
    </row>
    <row r="850">
      <c r="A850" s="36" t="inlineStr">
        <is>
          <t>142316</t>
        </is>
      </c>
      <c r="B850" s="52" t="n">
        <v>46062</v>
      </c>
      <c r="C850" s="36" t="inlineStr">
        <is>
          <t>59467067901</t>
        </is>
      </c>
      <c r="D850" s="53" t="inlineStr">
        <is>
          <t>KLOXXADO 8 MG/0.1ML NASAL LIQUID</t>
        </is>
      </c>
      <c r="E850" s="36" t="n">
        <v>2</v>
      </c>
      <c r="F850" s="54" t="n">
        <v>2</v>
      </c>
      <c r="G850" s="54" t="n">
        <v>1</v>
      </c>
      <c r="H850" s="55" t="n">
        <v>122</v>
      </c>
      <c r="I850" s="55" t="n">
        <v>129.93</v>
      </c>
      <c r="J850" s="55" t="n">
        <v>0</v>
      </c>
      <c r="K850" s="55" t="n">
        <v>0</v>
      </c>
      <c r="L850" s="55" t="n">
        <v>129.93</v>
      </c>
      <c r="M850" s="55" t="n">
        <v>7.93</v>
      </c>
      <c r="N850" s="36" t="inlineStr">
        <is>
          <t>004740</t>
        </is>
      </c>
      <c r="O850" s="36" t="inlineStr">
        <is>
          <t>NYM</t>
        </is>
      </c>
      <c r="P850" s="36" t="inlineStr">
        <is>
          <t>9314DA31</t>
        </is>
      </c>
      <c r="Q850" s="36" t="n">
        <v/>
      </c>
    </row>
    <row r="851">
      <c r="A851" s="36" t="inlineStr">
        <is>
          <t>140471</t>
        </is>
      </c>
      <c r="B851" s="52" t="n">
        <v>46048</v>
      </c>
      <c r="C851" s="36" t="inlineStr">
        <is>
          <t>59467067901</t>
        </is>
      </c>
      <c r="D851" s="53" t="inlineStr">
        <is>
          <t>KLOXXADO 8 MG/0.1ML NASAL LIQUID</t>
        </is>
      </c>
      <c r="E851" s="36" t="n">
        <v>2</v>
      </c>
      <c r="F851" s="54" t="n">
        <v>2</v>
      </c>
      <c r="G851" s="54" t="n">
        <v>1</v>
      </c>
      <c r="H851" s="55" t="n">
        <v>121</v>
      </c>
      <c r="I851" s="55" t="n">
        <v>129.92</v>
      </c>
      <c r="J851" s="55" t="n">
        <v>0</v>
      </c>
      <c r="K851" s="55" t="n">
        <v>0</v>
      </c>
      <c r="L851" s="55" t="n">
        <v>129.92</v>
      </c>
      <c r="M851" s="55" t="n">
        <v>8.92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140445</t>
        </is>
      </c>
      <c r="B852" s="52" t="n">
        <v>46048</v>
      </c>
      <c r="C852" s="36" t="inlineStr">
        <is>
          <t>59467067901</t>
        </is>
      </c>
      <c r="D852" s="53" t="inlineStr">
        <is>
          <t>KLOXXADO 8 MG/0.1ML NASAL LIQUID</t>
        </is>
      </c>
      <c r="E852" s="36" t="n">
        <v>2</v>
      </c>
      <c r="F852" s="54" t="n">
        <v>2</v>
      </c>
      <c r="G852" s="54" t="n">
        <v>1</v>
      </c>
      <c r="H852" s="55" t="n">
        <v>121</v>
      </c>
      <c r="I852" s="55" t="n">
        <v>105.65</v>
      </c>
      <c r="J852" s="55" t="n">
        <v>0</v>
      </c>
      <c r="K852" s="55" t="n">
        <v>4.9</v>
      </c>
      <c r="L852" s="55" t="n">
        <v>110.55</v>
      </c>
      <c r="M852" s="55" t="n">
        <v>-10.45</v>
      </c>
      <c r="N852" s="36" t="inlineStr">
        <is>
          <t>610014</t>
        </is>
      </c>
      <c r="O852" s="36" t="inlineStr">
        <is>
          <t>EXPRESS</t>
        </is>
      </c>
      <c r="P852" s="36" t="inlineStr">
        <is>
          <t>MEDDPRIME</t>
        </is>
      </c>
      <c r="Q852" s="36" t="inlineStr">
        <is>
          <t>2FFA</t>
        </is>
      </c>
    </row>
    <row r="853">
      <c r="A853" s="36" t="inlineStr">
        <is>
          <t>139926</t>
        </is>
      </c>
      <c r="B853" s="52" t="n">
        <v>46043</v>
      </c>
      <c r="C853" s="36" t="inlineStr">
        <is>
          <t>59467067901</t>
        </is>
      </c>
      <c r="D853" s="53" t="inlineStr">
        <is>
          <t>KLOXXADO 8 MG/0.1ML NASAL LIQUID</t>
        </is>
      </c>
      <c r="E853" s="36" t="n">
        <v>2</v>
      </c>
      <c r="F853" s="54" t="n">
        <v>2</v>
      </c>
      <c r="G853" s="54" t="n">
        <v>1</v>
      </c>
      <c r="H853" s="55" t="n">
        <v>121</v>
      </c>
      <c r="I853" s="55" t="n">
        <v>129.92</v>
      </c>
      <c r="J853" s="55" t="n">
        <v>0</v>
      </c>
      <c r="K853" s="55" t="n">
        <v>0</v>
      </c>
      <c r="L853" s="55" t="n">
        <v>129.92</v>
      </c>
      <c r="M853" s="55" t="n">
        <v>8.92</v>
      </c>
      <c r="N853" s="36" t="inlineStr">
        <is>
          <t>004740</t>
        </is>
      </c>
      <c r="O853" s="36" t="inlineStr">
        <is>
          <t>NYM</t>
        </is>
      </c>
      <c r="P853" s="36" t="inlineStr">
        <is>
          <t>9314DA31</t>
        </is>
      </c>
      <c r="Q853" s="36" t="n">
        <v/>
      </c>
    </row>
    <row r="854">
      <c r="A854" s="36" t="inlineStr">
        <is>
          <t>140108</t>
        </is>
      </c>
      <c r="B854" s="52" t="n">
        <v>46044</v>
      </c>
      <c r="C854" s="36" t="inlineStr">
        <is>
          <t>59467067901</t>
        </is>
      </c>
      <c r="D854" s="53" t="inlineStr">
        <is>
          <t>KLOXXADO 8 MG/0.1ML NASAL LIQUID</t>
        </is>
      </c>
      <c r="E854" s="36" t="n">
        <v>2</v>
      </c>
      <c r="F854" s="54" t="n">
        <v>2</v>
      </c>
      <c r="G854" s="54" t="n">
        <v>1</v>
      </c>
      <c r="H854" s="55" t="n">
        <v>121</v>
      </c>
      <c r="I854" s="55" t="n">
        <v>118.65</v>
      </c>
      <c r="J854" s="55" t="n">
        <v>0</v>
      </c>
      <c r="K854" s="55" t="n">
        <v>0</v>
      </c>
      <c r="L854" s="55" t="n">
        <v>118.65</v>
      </c>
      <c r="M854" s="55" t="n">
        <v>-2.35</v>
      </c>
      <c r="N854" s="36" t="inlineStr">
        <is>
          <t>015574</t>
        </is>
      </c>
      <c r="O854" s="36" t="inlineStr">
        <is>
          <t>MEDIMP</t>
        </is>
      </c>
      <c r="P854" s="36" t="inlineStr">
        <is>
          <t>ASPROD1</t>
        </is>
      </c>
      <c r="Q854" s="36" t="inlineStr">
        <is>
          <t>VNS01</t>
        </is>
      </c>
    </row>
    <row r="855">
      <c r="A855" s="36" t="inlineStr">
        <is>
          <t>141382</t>
        </is>
      </c>
      <c r="B855" s="52" t="n">
        <v>46055</v>
      </c>
      <c r="C855" s="36" t="inlineStr">
        <is>
          <t>59467067901</t>
        </is>
      </c>
      <c r="D855" s="53" t="inlineStr">
        <is>
          <t>KLOXXADO 8 MG/0.1ML NASAL LIQUID</t>
        </is>
      </c>
      <c r="E855" s="36" t="n">
        <v>2</v>
      </c>
      <c r="F855" s="54" t="n">
        <v>2</v>
      </c>
      <c r="G855" s="54" t="n">
        <v>1</v>
      </c>
      <c r="H855" s="55" t="n">
        <v>122</v>
      </c>
      <c r="I855" s="55" t="n">
        <v>114.56</v>
      </c>
      <c r="J855" s="55" t="n">
        <v>0</v>
      </c>
      <c r="K855" s="55" t="n">
        <v>4.9</v>
      </c>
      <c r="L855" s="55" t="n">
        <v>119.46</v>
      </c>
      <c r="M855" s="55" t="n">
        <v>-2.54</v>
      </c>
      <c r="N855" s="36" t="inlineStr">
        <is>
          <t>004336</t>
        </is>
      </c>
      <c r="O855" s="36" t="inlineStr">
        <is>
          <t>CAREMARK</t>
        </is>
      </c>
      <c r="P855" s="36" t="inlineStr">
        <is>
          <t>MEDDADV</t>
        </is>
      </c>
      <c r="Q855" s="36" t="inlineStr">
        <is>
          <t>RX8541</t>
        </is>
      </c>
    </row>
    <row r="856">
      <c r="A856" s="36" t="inlineStr">
        <is>
          <t>142123</t>
        </is>
      </c>
      <c r="B856" s="52" t="n">
        <v>46059</v>
      </c>
      <c r="C856" s="36" t="inlineStr">
        <is>
          <t>59467067901</t>
        </is>
      </c>
      <c r="D856" s="53" t="inlineStr">
        <is>
          <t>KLOXXADO 8 MG/0.1ML NASAL LIQUID</t>
        </is>
      </c>
      <c r="E856" s="36" t="n">
        <v>2</v>
      </c>
      <c r="F856" s="54" t="n">
        <v>2</v>
      </c>
      <c r="G856" s="54" t="n">
        <v>1</v>
      </c>
      <c r="H856" s="55" t="n">
        <v>122</v>
      </c>
      <c r="I856" s="55" t="n">
        <v>129.93</v>
      </c>
      <c r="J856" s="55" t="n">
        <v>0</v>
      </c>
      <c r="K856" s="55" t="n">
        <v>0</v>
      </c>
      <c r="L856" s="55" t="n">
        <v>129.93</v>
      </c>
      <c r="M856" s="55" t="n">
        <v>7.93</v>
      </c>
      <c r="N856" s="36" t="inlineStr">
        <is>
          <t>004740</t>
        </is>
      </c>
      <c r="O856" s="36" t="inlineStr">
        <is>
          <t>NYM</t>
        </is>
      </c>
      <c r="P856" s="36" t="inlineStr">
        <is>
          <t>9314DA31</t>
        </is>
      </c>
      <c r="Q856" s="36" t="n">
        <v/>
      </c>
    </row>
    <row r="857">
      <c r="A857" s="36" t="inlineStr">
        <is>
          <t>139745</t>
        </is>
      </c>
      <c r="B857" s="52" t="n">
        <v>46042</v>
      </c>
      <c r="C857" s="36" t="inlineStr">
        <is>
          <t>59467067901</t>
        </is>
      </c>
      <c r="D857" s="53" t="inlineStr">
        <is>
          <t>KLOXXADO 8 MG/0.1ML NASAL LIQUID</t>
        </is>
      </c>
      <c r="E857" s="36" t="n">
        <v>2</v>
      </c>
      <c r="F857" s="54" t="n">
        <v>2</v>
      </c>
      <c r="G857" s="54" t="n">
        <v>1</v>
      </c>
      <c r="H857" s="55" t="n">
        <v>121</v>
      </c>
      <c r="I857" s="55" t="n">
        <v>114.56</v>
      </c>
      <c r="J857" s="55" t="n">
        <v>0</v>
      </c>
      <c r="K857" s="55" t="n">
        <v>4.9</v>
      </c>
      <c r="L857" s="55" t="n">
        <v>119.46</v>
      </c>
      <c r="M857" s="55" t="n">
        <v>-1.54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RX8541</t>
        </is>
      </c>
    </row>
    <row r="858">
      <c r="A858" s="36" t="inlineStr">
        <is>
          <t>138523</t>
        </is>
      </c>
      <c r="B858" s="52" t="n">
        <v>46034</v>
      </c>
      <c r="C858" s="36" t="inlineStr">
        <is>
          <t>59467067901</t>
        </is>
      </c>
      <c r="D858" s="53" t="inlineStr">
        <is>
          <t>KLOXXADO 8 MG/0.1ML NASAL LIQUID</t>
        </is>
      </c>
      <c r="E858" s="36" t="n">
        <v>2</v>
      </c>
      <c r="F858" s="54" t="n">
        <v>2</v>
      </c>
      <c r="G858" s="54" t="n">
        <v>1</v>
      </c>
      <c r="H858" s="55" t="n">
        <v>121</v>
      </c>
      <c r="I858" s="55" t="n">
        <v>118.65</v>
      </c>
      <c r="J858" s="55" t="n">
        <v>0</v>
      </c>
      <c r="K858" s="55" t="n">
        <v>0</v>
      </c>
      <c r="L858" s="55" t="n">
        <v>118.65</v>
      </c>
      <c r="M858" s="55" t="n">
        <v>-2.35</v>
      </c>
      <c r="N858" s="36" t="inlineStr">
        <is>
          <t>015574</t>
        </is>
      </c>
      <c r="O858" s="36" t="inlineStr">
        <is>
          <t>MEDIMP</t>
        </is>
      </c>
      <c r="P858" s="36" t="inlineStr">
        <is>
          <t>ASPROD1</t>
        </is>
      </c>
      <c r="Q858" s="36" t="inlineStr">
        <is>
          <t>VNS01</t>
        </is>
      </c>
    </row>
    <row r="859">
      <c r="A859" s="36" t="inlineStr">
        <is>
          <t>139663</t>
        </is>
      </c>
      <c r="B859" s="52" t="n">
        <v>46041</v>
      </c>
      <c r="C859" s="36" t="inlineStr">
        <is>
          <t>59467067901</t>
        </is>
      </c>
      <c r="D859" s="53" t="inlineStr">
        <is>
          <t>KLOXXADO 8 MG/0.1ML NASAL LIQUID</t>
        </is>
      </c>
      <c r="E859" s="36" t="n">
        <v>2</v>
      </c>
      <c r="F859" s="54" t="n">
        <v>2</v>
      </c>
      <c r="G859" s="54" t="n">
        <v>1</v>
      </c>
      <c r="H859" s="55" t="n">
        <v>121</v>
      </c>
      <c r="I859" s="55" t="n">
        <v>114.56</v>
      </c>
      <c r="J859" s="55" t="n">
        <v>0</v>
      </c>
      <c r="K859" s="55" t="n">
        <v>4.9</v>
      </c>
      <c r="L859" s="55" t="n">
        <v>119.46</v>
      </c>
      <c r="M859" s="55" t="n">
        <v>-1.54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RX8541</t>
        </is>
      </c>
    </row>
    <row r="860">
      <c r="A860" s="36" t="inlineStr">
        <is>
          <t>139604</t>
        </is>
      </c>
      <c r="B860" s="52" t="n">
        <v>46041</v>
      </c>
      <c r="C860" s="36" t="inlineStr">
        <is>
          <t>59467067901</t>
        </is>
      </c>
      <c r="D860" s="53" t="inlineStr">
        <is>
          <t>KLOXXADO 8 MG/0.1ML NASAL LIQUID</t>
        </is>
      </c>
      <c r="E860" s="36" t="n">
        <v>2</v>
      </c>
      <c r="F860" s="54" t="n">
        <v>2</v>
      </c>
      <c r="G860" s="54" t="n">
        <v>1</v>
      </c>
      <c r="H860" s="55" t="n">
        <v>121</v>
      </c>
      <c r="I860" s="55" t="n">
        <v>129.92</v>
      </c>
      <c r="J860" s="55" t="n">
        <v>0</v>
      </c>
      <c r="K860" s="55" t="n">
        <v>0</v>
      </c>
      <c r="L860" s="55" t="n">
        <v>129.92</v>
      </c>
      <c r="M860" s="55" t="n">
        <v>8.92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142212</t>
        </is>
      </c>
      <c r="B861" s="52" t="n">
        <v>46059</v>
      </c>
      <c r="C861" s="36" t="inlineStr">
        <is>
          <t>00088221905</t>
        </is>
      </c>
      <c r="D861" s="53" t="inlineStr">
        <is>
          <t>LANTUS SOLOSTAR 100UNIT/ML INJECTION</t>
        </is>
      </c>
      <c r="E861" s="36" t="n">
        <v>15</v>
      </c>
      <c r="F861" s="54" t="n">
        <v>9</v>
      </c>
      <c r="G861" s="54" t="n">
        <v>0.6</v>
      </c>
      <c r="H861" s="55" t="n">
        <v>56.4</v>
      </c>
      <c r="I861" s="55" t="n">
        <v>48.89</v>
      </c>
      <c r="J861" s="55" t="n">
        <v>0</v>
      </c>
      <c r="K861" s="55" t="n">
        <v>4.9</v>
      </c>
      <c r="L861" s="55" t="n">
        <v>53.79</v>
      </c>
      <c r="M861" s="55" t="n">
        <v>-2.61</v>
      </c>
      <c r="N861" s="36" t="inlineStr">
        <is>
          <t>004336</t>
        </is>
      </c>
      <c r="O861" s="36" t="inlineStr">
        <is>
          <t>CAREMARK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144200</t>
        </is>
      </c>
      <c r="B862" s="52" t="n">
        <v>46073</v>
      </c>
      <c r="C862" s="36" t="inlineStr">
        <is>
          <t>00088221905</t>
        </is>
      </c>
      <c r="D862" s="53" t="inlineStr">
        <is>
          <t>LANTUS SOLOSTAR 100UNIT/ML INJECTION</t>
        </is>
      </c>
      <c r="E862" s="36" t="n">
        <v>15</v>
      </c>
      <c r="F862" s="54" t="n">
        <v>42</v>
      </c>
      <c r="G862" s="54" t="n">
        <v>2.8</v>
      </c>
      <c r="H862" s="55" t="n">
        <v>263.2</v>
      </c>
      <c r="I862" s="55" t="n">
        <v>247.36</v>
      </c>
      <c r="J862" s="55" t="n">
        <v>0</v>
      </c>
      <c r="K862" s="55" t="n">
        <v>4.9</v>
      </c>
      <c r="L862" s="55" t="n">
        <v>252.26</v>
      </c>
      <c r="M862" s="55" t="n">
        <v>-10.94</v>
      </c>
      <c r="N862" s="36" t="inlineStr">
        <is>
          <t>004336</t>
        </is>
      </c>
      <c r="O862" s="36" t="inlineStr">
        <is>
          <t>CAREMARK</t>
        </is>
      </c>
      <c r="P862" s="36" t="inlineStr">
        <is>
          <t>MEDDADV</t>
        </is>
      </c>
      <c r="Q862" s="36" t="inlineStr">
        <is>
          <t>RX1110</t>
        </is>
      </c>
    </row>
    <row r="863">
      <c r="A863" s="36" t="inlineStr">
        <is>
          <t>144222</t>
        </is>
      </c>
      <c r="B863" s="52" t="n">
        <v>46073</v>
      </c>
      <c r="C863" s="36" t="inlineStr">
        <is>
          <t>00088221905</t>
        </is>
      </c>
      <c r="D863" s="53" t="inlineStr">
        <is>
          <t>LANTUS SOLOSTAR 100UNIT/ML INJECTION</t>
        </is>
      </c>
      <c r="E863" s="36" t="n">
        <v>15</v>
      </c>
      <c r="F863" s="54" t="n">
        <v>12</v>
      </c>
      <c r="G863" s="54" t="n">
        <v>0.8</v>
      </c>
      <c r="H863" s="55" t="n">
        <v>75.2</v>
      </c>
      <c r="I863" s="55" t="n">
        <v>68.93000000000001</v>
      </c>
      <c r="J863" s="55" t="n">
        <v>0</v>
      </c>
      <c r="K863" s="55" t="n">
        <v>0</v>
      </c>
      <c r="L863" s="55" t="n">
        <v>68.93000000000001</v>
      </c>
      <c r="M863" s="55" t="n">
        <v>-6.27</v>
      </c>
      <c r="N863" s="36" t="inlineStr">
        <is>
          <t>015574</t>
        </is>
      </c>
      <c r="O863" s="36" t="inlineStr">
        <is>
          <t>MEDIMP</t>
        </is>
      </c>
      <c r="P863" s="36" t="inlineStr">
        <is>
          <t>ASPROD1</t>
        </is>
      </c>
      <c r="Q863" s="36" t="inlineStr">
        <is>
          <t>VNS01</t>
        </is>
      </c>
    </row>
    <row r="864">
      <c r="A864" s="36" t="inlineStr">
        <is>
          <t>133522</t>
        </is>
      </c>
      <c r="B864" s="52" t="n">
        <v>45994</v>
      </c>
      <c r="C864" s="36" t="inlineStr">
        <is>
          <t>00088221905</t>
        </is>
      </c>
      <c r="D864" s="53" t="inlineStr">
        <is>
          <t>LANTUS SOLOSTAR 100UNIT/ML INJECTION</t>
        </is>
      </c>
      <c r="E864" s="36" t="n">
        <v>15</v>
      </c>
      <c r="F864" s="54" t="n">
        <v>12</v>
      </c>
      <c r="G864" s="54" t="n">
        <v>0.8</v>
      </c>
      <c r="H864" s="55" t="n">
        <v>74.40000000000001</v>
      </c>
      <c r="I864" s="55" t="n">
        <v>74.03</v>
      </c>
      <c r="J864" s="55" t="n">
        <v>0</v>
      </c>
      <c r="K864" s="55" t="n">
        <v>0</v>
      </c>
      <c r="L864" s="55" t="n">
        <v>74.03</v>
      </c>
      <c r="M864" s="55" t="n">
        <v>-0.37</v>
      </c>
      <c r="N864" s="36" t="inlineStr">
        <is>
          <t>020115</t>
        </is>
      </c>
      <c r="O864" s="36" t="inlineStr">
        <is>
          <t>CAREMARK</t>
        </is>
      </c>
      <c r="P864" s="36" t="inlineStr">
        <is>
          <t>IS</t>
        </is>
      </c>
      <c r="Q864" s="36" t="inlineStr">
        <is>
          <t>WM2A</t>
        </is>
      </c>
    </row>
    <row r="865">
      <c r="A865" s="36" t="inlineStr">
        <is>
          <t>123965</t>
        </is>
      </c>
      <c r="B865" s="52" t="n">
        <v>46063</v>
      </c>
      <c r="C865" s="36" t="inlineStr">
        <is>
          <t>00088221905</t>
        </is>
      </c>
      <c r="D865" s="53" t="inlineStr">
        <is>
          <t>LANTUS SOLOSTAR 100UNIT/ML INJECTION</t>
        </is>
      </c>
      <c r="E865" s="36" t="n">
        <v>15</v>
      </c>
      <c r="F865" s="54" t="n">
        <v>15</v>
      </c>
      <c r="G865" s="54" t="n">
        <v>1</v>
      </c>
      <c r="H865" s="55" t="n">
        <v>94</v>
      </c>
      <c r="I865" s="55" t="n">
        <v>87.16</v>
      </c>
      <c r="J865" s="55" t="n">
        <v>0</v>
      </c>
      <c r="K865" s="55" t="n">
        <v>4.9</v>
      </c>
      <c r="L865" s="55" t="n">
        <v>92.06</v>
      </c>
      <c r="M865" s="55" t="n">
        <v>-1.94</v>
      </c>
      <c r="N865" s="36" t="inlineStr">
        <is>
          <t>004336</t>
        </is>
      </c>
      <c r="O865" s="36" t="inlineStr">
        <is>
          <t>CAREMARK</t>
        </is>
      </c>
      <c r="P865" s="36" t="inlineStr">
        <is>
          <t>MEDDADV</t>
        </is>
      </c>
      <c r="Q865" s="36" t="inlineStr">
        <is>
          <t>RX8541</t>
        </is>
      </c>
    </row>
    <row r="866">
      <c r="A866" s="36" t="inlineStr">
        <is>
          <t>133446</t>
        </is>
      </c>
      <c r="B866" s="52" t="n">
        <v>45994</v>
      </c>
      <c r="C866" s="36" t="inlineStr">
        <is>
          <t>00088221905</t>
        </is>
      </c>
      <c r="D866" s="53" t="inlineStr">
        <is>
          <t>LANTUS SOLOSTAR 100UNIT/ML INJECTION</t>
        </is>
      </c>
      <c r="E866" s="36" t="n">
        <v>15</v>
      </c>
      <c r="F866" s="54" t="n">
        <v>6</v>
      </c>
      <c r="G866" s="54" t="n">
        <v>0.4</v>
      </c>
      <c r="H866" s="55" t="n">
        <v>37.2</v>
      </c>
      <c r="I866" s="55" t="n">
        <v>47.18</v>
      </c>
      <c r="J866" s="55" t="n">
        <v>0</v>
      </c>
      <c r="K866" s="55" t="n">
        <v>0</v>
      </c>
      <c r="L866" s="55" t="n">
        <v>47.18</v>
      </c>
      <c r="M866" s="55" t="n">
        <v>9.98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139412</t>
        </is>
      </c>
      <c r="B867" s="52" t="n">
        <v>46038</v>
      </c>
      <c r="C867" s="36" t="inlineStr">
        <is>
          <t>00088221905</t>
        </is>
      </c>
      <c r="D867" s="53" t="inlineStr">
        <is>
          <t>LANTUS SOLOSTAR 100UNIT/ML INJECTION</t>
        </is>
      </c>
      <c r="E867" s="36" t="n">
        <v>15</v>
      </c>
      <c r="F867" s="54" t="n">
        <v>6</v>
      </c>
      <c r="G867" s="54" t="n">
        <v>0.4</v>
      </c>
      <c r="H867" s="55" t="n">
        <v>37.2</v>
      </c>
      <c r="I867" s="55" t="n">
        <v>30.85</v>
      </c>
      <c r="J867" s="55" t="n">
        <v>0</v>
      </c>
      <c r="K867" s="55" t="n">
        <v>4.9</v>
      </c>
      <c r="L867" s="55" t="n">
        <v>35.75</v>
      </c>
      <c r="M867" s="55" t="n">
        <v>-1.45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RX8585</t>
        </is>
      </c>
    </row>
    <row r="868">
      <c r="A868" s="36" t="inlineStr">
        <is>
          <t>143051</t>
        </is>
      </c>
      <c r="B868" s="52" t="n">
        <v>46065</v>
      </c>
      <c r="C868" s="36" t="inlineStr">
        <is>
          <t>00088221905</t>
        </is>
      </c>
      <c r="D868" s="53" t="inlineStr">
        <is>
          <t>LANTUS SOLOSTAR 100UNIT/ML INJECTION</t>
        </is>
      </c>
      <c r="E868" s="36" t="n">
        <v>15</v>
      </c>
      <c r="F868" s="54" t="n">
        <v>12</v>
      </c>
      <c r="G868" s="54" t="n">
        <v>0.8</v>
      </c>
      <c r="H868" s="55" t="n">
        <v>75.2</v>
      </c>
      <c r="I868" s="55" t="n">
        <v>66.93000000000001</v>
      </c>
      <c r="J868" s="55" t="n">
        <v>0</v>
      </c>
      <c r="K868" s="55" t="n">
        <v>4.9</v>
      </c>
      <c r="L868" s="55" t="n">
        <v>71.83</v>
      </c>
      <c r="M868" s="55" t="n">
        <v>-3.37</v>
      </c>
      <c r="N868" s="36" t="inlineStr">
        <is>
          <t>004336</t>
        </is>
      </c>
      <c r="O868" s="36" t="inlineStr">
        <is>
          <t>CAREMARK</t>
        </is>
      </c>
      <c r="P868" s="36" t="inlineStr">
        <is>
          <t>MEDDADV</t>
        </is>
      </c>
      <c r="Q868" s="36" t="inlineStr">
        <is>
          <t>RX1110</t>
        </is>
      </c>
    </row>
    <row r="869">
      <c r="A869" s="36" t="inlineStr">
        <is>
          <t>142515</t>
        </is>
      </c>
      <c r="B869" s="52" t="n">
        <v>46063</v>
      </c>
      <c r="C869" s="36" t="inlineStr">
        <is>
          <t>00088221905</t>
        </is>
      </c>
      <c r="D869" s="53" t="inlineStr">
        <is>
          <t>LANTUS SOLOSTAR 100UNIT/ML INJECTION</t>
        </is>
      </c>
      <c r="E869" s="36" t="n">
        <v>15</v>
      </c>
      <c r="F869" s="54" t="n">
        <v>15</v>
      </c>
      <c r="G869" s="54" t="n">
        <v>1</v>
      </c>
      <c r="H869" s="55" t="n">
        <v>94</v>
      </c>
      <c r="I869" s="55" t="n">
        <v>69.39</v>
      </c>
      <c r="J869" s="55" t="n">
        <v>0</v>
      </c>
      <c r="K869" s="55" t="n">
        <v>23.13</v>
      </c>
      <c r="L869" s="55" t="n">
        <v>92.52</v>
      </c>
      <c r="M869" s="55" t="n">
        <v>-1.48</v>
      </c>
      <c r="N869" s="36" t="inlineStr">
        <is>
          <t>004336</t>
        </is>
      </c>
      <c r="O869" s="36" t="inlineStr">
        <is>
          <t>CAREMARK</t>
        </is>
      </c>
      <c r="P869" s="36" t="inlineStr">
        <is>
          <t>MEDDADV</t>
        </is>
      </c>
      <c r="Q869" s="36" t="inlineStr">
        <is>
          <t>RXCVSD</t>
        </is>
      </c>
    </row>
    <row r="870">
      <c r="A870" s="36" t="inlineStr">
        <is>
          <t>140171</t>
        </is>
      </c>
      <c r="B870" s="52" t="n">
        <v>46072</v>
      </c>
      <c r="C870" s="36" t="inlineStr">
        <is>
          <t>00088221905</t>
        </is>
      </c>
      <c r="D870" s="53" t="inlineStr">
        <is>
          <t>LANTUS SOLOSTAR 100UNIT/ML INJECTION</t>
        </is>
      </c>
      <c r="E870" s="36" t="n">
        <v>15</v>
      </c>
      <c r="F870" s="54" t="n">
        <v>3</v>
      </c>
      <c r="G870" s="54" t="n">
        <v>0.2</v>
      </c>
      <c r="H870" s="55" t="n">
        <v>18.8</v>
      </c>
      <c r="I870" s="55" t="n">
        <v>13.32</v>
      </c>
      <c r="J870" s="55" t="n">
        <v>0</v>
      </c>
      <c r="K870" s="55" t="n">
        <v>4.44</v>
      </c>
      <c r="L870" s="55" t="n">
        <v>17.76</v>
      </c>
      <c r="M870" s="55" t="n">
        <v>-1.04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RX8585</t>
        </is>
      </c>
    </row>
    <row r="871">
      <c r="A871" s="36" t="inlineStr">
        <is>
          <t>134057</t>
        </is>
      </c>
      <c r="B871" s="52" t="n">
        <v>45997</v>
      </c>
      <c r="C871" s="36" t="inlineStr">
        <is>
          <t>00088221905</t>
        </is>
      </c>
      <c r="D871" s="53" t="inlineStr">
        <is>
          <t>LANTUS SOLOSTAR 100UNIT/ML INJECTION</t>
        </is>
      </c>
      <c r="E871" s="36" t="n">
        <v>15</v>
      </c>
      <c r="F871" s="54" t="n">
        <v>18</v>
      </c>
      <c r="G871" s="54" t="n">
        <v>1.2</v>
      </c>
      <c r="H871" s="55" t="n">
        <v>111.6</v>
      </c>
      <c r="I871" s="55" t="n">
        <v>110.74</v>
      </c>
      <c r="J871" s="55" t="n">
        <v>0</v>
      </c>
      <c r="K871" s="55" t="n">
        <v>0</v>
      </c>
      <c r="L871" s="55" t="n">
        <v>110.74</v>
      </c>
      <c r="M871" s="55" t="n">
        <v>-0.86</v>
      </c>
      <c r="N871" s="36" t="inlineStr">
        <is>
          <t>610502</t>
        </is>
      </c>
      <c r="O871" s="36" t="inlineStr">
        <is>
          <t>CAREMARK</t>
        </is>
      </c>
      <c r="P871" s="36" t="inlineStr">
        <is>
          <t>MEDDAET</t>
        </is>
      </c>
      <c r="Q871" s="36" t="inlineStr">
        <is>
          <t>RXAETD</t>
        </is>
      </c>
    </row>
    <row r="872">
      <c r="A872" s="36" t="inlineStr">
        <is>
          <t>110078</t>
        </is>
      </c>
      <c r="B872" s="52" t="n">
        <v>45999</v>
      </c>
      <c r="C872" s="36" t="inlineStr">
        <is>
          <t>00088221905</t>
        </is>
      </c>
      <c r="D872" s="53" t="inlineStr">
        <is>
          <t>LANTUS SOLOSTAR 100UNIT/ML INJECTION</t>
        </is>
      </c>
      <c r="E872" s="36" t="n">
        <v>15</v>
      </c>
      <c r="F872" s="54" t="n">
        <v>63</v>
      </c>
      <c r="G872" s="54" t="n">
        <v>4.2</v>
      </c>
      <c r="H872" s="55" t="n">
        <v>390.6</v>
      </c>
      <c r="I872" s="55" t="n">
        <v>376.13</v>
      </c>
      <c r="J872" s="55" t="n">
        <v>0</v>
      </c>
      <c r="K872" s="55" t="n">
        <v>0</v>
      </c>
      <c r="L872" s="55" t="n">
        <v>376.13</v>
      </c>
      <c r="M872" s="55" t="n">
        <v>-14.47</v>
      </c>
      <c r="N872" s="36" t="inlineStr">
        <is>
          <t>004336</t>
        </is>
      </c>
      <c r="O872" s="36" t="inlineStr">
        <is>
          <t>CAREMARK</t>
        </is>
      </c>
      <c r="P872" s="36" t="inlineStr">
        <is>
          <t>MEDDADV</t>
        </is>
      </c>
      <c r="Q872" s="36" t="inlineStr">
        <is>
          <t>RX1110</t>
        </is>
      </c>
    </row>
    <row r="873">
      <c r="A873" s="36" t="inlineStr">
        <is>
          <t>138562</t>
        </is>
      </c>
      <c r="B873" s="52" t="n">
        <v>46034</v>
      </c>
      <c r="C873" s="36" t="inlineStr">
        <is>
          <t>00088221905</t>
        </is>
      </c>
      <c r="D873" s="53" t="inlineStr">
        <is>
          <t>LANTUS SOLOSTAR 100UNIT/ML INJECTION</t>
        </is>
      </c>
      <c r="E873" s="36" t="n">
        <v>15</v>
      </c>
      <c r="F873" s="54" t="n">
        <v>33</v>
      </c>
      <c r="G873" s="54" t="n">
        <v>2.2</v>
      </c>
      <c r="H873" s="55" t="n">
        <v>204.6</v>
      </c>
      <c r="I873" s="55" t="n">
        <v>198.13</v>
      </c>
      <c r="J873" s="55" t="n">
        <v>0</v>
      </c>
      <c r="K873" s="55" t="n">
        <v>0</v>
      </c>
      <c r="L873" s="55" t="n">
        <v>198.13</v>
      </c>
      <c r="M873" s="55" t="n">
        <v>-6.47</v>
      </c>
      <c r="N873" s="36" t="inlineStr">
        <is>
          <t>004336</t>
        </is>
      </c>
      <c r="O873" s="36" t="inlineStr">
        <is>
          <t>CAREMARK</t>
        </is>
      </c>
      <c r="P873" s="36" t="inlineStr">
        <is>
          <t>MEDDADV</t>
        </is>
      </c>
      <c r="Q873" s="36" t="inlineStr">
        <is>
          <t>RX1110</t>
        </is>
      </c>
    </row>
    <row r="874">
      <c r="A874" s="36" t="inlineStr">
        <is>
          <t>122258</t>
        </is>
      </c>
      <c r="B874" s="52" t="n">
        <v>45995</v>
      </c>
      <c r="C874" s="36" t="inlineStr">
        <is>
          <t>00088221905</t>
        </is>
      </c>
      <c r="D874" s="53" t="inlineStr">
        <is>
          <t>LANTUS SOLOSTAR 100UNIT/ML INJECTION</t>
        </is>
      </c>
      <c r="E874" s="36" t="n">
        <v>15</v>
      </c>
      <c r="F874" s="54" t="n">
        <v>12</v>
      </c>
      <c r="G874" s="54" t="n">
        <v>0.8</v>
      </c>
      <c r="H874" s="55" t="n">
        <v>74.40000000000001</v>
      </c>
      <c r="I874" s="55" t="n">
        <v>71.37</v>
      </c>
      <c r="J874" s="55" t="n">
        <v>0</v>
      </c>
      <c r="K874" s="55" t="n">
        <v>0</v>
      </c>
      <c r="L874" s="55" t="n">
        <v>71.37</v>
      </c>
      <c r="M874" s="55" t="n">
        <v>-3.03</v>
      </c>
      <c r="N874" s="36" t="inlineStr">
        <is>
          <t>004336</t>
        </is>
      </c>
      <c r="O874" s="36" t="inlineStr">
        <is>
          <t>CAREMARK</t>
        </is>
      </c>
      <c r="P874" s="36" t="inlineStr">
        <is>
          <t>MEDDADV</t>
        </is>
      </c>
      <c r="Q874" s="36" t="inlineStr">
        <is>
          <t>RX1110</t>
        </is>
      </c>
    </row>
    <row r="875">
      <c r="A875" s="36" t="inlineStr">
        <is>
          <t>138040</t>
        </is>
      </c>
      <c r="B875" s="52" t="n">
        <v>46069</v>
      </c>
      <c r="C875" s="36" t="inlineStr">
        <is>
          <t>00088221905</t>
        </is>
      </c>
      <c r="D875" s="53" t="inlineStr">
        <is>
          <t>LANTUS SOLOSTAR 100UNIT/ML INJECTION</t>
        </is>
      </c>
      <c r="E875" s="36" t="n">
        <v>15</v>
      </c>
      <c r="F875" s="54" t="n">
        <v>6</v>
      </c>
      <c r="G875" s="54" t="n">
        <v>0.4</v>
      </c>
      <c r="H875" s="55" t="n">
        <v>37.6</v>
      </c>
      <c r="I875" s="55" t="n">
        <v>47.18</v>
      </c>
      <c r="J875" s="55" t="n">
        <v>0</v>
      </c>
      <c r="K875" s="55" t="n">
        <v>0</v>
      </c>
      <c r="L875" s="55" t="n">
        <v>47.18</v>
      </c>
      <c r="M875" s="55" t="n">
        <v>9.58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138730</t>
        </is>
      </c>
      <c r="B876" s="52" t="n">
        <v>46034</v>
      </c>
      <c r="C876" s="36" t="inlineStr">
        <is>
          <t>00088221905</t>
        </is>
      </c>
      <c r="D876" s="53" t="inlineStr">
        <is>
          <t>LANTUS SOLOSTAR 100UNIT/ML INJECTION</t>
        </is>
      </c>
      <c r="E876" s="36" t="n">
        <v>15</v>
      </c>
      <c r="F876" s="54" t="n">
        <v>63</v>
      </c>
      <c r="G876" s="54" t="n">
        <v>4.2</v>
      </c>
      <c r="H876" s="55" t="n">
        <v>390.6</v>
      </c>
      <c r="I876" s="55" t="n">
        <v>398.64</v>
      </c>
      <c r="J876" s="55" t="n">
        <v>0</v>
      </c>
      <c r="K876" s="55" t="n">
        <v>0</v>
      </c>
      <c r="L876" s="55" t="n">
        <v>398.64</v>
      </c>
      <c r="M876" s="55" t="n">
        <v>8.039999999999999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130504</t>
        </is>
      </c>
      <c r="B877" s="52" t="n">
        <v>45999</v>
      </c>
      <c r="C877" s="36" t="inlineStr">
        <is>
          <t>00088221905</t>
        </is>
      </c>
      <c r="D877" s="53" t="inlineStr">
        <is>
          <t>LANTUS SOLOSTAR 100UNIT/ML INJECTION</t>
        </is>
      </c>
      <c r="E877" s="36" t="n">
        <v>15</v>
      </c>
      <c r="F877" s="54" t="n">
        <v>12</v>
      </c>
      <c r="G877" s="54" t="n">
        <v>0.8</v>
      </c>
      <c r="H877" s="55" t="n">
        <v>74.40000000000001</v>
      </c>
      <c r="I877" s="55" t="n">
        <v>72.48999999999999</v>
      </c>
      <c r="J877" s="55" t="n">
        <v>0</v>
      </c>
      <c r="K877" s="55" t="n">
        <v>0</v>
      </c>
      <c r="L877" s="55" t="n">
        <v>72.48999999999999</v>
      </c>
      <c r="M877" s="55" t="n">
        <v>-1.91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143937</t>
        </is>
      </c>
      <c r="B878" s="52" t="n">
        <v>46072</v>
      </c>
      <c r="C878" s="36" t="inlineStr">
        <is>
          <t>00088221905</t>
        </is>
      </c>
      <c r="D878" s="53" t="inlineStr">
        <is>
          <t>LANTUS SOLOSTAR 100UNIT/ML INJECTION</t>
        </is>
      </c>
      <c r="E878" s="36" t="n">
        <v>15</v>
      </c>
      <c r="F878" s="54" t="n">
        <v>18</v>
      </c>
      <c r="G878" s="54" t="n">
        <v>1.2</v>
      </c>
      <c r="H878" s="55" t="n">
        <v>112.8</v>
      </c>
      <c r="I878" s="55" t="n">
        <v>107.92</v>
      </c>
      <c r="J878" s="55" t="n">
        <v>0</v>
      </c>
      <c r="K878" s="55" t="n">
        <v>0</v>
      </c>
      <c r="L878" s="55" t="n">
        <v>107.92</v>
      </c>
      <c r="M878" s="55" t="n">
        <v>-4.88</v>
      </c>
      <c r="N878" s="36" t="inlineStr">
        <is>
          <t>004336</t>
        </is>
      </c>
      <c r="O878" s="36" t="inlineStr">
        <is>
          <t>CAREMARK</t>
        </is>
      </c>
      <c r="P878" s="36" t="inlineStr">
        <is>
          <t>MEDDADV</t>
        </is>
      </c>
      <c r="Q878" s="36" t="inlineStr">
        <is>
          <t>RX1110</t>
        </is>
      </c>
    </row>
    <row r="879">
      <c r="A879" s="36" t="inlineStr">
        <is>
          <t>139412</t>
        </is>
      </c>
      <c r="B879" s="52" t="n">
        <v>46066</v>
      </c>
      <c r="C879" s="36" t="inlineStr">
        <is>
          <t>00088221905</t>
        </is>
      </c>
      <c r="D879" s="53" t="inlineStr">
        <is>
          <t>LANTUS SOLOSTAR 100UNIT/ML INJECTION</t>
        </is>
      </c>
      <c r="E879" s="36" t="n">
        <v>15</v>
      </c>
      <c r="F879" s="54" t="n">
        <v>6</v>
      </c>
      <c r="G879" s="54" t="n">
        <v>0.4</v>
      </c>
      <c r="H879" s="55" t="n">
        <v>37.6</v>
      </c>
      <c r="I879" s="55" t="n">
        <v>30.85</v>
      </c>
      <c r="J879" s="55" t="n">
        <v>0</v>
      </c>
      <c r="K879" s="55" t="n">
        <v>4.9</v>
      </c>
      <c r="L879" s="55" t="n">
        <v>35.75</v>
      </c>
      <c r="M879" s="55" t="n">
        <v>-1.85</v>
      </c>
      <c r="N879" s="36" t="inlineStr">
        <is>
          <t>004336</t>
        </is>
      </c>
      <c r="O879" s="36" t="inlineStr">
        <is>
          <t>CAREMARK</t>
        </is>
      </c>
      <c r="P879" s="36" t="inlineStr">
        <is>
          <t>MEDDADV</t>
        </is>
      </c>
      <c r="Q879" s="36" t="inlineStr">
        <is>
          <t>RX8585</t>
        </is>
      </c>
    </row>
    <row r="880">
      <c r="A880" s="36" t="inlineStr">
        <is>
          <t>134729</t>
        </is>
      </c>
      <c r="B880" s="52" t="n">
        <v>46058</v>
      </c>
      <c r="C880" s="36" t="inlineStr">
        <is>
          <t>00088221905</t>
        </is>
      </c>
      <c r="D880" s="53" t="inlineStr">
        <is>
          <t>LANTUS SOLOSTAR 100UNIT/ML INJECTION</t>
        </is>
      </c>
      <c r="E880" s="36" t="n">
        <v>15</v>
      </c>
      <c r="F880" s="54" t="n">
        <v>6</v>
      </c>
      <c r="G880" s="54" t="n">
        <v>0.4</v>
      </c>
      <c r="H880" s="55" t="n">
        <v>37.6</v>
      </c>
      <c r="I880" s="55" t="n">
        <v>46.18</v>
      </c>
      <c r="J880" s="55" t="n">
        <v>0</v>
      </c>
      <c r="K880" s="55" t="n">
        <v>1</v>
      </c>
      <c r="L880" s="55" t="n">
        <v>47.18</v>
      </c>
      <c r="M880" s="55" t="n">
        <v>9.58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135683</t>
        </is>
      </c>
      <c r="B881" s="52" t="n">
        <v>46065</v>
      </c>
      <c r="C881" s="36" t="inlineStr">
        <is>
          <t>00088221905</t>
        </is>
      </c>
      <c r="D881" s="53" t="inlineStr">
        <is>
          <t>LANTUS SOLOSTAR 100UNIT/ML INJECTION</t>
        </is>
      </c>
      <c r="E881" s="36" t="n">
        <v>15</v>
      </c>
      <c r="F881" s="54" t="n">
        <v>9</v>
      </c>
      <c r="G881" s="54" t="n">
        <v>0.6</v>
      </c>
      <c r="H881" s="55" t="n">
        <v>56.4</v>
      </c>
      <c r="I881" s="55" t="n">
        <v>54.79</v>
      </c>
      <c r="J881" s="55" t="n">
        <v>0</v>
      </c>
      <c r="K881" s="55" t="n">
        <v>0</v>
      </c>
      <c r="L881" s="55" t="n">
        <v>54.79</v>
      </c>
      <c r="M881" s="55" t="n">
        <v>-1.61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142880</t>
        </is>
      </c>
      <c r="B882" s="52" t="n">
        <v>46064</v>
      </c>
      <c r="C882" s="36" t="inlineStr">
        <is>
          <t>00088221905</t>
        </is>
      </c>
      <c r="D882" s="53" t="inlineStr">
        <is>
          <t>LANTUS SOLOSTAR 100UNIT/ML INJECTION</t>
        </is>
      </c>
      <c r="E882" s="36" t="n">
        <v>15</v>
      </c>
      <c r="F882" s="54" t="n">
        <v>54</v>
      </c>
      <c r="G882" s="54" t="n">
        <v>3.6</v>
      </c>
      <c r="H882" s="55" t="n">
        <v>338.4</v>
      </c>
      <c r="I882" s="55" t="n">
        <v>324.44</v>
      </c>
      <c r="J882" s="55" t="n">
        <v>0</v>
      </c>
      <c r="K882" s="55" t="n">
        <v>0</v>
      </c>
      <c r="L882" s="55" t="n">
        <v>324.44</v>
      </c>
      <c r="M882" s="55" t="n">
        <v>-13.96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130820</t>
        </is>
      </c>
      <c r="B883" s="52" t="n">
        <v>46001</v>
      </c>
      <c r="C883" s="36" t="inlineStr">
        <is>
          <t>00088221905</t>
        </is>
      </c>
      <c r="D883" s="53" t="inlineStr">
        <is>
          <t>LANTUS SOLOSTAR 100UNIT/ML INJECTION</t>
        </is>
      </c>
      <c r="E883" s="36" t="n">
        <v>15</v>
      </c>
      <c r="F883" s="54" t="n">
        <v>21</v>
      </c>
      <c r="G883" s="54" t="n">
        <v>1.4</v>
      </c>
      <c r="H883" s="55" t="n">
        <v>130.2</v>
      </c>
      <c r="I883" s="55" t="n">
        <v>121.5</v>
      </c>
      <c r="J883" s="55" t="n">
        <v>0</v>
      </c>
      <c r="K883" s="55" t="n">
        <v>0</v>
      </c>
      <c r="L883" s="55" t="n">
        <v>121.5</v>
      </c>
      <c r="M883" s="55" t="n">
        <v>-8.699999999999999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142670</t>
        </is>
      </c>
      <c r="B884" s="52" t="n">
        <v>46064</v>
      </c>
      <c r="C884" s="36" t="inlineStr">
        <is>
          <t>00088221905</t>
        </is>
      </c>
      <c r="D884" s="53" t="inlineStr">
        <is>
          <t>LANTUS SOLOSTAR 100UNIT/ML INJECTION</t>
        </is>
      </c>
      <c r="E884" s="36" t="n">
        <v>15</v>
      </c>
      <c r="F884" s="54" t="n">
        <v>30</v>
      </c>
      <c r="G884" s="54" t="n">
        <v>2</v>
      </c>
      <c r="H884" s="55" t="n">
        <v>188</v>
      </c>
      <c r="I884" s="55" t="n">
        <v>175.19</v>
      </c>
      <c r="J884" s="55" t="n">
        <v>0</v>
      </c>
      <c r="K884" s="55" t="n">
        <v>4.9</v>
      </c>
      <c r="L884" s="55" t="n">
        <v>180.09</v>
      </c>
      <c r="M884" s="55" t="n">
        <v>-7.91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135422</t>
        </is>
      </c>
      <c r="B885" s="52" t="n">
        <v>46064</v>
      </c>
      <c r="C885" s="36" t="inlineStr">
        <is>
          <t>00088221905</t>
        </is>
      </c>
      <c r="D885" s="53" t="inlineStr">
        <is>
          <t>LANTUS SOLOSTAR 100UNIT/ML INJECTION</t>
        </is>
      </c>
      <c r="E885" s="36" t="n">
        <v>15</v>
      </c>
      <c r="F885" s="54" t="n">
        <v>6</v>
      </c>
      <c r="G885" s="54" t="n">
        <v>0.4</v>
      </c>
      <c r="H885" s="55" t="n">
        <v>37.6</v>
      </c>
      <c r="I885" s="55" t="n">
        <v>36.44</v>
      </c>
      <c r="J885" s="55" t="n">
        <v>0</v>
      </c>
      <c r="K885" s="55" t="n">
        <v>0</v>
      </c>
      <c r="L885" s="55" t="n">
        <v>36.44</v>
      </c>
      <c r="M885" s="55" t="n">
        <v>-1.16</v>
      </c>
      <c r="N885" s="36" t="inlineStr">
        <is>
          <t>004336</t>
        </is>
      </c>
      <c r="O885" s="36" t="inlineStr">
        <is>
          <t>CAREMARK</t>
        </is>
      </c>
      <c r="P885" s="36" t="inlineStr">
        <is>
          <t>MEDDADV</t>
        </is>
      </c>
      <c r="Q885" s="36" t="inlineStr">
        <is>
          <t>RX1110</t>
        </is>
      </c>
    </row>
    <row r="886">
      <c r="A886" s="36" t="inlineStr">
        <is>
          <t>131113</t>
        </is>
      </c>
      <c r="B886" s="52" t="n">
        <v>46002</v>
      </c>
      <c r="C886" s="36" t="inlineStr">
        <is>
          <t>00088221905</t>
        </is>
      </c>
      <c r="D886" s="53" t="inlineStr">
        <is>
          <t>LANTUS SOLOSTAR 100UNIT/ML INJECTION</t>
        </is>
      </c>
      <c r="E886" s="36" t="n">
        <v>15</v>
      </c>
      <c r="F886" s="54" t="n">
        <v>3</v>
      </c>
      <c r="G886" s="54" t="n">
        <v>0.2</v>
      </c>
      <c r="H886" s="55" t="n">
        <v>18.6</v>
      </c>
      <c r="I886" s="55" t="n">
        <v>18.13</v>
      </c>
      <c r="J886" s="55" t="n">
        <v>0</v>
      </c>
      <c r="K886" s="55" t="n">
        <v>0</v>
      </c>
      <c r="L886" s="55" t="n">
        <v>18.13</v>
      </c>
      <c r="M886" s="55" t="n">
        <v>-0.47</v>
      </c>
      <c r="N886" s="36" t="inlineStr">
        <is>
          <t>004336</t>
        </is>
      </c>
      <c r="O886" s="36" t="inlineStr">
        <is>
          <t>CAREMARK</t>
        </is>
      </c>
      <c r="P886" s="36" t="inlineStr">
        <is>
          <t>MEDDADV</t>
        </is>
      </c>
      <c r="Q886" s="36" t="inlineStr">
        <is>
          <t>RX8585</t>
        </is>
      </c>
    </row>
    <row r="887">
      <c r="A887" s="36" t="inlineStr">
        <is>
          <t>134729</t>
        </is>
      </c>
      <c r="B887" s="52" t="n">
        <v>46002</v>
      </c>
      <c r="C887" s="36" t="inlineStr">
        <is>
          <t>00088221905</t>
        </is>
      </c>
      <c r="D887" s="53" t="inlineStr">
        <is>
          <t>LANTUS SOLOSTAR 100UNIT/ML INJECTION</t>
        </is>
      </c>
      <c r="E887" s="36" t="n">
        <v>15</v>
      </c>
      <c r="F887" s="54" t="n">
        <v>6</v>
      </c>
      <c r="G887" s="54" t="n">
        <v>0.4</v>
      </c>
      <c r="H887" s="55" t="n">
        <v>37.2</v>
      </c>
      <c r="I887" s="55" t="n">
        <v>40.99</v>
      </c>
      <c r="J887" s="55" t="n">
        <v>0</v>
      </c>
      <c r="K887" s="55" t="n">
        <v>1</v>
      </c>
      <c r="L887" s="55" t="n">
        <v>41.99</v>
      </c>
      <c r="M887" s="55" t="n">
        <v>4.79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138193</t>
        </is>
      </c>
      <c r="B888" s="52" t="n">
        <v>46030</v>
      </c>
      <c r="C888" s="36" t="inlineStr">
        <is>
          <t>00088221905</t>
        </is>
      </c>
      <c r="D888" s="53" t="inlineStr">
        <is>
          <t>LANTUS SOLOSTAR 100UNIT/ML INJECTION</t>
        </is>
      </c>
      <c r="E888" s="36" t="n">
        <v>15</v>
      </c>
      <c r="F888" s="54" t="n">
        <v>9</v>
      </c>
      <c r="G888" s="54" t="n">
        <v>0.6</v>
      </c>
      <c r="H888" s="55" t="n">
        <v>55.8</v>
      </c>
      <c r="I888" s="55" t="n">
        <v>53.79</v>
      </c>
      <c r="J888" s="55" t="n">
        <v>0</v>
      </c>
      <c r="K888" s="55" t="n">
        <v>0</v>
      </c>
      <c r="L888" s="55" t="n">
        <v>53.79</v>
      </c>
      <c r="M888" s="55" t="n">
        <v>-2.01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130820</t>
        </is>
      </c>
      <c r="B889" s="52" t="n">
        <v>46057</v>
      </c>
      <c r="C889" s="36" t="inlineStr">
        <is>
          <t>00088221905</t>
        </is>
      </c>
      <c r="D889" s="53" t="inlineStr">
        <is>
          <t>LANTUS SOLOSTAR 100UNIT/ML INJECTION</t>
        </is>
      </c>
      <c r="E889" s="36" t="n">
        <v>15</v>
      </c>
      <c r="F889" s="54" t="n">
        <v>21</v>
      </c>
      <c r="G889" s="54" t="n">
        <v>1.4</v>
      </c>
      <c r="H889" s="55" t="n">
        <v>131.6</v>
      </c>
      <c r="I889" s="55" t="n">
        <v>139.68</v>
      </c>
      <c r="J889" s="55" t="n">
        <v>0</v>
      </c>
      <c r="K889" s="55" t="n">
        <v>0</v>
      </c>
      <c r="L889" s="55" t="n">
        <v>139.68</v>
      </c>
      <c r="M889" s="55" t="n">
        <v>8.08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132784</t>
        </is>
      </c>
      <c r="B890" s="52" t="n">
        <v>46074</v>
      </c>
      <c r="C890" s="36" t="inlineStr">
        <is>
          <t>00088221905</t>
        </is>
      </c>
      <c r="D890" s="53" t="inlineStr">
        <is>
          <t>LANTUS SOLOSTAR 100UNIT/ML INJECTION</t>
        </is>
      </c>
      <c r="E890" s="36" t="n">
        <v>15</v>
      </c>
      <c r="F890" s="54" t="n">
        <v>27</v>
      </c>
      <c r="G890" s="54" t="n">
        <v>1.8</v>
      </c>
      <c r="H890" s="55" t="n">
        <v>169.2</v>
      </c>
      <c r="I890" s="55" t="n">
        <v>162.05</v>
      </c>
      <c r="J890" s="55" t="n">
        <v>0</v>
      </c>
      <c r="K890" s="55" t="n">
        <v>0</v>
      </c>
      <c r="L890" s="55" t="n">
        <v>162.05</v>
      </c>
      <c r="M890" s="55" t="n">
        <v>-7.15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141826</t>
        </is>
      </c>
      <c r="B891" s="52" t="n">
        <v>46057</v>
      </c>
      <c r="C891" s="36" t="inlineStr">
        <is>
          <t>00088221905</t>
        </is>
      </c>
      <c r="D891" s="53" t="inlineStr">
        <is>
          <t>LANTUS SOLOSTAR 100UNIT/ML INJECTION</t>
        </is>
      </c>
      <c r="E891" s="36" t="n">
        <v>15</v>
      </c>
      <c r="F891" s="54" t="n">
        <v>9</v>
      </c>
      <c r="G891" s="54" t="n">
        <v>0.6</v>
      </c>
      <c r="H891" s="55" t="n">
        <v>56.4</v>
      </c>
      <c r="I891" s="55" t="n">
        <v>48.89</v>
      </c>
      <c r="J891" s="55" t="n">
        <v>0</v>
      </c>
      <c r="K891" s="55" t="n">
        <v>4.9</v>
      </c>
      <c r="L891" s="55" t="n">
        <v>53.79</v>
      </c>
      <c r="M891" s="55" t="n">
        <v>-2.61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RX1110</t>
        </is>
      </c>
    </row>
    <row r="892">
      <c r="A892" s="36" t="inlineStr">
        <is>
          <t>140582</t>
        </is>
      </c>
      <c r="B892" s="52" t="n">
        <v>46049</v>
      </c>
      <c r="C892" s="36" t="inlineStr">
        <is>
          <t>00088221905</t>
        </is>
      </c>
      <c r="D892" s="53" t="inlineStr">
        <is>
          <t>LANTUS SOLOSTAR 100UNIT/ML INJECTION</t>
        </is>
      </c>
      <c r="E892" s="36" t="n">
        <v>15</v>
      </c>
      <c r="F892" s="54" t="n">
        <v>9</v>
      </c>
      <c r="G892" s="54" t="n">
        <v>0.6</v>
      </c>
      <c r="H892" s="55" t="n">
        <v>55.8</v>
      </c>
      <c r="I892" s="55" t="n">
        <v>54.84</v>
      </c>
      <c r="J892" s="55" t="n">
        <v>0</v>
      </c>
      <c r="K892" s="55" t="n">
        <v>0</v>
      </c>
      <c r="L892" s="55" t="n">
        <v>54.84</v>
      </c>
      <c r="M892" s="55" t="n">
        <v>-0.96</v>
      </c>
      <c r="N892" s="36" t="inlineStr">
        <is>
          <t>020115</t>
        </is>
      </c>
      <c r="O892" s="36" t="inlineStr">
        <is>
          <t>CAREMARK</t>
        </is>
      </c>
      <c r="P892" s="36" t="inlineStr">
        <is>
          <t>IS</t>
        </is>
      </c>
      <c r="Q892" s="36" t="inlineStr">
        <is>
          <t>WM2A</t>
        </is>
      </c>
    </row>
    <row r="893">
      <c r="A893" s="36" t="inlineStr">
        <is>
          <t>136880</t>
        </is>
      </c>
      <c r="B893" s="52" t="n">
        <v>46020</v>
      </c>
      <c r="C893" s="36" t="inlineStr">
        <is>
          <t>00088221905</t>
        </is>
      </c>
      <c r="D893" s="53" t="inlineStr">
        <is>
          <t>LANTUS SOLOSTAR 100UNIT/ML INJECTION</t>
        </is>
      </c>
      <c r="E893" s="36" t="n">
        <v>15</v>
      </c>
      <c r="F893" s="54" t="n">
        <v>9</v>
      </c>
      <c r="G893" s="54" t="n">
        <v>0.6</v>
      </c>
      <c r="H893" s="55" t="n">
        <v>55.8</v>
      </c>
      <c r="I893" s="55" t="n">
        <v>65.67</v>
      </c>
      <c r="J893" s="55" t="n">
        <v>0</v>
      </c>
      <c r="K893" s="55" t="n">
        <v>0</v>
      </c>
      <c r="L893" s="55" t="n">
        <v>65.67</v>
      </c>
      <c r="M893" s="55" t="n">
        <v>9.869999999999999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133446</t>
        </is>
      </c>
      <c r="B894" s="52" t="n">
        <v>46046</v>
      </c>
      <c r="C894" s="36" t="inlineStr">
        <is>
          <t>00088221905</t>
        </is>
      </c>
      <c r="D894" s="53" t="inlineStr">
        <is>
          <t>LANTUS SOLOSTAR 100UNIT/ML INJECTION</t>
        </is>
      </c>
      <c r="E894" s="36" t="n">
        <v>15</v>
      </c>
      <c r="F894" s="54" t="n">
        <v>6</v>
      </c>
      <c r="G894" s="54" t="n">
        <v>0.4</v>
      </c>
      <c r="H894" s="55" t="n">
        <v>37.2</v>
      </c>
      <c r="I894" s="55" t="n">
        <v>47.18</v>
      </c>
      <c r="J894" s="55" t="n">
        <v>0</v>
      </c>
      <c r="K894" s="55" t="n">
        <v>0</v>
      </c>
      <c r="L894" s="55" t="n">
        <v>47.18</v>
      </c>
      <c r="M894" s="55" t="n">
        <v>9.98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128814</t>
        </is>
      </c>
      <c r="B895" s="52" t="n">
        <v>46045</v>
      </c>
      <c r="C895" s="36" t="inlineStr">
        <is>
          <t>00088221905</t>
        </is>
      </c>
      <c r="D895" s="53" t="inlineStr">
        <is>
          <t>LANTUS SOLOSTAR 100UNIT/ML INJECTION</t>
        </is>
      </c>
      <c r="E895" s="36" t="n">
        <v>15</v>
      </c>
      <c r="F895" s="54" t="n">
        <v>54</v>
      </c>
      <c r="G895" s="54" t="n">
        <v>3.6</v>
      </c>
      <c r="H895" s="55" t="n">
        <v>334.8</v>
      </c>
      <c r="I895" s="55" t="n">
        <v>324.44</v>
      </c>
      <c r="J895" s="55" t="n">
        <v>0</v>
      </c>
      <c r="K895" s="55" t="n">
        <v>0</v>
      </c>
      <c r="L895" s="55" t="n">
        <v>324.44</v>
      </c>
      <c r="M895" s="55" t="n">
        <v>-10.36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140171</t>
        </is>
      </c>
      <c r="B896" s="52" t="n">
        <v>46044</v>
      </c>
      <c r="C896" s="36" t="inlineStr">
        <is>
          <t>00088221905</t>
        </is>
      </c>
      <c r="D896" s="53" t="inlineStr">
        <is>
          <t>LANTUS SOLOSTAR 100UNIT/ML INJECTION</t>
        </is>
      </c>
      <c r="E896" s="36" t="n">
        <v>15</v>
      </c>
      <c r="F896" s="54" t="n">
        <v>3</v>
      </c>
      <c r="G896" s="54" t="n">
        <v>0.2</v>
      </c>
      <c r="H896" s="55" t="n">
        <v>18.6</v>
      </c>
      <c r="I896" s="55" t="n">
        <v>13.32</v>
      </c>
      <c r="J896" s="55" t="n">
        <v>0</v>
      </c>
      <c r="K896" s="55" t="n">
        <v>4.44</v>
      </c>
      <c r="L896" s="55" t="n">
        <v>17.76</v>
      </c>
      <c r="M896" s="55" t="n">
        <v>-0.84</v>
      </c>
      <c r="N896" s="36" t="inlineStr">
        <is>
          <t>004336</t>
        </is>
      </c>
      <c r="O896" s="36" t="inlineStr">
        <is>
          <t>CAREMARK</t>
        </is>
      </c>
      <c r="P896" s="36" t="inlineStr">
        <is>
          <t>MEDDADV</t>
        </is>
      </c>
      <c r="Q896" s="36" t="inlineStr">
        <is>
          <t>RX8585</t>
        </is>
      </c>
    </row>
    <row r="897">
      <c r="A897" s="36" t="inlineStr">
        <is>
          <t>130820</t>
        </is>
      </c>
      <c r="B897" s="52" t="n">
        <v>46029</v>
      </c>
      <c r="C897" s="36" t="inlineStr">
        <is>
          <t>00088221905</t>
        </is>
      </c>
      <c r="D897" s="53" t="inlineStr">
        <is>
          <t>LANTUS SOLOSTAR 100UNIT/ML INJECTION</t>
        </is>
      </c>
      <c r="E897" s="36" t="n">
        <v>15</v>
      </c>
      <c r="F897" s="54" t="n">
        <v>21</v>
      </c>
      <c r="G897" s="54" t="n">
        <v>1.4</v>
      </c>
      <c r="H897" s="55" t="n">
        <v>130.2</v>
      </c>
      <c r="I897" s="55" t="n">
        <v>139.67</v>
      </c>
      <c r="J897" s="55" t="n">
        <v>0</v>
      </c>
      <c r="K897" s="55" t="n">
        <v>0</v>
      </c>
      <c r="L897" s="55" t="n">
        <v>139.67</v>
      </c>
      <c r="M897" s="55" t="n">
        <v>9.470000000000001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133446</t>
        </is>
      </c>
      <c r="B898" s="52" t="n">
        <v>46022</v>
      </c>
      <c r="C898" s="36" t="inlineStr">
        <is>
          <t>00088221905</t>
        </is>
      </c>
      <c r="D898" s="53" t="inlineStr">
        <is>
          <t>LANTUS SOLOSTAR 100UNIT/ML INJECTION</t>
        </is>
      </c>
      <c r="E898" s="36" t="n">
        <v>15</v>
      </c>
      <c r="F898" s="54" t="n">
        <v>6</v>
      </c>
      <c r="G898" s="54" t="n">
        <v>0.4</v>
      </c>
      <c r="H898" s="55" t="n">
        <v>37.2</v>
      </c>
      <c r="I898" s="55" t="n">
        <v>47.18</v>
      </c>
      <c r="J898" s="55" t="n">
        <v>0</v>
      </c>
      <c r="K898" s="55" t="n">
        <v>0</v>
      </c>
      <c r="L898" s="55" t="n">
        <v>47.18</v>
      </c>
      <c r="M898" s="55" t="n">
        <v>9.98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135683</t>
        </is>
      </c>
      <c r="B899" s="52" t="n">
        <v>46037</v>
      </c>
      <c r="C899" s="36" t="inlineStr">
        <is>
          <t>00088221905</t>
        </is>
      </c>
      <c r="D899" s="53" t="inlineStr">
        <is>
          <t>LANTUS SOLOSTAR 100UNIT/ML INJECTION</t>
        </is>
      </c>
      <c r="E899" s="36" t="n">
        <v>15</v>
      </c>
      <c r="F899" s="54" t="n">
        <v>9</v>
      </c>
      <c r="G899" s="54" t="n">
        <v>0.6</v>
      </c>
      <c r="H899" s="55" t="n">
        <v>55.8</v>
      </c>
      <c r="I899" s="55" t="n">
        <v>54.79</v>
      </c>
      <c r="J899" s="55" t="n">
        <v>0</v>
      </c>
      <c r="K899" s="55" t="n">
        <v>0</v>
      </c>
      <c r="L899" s="55" t="n">
        <v>54.79</v>
      </c>
      <c r="M899" s="55" t="n">
        <v>-1.01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139170</t>
        </is>
      </c>
      <c r="B900" s="52" t="n">
        <v>46037</v>
      </c>
      <c r="C900" s="36" t="inlineStr">
        <is>
          <t>00088221905</t>
        </is>
      </c>
      <c r="D900" s="53" t="inlineStr">
        <is>
          <t>LANTUS SOLOSTAR 100UNIT/ML INJECTION</t>
        </is>
      </c>
      <c r="E900" s="36" t="n">
        <v>15</v>
      </c>
      <c r="F900" s="54" t="n">
        <v>30</v>
      </c>
      <c r="G900" s="54" t="n">
        <v>2</v>
      </c>
      <c r="H900" s="55" t="n">
        <v>186</v>
      </c>
      <c r="I900" s="55" t="n">
        <v>175.19</v>
      </c>
      <c r="J900" s="55" t="n">
        <v>0</v>
      </c>
      <c r="K900" s="55" t="n">
        <v>4.9</v>
      </c>
      <c r="L900" s="55" t="n">
        <v>180.09</v>
      </c>
      <c r="M900" s="55" t="n">
        <v>-5.91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101297</t>
        </is>
      </c>
      <c r="B901" s="52" t="n">
        <v>46043</v>
      </c>
      <c r="C901" s="36" t="inlineStr">
        <is>
          <t>00088221905</t>
        </is>
      </c>
      <c r="D901" s="53" t="inlineStr">
        <is>
          <t>LANTUS SOLOSTAR 100UNIT/ML INJECTION</t>
        </is>
      </c>
      <c r="E901" s="36" t="n">
        <v>15</v>
      </c>
      <c r="F901" s="54" t="n">
        <v>3</v>
      </c>
      <c r="G901" s="54" t="n">
        <v>0.2</v>
      </c>
      <c r="H901" s="55" t="n">
        <v>18.6</v>
      </c>
      <c r="I901" s="55" t="n">
        <v>18.42</v>
      </c>
      <c r="J901" s="55" t="n">
        <v>0</v>
      </c>
      <c r="K901" s="55" t="n">
        <v>0</v>
      </c>
      <c r="L901" s="55" t="n">
        <v>18.42</v>
      </c>
      <c r="M901" s="55" t="n">
        <v>-0.18</v>
      </c>
      <c r="N901" s="36" t="inlineStr">
        <is>
          <t>015574</t>
        </is>
      </c>
      <c r="O901" s="36" t="inlineStr">
        <is>
          <t>MEDIMP</t>
        </is>
      </c>
      <c r="P901" s="36" t="inlineStr">
        <is>
          <t>ASPROD1</t>
        </is>
      </c>
      <c r="Q901" s="36" t="inlineStr">
        <is>
          <t>VNS01</t>
        </is>
      </c>
    </row>
    <row r="902">
      <c r="A902" s="36" t="inlineStr">
        <is>
          <t>130504</t>
        </is>
      </c>
      <c r="B902" s="52" t="n">
        <v>46027</v>
      </c>
      <c r="C902" s="36" t="inlineStr">
        <is>
          <t>00088221905</t>
        </is>
      </c>
      <c r="D902" s="53" t="inlineStr">
        <is>
          <t>LANTUS SOLOSTAR 100UNIT/ML INJECTION</t>
        </is>
      </c>
      <c r="E902" s="36" t="n">
        <v>15</v>
      </c>
      <c r="F902" s="54" t="n">
        <v>12</v>
      </c>
      <c r="G902" s="54" t="n">
        <v>0.8</v>
      </c>
      <c r="H902" s="55" t="n">
        <v>74.40000000000001</v>
      </c>
      <c r="I902" s="55" t="n">
        <v>73.14</v>
      </c>
      <c r="J902" s="55" t="n">
        <v>0</v>
      </c>
      <c r="K902" s="55" t="n">
        <v>0</v>
      </c>
      <c r="L902" s="55" t="n">
        <v>73.14</v>
      </c>
      <c r="M902" s="55" t="n">
        <v>-1.26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137709</t>
        </is>
      </c>
      <c r="B903" s="52" t="n">
        <v>46028</v>
      </c>
      <c r="C903" s="36" t="inlineStr">
        <is>
          <t>00088221905</t>
        </is>
      </c>
      <c r="D903" s="53" t="inlineStr">
        <is>
          <t>LANTUS SOLOSTAR 100UNIT/ML INJECTION</t>
        </is>
      </c>
      <c r="E903" s="36" t="n">
        <v>15</v>
      </c>
      <c r="F903" s="54" t="n">
        <v>45</v>
      </c>
      <c r="G903" s="54" t="n">
        <v>3</v>
      </c>
      <c r="H903" s="55" t="n">
        <v>279</v>
      </c>
      <c r="I903" s="55" t="n">
        <v>265.4</v>
      </c>
      <c r="J903" s="55" t="n">
        <v>0</v>
      </c>
      <c r="K903" s="55" t="n">
        <v>4.9</v>
      </c>
      <c r="L903" s="55" t="n">
        <v>270.3</v>
      </c>
      <c r="M903" s="55" t="n">
        <v>-8.699999999999999</v>
      </c>
      <c r="N903" s="36" t="inlineStr">
        <is>
          <t>004336</t>
        </is>
      </c>
      <c r="O903" s="36" t="inlineStr">
        <is>
          <t>CAREMARK</t>
        </is>
      </c>
      <c r="P903" s="36" t="inlineStr">
        <is>
          <t>MEDDADV</t>
        </is>
      </c>
      <c r="Q903" s="36" t="inlineStr">
        <is>
          <t>RX1110</t>
        </is>
      </c>
    </row>
    <row r="904">
      <c r="A904" s="36" t="inlineStr">
        <is>
          <t>139578</t>
        </is>
      </c>
      <c r="B904" s="52" t="n">
        <v>46041</v>
      </c>
      <c r="C904" s="36" t="inlineStr">
        <is>
          <t>00088221905</t>
        </is>
      </c>
      <c r="D904" s="53" t="inlineStr">
        <is>
          <t>LANTUS SOLOSTAR 100UNIT/ML INJECTION</t>
        </is>
      </c>
      <c r="E904" s="36" t="n">
        <v>15</v>
      </c>
      <c r="F904" s="54" t="n">
        <v>45</v>
      </c>
      <c r="G904" s="54" t="n">
        <v>3</v>
      </c>
      <c r="H904" s="55" t="n">
        <v>279</v>
      </c>
      <c r="I904" s="55" t="n">
        <v>287.65</v>
      </c>
      <c r="J904" s="55" t="n">
        <v>0</v>
      </c>
      <c r="K904" s="55" t="n">
        <v>0</v>
      </c>
      <c r="L904" s="55" t="n">
        <v>287.65</v>
      </c>
      <c r="M904" s="55" t="n">
        <v>8.65</v>
      </c>
      <c r="N904" s="36" t="inlineStr">
        <is>
          <t>004740</t>
        </is>
      </c>
      <c r="O904" s="36" t="inlineStr">
        <is>
          <t>NYM</t>
        </is>
      </c>
      <c r="P904" s="36" t="inlineStr">
        <is>
          <t>9314DA31</t>
        </is>
      </c>
      <c r="Q904" s="36" t="n">
        <v/>
      </c>
    </row>
    <row r="905">
      <c r="A905" s="36" t="inlineStr">
        <is>
          <t>139226</t>
        </is>
      </c>
      <c r="B905" s="52" t="n">
        <v>46037</v>
      </c>
      <c r="C905" s="36" t="inlineStr">
        <is>
          <t>00088221905</t>
        </is>
      </c>
      <c r="D905" s="53" t="inlineStr">
        <is>
          <t>LANTUS SOLOSTAR 100UNIT/ML INJECTION</t>
        </is>
      </c>
      <c r="E905" s="36" t="n">
        <v>15</v>
      </c>
      <c r="F905" s="54" t="n">
        <v>36</v>
      </c>
      <c r="G905" s="54" t="n">
        <v>2.4</v>
      </c>
      <c r="H905" s="55" t="n">
        <v>223.2</v>
      </c>
      <c r="I905" s="55" t="n">
        <v>211.27</v>
      </c>
      <c r="J905" s="55" t="n">
        <v>0</v>
      </c>
      <c r="K905" s="55" t="n">
        <v>4.9</v>
      </c>
      <c r="L905" s="55" t="n">
        <v>216.17</v>
      </c>
      <c r="M905" s="55" t="n">
        <v>-7.03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140813</t>
        </is>
      </c>
      <c r="B906" s="52" t="n">
        <v>46050</v>
      </c>
      <c r="C906" s="36" t="inlineStr">
        <is>
          <t>00088221905</t>
        </is>
      </c>
      <c r="D906" s="53" t="inlineStr">
        <is>
          <t>LANTUS SOLOSTAR 100UNIT/ML INJECTION</t>
        </is>
      </c>
      <c r="E906" s="36" t="n">
        <v>15</v>
      </c>
      <c r="F906" s="54" t="n">
        <v>6</v>
      </c>
      <c r="G906" s="54" t="n">
        <v>0.4</v>
      </c>
      <c r="H906" s="55" t="n">
        <v>37.2</v>
      </c>
      <c r="I906" s="55" t="n">
        <v>36.44</v>
      </c>
      <c r="J906" s="55" t="n">
        <v>0</v>
      </c>
      <c r="K906" s="55" t="n">
        <v>0</v>
      </c>
      <c r="L906" s="55" t="n">
        <v>36.44</v>
      </c>
      <c r="M906" s="55" t="n">
        <v>-0.76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138040</t>
        </is>
      </c>
      <c r="B907" s="52" t="n">
        <v>46029</v>
      </c>
      <c r="C907" s="36" t="inlineStr">
        <is>
          <t>00088221905</t>
        </is>
      </c>
      <c r="D907" s="53" t="inlineStr">
        <is>
          <t>LANTUS SOLOSTAR 100UNIT/ML INJECTION</t>
        </is>
      </c>
      <c r="E907" s="36" t="n">
        <v>15</v>
      </c>
      <c r="F907" s="54" t="n">
        <v>6</v>
      </c>
      <c r="G907" s="54" t="n">
        <v>0.4</v>
      </c>
      <c r="H907" s="55" t="n">
        <v>37.2</v>
      </c>
      <c r="I907" s="55" t="n">
        <v>47.18</v>
      </c>
      <c r="J907" s="55" t="n">
        <v>0</v>
      </c>
      <c r="K907" s="55" t="n">
        <v>0</v>
      </c>
      <c r="L907" s="55" t="n">
        <v>47.18</v>
      </c>
      <c r="M907" s="55" t="n">
        <v>9.98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144419</t>
        </is>
      </c>
      <c r="B908" s="52" t="n">
        <v>46076</v>
      </c>
      <c r="C908" s="36" t="inlineStr">
        <is>
          <t>00088221905</t>
        </is>
      </c>
      <c r="D908" s="53" t="inlineStr">
        <is>
          <t>LANTUS SOLOSTAR 100UNIT/ML INJECTION</t>
        </is>
      </c>
      <c r="E908" s="36" t="n">
        <v>15</v>
      </c>
      <c r="F908" s="54" t="n">
        <v>18</v>
      </c>
      <c r="G908" s="54" t="n">
        <v>1.2</v>
      </c>
      <c r="H908" s="55" t="n">
        <v>112.8</v>
      </c>
      <c r="I908" s="55" t="n">
        <v>121.18</v>
      </c>
      <c r="J908" s="55" t="n">
        <v>0</v>
      </c>
      <c r="K908" s="55" t="n">
        <v>0</v>
      </c>
      <c r="L908" s="55" t="n">
        <v>121.18</v>
      </c>
      <c r="M908" s="55" t="n">
        <v>8.380000000000001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130135</t>
        </is>
      </c>
      <c r="B909" s="52" t="n">
        <v>45995</v>
      </c>
      <c r="C909" s="36" t="inlineStr">
        <is>
          <t>00088221905</t>
        </is>
      </c>
      <c r="D909" s="53" t="inlineStr">
        <is>
          <t>LANTUS SOLOSTAR 100UNIT/ML INJECTION</t>
        </is>
      </c>
      <c r="E909" s="36" t="n">
        <v>15</v>
      </c>
      <c r="F909" s="54" t="n">
        <v>9</v>
      </c>
      <c r="G909" s="54" t="n">
        <v>0.6</v>
      </c>
      <c r="H909" s="55" t="n">
        <v>55.8</v>
      </c>
      <c r="I909" s="55" t="n">
        <v>57.89</v>
      </c>
      <c r="J909" s="55" t="n">
        <v>0</v>
      </c>
      <c r="K909" s="55" t="n">
        <v>0</v>
      </c>
      <c r="L909" s="55" t="n">
        <v>57.89</v>
      </c>
      <c r="M909" s="55" t="n">
        <v>2.09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101297</t>
        </is>
      </c>
      <c r="B910" s="52" t="n">
        <v>46015</v>
      </c>
      <c r="C910" s="36" t="inlineStr">
        <is>
          <t>00088221905</t>
        </is>
      </c>
      <c r="D910" s="53" t="inlineStr">
        <is>
          <t>LANTUS SOLOSTAR 100UNIT/ML INJECTION</t>
        </is>
      </c>
      <c r="E910" s="36" t="n">
        <v>15</v>
      </c>
      <c r="F910" s="54" t="n">
        <v>3</v>
      </c>
      <c r="G910" s="54" t="n">
        <v>0.2</v>
      </c>
      <c r="H910" s="55" t="n">
        <v>18.6</v>
      </c>
      <c r="I910" s="55" t="n">
        <v>18.53</v>
      </c>
      <c r="J910" s="55" t="n">
        <v>0</v>
      </c>
      <c r="K910" s="55" t="n">
        <v>0</v>
      </c>
      <c r="L910" s="55" t="n">
        <v>18.53</v>
      </c>
      <c r="M910" s="55" t="n">
        <v>-0.07000000000000001</v>
      </c>
      <c r="N910" s="36" t="inlineStr">
        <is>
          <t>015574</t>
        </is>
      </c>
      <c r="O910" s="36" t="inlineStr">
        <is>
          <t>MEDIMP</t>
        </is>
      </c>
      <c r="P910" s="36" t="inlineStr">
        <is>
          <t>ASPROD1</t>
        </is>
      </c>
      <c r="Q910" s="36" t="inlineStr">
        <is>
          <t>VNS01</t>
        </is>
      </c>
    </row>
    <row r="911">
      <c r="A911" s="36" t="inlineStr">
        <is>
          <t>130504</t>
        </is>
      </c>
      <c r="B911" s="52" t="n">
        <v>46055</v>
      </c>
      <c r="C911" s="36" t="inlineStr">
        <is>
          <t>00088221905</t>
        </is>
      </c>
      <c r="D911" s="53" t="inlineStr">
        <is>
          <t>LANTUS SOLOSTAR 100UNIT/ML INJECTION</t>
        </is>
      </c>
      <c r="E911" s="36" t="n">
        <v>15</v>
      </c>
      <c r="F911" s="54" t="n">
        <v>12</v>
      </c>
      <c r="G911" s="54" t="n">
        <v>0.8</v>
      </c>
      <c r="H911" s="55" t="n">
        <v>75.2</v>
      </c>
      <c r="I911" s="55" t="n">
        <v>73.14</v>
      </c>
      <c r="J911" s="55" t="n">
        <v>0</v>
      </c>
      <c r="K911" s="55" t="n">
        <v>0</v>
      </c>
      <c r="L911" s="55" t="n">
        <v>73.14</v>
      </c>
      <c r="M911" s="55" t="n">
        <v>-2.06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133446</t>
        </is>
      </c>
      <c r="B912" s="52" t="n">
        <v>46074</v>
      </c>
      <c r="C912" s="36" t="inlineStr">
        <is>
          <t>00088221905</t>
        </is>
      </c>
      <c r="D912" s="53" t="inlineStr">
        <is>
          <t>LANTUS SOLOSTAR 100UNIT/ML INJECTION</t>
        </is>
      </c>
      <c r="E912" s="36" t="n">
        <v>15</v>
      </c>
      <c r="F912" s="54" t="n">
        <v>6</v>
      </c>
      <c r="G912" s="54" t="n">
        <v>0.4</v>
      </c>
      <c r="H912" s="55" t="n">
        <v>37.6</v>
      </c>
      <c r="I912" s="55" t="n">
        <v>47.18</v>
      </c>
      <c r="J912" s="55" t="n">
        <v>0</v>
      </c>
      <c r="K912" s="55" t="n">
        <v>0</v>
      </c>
      <c r="L912" s="55" t="n">
        <v>47.18</v>
      </c>
      <c r="M912" s="55" t="n">
        <v>9.58</v>
      </c>
      <c r="N912" s="36" t="inlineStr">
        <is>
          <t>004740</t>
        </is>
      </c>
      <c r="O912" s="36" t="inlineStr">
        <is>
          <t>NYM</t>
        </is>
      </c>
      <c r="P912" s="36" t="inlineStr">
        <is>
          <t>9314DA31</t>
        </is>
      </c>
      <c r="Q912" s="36" t="n">
        <v/>
      </c>
    </row>
    <row r="913">
      <c r="A913" s="36" t="inlineStr">
        <is>
          <t>135607</t>
        </is>
      </c>
      <c r="B913" s="52" t="n">
        <v>46009</v>
      </c>
      <c r="C913" s="36" t="inlineStr">
        <is>
          <t>00088221905</t>
        </is>
      </c>
      <c r="D913" s="53" t="inlineStr">
        <is>
          <t>LANTUS SOLOSTAR 100UNIT/ML INJECTION</t>
        </is>
      </c>
      <c r="E913" s="36" t="n">
        <v>15</v>
      </c>
      <c r="F913" s="54" t="n">
        <v>12</v>
      </c>
      <c r="G913" s="54" t="n">
        <v>0.8</v>
      </c>
      <c r="H913" s="55" t="n">
        <v>74.40000000000001</v>
      </c>
      <c r="I913" s="55" t="n">
        <v>72.48999999999999</v>
      </c>
      <c r="J913" s="55" t="n">
        <v>0</v>
      </c>
      <c r="K913" s="55" t="n">
        <v>0</v>
      </c>
      <c r="L913" s="55" t="n">
        <v>72.48999999999999</v>
      </c>
      <c r="M913" s="55" t="n">
        <v>-1.91</v>
      </c>
      <c r="N913" s="36" t="inlineStr">
        <is>
          <t>004336</t>
        </is>
      </c>
      <c r="O913" s="36" t="inlineStr">
        <is>
          <t>CAREMARK</t>
        </is>
      </c>
      <c r="P913" s="36" t="inlineStr">
        <is>
          <t>MEDDADV</t>
        </is>
      </c>
      <c r="Q913" s="36" t="inlineStr">
        <is>
          <t>RX1110</t>
        </is>
      </c>
    </row>
    <row r="914">
      <c r="A914" s="36" t="inlineStr">
        <is>
          <t>140582</t>
        </is>
      </c>
      <c r="B914" s="52" t="n">
        <v>46077</v>
      </c>
      <c r="C914" s="36" t="inlineStr">
        <is>
          <t>00088221905</t>
        </is>
      </c>
      <c r="D914" s="53" t="inlineStr">
        <is>
          <t>LANTUS SOLOSTAR 100UNIT/ML INJECTION</t>
        </is>
      </c>
      <c r="E914" s="36" t="n">
        <v>15</v>
      </c>
      <c r="F914" s="54" t="n">
        <v>9</v>
      </c>
      <c r="G914" s="54" t="n">
        <v>0.6</v>
      </c>
      <c r="H914" s="55" t="n">
        <v>56.4</v>
      </c>
      <c r="I914" s="55" t="n">
        <v>54.84</v>
      </c>
      <c r="J914" s="55" t="n">
        <v>0</v>
      </c>
      <c r="K914" s="55" t="n">
        <v>0</v>
      </c>
      <c r="L914" s="55" t="n">
        <v>54.84</v>
      </c>
      <c r="M914" s="55" t="n">
        <v>-1.56</v>
      </c>
      <c r="N914" s="36" t="inlineStr">
        <is>
          <t>020115</t>
        </is>
      </c>
      <c r="O914" s="36" t="inlineStr">
        <is>
          <t>CAREMARK</t>
        </is>
      </c>
      <c r="P914" s="36" t="inlineStr">
        <is>
          <t>IS</t>
        </is>
      </c>
      <c r="Q914" s="36" t="inlineStr">
        <is>
          <t>WM2A</t>
        </is>
      </c>
    </row>
    <row r="915">
      <c r="A915" s="36" t="inlineStr">
        <is>
          <t>141465</t>
        </is>
      </c>
      <c r="B915" s="52" t="n">
        <v>46055</v>
      </c>
      <c r="C915" s="36" t="inlineStr">
        <is>
          <t>00088221905</t>
        </is>
      </c>
      <c r="D915" s="53" t="inlineStr">
        <is>
          <t>LANTUS SOLOSTAR 100UNIT/ML INJECTION</t>
        </is>
      </c>
      <c r="E915" s="36" t="n">
        <v>15</v>
      </c>
      <c r="F915" s="54" t="n">
        <v>27</v>
      </c>
      <c r="G915" s="54" t="n">
        <v>1.8</v>
      </c>
      <c r="H915" s="55" t="n">
        <v>169.2</v>
      </c>
      <c r="I915" s="55" t="n">
        <v>157.15</v>
      </c>
      <c r="J915" s="55" t="n">
        <v>0</v>
      </c>
      <c r="K915" s="55" t="n">
        <v>4.9</v>
      </c>
      <c r="L915" s="55" t="n">
        <v>162.05</v>
      </c>
      <c r="M915" s="55" t="n">
        <v>-7.15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MEDDADV</t>
        </is>
      </c>
      <c r="Q915" s="36" t="inlineStr">
        <is>
          <t>RX1110</t>
        </is>
      </c>
    </row>
    <row r="916">
      <c r="A916" s="36" t="inlineStr">
        <is>
          <t>135683</t>
        </is>
      </c>
      <c r="B916" s="52" t="n">
        <v>46009</v>
      </c>
      <c r="C916" s="36" t="inlineStr">
        <is>
          <t>00088221905</t>
        </is>
      </c>
      <c r="D916" s="53" t="inlineStr">
        <is>
          <t>LANTUS SOLOSTAR 100UNIT/ML INJECTION</t>
        </is>
      </c>
      <c r="E916" s="36" t="n">
        <v>15</v>
      </c>
      <c r="F916" s="54" t="n">
        <v>9</v>
      </c>
      <c r="G916" s="54" t="n">
        <v>0.6</v>
      </c>
      <c r="H916" s="55" t="n">
        <v>55.8</v>
      </c>
      <c r="I916" s="55" t="n">
        <v>54.31</v>
      </c>
      <c r="J916" s="55" t="n">
        <v>0</v>
      </c>
      <c r="K916" s="55" t="n">
        <v>0</v>
      </c>
      <c r="L916" s="55" t="n">
        <v>54.31</v>
      </c>
      <c r="M916" s="55" t="n">
        <v>-1.49</v>
      </c>
      <c r="N916" s="36" t="inlineStr">
        <is>
          <t>004336</t>
        </is>
      </c>
      <c r="O916" s="36" t="inlineStr">
        <is>
          <t>CAREMARK</t>
        </is>
      </c>
      <c r="P916" s="36" t="inlineStr">
        <is>
          <t>MEDDADV</t>
        </is>
      </c>
      <c r="Q916" s="36" t="inlineStr">
        <is>
          <t>RX1110</t>
        </is>
      </c>
    </row>
    <row r="917">
      <c r="A917" s="36" t="inlineStr">
        <is>
          <t>134729</t>
        </is>
      </c>
      <c r="B917" s="52" t="n">
        <v>46030</v>
      </c>
      <c r="C917" s="36" t="inlineStr">
        <is>
          <t>00088221905</t>
        </is>
      </c>
      <c r="D917" s="53" t="inlineStr">
        <is>
          <t>LANTUS SOLOSTAR 100UNIT/ML INJECTION</t>
        </is>
      </c>
      <c r="E917" s="36" t="n">
        <v>15</v>
      </c>
      <c r="F917" s="54" t="n">
        <v>6</v>
      </c>
      <c r="G917" s="54" t="n">
        <v>0.4</v>
      </c>
      <c r="H917" s="55" t="n">
        <v>37.2</v>
      </c>
      <c r="I917" s="55" t="n">
        <v>46.18</v>
      </c>
      <c r="J917" s="55" t="n">
        <v>0</v>
      </c>
      <c r="K917" s="55" t="n">
        <v>1</v>
      </c>
      <c r="L917" s="55" t="n">
        <v>47.18</v>
      </c>
      <c r="M917" s="55" t="n">
        <v>9.98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n">
        <v/>
      </c>
    </row>
    <row r="918">
      <c r="A918" s="36" t="inlineStr">
        <is>
          <t>140981</t>
        </is>
      </c>
      <c r="B918" s="52" t="n">
        <v>46051</v>
      </c>
      <c r="C918" s="36" t="inlineStr">
        <is>
          <t>00088221905</t>
        </is>
      </c>
      <c r="D918" s="53" t="inlineStr">
        <is>
          <t>LANTUS SOLOSTAR 100UNIT/ML INJECTION</t>
        </is>
      </c>
      <c r="E918" s="36" t="n">
        <v>15</v>
      </c>
      <c r="F918" s="54" t="n">
        <v>36</v>
      </c>
      <c r="G918" s="54" t="n">
        <v>2.4</v>
      </c>
      <c r="H918" s="55" t="n">
        <v>223.2</v>
      </c>
      <c r="I918" s="55" t="n">
        <v>216.17</v>
      </c>
      <c r="J918" s="55" t="n">
        <v>0</v>
      </c>
      <c r="K918" s="55" t="n">
        <v>0</v>
      </c>
      <c r="L918" s="55" t="n">
        <v>216.17</v>
      </c>
      <c r="M918" s="55" t="n">
        <v>-7.03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141608</t>
        </is>
      </c>
      <c r="B919" s="52" t="n">
        <v>46056</v>
      </c>
      <c r="C919" s="36" t="inlineStr">
        <is>
          <t>00088221905</t>
        </is>
      </c>
      <c r="D919" s="53" t="inlineStr">
        <is>
          <t>LANTUS SOLOSTAR 100UNIT/ML INJECTION</t>
        </is>
      </c>
      <c r="E919" s="36" t="n">
        <v>15</v>
      </c>
      <c r="F919" s="54" t="n">
        <v>6</v>
      </c>
      <c r="G919" s="54" t="n">
        <v>0.4</v>
      </c>
      <c r="H919" s="55" t="n">
        <v>37.6</v>
      </c>
      <c r="I919" s="55" t="n">
        <v>31.54</v>
      </c>
      <c r="J919" s="55" t="n">
        <v>0</v>
      </c>
      <c r="K919" s="55" t="n">
        <v>4.9</v>
      </c>
      <c r="L919" s="55" t="n">
        <v>36.44</v>
      </c>
      <c r="M919" s="55" t="n">
        <v>-1.16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100110</t>
        </is>
      </c>
      <c r="B920" s="52" t="n">
        <v>46058</v>
      </c>
      <c r="C920" s="36" t="inlineStr">
        <is>
          <t>00456120130</t>
        </is>
      </c>
      <c r="D920" s="53" t="inlineStr">
        <is>
          <t>LINZESS 145MCG CAPSULE</t>
        </is>
      </c>
      <c r="E920" s="36" t="n">
        <v>30</v>
      </c>
      <c r="F920" s="54" t="n">
        <v>90</v>
      </c>
      <c r="G920" s="54" t="n">
        <v>3</v>
      </c>
      <c r="H920" s="55" t="n">
        <v>825</v>
      </c>
      <c r="I920" s="55" t="n">
        <v>787.97</v>
      </c>
      <c r="J920" s="55" t="n">
        <v>0</v>
      </c>
      <c r="K920" s="55" t="n">
        <v>4.9</v>
      </c>
      <c r="L920" s="55" t="n">
        <v>792.87</v>
      </c>
      <c r="M920" s="55" t="n">
        <v>-32.13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107367</t>
        </is>
      </c>
      <c r="B921" s="52" t="n">
        <v>46041</v>
      </c>
      <c r="C921" s="36" t="inlineStr">
        <is>
          <t>00456120130</t>
        </is>
      </c>
      <c r="D921" s="53" t="inlineStr">
        <is>
          <t>LINZESS 145MCG CAPSULE</t>
        </is>
      </c>
      <c r="E921" s="36" t="n">
        <v>30</v>
      </c>
      <c r="F921" s="54" t="n">
        <v>30</v>
      </c>
      <c r="G921" s="54" t="n">
        <v>1</v>
      </c>
      <c r="H921" s="55" t="n">
        <v>273</v>
      </c>
      <c r="I921" s="55" t="n">
        <v>265.37</v>
      </c>
      <c r="J921" s="55" t="n">
        <v>0</v>
      </c>
      <c r="K921" s="55" t="n">
        <v>4.9</v>
      </c>
      <c r="L921" s="55" t="n">
        <v>270.27</v>
      </c>
      <c r="M921" s="55" t="n">
        <v>-2.73</v>
      </c>
      <c r="N921" s="36" t="inlineStr">
        <is>
          <t>004336</t>
        </is>
      </c>
      <c r="O921" s="36" t="inlineStr">
        <is>
          <t>CAREMARK</t>
        </is>
      </c>
      <c r="P921" s="36" t="inlineStr">
        <is>
          <t>MEDDADV</t>
        </is>
      </c>
      <c r="Q921" s="36" t="inlineStr">
        <is>
          <t>RX8541</t>
        </is>
      </c>
    </row>
    <row r="922">
      <c r="A922" s="36" t="inlineStr">
        <is>
          <t>137889</t>
        </is>
      </c>
      <c r="B922" s="52" t="n">
        <v>46057</v>
      </c>
      <c r="C922" s="36" t="inlineStr">
        <is>
          <t>00456120130</t>
        </is>
      </c>
      <c r="D922" s="53" t="inlineStr">
        <is>
          <t>LINZESS 145MCG CAPSULE</t>
        </is>
      </c>
      <c r="E922" s="36" t="n">
        <v>30</v>
      </c>
      <c r="F922" s="54" t="n">
        <v>30</v>
      </c>
      <c r="G922" s="54" t="n">
        <v>1</v>
      </c>
      <c r="H922" s="55" t="n">
        <v>275</v>
      </c>
      <c r="I922" s="55" t="n">
        <v>268.57</v>
      </c>
      <c r="J922" s="55" t="n">
        <v>0</v>
      </c>
      <c r="K922" s="55" t="n">
        <v>0</v>
      </c>
      <c r="L922" s="55" t="n">
        <v>268.57</v>
      </c>
      <c r="M922" s="55" t="n">
        <v>-6.43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RX1110</t>
        </is>
      </c>
    </row>
    <row r="923">
      <c r="A923" s="36" t="inlineStr">
        <is>
          <t>134600</t>
        </is>
      </c>
      <c r="B923" s="52" t="n">
        <v>46057</v>
      </c>
      <c r="C923" s="36" t="inlineStr">
        <is>
          <t>00456120130</t>
        </is>
      </c>
      <c r="D923" s="53" t="inlineStr">
        <is>
          <t>LINZESS 145MCG CAPSULE</t>
        </is>
      </c>
      <c r="E923" s="36" t="n">
        <v>30</v>
      </c>
      <c r="F923" s="54" t="n">
        <v>30</v>
      </c>
      <c r="G923" s="54" t="n">
        <v>1</v>
      </c>
      <c r="H923" s="55" t="n">
        <v>275</v>
      </c>
      <c r="I923" s="55" t="n">
        <v>268.57</v>
      </c>
      <c r="J923" s="55" t="n">
        <v>0</v>
      </c>
      <c r="K923" s="55" t="n">
        <v>0</v>
      </c>
      <c r="L923" s="55" t="n">
        <v>268.57</v>
      </c>
      <c r="M923" s="55" t="n">
        <v>-6.43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127429</t>
        </is>
      </c>
      <c r="B924" s="52" t="n">
        <v>46057</v>
      </c>
      <c r="C924" s="36" t="inlineStr">
        <is>
          <t>00456120130</t>
        </is>
      </c>
      <c r="D924" s="53" t="inlineStr">
        <is>
          <t>LINZESS 145MCG CAPSULE</t>
        </is>
      </c>
      <c r="E924" s="36" t="n">
        <v>30</v>
      </c>
      <c r="F924" s="54" t="n">
        <v>30</v>
      </c>
      <c r="G924" s="54" t="n">
        <v>1</v>
      </c>
      <c r="H924" s="55" t="n">
        <v>275</v>
      </c>
      <c r="I924" s="55" t="n">
        <v>272.77</v>
      </c>
      <c r="J924" s="55" t="n">
        <v>0</v>
      </c>
      <c r="K924" s="55" t="n">
        <v>4.9</v>
      </c>
      <c r="L924" s="55" t="n">
        <v>277.67</v>
      </c>
      <c r="M924" s="55" t="n">
        <v>2.67</v>
      </c>
      <c r="N924" s="36" t="inlineStr">
        <is>
          <t>610502</t>
        </is>
      </c>
      <c r="O924" s="36" t="inlineStr">
        <is>
          <t>CAREMARK</t>
        </is>
      </c>
      <c r="P924" s="36" t="inlineStr">
        <is>
          <t>MEDDAET</t>
        </is>
      </c>
      <c r="Q924" s="36" t="inlineStr">
        <is>
          <t>RXAETD</t>
        </is>
      </c>
    </row>
    <row r="925">
      <c r="A925" s="36" t="inlineStr">
        <is>
          <t>138963</t>
        </is>
      </c>
      <c r="B925" s="52" t="n">
        <v>46064</v>
      </c>
      <c r="C925" s="36" t="inlineStr">
        <is>
          <t>00456120130</t>
        </is>
      </c>
      <c r="D925" s="53" t="inlineStr">
        <is>
          <t>LINZESS 145MCG CAPSULE</t>
        </is>
      </c>
      <c r="E925" s="36" t="n">
        <v>30</v>
      </c>
      <c r="F925" s="54" t="n">
        <v>30</v>
      </c>
      <c r="G925" s="54" t="n">
        <v>1</v>
      </c>
      <c r="H925" s="55" t="n">
        <v>275</v>
      </c>
      <c r="I925" s="55" t="n">
        <v>268.57</v>
      </c>
      <c r="J925" s="55" t="n">
        <v>0</v>
      </c>
      <c r="K925" s="55" t="n">
        <v>0</v>
      </c>
      <c r="L925" s="55" t="n">
        <v>268.57</v>
      </c>
      <c r="M925" s="55" t="n">
        <v>-6.43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107367</t>
        </is>
      </c>
      <c r="B926" s="52" t="n">
        <v>46069</v>
      </c>
      <c r="C926" s="36" t="inlineStr">
        <is>
          <t>00456120130</t>
        </is>
      </c>
      <c r="D926" s="53" t="inlineStr">
        <is>
          <t>LINZESS 145MCG CAPSULE</t>
        </is>
      </c>
      <c r="E926" s="36" t="n">
        <v>30</v>
      </c>
      <c r="F926" s="54" t="n">
        <v>30</v>
      </c>
      <c r="G926" s="54" t="n">
        <v>1</v>
      </c>
      <c r="H926" s="55" t="n">
        <v>275</v>
      </c>
      <c r="I926" s="55" t="n">
        <v>265.37</v>
      </c>
      <c r="J926" s="55" t="n">
        <v>0</v>
      </c>
      <c r="K926" s="55" t="n">
        <v>4.9</v>
      </c>
      <c r="L926" s="55" t="n">
        <v>270.27</v>
      </c>
      <c r="M926" s="55" t="n">
        <v>-4.73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RX8541</t>
        </is>
      </c>
    </row>
    <row r="927">
      <c r="A927" s="36" t="inlineStr">
        <is>
          <t>143369</t>
        </is>
      </c>
      <c r="B927" s="52" t="n">
        <v>46067</v>
      </c>
      <c r="C927" s="36" t="inlineStr">
        <is>
          <t>00456120130</t>
        </is>
      </c>
      <c r="D927" s="53" t="inlineStr">
        <is>
          <t>LINZESS 145MCG CAPSULE</t>
        </is>
      </c>
      <c r="E927" s="36" t="n">
        <v>30</v>
      </c>
      <c r="F927" s="54" t="n">
        <v>90</v>
      </c>
      <c r="G927" s="54" t="n">
        <v>3</v>
      </c>
      <c r="H927" s="55" t="n">
        <v>825</v>
      </c>
      <c r="I927" s="55" t="n">
        <v>757.62</v>
      </c>
      <c r="J927" s="55" t="n">
        <v>0</v>
      </c>
      <c r="K927" s="55" t="n">
        <v>0</v>
      </c>
      <c r="L927" s="55" t="n">
        <v>757.62</v>
      </c>
      <c r="M927" s="55" t="n">
        <v>-67.38</v>
      </c>
      <c r="N927" s="36" t="inlineStr">
        <is>
          <t>015574</t>
        </is>
      </c>
      <c r="O927" s="36" t="inlineStr">
        <is>
          <t>MEDIMP</t>
        </is>
      </c>
      <c r="P927" s="36" t="inlineStr">
        <is>
          <t>ASPROD1</t>
        </is>
      </c>
      <c r="Q927" s="36" t="inlineStr">
        <is>
          <t>VNS01</t>
        </is>
      </c>
    </row>
    <row r="928">
      <c r="A928" s="36" t="inlineStr">
        <is>
          <t>132708</t>
        </is>
      </c>
      <c r="B928" s="52" t="n">
        <v>46048</v>
      </c>
      <c r="C928" s="36" t="inlineStr">
        <is>
          <t>00456120130</t>
        </is>
      </c>
      <c r="D928" s="53" t="inlineStr">
        <is>
          <t>LINZESS 145MCG CAPSULE</t>
        </is>
      </c>
      <c r="E928" s="36" t="n">
        <v>30</v>
      </c>
      <c r="F928" s="54" t="n">
        <v>30</v>
      </c>
      <c r="G928" s="54" t="n">
        <v>1</v>
      </c>
      <c r="H928" s="55" t="n">
        <v>273</v>
      </c>
      <c r="I928" s="55" t="n">
        <v>255.92</v>
      </c>
      <c r="J928" s="55" t="n">
        <v>0</v>
      </c>
      <c r="K928" s="55" t="n">
        <v>12.65</v>
      </c>
      <c r="L928" s="55" t="n">
        <v>268.57</v>
      </c>
      <c r="M928" s="55" t="n">
        <v>-4.43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97946</t>
        </is>
      </c>
      <c r="B929" s="52" t="n">
        <v>46066</v>
      </c>
      <c r="C929" s="36" t="inlineStr">
        <is>
          <t>00456120130</t>
        </is>
      </c>
      <c r="D929" s="53" t="inlineStr">
        <is>
          <t>LINZESS 145MCG CAPSULE</t>
        </is>
      </c>
      <c r="E929" s="36" t="n">
        <v>30</v>
      </c>
      <c r="F929" s="54" t="n">
        <v>30</v>
      </c>
      <c r="G929" s="54" t="n">
        <v>1</v>
      </c>
      <c r="H929" s="55" t="n">
        <v>275</v>
      </c>
      <c r="I929" s="55" t="n">
        <v>278.9</v>
      </c>
      <c r="J929" s="55" t="n">
        <v>0</v>
      </c>
      <c r="K929" s="55" t="n">
        <v>4.9</v>
      </c>
      <c r="L929" s="55" t="n">
        <v>283.8</v>
      </c>
      <c r="M929" s="55" t="n">
        <v>8.800000000000001</v>
      </c>
      <c r="N929" s="36" t="inlineStr">
        <is>
          <t>610097</t>
        </is>
      </c>
      <c r="O929" s="36" t="inlineStr">
        <is>
          <t>OPTUM</t>
        </is>
      </c>
      <c r="P929" s="36" t="inlineStr">
        <is>
          <t>9999</t>
        </is>
      </c>
      <c r="Q929" s="36" t="inlineStr">
        <is>
          <t>MPDCSP</t>
        </is>
      </c>
    </row>
    <row r="930">
      <c r="A930" s="36" t="inlineStr">
        <is>
          <t>141421</t>
        </is>
      </c>
      <c r="B930" s="52" t="n">
        <v>46055</v>
      </c>
      <c r="C930" s="36" t="inlineStr">
        <is>
          <t>00456120130</t>
        </is>
      </c>
      <c r="D930" s="53" t="inlineStr">
        <is>
          <t>LINZESS 145MCG CAPSULE</t>
        </is>
      </c>
      <c r="E930" s="36" t="n">
        <v>30</v>
      </c>
      <c r="F930" s="54" t="n">
        <v>30</v>
      </c>
      <c r="G930" s="54" t="n">
        <v>1</v>
      </c>
      <c r="H930" s="55" t="n">
        <v>275</v>
      </c>
      <c r="I930" s="55" t="n">
        <v>281.02</v>
      </c>
      <c r="J930" s="55" t="n">
        <v>0</v>
      </c>
      <c r="K930" s="55" t="n">
        <v>0</v>
      </c>
      <c r="L930" s="55" t="n">
        <v>281.02</v>
      </c>
      <c r="M930" s="55" t="n">
        <v>6.02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138963</t>
        </is>
      </c>
      <c r="B931" s="52" t="n">
        <v>46036</v>
      </c>
      <c r="C931" s="36" t="inlineStr">
        <is>
          <t>00456120130</t>
        </is>
      </c>
      <c r="D931" s="53" t="inlineStr">
        <is>
          <t>LINZESS 145MCG CAPSULE</t>
        </is>
      </c>
      <c r="E931" s="36" t="n">
        <v>30</v>
      </c>
      <c r="F931" s="54" t="n">
        <v>30</v>
      </c>
      <c r="G931" s="54" t="n">
        <v>1</v>
      </c>
      <c r="H931" s="55" t="n">
        <v>273</v>
      </c>
      <c r="I931" s="55" t="n">
        <v>268.57</v>
      </c>
      <c r="J931" s="55" t="n">
        <v>0</v>
      </c>
      <c r="K931" s="55" t="n">
        <v>0</v>
      </c>
      <c r="L931" s="55" t="n">
        <v>268.57</v>
      </c>
      <c r="M931" s="55" t="n">
        <v>-4.43</v>
      </c>
      <c r="N931" s="36" t="inlineStr">
        <is>
          <t>004336</t>
        </is>
      </c>
      <c r="O931" s="36" t="inlineStr">
        <is>
          <t>CAREMARK</t>
        </is>
      </c>
      <c r="P931" s="36" t="inlineStr">
        <is>
          <t>MEDDADV</t>
        </is>
      </c>
      <c r="Q931" s="36" t="inlineStr">
        <is>
          <t>RX1110</t>
        </is>
      </c>
    </row>
    <row r="932">
      <c r="A932" s="36" t="inlineStr">
        <is>
          <t>120240</t>
        </is>
      </c>
      <c r="B932" s="52" t="n">
        <v>46065</v>
      </c>
      <c r="C932" s="36" t="inlineStr">
        <is>
          <t>00456120130</t>
        </is>
      </c>
      <c r="D932" s="53" t="inlineStr">
        <is>
          <t>LINZESS 145MCG CAPSULE</t>
        </is>
      </c>
      <c r="E932" s="36" t="n">
        <v>30</v>
      </c>
      <c r="F932" s="54" t="n">
        <v>90</v>
      </c>
      <c r="G932" s="54" t="n">
        <v>3</v>
      </c>
      <c r="H932" s="55" t="n">
        <v>825</v>
      </c>
      <c r="I932" s="55" t="n">
        <v>792.87</v>
      </c>
      <c r="J932" s="55" t="n">
        <v>0</v>
      </c>
      <c r="K932" s="55" t="n">
        <v>0</v>
      </c>
      <c r="L932" s="55" t="n">
        <v>792.87</v>
      </c>
      <c r="M932" s="55" t="n">
        <v>-32.13</v>
      </c>
      <c r="N932" s="36" t="inlineStr">
        <is>
          <t>004336</t>
        </is>
      </c>
      <c r="O932" s="36" t="inlineStr">
        <is>
          <t>CAREMARK</t>
        </is>
      </c>
      <c r="P932" s="36" t="inlineStr">
        <is>
          <t>MEDDADV</t>
        </is>
      </c>
      <c r="Q932" s="36" t="inlineStr">
        <is>
          <t>RX1110</t>
        </is>
      </c>
    </row>
    <row r="933">
      <c r="A933" s="36" t="inlineStr">
        <is>
          <t>142899</t>
        </is>
      </c>
      <c r="B933" s="52" t="n">
        <v>46064</v>
      </c>
      <c r="C933" s="36" t="inlineStr">
        <is>
          <t>00456120130</t>
        </is>
      </c>
      <c r="D933" s="53" t="inlineStr">
        <is>
          <t>LINZESS 145MCG CAPSULE</t>
        </is>
      </c>
      <c r="E933" s="36" t="n">
        <v>30</v>
      </c>
      <c r="F933" s="54" t="n">
        <v>30</v>
      </c>
      <c r="G933" s="54" t="n">
        <v>1</v>
      </c>
      <c r="H933" s="55" t="n">
        <v>275</v>
      </c>
      <c r="I933" s="55" t="n">
        <v>268.57</v>
      </c>
      <c r="J933" s="55" t="n">
        <v>0</v>
      </c>
      <c r="K933" s="55" t="n">
        <v>0</v>
      </c>
      <c r="L933" s="55" t="n">
        <v>268.57</v>
      </c>
      <c r="M933" s="55" t="n">
        <v>-6.43</v>
      </c>
      <c r="N933" s="36" t="inlineStr">
        <is>
          <t>004336</t>
        </is>
      </c>
      <c r="O933" s="36" t="inlineStr">
        <is>
          <t>CAREMARK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133927</t>
        </is>
      </c>
      <c r="B934" s="52" t="n">
        <v>46050</v>
      </c>
      <c r="C934" s="36" t="inlineStr">
        <is>
          <t>00456120130</t>
        </is>
      </c>
      <c r="D934" s="53" t="inlineStr">
        <is>
          <t>LINZESS 145MCG CAPSULE</t>
        </is>
      </c>
      <c r="E934" s="36" t="n">
        <v>30</v>
      </c>
      <c r="F934" s="54" t="n">
        <v>30</v>
      </c>
      <c r="G934" s="54" t="n">
        <v>1</v>
      </c>
      <c r="H934" s="55" t="n">
        <v>273</v>
      </c>
      <c r="I934" s="55" t="n">
        <v>0</v>
      </c>
      <c r="J934" s="55" t="n">
        <v>0</v>
      </c>
      <c r="K934" s="55" t="n">
        <v>249.83</v>
      </c>
      <c r="L934" s="55" t="n">
        <v>249.83</v>
      </c>
      <c r="M934" s="55" t="n">
        <v>-23.17</v>
      </c>
      <c r="N934" s="36" t="inlineStr">
        <is>
          <t>610014</t>
        </is>
      </c>
      <c r="O934" s="36" t="inlineStr">
        <is>
          <t>EXPRESS</t>
        </is>
      </c>
      <c r="P934" s="36" t="inlineStr">
        <is>
          <t>MEDDPRIME</t>
        </is>
      </c>
      <c r="Q934" s="36" t="inlineStr">
        <is>
          <t>2FFA</t>
        </is>
      </c>
    </row>
    <row r="935">
      <c r="A935" s="36" t="inlineStr">
        <is>
          <t>132708</t>
        </is>
      </c>
      <c r="B935" s="52" t="n">
        <v>46076</v>
      </c>
      <c r="C935" s="36" t="inlineStr">
        <is>
          <t>00456120130</t>
        </is>
      </c>
      <c r="D935" s="53" t="inlineStr">
        <is>
          <t>LINZESS 145MCG CAPSULE</t>
        </is>
      </c>
      <c r="E935" s="36" t="n">
        <v>30</v>
      </c>
      <c r="F935" s="54" t="n">
        <v>30</v>
      </c>
      <c r="G935" s="54" t="n">
        <v>1</v>
      </c>
      <c r="H935" s="55" t="n">
        <v>275</v>
      </c>
      <c r="I935" s="55" t="n">
        <v>255.92</v>
      </c>
      <c r="J935" s="55" t="n">
        <v>0</v>
      </c>
      <c r="K935" s="55" t="n">
        <v>12.65</v>
      </c>
      <c r="L935" s="55" t="n">
        <v>268.57</v>
      </c>
      <c r="M935" s="55" t="n">
        <v>-6.43</v>
      </c>
      <c r="N935" s="36" t="inlineStr">
        <is>
          <t>004336</t>
        </is>
      </c>
      <c r="O935" s="36" t="inlineStr">
        <is>
          <t>CAREMARK</t>
        </is>
      </c>
      <c r="P935" s="36" t="inlineStr">
        <is>
          <t>MEDDADV</t>
        </is>
      </c>
      <c r="Q935" s="36" t="inlineStr">
        <is>
          <t>RX1110</t>
        </is>
      </c>
    </row>
    <row r="936">
      <c r="A936" s="36" t="inlineStr">
        <is>
          <t>131025</t>
        </is>
      </c>
      <c r="B936" s="52" t="n">
        <v>46062</v>
      </c>
      <c r="C936" s="36" t="inlineStr">
        <is>
          <t>00456120130</t>
        </is>
      </c>
      <c r="D936" s="53" t="inlineStr">
        <is>
          <t>LINZESS 145MCG CAPSULE</t>
        </is>
      </c>
      <c r="E936" s="36" t="n">
        <v>30</v>
      </c>
      <c r="F936" s="54" t="n">
        <v>90</v>
      </c>
      <c r="G936" s="54" t="n">
        <v>3</v>
      </c>
      <c r="H936" s="55" t="n">
        <v>825</v>
      </c>
      <c r="I936" s="55" t="n">
        <v>744.97</v>
      </c>
      <c r="J936" s="55" t="n">
        <v>0</v>
      </c>
      <c r="K936" s="55" t="n">
        <v>12.65</v>
      </c>
      <c r="L936" s="55" t="n">
        <v>757.62</v>
      </c>
      <c r="M936" s="55" t="n">
        <v>-67.38</v>
      </c>
      <c r="N936" s="36" t="inlineStr">
        <is>
          <t>015574</t>
        </is>
      </c>
      <c r="O936" s="36" t="inlineStr">
        <is>
          <t>MEDIMP</t>
        </is>
      </c>
      <c r="P936" s="36" t="inlineStr">
        <is>
          <t>ASPROD1</t>
        </is>
      </c>
      <c r="Q936" s="36" t="inlineStr">
        <is>
          <t>VNS01</t>
        </is>
      </c>
    </row>
    <row r="937">
      <c r="A937" s="36" t="inlineStr">
        <is>
          <t>141499</t>
        </is>
      </c>
      <c r="B937" s="52" t="n">
        <v>46055</v>
      </c>
      <c r="C937" s="36" t="inlineStr">
        <is>
          <t>00456120130</t>
        </is>
      </c>
      <c r="D937" s="53" t="inlineStr">
        <is>
          <t>LINZESS 145MCG CAPSULE</t>
        </is>
      </c>
      <c r="E937" s="36" t="n">
        <v>30</v>
      </c>
      <c r="F937" s="54" t="n">
        <v>90</v>
      </c>
      <c r="G937" s="54" t="n">
        <v>3</v>
      </c>
      <c r="H937" s="55" t="n">
        <v>825</v>
      </c>
      <c r="I937" s="55" t="n">
        <v>787.97</v>
      </c>
      <c r="J937" s="55" t="n">
        <v>0</v>
      </c>
      <c r="K937" s="55" t="n">
        <v>4.9</v>
      </c>
      <c r="L937" s="55" t="n">
        <v>792.87</v>
      </c>
      <c r="M937" s="55" t="n">
        <v>-32.13</v>
      </c>
      <c r="N937" s="36" t="inlineStr">
        <is>
          <t>004336</t>
        </is>
      </c>
      <c r="O937" s="36" t="inlineStr">
        <is>
          <t>CAREMARK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144684</t>
        </is>
      </c>
      <c r="B938" s="52" t="n">
        <v>46077</v>
      </c>
      <c r="C938" s="36" t="inlineStr">
        <is>
          <t>00456120130</t>
        </is>
      </c>
      <c r="D938" s="53" t="inlineStr">
        <is>
          <t>LINZESS 145MCG CAPSULE</t>
        </is>
      </c>
      <c r="E938" s="36" t="n">
        <v>30</v>
      </c>
      <c r="F938" s="54" t="n">
        <v>30</v>
      </c>
      <c r="G938" s="54" t="n">
        <v>1</v>
      </c>
      <c r="H938" s="55" t="n">
        <v>275</v>
      </c>
      <c r="I938" s="55" t="n">
        <v>281.02</v>
      </c>
      <c r="J938" s="55" t="n">
        <v>0</v>
      </c>
      <c r="K938" s="55" t="n">
        <v>0</v>
      </c>
      <c r="L938" s="55" t="n">
        <v>281.02</v>
      </c>
      <c r="M938" s="55" t="n">
        <v>6.02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97946</t>
        </is>
      </c>
      <c r="B939" s="52" t="n">
        <v>46024</v>
      </c>
      <c r="C939" s="36" t="inlineStr">
        <is>
          <t>00456120130</t>
        </is>
      </c>
      <c r="D939" s="53" t="inlineStr">
        <is>
          <t>LINZESS 145MCG CAPSULE</t>
        </is>
      </c>
      <c r="E939" s="36" t="n">
        <v>30</v>
      </c>
      <c r="F939" s="54" t="n">
        <v>30</v>
      </c>
      <c r="G939" s="54" t="n">
        <v>1</v>
      </c>
      <c r="H939" s="55" t="n">
        <v>273</v>
      </c>
      <c r="I939" s="55" t="n">
        <v>510.82</v>
      </c>
      <c r="J939" s="55" t="n">
        <v>0</v>
      </c>
      <c r="K939" s="55" t="n">
        <v>15</v>
      </c>
      <c r="L939" s="55" t="n">
        <v>525.8200000000001</v>
      </c>
      <c r="M939" s="55" t="n">
        <v>252.82</v>
      </c>
      <c r="N939" s="36" t="inlineStr">
        <is>
          <t>610014</t>
        </is>
      </c>
      <c r="O939" s="36" t="inlineStr">
        <is>
          <t>EXPRESS</t>
        </is>
      </c>
      <c r="P939" s="36" t="n">
        <v/>
      </c>
      <c r="Q939" s="36" t="inlineStr">
        <is>
          <t>1181RX1</t>
        </is>
      </c>
    </row>
    <row r="940">
      <c r="A940" s="36" t="inlineStr">
        <is>
          <t>133228</t>
        </is>
      </c>
      <c r="B940" s="52" t="n">
        <v>45992</v>
      </c>
      <c r="C940" s="36" t="inlineStr">
        <is>
          <t>00456120130</t>
        </is>
      </c>
      <c r="D940" s="53" t="inlineStr">
        <is>
          <t>LINZESS 145MCG CAPSULE</t>
        </is>
      </c>
      <c r="E940" s="36" t="n">
        <v>30</v>
      </c>
      <c r="F940" s="54" t="n">
        <v>90</v>
      </c>
      <c r="G940" s="54" t="n">
        <v>3</v>
      </c>
      <c r="H940" s="55" t="n">
        <v>1641</v>
      </c>
      <c r="I940" s="55" t="n">
        <v>1567.93</v>
      </c>
      <c r="J940" s="55" t="n">
        <v>0</v>
      </c>
      <c r="K940" s="55" t="n">
        <v>0</v>
      </c>
      <c r="L940" s="55" t="n">
        <v>1567.93</v>
      </c>
      <c r="M940" s="55" t="n">
        <v>-73.06999999999999</v>
      </c>
      <c r="N940" s="36" t="inlineStr">
        <is>
          <t>004336</t>
        </is>
      </c>
      <c r="O940" s="36" t="inlineStr">
        <is>
          <t>CAREMARK</t>
        </is>
      </c>
      <c r="P940" s="36" t="inlineStr">
        <is>
          <t>MEDDADV</t>
        </is>
      </c>
      <c r="Q940" s="36" t="inlineStr">
        <is>
          <t>RX8585</t>
        </is>
      </c>
    </row>
    <row r="941">
      <c r="A941" s="36" t="inlineStr">
        <is>
          <t>127429</t>
        </is>
      </c>
      <c r="B941" s="52" t="n">
        <v>46029</v>
      </c>
      <c r="C941" s="36" t="inlineStr">
        <is>
          <t>00456120130</t>
        </is>
      </c>
      <c r="D941" s="53" t="inlineStr">
        <is>
          <t>LINZESS 145MCG CAPSULE</t>
        </is>
      </c>
      <c r="E941" s="36" t="n">
        <v>30</v>
      </c>
      <c r="F941" s="54" t="n">
        <v>30</v>
      </c>
      <c r="G941" s="54" t="n">
        <v>1</v>
      </c>
      <c r="H941" s="55" t="n">
        <v>273</v>
      </c>
      <c r="I941" s="55" t="n">
        <v>272.77</v>
      </c>
      <c r="J941" s="55" t="n">
        <v>0</v>
      </c>
      <c r="K941" s="55" t="n">
        <v>4.9</v>
      </c>
      <c r="L941" s="55" t="n">
        <v>277.67</v>
      </c>
      <c r="M941" s="55" t="n">
        <v>4.67</v>
      </c>
      <c r="N941" s="36" t="inlineStr">
        <is>
          <t>610502</t>
        </is>
      </c>
      <c r="O941" s="36" t="inlineStr">
        <is>
          <t>CAREMARK</t>
        </is>
      </c>
      <c r="P941" s="36" t="inlineStr">
        <is>
          <t>MEDDAET</t>
        </is>
      </c>
      <c r="Q941" s="36" t="inlineStr">
        <is>
          <t>RXAETD</t>
        </is>
      </c>
    </row>
    <row r="942">
      <c r="A942" s="36" t="inlineStr">
        <is>
          <t>137251</t>
        </is>
      </c>
      <c r="B942" s="52" t="n">
        <v>46024</v>
      </c>
      <c r="C942" s="36" t="inlineStr">
        <is>
          <t>00456120130</t>
        </is>
      </c>
      <c r="D942" s="53" t="inlineStr">
        <is>
          <t>LINZESS 145MCG CAPSULE</t>
        </is>
      </c>
      <c r="E942" s="36" t="n">
        <v>30</v>
      </c>
      <c r="F942" s="54" t="n">
        <v>30</v>
      </c>
      <c r="G942" s="54" t="n">
        <v>1</v>
      </c>
      <c r="H942" s="55" t="n">
        <v>273</v>
      </c>
      <c r="I942" s="55" t="n">
        <v>263.67</v>
      </c>
      <c r="J942" s="55" t="n">
        <v>0</v>
      </c>
      <c r="K942" s="55" t="n">
        <v>4.9</v>
      </c>
      <c r="L942" s="55" t="n">
        <v>268.57</v>
      </c>
      <c r="M942" s="55" t="n">
        <v>-4.43</v>
      </c>
      <c r="N942" s="36" t="inlineStr">
        <is>
          <t>004336</t>
        </is>
      </c>
      <c r="O942" s="36" t="inlineStr">
        <is>
          <t>CAREMARK</t>
        </is>
      </c>
      <c r="P942" s="36" t="inlineStr">
        <is>
          <t>MEDDADV</t>
        </is>
      </c>
      <c r="Q942" s="36" t="inlineStr">
        <is>
          <t>RX1110</t>
        </is>
      </c>
    </row>
    <row r="943">
      <c r="A943" s="36" t="inlineStr">
        <is>
          <t>134600</t>
        </is>
      </c>
      <c r="B943" s="52" t="n">
        <v>46029</v>
      </c>
      <c r="C943" s="36" t="inlineStr">
        <is>
          <t>00456120130</t>
        </is>
      </c>
      <c r="D943" s="53" t="inlineStr">
        <is>
          <t>LINZESS 145MCG CAPSULE</t>
        </is>
      </c>
      <c r="E943" s="36" t="n">
        <v>30</v>
      </c>
      <c r="F943" s="54" t="n">
        <v>30</v>
      </c>
      <c r="G943" s="54" t="n">
        <v>1</v>
      </c>
      <c r="H943" s="55" t="n">
        <v>273</v>
      </c>
      <c r="I943" s="55" t="n">
        <v>268.57</v>
      </c>
      <c r="J943" s="55" t="n">
        <v>0</v>
      </c>
      <c r="K943" s="55" t="n">
        <v>0</v>
      </c>
      <c r="L943" s="55" t="n">
        <v>268.57</v>
      </c>
      <c r="M943" s="55" t="n">
        <v>-4.43</v>
      </c>
      <c r="N943" s="36" t="inlineStr">
        <is>
          <t>004336</t>
        </is>
      </c>
      <c r="O943" s="36" t="inlineStr">
        <is>
          <t>CAREMARK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133927</t>
        </is>
      </c>
      <c r="B944" s="52" t="n">
        <v>45996</v>
      </c>
      <c r="C944" s="36" t="inlineStr">
        <is>
          <t>00456120130</t>
        </is>
      </c>
      <c r="D944" s="53" t="inlineStr">
        <is>
          <t>LINZESS 145MCG CAPSULE</t>
        </is>
      </c>
      <c r="E944" s="36" t="n">
        <v>30</v>
      </c>
      <c r="F944" s="54" t="n">
        <v>30</v>
      </c>
      <c r="G944" s="54" t="n">
        <v>1</v>
      </c>
      <c r="H944" s="55" t="n">
        <v>547</v>
      </c>
      <c r="I944" s="55" t="n">
        <v>380.82</v>
      </c>
      <c r="J944" s="55" t="n">
        <v>0</v>
      </c>
      <c r="K944" s="55" t="n">
        <v>126.94</v>
      </c>
      <c r="L944" s="55" t="n">
        <v>507.76</v>
      </c>
      <c r="M944" s="55" t="n">
        <v>-39.24</v>
      </c>
      <c r="N944" s="36" t="inlineStr">
        <is>
          <t>610014</t>
        </is>
      </c>
      <c r="O944" s="36" t="inlineStr">
        <is>
          <t>EXPRESS</t>
        </is>
      </c>
      <c r="P944" s="36" t="inlineStr">
        <is>
          <t>MEDDPRIME</t>
        </is>
      </c>
      <c r="Q944" s="36" t="inlineStr">
        <is>
          <t>2FFA</t>
        </is>
      </c>
    </row>
    <row r="945">
      <c r="A945" s="36" t="inlineStr">
        <is>
          <t>137889</t>
        </is>
      </c>
      <c r="B945" s="52" t="n">
        <v>46029</v>
      </c>
      <c r="C945" s="36" t="inlineStr">
        <is>
          <t>00456120130</t>
        </is>
      </c>
      <c r="D945" s="53" t="inlineStr">
        <is>
          <t>LINZESS 145MCG CAPSULE</t>
        </is>
      </c>
      <c r="E945" s="36" t="n">
        <v>30</v>
      </c>
      <c r="F945" s="54" t="n">
        <v>30</v>
      </c>
      <c r="G945" s="54" t="n">
        <v>1</v>
      </c>
      <c r="H945" s="55" t="n">
        <v>273</v>
      </c>
      <c r="I945" s="55" t="n">
        <v>268.57</v>
      </c>
      <c r="J945" s="55" t="n">
        <v>0</v>
      </c>
      <c r="K945" s="55" t="n">
        <v>0</v>
      </c>
      <c r="L945" s="55" t="n">
        <v>268.57</v>
      </c>
      <c r="M945" s="55" t="n">
        <v>-4.43</v>
      </c>
      <c r="N945" s="36" t="inlineStr">
        <is>
          <t>004336</t>
        </is>
      </c>
      <c r="O945" s="36" t="inlineStr">
        <is>
          <t>CAREMARK</t>
        </is>
      </c>
      <c r="P945" s="36" t="inlineStr">
        <is>
          <t>MEDDADV</t>
        </is>
      </c>
      <c r="Q945" s="36" t="inlineStr">
        <is>
          <t>RX1110</t>
        </is>
      </c>
    </row>
    <row r="946">
      <c r="A946" s="36" t="inlineStr">
        <is>
          <t>127429</t>
        </is>
      </c>
      <c r="B946" s="52" t="n">
        <v>46002</v>
      </c>
      <c r="C946" s="36" t="inlineStr">
        <is>
          <t>00456120130</t>
        </is>
      </c>
      <c r="D946" s="53" t="inlineStr">
        <is>
          <t>LINZESS 145MCG CAPSULE</t>
        </is>
      </c>
      <c r="E946" s="36" t="n">
        <v>30</v>
      </c>
      <c r="F946" s="54" t="n">
        <v>30</v>
      </c>
      <c r="G946" s="54" t="n">
        <v>1</v>
      </c>
      <c r="H946" s="55" t="n">
        <v>547</v>
      </c>
      <c r="I946" s="55" t="n">
        <v>544.96</v>
      </c>
      <c r="J946" s="55" t="n">
        <v>0</v>
      </c>
      <c r="K946" s="55" t="n">
        <v>0</v>
      </c>
      <c r="L946" s="55" t="n">
        <v>544.96</v>
      </c>
      <c r="M946" s="55" t="n">
        <v>-2.04</v>
      </c>
      <c r="N946" s="36" t="inlineStr">
        <is>
          <t>610502</t>
        </is>
      </c>
      <c r="O946" s="36" t="inlineStr">
        <is>
          <t>CAREMARK</t>
        </is>
      </c>
      <c r="P946" s="36" t="inlineStr">
        <is>
          <t>MEDDAET</t>
        </is>
      </c>
      <c r="Q946" s="36" t="inlineStr">
        <is>
          <t>RXAETD</t>
        </is>
      </c>
    </row>
    <row r="947">
      <c r="A947" s="36" t="inlineStr">
        <is>
          <t>107367</t>
        </is>
      </c>
      <c r="B947" s="52" t="n">
        <v>46013</v>
      </c>
      <c r="C947" s="36" t="inlineStr">
        <is>
          <t>00456120130</t>
        </is>
      </c>
      <c r="D947" s="53" t="inlineStr">
        <is>
          <t>LINZESS 145MCG CAPSULE</t>
        </is>
      </c>
      <c r="E947" s="36" t="n">
        <v>30</v>
      </c>
      <c r="F947" s="54" t="n">
        <v>30</v>
      </c>
      <c r="G947" s="54" t="n">
        <v>1</v>
      </c>
      <c r="H947" s="55" t="n">
        <v>547</v>
      </c>
      <c r="I947" s="55" t="n">
        <v>542.96</v>
      </c>
      <c r="J947" s="55" t="n">
        <v>0</v>
      </c>
      <c r="K947" s="55" t="n">
        <v>0</v>
      </c>
      <c r="L947" s="55" t="n">
        <v>542.96</v>
      </c>
      <c r="M947" s="55" t="n">
        <v>-4.04</v>
      </c>
      <c r="N947" s="36" t="inlineStr">
        <is>
          <t>004336</t>
        </is>
      </c>
      <c r="O947" s="36" t="inlineStr">
        <is>
          <t>CAREMARK</t>
        </is>
      </c>
      <c r="P947" s="36" t="inlineStr">
        <is>
          <t>MEDDADV</t>
        </is>
      </c>
      <c r="Q947" s="36" t="inlineStr">
        <is>
          <t>RX8541</t>
        </is>
      </c>
    </row>
    <row r="948">
      <c r="A948" s="36" t="inlineStr">
        <is>
          <t>128379</t>
        </is>
      </c>
      <c r="B948" s="52" t="n">
        <v>46008</v>
      </c>
      <c r="C948" s="36" t="inlineStr">
        <is>
          <t>00456120130</t>
        </is>
      </c>
      <c r="D948" s="53" t="inlineStr">
        <is>
          <t>LINZESS 145MCG CAPSULE</t>
        </is>
      </c>
      <c r="E948" s="36" t="n">
        <v>30</v>
      </c>
      <c r="F948" s="54" t="n">
        <v>30</v>
      </c>
      <c r="G948" s="54" t="n">
        <v>1</v>
      </c>
      <c r="H948" s="55" t="n">
        <v>547</v>
      </c>
      <c r="I948" s="55" t="n">
        <v>535.47</v>
      </c>
      <c r="J948" s="55" t="n">
        <v>0</v>
      </c>
      <c r="K948" s="55" t="n">
        <v>0</v>
      </c>
      <c r="L948" s="55" t="n">
        <v>535.47</v>
      </c>
      <c r="M948" s="55" t="n">
        <v>-11.53</v>
      </c>
      <c r="N948" s="36" t="inlineStr">
        <is>
          <t>004336</t>
        </is>
      </c>
      <c r="O948" s="36" t="inlineStr">
        <is>
          <t>CAREMARK</t>
        </is>
      </c>
      <c r="P948" s="36" t="inlineStr">
        <is>
          <t>MEDDADV</t>
        </is>
      </c>
      <c r="Q948" s="36" t="inlineStr">
        <is>
          <t>RX1110</t>
        </is>
      </c>
    </row>
    <row r="949">
      <c r="A949" s="36" t="inlineStr">
        <is>
          <t>127095</t>
        </is>
      </c>
      <c r="B949" s="52" t="n">
        <v>46028</v>
      </c>
      <c r="C949" s="36" t="inlineStr">
        <is>
          <t>00456120130</t>
        </is>
      </c>
      <c r="D949" s="53" t="inlineStr">
        <is>
          <t>LINZESS 145MCG CAPSULE</t>
        </is>
      </c>
      <c r="E949" s="36" t="n">
        <v>30</v>
      </c>
      <c r="F949" s="54" t="n">
        <v>30</v>
      </c>
      <c r="G949" s="54" t="n">
        <v>1</v>
      </c>
      <c r="H949" s="55" t="n">
        <v>273</v>
      </c>
      <c r="I949" s="55" t="n">
        <v>268.57</v>
      </c>
      <c r="J949" s="55" t="n">
        <v>0</v>
      </c>
      <c r="K949" s="55" t="n">
        <v>0</v>
      </c>
      <c r="L949" s="55" t="n">
        <v>268.57</v>
      </c>
      <c r="M949" s="55" t="n">
        <v>-4.43</v>
      </c>
      <c r="N949" s="36" t="inlineStr">
        <is>
          <t>004336</t>
        </is>
      </c>
      <c r="O949" s="36" t="inlineStr">
        <is>
          <t>CAREMARK</t>
        </is>
      </c>
      <c r="P949" s="36" t="inlineStr">
        <is>
          <t>MEDDADV</t>
        </is>
      </c>
      <c r="Q949" s="36" t="inlineStr">
        <is>
          <t>RX1110</t>
        </is>
      </c>
    </row>
    <row r="950">
      <c r="A950" s="36" t="inlineStr">
        <is>
          <t>106220</t>
        </is>
      </c>
      <c r="B950" s="52" t="n">
        <v>46002</v>
      </c>
      <c r="C950" s="36" t="inlineStr">
        <is>
          <t>00456120130</t>
        </is>
      </c>
      <c r="D950" s="53" t="inlineStr">
        <is>
          <t>LINZESS 145MCG CAPSULE</t>
        </is>
      </c>
      <c r="E950" s="36" t="n">
        <v>30</v>
      </c>
      <c r="F950" s="54" t="n">
        <v>30</v>
      </c>
      <c r="G950" s="54" t="n">
        <v>1</v>
      </c>
      <c r="H950" s="55" t="n">
        <v>547</v>
      </c>
      <c r="I950" s="55" t="n">
        <v>554.7</v>
      </c>
      <c r="J950" s="55" t="n">
        <v>0</v>
      </c>
      <c r="K950" s="55" t="n">
        <v>0</v>
      </c>
      <c r="L950" s="55" t="n">
        <v>554.7</v>
      </c>
      <c r="M950" s="55" t="n">
        <v>7.7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127095</t>
        </is>
      </c>
      <c r="B951" s="52" t="n">
        <v>46000</v>
      </c>
      <c r="C951" s="36" t="inlineStr">
        <is>
          <t>00456120130</t>
        </is>
      </c>
      <c r="D951" s="53" t="inlineStr">
        <is>
          <t>LINZESS 145MCG CAPSULE</t>
        </is>
      </c>
      <c r="E951" s="36" t="n">
        <v>30</v>
      </c>
      <c r="F951" s="54" t="n">
        <v>30</v>
      </c>
      <c r="G951" s="54" t="n">
        <v>1</v>
      </c>
      <c r="H951" s="55" t="n">
        <v>547</v>
      </c>
      <c r="I951" s="55" t="n">
        <v>535.47</v>
      </c>
      <c r="J951" s="55" t="n">
        <v>0</v>
      </c>
      <c r="K951" s="55" t="n">
        <v>0</v>
      </c>
      <c r="L951" s="55" t="n">
        <v>535.47</v>
      </c>
      <c r="M951" s="55" t="n">
        <v>-11.53</v>
      </c>
      <c r="N951" s="36" t="inlineStr">
        <is>
          <t>004336</t>
        </is>
      </c>
      <c r="O951" s="36" t="inlineStr">
        <is>
          <t>CAREMARK</t>
        </is>
      </c>
      <c r="P951" s="36" t="inlineStr">
        <is>
          <t>MEDDADV</t>
        </is>
      </c>
      <c r="Q951" s="36" t="inlineStr">
        <is>
          <t>RX1110</t>
        </is>
      </c>
    </row>
    <row r="952">
      <c r="A952" s="36" t="inlineStr">
        <is>
          <t>134600</t>
        </is>
      </c>
      <c r="B952" s="52" t="n">
        <v>46001</v>
      </c>
      <c r="C952" s="36" t="inlineStr">
        <is>
          <t>00456120130</t>
        </is>
      </c>
      <c r="D952" s="53" t="inlineStr">
        <is>
          <t>LINZESS 145MCG CAPSULE</t>
        </is>
      </c>
      <c r="E952" s="36" t="n">
        <v>30</v>
      </c>
      <c r="F952" s="54" t="n">
        <v>30</v>
      </c>
      <c r="G952" s="54" t="n">
        <v>1</v>
      </c>
      <c r="H952" s="55" t="n">
        <v>547</v>
      </c>
      <c r="I952" s="55" t="n">
        <v>535.47</v>
      </c>
      <c r="J952" s="55" t="n">
        <v>0</v>
      </c>
      <c r="K952" s="55" t="n">
        <v>0</v>
      </c>
      <c r="L952" s="55" t="n">
        <v>535.47</v>
      </c>
      <c r="M952" s="55" t="n">
        <v>-11.53</v>
      </c>
      <c r="N952" s="36" t="inlineStr">
        <is>
          <t>004336</t>
        </is>
      </c>
      <c r="O952" s="36" t="inlineStr">
        <is>
          <t>CAREMARK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123470</t>
        </is>
      </c>
      <c r="B953" s="52" t="n">
        <v>46001</v>
      </c>
      <c r="C953" s="36" t="inlineStr">
        <is>
          <t>00456120130</t>
        </is>
      </c>
      <c r="D953" s="53" t="inlineStr">
        <is>
          <t>LINZESS 145MCG CAPSULE</t>
        </is>
      </c>
      <c r="E953" s="36" t="n">
        <v>30</v>
      </c>
      <c r="F953" s="54" t="n">
        <v>30</v>
      </c>
      <c r="G953" s="54" t="n">
        <v>1</v>
      </c>
      <c r="H953" s="55" t="n">
        <v>547</v>
      </c>
      <c r="I953" s="55" t="n">
        <v>535.47</v>
      </c>
      <c r="J953" s="55" t="n">
        <v>0</v>
      </c>
      <c r="K953" s="55" t="n">
        <v>0</v>
      </c>
      <c r="L953" s="55" t="n">
        <v>535.47</v>
      </c>
      <c r="M953" s="55" t="n">
        <v>-11.53</v>
      </c>
      <c r="N953" s="36" t="inlineStr">
        <is>
          <t>004336</t>
        </is>
      </c>
      <c r="O953" s="36" t="inlineStr">
        <is>
          <t>CAREMARK</t>
        </is>
      </c>
      <c r="P953" s="36" t="inlineStr">
        <is>
          <t>MEDDADV</t>
        </is>
      </c>
      <c r="Q953" s="36" t="inlineStr">
        <is>
          <t>RX1110</t>
        </is>
      </c>
    </row>
    <row r="954">
      <c r="A954" s="36" t="inlineStr">
        <is>
          <t>97946</t>
        </is>
      </c>
      <c r="B954" s="52" t="n">
        <v>45992</v>
      </c>
      <c r="C954" s="36" t="inlineStr">
        <is>
          <t>00456120130</t>
        </is>
      </c>
      <c r="D954" s="53" t="inlineStr">
        <is>
          <t>LINZESS 145MCG CAPSULE</t>
        </is>
      </c>
      <c r="E954" s="36" t="n">
        <v>30</v>
      </c>
      <c r="F954" s="54" t="n">
        <v>30</v>
      </c>
      <c r="G954" s="54" t="n">
        <v>1</v>
      </c>
      <c r="H954" s="55" t="n">
        <v>547</v>
      </c>
      <c r="I954" s="55" t="n">
        <v>570.1900000000001</v>
      </c>
      <c r="J954" s="55" t="n">
        <v>0</v>
      </c>
      <c r="K954" s="55" t="n">
        <v>0</v>
      </c>
      <c r="L954" s="55" t="n">
        <v>570.1900000000001</v>
      </c>
      <c r="M954" s="55" t="n">
        <v>23.19</v>
      </c>
      <c r="N954" s="36" t="inlineStr">
        <is>
          <t>610097</t>
        </is>
      </c>
      <c r="O954" s="36" t="inlineStr">
        <is>
          <t>OPTUM</t>
        </is>
      </c>
      <c r="P954" s="36" t="inlineStr">
        <is>
          <t>9999</t>
        </is>
      </c>
      <c r="Q954" s="36" t="inlineStr">
        <is>
          <t>MPDCSP</t>
        </is>
      </c>
    </row>
    <row r="955">
      <c r="A955" s="36" t="inlineStr">
        <is>
          <t>132708</t>
        </is>
      </c>
      <c r="B955" s="52" t="n">
        <v>46017</v>
      </c>
      <c r="C955" s="36" t="inlineStr">
        <is>
          <t>00456120130</t>
        </is>
      </c>
      <c r="D955" s="53" t="inlineStr">
        <is>
          <t>LINZESS 145MCG CAPSULE</t>
        </is>
      </c>
      <c r="E955" s="36" t="n">
        <v>30</v>
      </c>
      <c r="F955" s="54" t="n">
        <v>30</v>
      </c>
      <c r="G955" s="54" t="n">
        <v>1</v>
      </c>
      <c r="H955" s="55" t="n">
        <v>547</v>
      </c>
      <c r="I955" s="55" t="n">
        <v>535.47</v>
      </c>
      <c r="J955" s="55" t="n">
        <v>0</v>
      </c>
      <c r="K955" s="55" t="n">
        <v>0</v>
      </c>
      <c r="L955" s="55" t="n">
        <v>535.47</v>
      </c>
      <c r="M955" s="55" t="n">
        <v>-11.53</v>
      </c>
      <c r="N955" s="36" t="inlineStr">
        <is>
          <t>004336</t>
        </is>
      </c>
      <c r="O955" s="36" t="inlineStr">
        <is>
          <t>CAREMARK</t>
        </is>
      </c>
      <c r="P955" s="36" t="inlineStr">
        <is>
          <t>MEDDADV</t>
        </is>
      </c>
      <c r="Q955" s="36" t="inlineStr">
        <is>
          <t>RX1110</t>
        </is>
      </c>
    </row>
    <row r="956">
      <c r="A956" s="36" t="inlineStr">
        <is>
          <t>123875</t>
        </is>
      </c>
      <c r="B956" s="52" t="n">
        <v>46002</v>
      </c>
      <c r="C956" s="36" t="inlineStr">
        <is>
          <t>00456120130</t>
        </is>
      </c>
      <c r="D956" s="53" t="inlineStr">
        <is>
          <t>LINZESS 145MCG CAPSULE</t>
        </is>
      </c>
      <c r="E956" s="36" t="n">
        <v>30</v>
      </c>
      <c r="F956" s="54" t="n">
        <v>30</v>
      </c>
      <c r="G956" s="54" t="n">
        <v>1</v>
      </c>
      <c r="H956" s="55" t="n">
        <v>547</v>
      </c>
      <c r="I956" s="55" t="n">
        <v>535.47</v>
      </c>
      <c r="J956" s="55" t="n">
        <v>0</v>
      </c>
      <c r="K956" s="55" t="n">
        <v>0</v>
      </c>
      <c r="L956" s="55" t="n">
        <v>535.47</v>
      </c>
      <c r="M956" s="55" t="n">
        <v>-11.53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133927</t>
        </is>
      </c>
      <c r="B957" s="52" t="n">
        <v>46022</v>
      </c>
      <c r="C957" s="36" t="inlineStr">
        <is>
          <t>00456120130</t>
        </is>
      </c>
      <c r="D957" s="53" t="inlineStr">
        <is>
          <t>LINZESS 145MCG CAPSULE</t>
        </is>
      </c>
      <c r="E957" s="36" t="n">
        <v>30</v>
      </c>
      <c r="F957" s="54" t="n">
        <v>30</v>
      </c>
      <c r="G957" s="54" t="n">
        <v>1</v>
      </c>
      <c r="H957" s="55" t="n">
        <v>547</v>
      </c>
      <c r="I957" s="55" t="n">
        <v>380.82</v>
      </c>
      <c r="J957" s="55" t="n">
        <v>0</v>
      </c>
      <c r="K957" s="55" t="n">
        <v>126.94</v>
      </c>
      <c r="L957" s="55" t="n">
        <v>507.76</v>
      </c>
      <c r="M957" s="55" t="n">
        <v>-39.24</v>
      </c>
      <c r="N957" s="36" t="inlineStr">
        <is>
          <t>610014</t>
        </is>
      </c>
      <c r="O957" s="36" t="inlineStr">
        <is>
          <t>EXPRESS</t>
        </is>
      </c>
      <c r="P957" s="36" t="inlineStr">
        <is>
          <t>MEDDPRIME</t>
        </is>
      </c>
      <c r="Q957" s="36" t="inlineStr">
        <is>
          <t>2FFA</t>
        </is>
      </c>
    </row>
    <row r="958">
      <c r="A958" s="36" t="inlineStr">
        <is>
          <t>130248</t>
        </is>
      </c>
      <c r="B958" s="52" t="n">
        <v>45995</v>
      </c>
      <c r="C958" s="36" t="inlineStr">
        <is>
          <t>00456120230</t>
        </is>
      </c>
      <c r="D958" s="53" t="inlineStr">
        <is>
          <t xml:space="preserve">LINZESS 290MCG CAP </t>
        </is>
      </c>
      <c r="E958" s="36" t="n">
        <v>30</v>
      </c>
      <c r="F958" s="54" t="n">
        <v>30</v>
      </c>
      <c r="G958" s="54" t="n">
        <v>1</v>
      </c>
      <c r="H958" s="55" t="n">
        <v>547</v>
      </c>
      <c r="I958" s="55" t="n">
        <v>507.76</v>
      </c>
      <c r="J958" s="55" t="n">
        <v>0</v>
      </c>
      <c r="K958" s="55" t="n">
        <v>0</v>
      </c>
      <c r="L958" s="55" t="n">
        <v>507.76</v>
      </c>
      <c r="M958" s="55" t="n">
        <v>-39.24</v>
      </c>
      <c r="N958" s="36" t="inlineStr">
        <is>
          <t>610014</t>
        </is>
      </c>
      <c r="O958" s="36" t="inlineStr">
        <is>
          <t>EXPRESS</t>
        </is>
      </c>
      <c r="P958" s="36" t="inlineStr">
        <is>
          <t>MEDDPRIME</t>
        </is>
      </c>
      <c r="Q958" s="36" t="inlineStr">
        <is>
          <t>2FFA</t>
        </is>
      </c>
    </row>
    <row r="959">
      <c r="A959" s="36" t="inlineStr">
        <is>
          <t>122152</t>
        </is>
      </c>
      <c r="B959" s="52" t="n">
        <v>45993</v>
      </c>
      <c r="C959" s="36" t="inlineStr">
        <is>
          <t>00456120230</t>
        </is>
      </c>
      <c r="D959" s="53" t="inlineStr">
        <is>
          <t xml:space="preserve">LINZESS 290MCG CAP </t>
        </is>
      </c>
      <c r="E959" s="36" t="n">
        <v>30</v>
      </c>
      <c r="F959" s="54" t="n">
        <v>90</v>
      </c>
      <c r="G959" s="54" t="n">
        <v>3</v>
      </c>
      <c r="H959" s="55" t="n">
        <v>1641</v>
      </c>
      <c r="I959" s="55" t="n">
        <v>1584.29</v>
      </c>
      <c r="J959" s="55" t="n">
        <v>0</v>
      </c>
      <c r="K959" s="55" t="n">
        <v>0</v>
      </c>
      <c r="L959" s="55" t="n">
        <v>1584.29</v>
      </c>
      <c r="M959" s="55" t="n">
        <v>-56.71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RX1110</t>
        </is>
      </c>
    </row>
    <row r="960">
      <c r="A960" s="36" t="inlineStr">
        <is>
          <t>134118</t>
        </is>
      </c>
      <c r="B960" s="52" t="n">
        <v>45999</v>
      </c>
      <c r="C960" s="36" t="inlineStr">
        <is>
          <t>00456120230</t>
        </is>
      </c>
      <c r="D960" s="53" t="inlineStr">
        <is>
          <t xml:space="preserve">LINZESS 290MCG CAP </t>
        </is>
      </c>
      <c r="E960" s="36" t="n">
        <v>30</v>
      </c>
      <c r="F960" s="54" t="n">
        <v>30</v>
      </c>
      <c r="G960" s="54" t="n">
        <v>1</v>
      </c>
      <c r="H960" s="55" t="n">
        <v>547</v>
      </c>
      <c r="I960" s="55" t="n">
        <v>502.31</v>
      </c>
      <c r="J960" s="55" t="n">
        <v>0</v>
      </c>
      <c r="K960" s="55" t="n">
        <v>0</v>
      </c>
      <c r="L960" s="55" t="n">
        <v>502.31</v>
      </c>
      <c r="M960" s="55" t="n">
        <v>-44.69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CIMCARE</t>
        </is>
      </c>
      <c r="Q960" s="36" t="n">
        <v/>
      </c>
    </row>
    <row r="961">
      <c r="A961" s="36" t="inlineStr">
        <is>
          <t>140013</t>
        </is>
      </c>
      <c r="B961" s="52" t="n">
        <v>46045</v>
      </c>
      <c r="C961" s="36" t="inlineStr">
        <is>
          <t>00456120230</t>
        </is>
      </c>
      <c r="D961" s="53" t="inlineStr">
        <is>
          <t xml:space="preserve">LINZESS 290MCG CAP </t>
        </is>
      </c>
      <c r="E961" s="36" t="n">
        <v>30</v>
      </c>
      <c r="F961" s="54" t="n">
        <v>90</v>
      </c>
      <c r="G961" s="54" t="n">
        <v>3</v>
      </c>
      <c r="H961" s="55" t="n">
        <v>819</v>
      </c>
      <c r="I961" s="55" t="n">
        <v>727.77</v>
      </c>
      <c r="J961" s="55" t="n">
        <v>0</v>
      </c>
      <c r="K961" s="55" t="n">
        <v>9</v>
      </c>
      <c r="L961" s="55" t="n">
        <v>736.77</v>
      </c>
      <c r="M961" s="55" t="n">
        <v>-82.23</v>
      </c>
      <c r="N961" s="36" t="inlineStr">
        <is>
          <t>003858</t>
        </is>
      </c>
      <c r="O961" s="36" t="inlineStr">
        <is>
          <t>EXPRESS</t>
        </is>
      </c>
      <c r="P961" s="36" t="inlineStr">
        <is>
          <t>A4</t>
        </is>
      </c>
      <c r="Q961" s="36" t="inlineStr">
        <is>
          <t>2GKA</t>
        </is>
      </c>
    </row>
    <row r="962">
      <c r="A962" s="36" t="inlineStr">
        <is>
          <t>137121</t>
        </is>
      </c>
      <c r="B962" s="52" t="n">
        <v>46022</v>
      </c>
      <c r="C962" s="36" t="inlineStr">
        <is>
          <t>00456120230</t>
        </is>
      </c>
      <c r="D962" s="53" t="inlineStr">
        <is>
          <t xml:space="preserve">LINZESS 290MCG CAP </t>
        </is>
      </c>
      <c r="E962" s="36" t="n">
        <v>30</v>
      </c>
      <c r="F962" s="54" t="n">
        <v>30</v>
      </c>
      <c r="G962" s="54" t="n">
        <v>1</v>
      </c>
      <c r="H962" s="55" t="n">
        <v>547</v>
      </c>
      <c r="I962" s="55" t="n">
        <v>507.76</v>
      </c>
      <c r="J962" s="55" t="n">
        <v>0</v>
      </c>
      <c r="K962" s="55" t="n">
        <v>0</v>
      </c>
      <c r="L962" s="55" t="n">
        <v>507.76</v>
      </c>
      <c r="M962" s="55" t="n">
        <v>-39.24</v>
      </c>
      <c r="N962" s="36" t="inlineStr">
        <is>
          <t>610014</t>
        </is>
      </c>
      <c r="O962" s="36" t="inlineStr">
        <is>
          <t>EXPRESS</t>
        </is>
      </c>
      <c r="P962" s="36" t="inlineStr">
        <is>
          <t>MEDDPRIME</t>
        </is>
      </c>
      <c r="Q962" s="36" t="inlineStr">
        <is>
          <t>2FFA</t>
        </is>
      </c>
    </row>
    <row r="963">
      <c r="A963" s="36" t="inlineStr">
        <is>
          <t>103851</t>
        </is>
      </c>
      <c r="B963" s="52" t="n">
        <v>46021</v>
      </c>
      <c r="C963" s="36" t="inlineStr">
        <is>
          <t>00456120230</t>
        </is>
      </c>
      <c r="D963" s="53" t="inlineStr">
        <is>
          <t xml:space="preserve">LINZESS 290MCG CAP </t>
        </is>
      </c>
      <c r="E963" s="36" t="n">
        <v>30</v>
      </c>
      <c r="F963" s="54" t="n">
        <v>90</v>
      </c>
      <c r="G963" s="54" t="n">
        <v>3</v>
      </c>
      <c r="H963" s="55" t="n">
        <v>1641</v>
      </c>
      <c r="I963" s="55" t="n">
        <v>1640.4</v>
      </c>
      <c r="J963" s="55" t="n">
        <v>0</v>
      </c>
      <c r="K963" s="55" t="n">
        <v>3</v>
      </c>
      <c r="L963" s="55" t="n">
        <v>1643.4</v>
      </c>
      <c r="M963" s="55" t="n">
        <v>2.4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139792</t>
        </is>
      </c>
      <c r="B964" s="52" t="n">
        <v>46070</v>
      </c>
      <c r="C964" s="36" t="inlineStr">
        <is>
          <t>00456120230</t>
        </is>
      </c>
      <c r="D964" s="53" t="inlineStr">
        <is>
          <t xml:space="preserve">LINZESS 290MCG CAP </t>
        </is>
      </c>
      <c r="E964" s="36" t="n">
        <v>30</v>
      </c>
      <c r="F964" s="54" t="n">
        <v>30</v>
      </c>
      <c r="G964" s="54" t="n">
        <v>1</v>
      </c>
      <c r="H964" s="55" t="n">
        <v>275</v>
      </c>
      <c r="I964" s="55" t="n">
        <v>280.94</v>
      </c>
      <c r="J964" s="55" t="n">
        <v>0</v>
      </c>
      <c r="K964" s="55" t="n">
        <v>0</v>
      </c>
      <c r="L964" s="55" t="n">
        <v>280.94</v>
      </c>
      <c r="M964" s="55" t="n">
        <v>5.94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139792</t>
        </is>
      </c>
      <c r="B965" s="52" t="n">
        <v>46042</v>
      </c>
      <c r="C965" s="36" t="inlineStr">
        <is>
          <t>00456120230</t>
        </is>
      </c>
      <c r="D965" s="53" t="inlineStr">
        <is>
          <t xml:space="preserve">LINZESS 290MCG CAP </t>
        </is>
      </c>
      <c r="E965" s="36" t="n">
        <v>30</v>
      </c>
      <c r="F965" s="54" t="n">
        <v>30</v>
      </c>
      <c r="G965" s="54" t="n">
        <v>1</v>
      </c>
      <c r="H965" s="55" t="n">
        <v>273</v>
      </c>
      <c r="I965" s="55" t="n">
        <v>280.94</v>
      </c>
      <c r="J965" s="55" t="n">
        <v>0</v>
      </c>
      <c r="K965" s="55" t="n">
        <v>0</v>
      </c>
      <c r="L965" s="55" t="n">
        <v>280.94</v>
      </c>
      <c r="M965" s="55" t="n">
        <v>7.94</v>
      </c>
      <c r="N965" s="36" t="inlineStr">
        <is>
          <t>004740</t>
        </is>
      </c>
      <c r="O965" s="36" t="inlineStr">
        <is>
          <t>NYM</t>
        </is>
      </c>
      <c r="P965" s="36" t="inlineStr">
        <is>
          <t>9314DA31</t>
        </is>
      </c>
      <c r="Q965" s="36" t="n">
        <v/>
      </c>
    </row>
    <row r="966">
      <c r="A966" s="36" t="inlineStr">
        <is>
          <t>128088</t>
        </is>
      </c>
      <c r="B966" s="52" t="n">
        <v>46038</v>
      </c>
      <c r="C966" s="36" t="inlineStr">
        <is>
          <t>00456120230</t>
        </is>
      </c>
      <c r="D966" s="53" t="inlineStr">
        <is>
          <t xml:space="preserve">LINZESS 290MCG CAP </t>
        </is>
      </c>
      <c r="E966" s="36" t="n">
        <v>30</v>
      </c>
      <c r="F966" s="54" t="n">
        <v>90</v>
      </c>
      <c r="G966" s="54" t="n">
        <v>3</v>
      </c>
      <c r="H966" s="55" t="n">
        <v>819</v>
      </c>
      <c r="I966" s="55" t="n">
        <v>792.87</v>
      </c>
      <c r="J966" s="55" t="n">
        <v>0</v>
      </c>
      <c r="K966" s="55" t="n">
        <v>0</v>
      </c>
      <c r="L966" s="55" t="n">
        <v>792.87</v>
      </c>
      <c r="M966" s="55" t="n">
        <v>-26.13</v>
      </c>
      <c r="N966" s="36" t="inlineStr">
        <is>
          <t>004336</t>
        </is>
      </c>
      <c r="O966" s="36" t="inlineStr">
        <is>
          <t>CAREMARK</t>
        </is>
      </c>
      <c r="P966" s="36" t="inlineStr">
        <is>
          <t>MEDDADV</t>
        </is>
      </c>
      <c r="Q966" s="36" t="inlineStr">
        <is>
          <t>RX1110</t>
        </is>
      </c>
    </row>
    <row r="967">
      <c r="A967" s="36" t="inlineStr">
        <is>
          <t>134118</t>
        </is>
      </c>
      <c r="B967" s="52" t="n">
        <v>46055</v>
      </c>
      <c r="C967" s="36" t="inlineStr">
        <is>
          <t>00456120230</t>
        </is>
      </c>
      <c r="D967" s="53" t="inlineStr">
        <is>
          <t xml:space="preserve">LINZESS 290MCG CAP </t>
        </is>
      </c>
      <c r="E967" s="36" t="n">
        <v>30</v>
      </c>
      <c r="F967" s="54" t="n">
        <v>30</v>
      </c>
      <c r="G967" s="54" t="n">
        <v>1</v>
      </c>
      <c r="H967" s="55" t="n">
        <v>275</v>
      </c>
      <c r="I967" s="55" t="n">
        <v>268.57</v>
      </c>
      <c r="J967" s="55" t="n">
        <v>0</v>
      </c>
      <c r="K967" s="55" t="n">
        <v>0</v>
      </c>
      <c r="L967" s="55" t="n">
        <v>268.57</v>
      </c>
      <c r="M967" s="55" t="n">
        <v>-6.43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RX1110</t>
        </is>
      </c>
    </row>
    <row r="968">
      <c r="A968" s="36" t="inlineStr">
        <is>
          <t>111646</t>
        </is>
      </c>
      <c r="B968" s="52" t="n">
        <v>45996</v>
      </c>
      <c r="C968" s="36" t="inlineStr">
        <is>
          <t>00456120230</t>
        </is>
      </c>
      <c r="D968" s="53" t="inlineStr">
        <is>
          <t xml:space="preserve">LINZESS 290MCG CAP </t>
        </is>
      </c>
      <c r="E968" s="36" t="n">
        <v>30</v>
      </c>
      <c r="F968" s="54" t="n">
        <v>90</v>
      </c>
      <c r="G968" s="54" t="n">
        <v>3</v>
      </c>
      <c r="H968" s="55" t="n">
        <v>1641</v>
      </c>
      <c r="I968" s="55" t="n">
        <v>1546.78</v>
      </c>
      <c r="J968" s="55" t="n">
        <v>0</v>
      </c>
      <c r="K968" s="55" t="n">
        <v>45</v>
      </c>
      <c r="L968" s="55" t="n">
        <v>1591.78</v>
      </c>
      <c r="M968" s="55" t="n">
        <v>-49.22</v>
      </c>
      <c r="N968" s="36" t="inlineStr">
        <is>
          <t>004336</t>
        </is>
      </c>
      <c r="O968" s="36" t="inlineStr">
        <is>
          <t>CAREMARK</t>
        </is>
      </c>
      <c r="P968" s="36" t="inlineStr">
        <is>
          <t>ADV</t>
        </is>
      </c>
      <c r="Q968" s="36" t="inlineStr">
        <is>
          <t>RX1103</t>
        </is>
      </c>
    </row>
    <row r="969">
      <c r="A969" s="36" t="inlineStr">
        <is>
          <t>133677</t>
        </is>
      </c>
      <c r="B969" s="52" t="n">
        <v>46027</v>
      </c>
      <c r="C969" s="36" t="inlineStr">
        <is>
          <t>00456120230</t>
        </is>
      </c>
      <c r="D969" s="53" t="inlineStr">
        <is>
          <t xml:space="preserve">LINZESS 290MCG CAP </t>
        </is>
      </c>
      <c r="E969" s="36" t="n">
        <v>30</v>
      </c>
      <c r="F969" s="54" t="n">
        <v>60</v>
      </c>
      <c r="G969" s="54" t="n">
        <v>2</v>
      </c>
      <c r="H969" s="55" t="n">
        <v>546</v>
      </c>
      <c r="I969" s="55" t="n">
        <v>535.74</v>
      </c>
      <c r="J969" s="55" t="n">
        <v>0</v>
      </c>
      <c r="K969" s="55" t="n">
        <v>0</v>
      </c>
      <c r="L969" s="55" t="n">
        <v>535.74</v>
      </c>
      <c r="M969" s="55" t="n">
        <v>-10.26</v>
      </c>
      <c r="N969" s="36" t="inlineStr">
        <is>
          <t>015574</t>
        </is>
      </c>
      <c r="O969" s="36" t="inlineStr">
        <is>
          <t>MEDIMP</t>
        </is>
      </c>
      <c r="P969" s="36" t="inlineStr">
        <is>
          <t>ASPROD1</t>
        </is>
      </c>
      <c r="Q969" s="36" t="n">
        <v/>
      </c>
    </row>
    <row r="970">
      <c r="A970" s="36" t="inlineStr">
        <is>
          <t>134118</t>
        </is>
      </c>
      <c r="B970" s="52" t="n">
        <v>46027</v>
      </c>
      <c r="C970" s="36" t="inlineStr">
        <is>
          <t>00456120230</t>
        </is>
      </c>
      <c r="D970" s="53" t="inlineStr">
        <is>
          <t xml:space="preserve">LINZESS 290MCG CAP </t>
        </is>
      </c>
      <c r="E970" s="36" t="n">
        <v>30</v>
      </c>
      <c r="F970" s="54" t="n">
        <v>30</v>
      </c>
      <c r="G970" s="54" t="n">
        <v>1</v>
      </c>
      <c r="H970" s="55" t="n">
        <v>273</v>
      </c>
      <c r="I970" s="55" t="n">
        <v>268.57</v>
      </c>
      <c r="J970" s="55" t="n">
        <v>0</v>
      </c>
      <c r="K970" s="55" t="n">
        <v>0</v>
      </c>
      <c r="L970" s="55" t="n">
        <v>268.57</v>
      </c>
      <c r="M970" s="55" t="n">
        <v>-4.43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144083</t>
        </is>
      </c>
      <c r="B971" s="52" t="n">
        <v>46072</v>
      </c>
      <c r="C971" s="36" t="inlineStr">
        <is>
          <t>00456120230</t>
        </is>
      </c>
      <c r="D971" s="53" t="inlineStr">
        <is>
          <t xml:space="preserve">LINZESS 290MCG CAP </t>
        </is>
      </c>
      <c r="E971" s="36" t="n">
        <v>30</v>
      </c>
      <c r="F971" s="54" t="n">
        <v>90</v>
      </c>
      <c r="G971" s="54" t="n">
        <v>3</v>
      </c>
      <c r="H971" s="55" t="n">
        <v>825</v>
      </c>
      <c r="I971" s="55" t="n">
        <v>794.89</v>
      </c>
      <c r="J971" s="55" t="n">
        <v>0</v>
      </c>
      <c r="K971" s="55" t="n">
        <v>9</v>
      </c>
      <c r="L971" s="55" t="n">
        <v>803.89</v>
      </c>
      <c r="M971" s="55" t="n">
        <v>-21.11</v>
      </c>
      <c r="N971" s="36" t="inlineStr">
        <is>
          <t>004336</t>
        </is>
      </c>
      <c r="O971" s="36" t="inlineStr">
        <is>
          <t>CAREMARK</t>
        </is>
      </c>
      <c r="P971" s="36" t="inlineStr">
        <is>
          <t>ADV</t>
        </is>
      </c>
      <c r="Q971" s="36" t="inlineStr">
        <is>
          <t>RX1103</t>
        </is>
      </c>
    </row>
    <row r="972">
      <c r="A972" s="36" t="inlineStr">
        <is>
          <t>133677</t>
        </is>
      </c>
      <c r="B972" s="52" t="n">
        <v>45995</v>
      </c>
      <c r="C972" s="36" t="inlineStr">
        <is>
          <t>00456120230</t>
        </is>
      </c>
      <c r="D972" s="53" t="inlineStr">
        <is>
          <t xml:space="preserve">LINZESS 290MCG CAP </t>
        </is>
      </c>
      <c r="E972" s="36" t="n">
        <v>30</v>
      </c>
      <c r="F972" s="54" t="n">
        <v>60</v>
      </c>
      <c r="G972" s="54" t="n">
        <v>2</v>
      </c>
      <c r="H972" s="55" t="n">
        <v>1094</v>
      </c>
      <c r="I972" s="55" t="n">
        <v>1071.17</v>
      </c>
      <c r="J972" s="55" t="n">
        <v>0</v>
      </c>
      <c r="K972" s="55" t="n">
        <v>0</v>
      </c>
      <c r="L972" s="55" t="n">
        <v>1071.17</v>
      </c>
      <c r="M972" s="55" t="n">
        <v>-22.83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141429</t>
        </is>
      </c>
      <c r="B973" s="52" t="n">
        <v>46055</v>
      </c>
      <c r="C973" s="36" t="inlineStr">
        <is>
          <t>00456120230</t>
        </is>
      </c>
      <c r="D973" s="53" t="inlineStr">
        <is>
          <t xml:space="preserve">LINZESS 290MCG CAP </t>
        </is>
      </c>
      <c r="E973" s="36" t="n">
        <v>30</v>
      </c>
      <c r="F973" s="54" t="n">
        <v>90</v>
      </c>
      <c r="G973" s="54" t="n">
        <v>3</v>
      </c>
      <c r="H973" s="55" t="n">
        <v>825</v>
      </c>
      <c r="I973" s="55" t="n">
        <v>819.46</v>
      </c>
      <c r="J973" s="55" t="n">
        <v>0</v>
      </c>
      <c r="K973" s="55" t="n">
        <v>3</v>
      </c>
      <c r="L973" s="55" t="n">
        <v>822.46</v>
      </c>
      <c r="M973" s="55" t="n">
        <v>-2.54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124412</t>
        </is>
      </c>
      <c r="B974" s="52" t="n">
        <v>46010</v>
      </c>
      <c r="C974" s="36" t="inlineStr">
        <is>
          <t>00456120230</t>
        </is>
      </c>
      <c r="D974" s="53" t="inlineStr">
        <is>
          <t xml:space="preserve">LINZESS 290MCG CAP </t>
        </is>
      </c>
      <c r="E974" s="36" t="n">
        <v>30</v>
      </c>
      <c r="F974" s="54" t="n">
        <v>90</v>
      </c>
      <c r="G974" s="54" t="n">
        <v>3</v>
      </c>
      <c r="H974" s="55" t="n">
        <v>1641</v>
      </c>
      <c r="I974" s="55" t="n">
        <v>1643.27</v>
      </c>
      <c r="J974" s="55" t="n">
        <v>0</v>
      </c>
      <c r="K974" s="55" t="n">
        <v>0</v>
      </c>
      <c r="L974" s="55" t="n">
        <v>1643.27</v>
      </c>
      <c r="M974" s="55" t="n">
        <v>2.27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140834</t>
        </is>
      </c>
      <c r="B975" s="52" t="n">
        <v>46050</v>
      </c>
      <c r="C975" s="36" t="inlineStr">
        <is>
          <t>00456120230</t>
        </is>
      </c>
      <c r="D975" s="53" t="inlineStr">
        <is>
          <t xml:space="preserve">LINZESS 290MCG CAP </t>
        </is>
      </c>
      <c r="E975" s="36" t="n">
        <v>30</v>
      </c>
      <c r="F975" s="54" t="n">
        <v>30</v>
      </c>
      <c r="G975" s="54" t="n">
        <v>1</v>
      </c>
      <c r="H975" s="55" t="n">
        <v>273</v>
      </c>
      <c r="I975" s="55" t="n">
        <v>268.57</v>
      </c>
      <c r="J975" s="55" t="n">
        <v>0</v>
      </c>
      <c r="K975" s="55" t="n">
        <v>0</v>
      </c>
      <c r="L975" s="55" t="n">
        <v>268.57</v>
      </c>
      <c r="M975" s="55" t="n">
        <v>-4.43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RX1110</t>
        </is>
      </c>
    </row>
    <row r="976">
      <c r="A976" s="36" t="inlineStr">
        <is>
          <t>122169</t>
        </is>
      </c>
      <c r="B976" s="52" t="n">
        <v>45995</v>
      </c>
      <c r="C976" s="36" t="inlineStr">
        <is>
          <t>00456120230</t>
        </is>
      </c>
      <c r="D976" s="53" t="inlineStr">
        <is>
          <t xml:space="preserve">LINZESS 290MCG CAP </t>
        </is>
      </c>
      <c r="E976" s="36" t="n">
        <v>30</v>
      </c>
      <c r="F976" s="54" t="n">
        <v>90</v>
      </c>
      <c r="G976" s="54" t="n">
        <v>3</v>
      </c>
      <c r="H976" s="55" t="n">
        <v>1641</v>
      </c>
      <c r="I976" s="55" t="n">
        <v>1584.29</v>
      </c>
      <c r="J976" s="55" t="n">
        <v>0</v>
      </c>
      <c r="K976" s="55" t="n">
        <v>0</v>
      </c>
      <c r="L976" s="55" t="n">
        <v>1584.29</v>
      </c>
      <c r="M976" s="55" t="n">
        <v>-56.71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137121</t>
        </is>
      </c>
      <c r="B977" s="52" t="n">
        <v>46050</v>
      </c>
      <c r="C977" s="36" t="inlineStr">
        <is>
          <t>00456120230</t>
        </is>
      </c>
      <c r="D977" s="53" t="inlineStr">
        <is>
          <t xml:space="preserve">LINZESS 290MCG CAP </t>
        </is>
      </c>
      <c r="E977" s="36" t="n">
        <v>30</v>
      </c>
      <c r="F977" s="54" t="n">
        <v>30</v>
      </c>
      <c r="G977" s="54" t="n">
        <v>1</v>
      </c>
      <c r="H977" s="55" t="n">
        <v>273</v>
      </c>
      <c r="I977" s="55" t="n">
        <v>244.93</v>
      </c>
      <c r="J977" s="55" t="n">
        <v>0</v>
      </c>
      <c r="K977" s="55" t="n">
        <v>4.9</v>
      </c>
      <c r="L977" s="55" t="n">
        <v>249.83</v>
      </c>
      <c r="M977" s="55" t="n">
        <v>-23.17</v>
      </c>
      <c r="N977" s="36" t="inlineStr">
        <is>
          <t>610014</t>
        </is>
      </c>
      <c r="O977" s="36" t="inlineStr">
        <is>
          <t>EXPRESS</t>
        </is>
      </c>
      <c r="P977" s="36" t="inlineStr">
        <is>
          <t>MEDDPRIME</t>
        </is>
      </c>
      <c r="Q977" s="36" t="inlineStr">
        <is>
          <t>2FFA</t>
        </is>
      </c>
    </row>
    <row r="978">
      <c r="A978" s="36" t="inlineStr">
        <is>
          <t>143055</t>
        </is>
      </c>
      <c r="B978" s="52" t="n">
        <v>46065</v>
      </c>
      <c r="C978" s="36" t="inlineStr">
        <is>
          <t>00456120230</t>
        </is>
      </c>
      <c r="D978" s="53" t="inlineStr">
        <is>
          <t xml:space="preserve">LINZESS 290MCG CAP </t>
        </is>
      </c>
      <c r="E978" s="36" t="n">
        <v>30</v>
      </c>
      <c r="F978" s="54" t="n">
        <v>30</v>
      </c>
      <c r="G978" s="54" t="n">
        <v>1</v>
      </c>
      <c r="H978" s="55" t="n">
        <v>275</v>
      </c>
      <c r="I978" s="55" t="n">
        <v>268.57</v>
      </c>
      <c r="J978" s="55" t="n">
        <v>0</v>
      </c>
      <c r="K978" s="55" t="n">
        <v>0</v>
      </c>
      <c r="L978" s="55" t="n">
        <v>268.57</v>
      </c>
      <c r="M978" s="55" t="n">
        <v>-6.43</v>
      </c>
      <c r="N978" s="36" t="inlineStr">
        <is>
          <t>004336</t>
        </is>
      </c>
      <c r="O978" s="36" t="inlineStr">
        <is>
          <t>CAREMARK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136709</t>
        </is>
      </c>
      <c r="B979" s="52" t="n">
        <v>46017</v>
      </c>
      <c r="C979" s="36" t="inlineStr">
        <is>
          <t>00456120230</t>
        </is>
      </c>
      <c r="D979" s="53" t="inlineStr">
        <is>
          <t xml:space="preserve">LINZESS 290MCG CAP </t>
        </is>
      </c>
      <c r="E979" s="36" t="n">
        <v>30</v>
      </c>
      <c r="F979" s="54" t="n">
        <v>30</v>
      </c>
      <c r="G979" s="54" t="n">
        <v>1</v>
      </c>
      <c r="H979" s="55" t="n">
        <v>547</v>
      </c>
      <c r="I979" s="55" t="n">
        <v>535.47</v>
      </c>
      <c r="J979" s="55" t="n">
        <v>0</v>
      </c>
      <c r="K979" s="55" t="n">
        <v>0</v>
      </c>
      <c r="L979" s="55" t="n">
        <v>535.47</v>
      </c>
      <c r="M979" s="55" t="n">
        <v>-11.53</v>
      </c>
      <c r="N979" s="36" t="inlineStr">
        <is>
          <t>004336</t>
        </is>
      </c>
      <c r="O979" s="36" t="inlineStr">
        <is>
          <t>CAREMARK</t>
        </is>
      </c>
      <c r="P979" s="36" t="inlineStr">
        <is>
          <t>MEDDADV</t>
        </is>
      </c>
      <c r="Q979" s="36" t="inlineStr">
        <is>
          <t>RX1110</t>
        </is>
      </c>
    </row>
    <row r="980">
      <c r="A980" s="36" t="inlineStr">
        <is>
          <t>134303</t>
        </is>
      </c>
      <c r="B980" s="52" t="n">
        <v>45999</v>
      </c>
      <c r="C980" s="36" t="inlineStr">
        <is>
          <t>00456120230</t>
        </is>
      </c>
      <c r="D980" s="53" t="inlineStr">
        <is>
          <t xml:space="preserve">LINZESS 290MCG CAP </t>
        </is>
      </c>
      <c r="E980" s="36" t="n">
        <v>30</v>
      </c>
      <c r="F980" s="54" t="n">
        <v>30</v>
      </c>
      <c r="G980" s="54" t="n">
        <v>1</v>
      </c>
      <c r="H980" s="55" t="n">
        <v>547</v>
      </c>
      <c r="I980" s="55" t="n">
        <v>535.47</v>
      </c>
      <c r="J980" s="55" t="n">
        <v>0</v>
      </c>
      <c r="K980" s="55" t="n">
        <v>0</v>
      </c>
      <c r="L980" s="55" t="n">
        <v>535.47</v>
      </c>
      <c r="M980" s="55" t="n">
        <v>-11.53</v>
      </c>
      <c r="N980" s="36" t="inlineStr">
        <is>
          <t>004336</t>
        </is>
      </c>
      <c r="O980" s="36" t="inlineStr">
        <is>
          <t>CAREMARK</t>
        </is>
      </c>
      <c r="P980" s="36" t="inlineStr">
        <is>
          <t>MEDDADV</t>
        </is>
      </c>
      <c r="Q980" s="36" t="inlineStr">
        <is>
          <t>RX1110</t>
        </is>
      </c>
    </row>
    <row r="981">
      <c r="A981" s="36" t="inlineStr">
        <is>
          <t>94652</t>
        </is>
      </c>
      <c r="B981" s="52" t="n">
        <v>46008</v>
      </c>
      <c r="C981" s="36" t="inlineStr">
        <is>
          <t>00456120230</t>
        </is>
      </c>
      <c r="D981" s="53" t="inlineStr">
        <is>
          <t xml:space="preserve">LINZESS 290MCG CAP </t>
        </is>
      </c>
      <c r="E981" s="36" t="n">
        <v>30</v>
      </c>
      <c r="F981" s="54" t="n">
        <v>90</v>
      </c>
      <c r="G981" s="54" t="n">
        <v>3</v>
      </c>
      <c r="H981" s="55" t="n">
        <v>1641</v>
      </c>
      <c r="I981" s="55" t="n">
        <v>1584.29</v>
      </c>
      <c r="J981" s="55" t="n">
        <v>0</v>
      </c>
      <c r="K981" s="55" t="n">
        <v>0</v>
      </c>
      <c r="L981" s="55" t="n">
        <v>1584.29</v>
      </c>
      <c r="M981" s="55" t="n">
        <v>-56.71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125767</t>
        </is>
      </c>
      <c r="B982" s="52" t="n">
        <v>46022</v>
      </c>
      <c r="C982" s="36" t="inlineStr">
        <is>
          <t>00456120330</t>
        </is>
      </c>
      <c r="D982" s="53" t="inlineStr">
        <is>
          <t>LINZESS 72 MCG ORAL CAPSULE</t>
        </is>
      </c>
      <c r="E982" s="36" t="n">
        <v>30</v>
      </c>
      <c r="F982" s="54" t="n">
        <v>60</v>
      </c>
      <c r="G982" s="54" t="n">
        <v>2</v>
      </c>
      <c r="H982" s="55" t="n">
        <v>1094</v>
      </c>
      <c r="I982" s="55" t="n">
        <v>1098.54</v>
      </c>
      <c r="J982" s="55" t="n">
        <v>0</v>
      </c>
      <c r="K982" s="55" t="n">
        <v>0</v>
      </c>
      <c r="L982" s="55" t="n">
        <v>1098.54</v>
      </c>
      <c r="M982" s="55" t="n">
        <v>4.54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142304</t>
        </is>
      </c>
      <c r="B983" s="52" t="n">
        <v>46062</v>
      </c>
      <c r="C983" s="36" t="inlineStr">
        <is>
          <t>00456120330</t>
        </is>
      </c>
      <c r="D983" s="53" t="inlineStr">
        <is>
          <t>LINZESS 72 MCG ORAL CAPSULE</t>
        </is>
      </c>
      <c r="E983" s="36" t="n">
        <v>30</v>
      </c>
      <c r="F983" s="54" t="n">
        <v>90</v>
      </c>
      <c r="G983" s="54" t="n">
        <v>3</v>
      </c>
      <c r="H983" s="55" t="n">
        <v>819</v>
      </c>
      <c r="I983" s="55" t="n">
        <v>822.13</v>
      </c>
      <c r="J983" s="55" t="n">
        <v>0</v>
      </c>
      <c r="K983" s="55" t="n">
        <v>0</v>
      </c>
      <c r="L983" s="55" t="n">
        <v>822.13</v>
      </c>
      <c r="M983" s="55" t="n">
        <v>3.13</v>
      </c>
      <c r="N983" s="36" t="inlineStr">
        <is>
          <t>004740</t>
        </is>
      </c>
      <c r="O983" s="36" t="inlineStr">
        <is>
          <t>NYM</t>
        </is>
      </c>
      <c r="P983" s="36" t="inlineStr">
        <is>
          <t>9314DA31</t>
        </is>
      </c>
      <c r="Q983" s="36" t="n">
        <v/>
      </c>
    </row>
    <row r="984">
      <c r="A984" s="36" t="inlineStr">
        <is>
          <t>140474</t>
        </is>
      </c>
      <c r="B984" s="52" t="n">
        <v>46048</v>
      </c>
      <c r="C984" s="36" t="inlineStr">
        <is>
          <t>00456120330</t>
        </is>
      </c>
      <c r="D984" s="53" t="inlineStr">
        <is>
          <t>LINZESS 72 MCG ORAL CAPSULE</t>
        </is>
      </c>
      <c r="E984" s="36" t="n">
        <v>30</v>
      </c>
      <c r="F984" s="54" t="n">
        <v>90</v>
      </c>
      <c r="G984" s="54" t="n">
        <v>3</v>
      </c>
      <c r="H984" s="55" t="n">
        <v>819</v>
      </c>
      <c r="I984" s="55" t="n">
        <v>792.87</v>
      </c>
      <c r="J984" s="55" t="n">
        <v>0</v>
      </c>
      <c r="K984" s="55" t="n">
        <v>0</v>
      </c>
      <c r="L984" s="55" t="n">
        <v>792.87</v>
      </c>
      <c r="M984" s="55" t="n">
        <v>-26.13</v>
      </c>
      <c r="N984" s="36" t="inlineStr">
        <is>
          <t>004336</t>
        </is>
      </c>
      <c r="O984" s="36" t="inlineStr">
        <is>
          <t>CAREMARK</t>
        </is>
      </c>
      <c r="P984" s="36" t="inlineStr">
        <is>
          <t>MEDDADV</t>
        </is>
      </c>
      <c r="Q984" s="36" t="inlineStr">
        <is>
          <t>RX1110</t>
        </is>
      </c>
    </row>
    <row r="985">
      <c r="A985" s="36" t="inlineStr">
        <is>
          <t>134713</t>
        </is>
      </c>
      <c r="B985" s="52" t="n">
        <v>46029</v>
      </c>
      <c r="C985" s="36" t="inlineStr">
        <is>
          <t>00456120330</t>
        </is>
      </c>
      <c r="D985" s="53" t="inlineStr">
        <is>
          <t>LINZESS 72 MCG ORAL CAPSULE</t>
        </is>
      </c>
      <c r="E985" s="36" t="n">
        <v>30</v>
      </c>
      <c r="F985" s="54" t="n">
        <v>30</v>
      </c>
      <c r="G985" s="54" t="n">
        <v>1</v>
      </c>
      <c r="H985" s="55" t="n">
        <v>273</v>
      </c>
      <c r="I985" s="55" t="n">
        <v>554.36</v>
      </c>
      <c r="J985" s="55" t="n">
        <v>0</v>
      </c>
      <c r="K985" s="55" t="n">
        <v>0</v>
      </c>
      <c r="L985" s="55" t="n">
        <v>554.36</v>
      </c>
      <c r="M985" s="55" t="n">
        <v>281.36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100108</t>
        </is>
      </c>
      <c r="B986" s="52" t="n">
        <v>46034</v>
      </c>
      <c r="C986" s="36" t="inlineStr">
        <is>
          <t>00456120330</t>
        </is>
      </c>
      <c r="D986" s="53" t="inlineStr">
        <is>
          <t>LINZESS 72 MCG ORAL CAPSULE</t>
        </is>
      </c>
      <c r="E986" s="36" t="n">
        <v>30</v>
      </c>
      <c r="F986" s="54" t="n">
        <v>30</v>
      </c>
      <c r="G986" s="54" t="n">
        <v>1</v>
      </c>
      <c r="H986" s="55" t="n">
        <v>273</v>
      </c>
      <c r="I986" s="55" t="n">
        <v>554.36</v>
      </c>
      <c r="J986" s="55" t="n">
        <v>0</v>
      </c>
      <c r="K986" s="55" t="n">
        <v>0</v>
      </c>
      <c r="L986" s="55" t="n">
        <v>554.36</v>
      </c>
      <c r="M986" s="55" t="n">
        <v>281.36</v>
      </c>
      <c r="N986" s="36" t="inlineStr">
        <is>
          <t>004740</t>
        </is>
      </c>
      <c r="O986" s="36" t="inlineStr">
        <is>
          <t>NYM</t>
        </is>
      </c>
      <c r="P986" s="36" t="inlineStr">
        <is>
          <t>9314DA31</t>
        </is>
      </c>
      <c r="Q986" s="36" t="n">
        <v/>
      </c>
    </row>
    <row r="987">
      <c r="A987" s="36" t="inlineStr">
        <is>
          <t>137904</t>
        </is>
      </c>
      <c r="B987" s="52" t="n">
        <v>46029</v>
      </c>
      <c r="C987" s="36" t="inlineStr">
        <is>
          <t>00456120330</t>
        </is>
      </c>
      <c r="D987" s="53" t="inlineStr">
        <is>
          <t>LINZESS 72 MCG ORAL CAPSULE</t>
        </is>
      </c>
      <c r="E987" s="36" t="n">
        <v>30</v>
      </c>
      <c r="F987" s="54" t="n">
        <v>90</v>
      </c>
      <c r="G987" s="54" t="n">
        <v>3</v>
      </c>
      <c r="H987" s="55" t="n">
        <v>819</v>
      </c>
      <c r="I987" s="55" t="n">
        <v>787.97</v>
      </c>
      <c r="J987" s="55" t="n">
        <v>0</v>
      </c>
      <c r="K987" s="55" t="n">
        <v>4.9</v>
      </c>
      <c r="L987" s="55" t="n">
        <v>792.87</v>
      </c>
      <c r="M987" s="55" t="n">
        <v>-26.13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139998</t>
        </is>
      </c>
      <c r="B988" s="52" t="n">
        <v>46043</v>
      </c>
      <c r="C988" s="36" t="inlineStr">
        <is>
          <t>00456120330</t>
        </is>
      </c>
      <c r="D988" s="53" t="inlineStr">
        <is>
          <t>LINZESS 72 MCG ORAL CAPSULE</t>
        </is>
      </c>
      <c r="E988" s="36" t="n">
        <v>30</v>
      </c>
      <c r="F988" s="54" t="n">
        <v>30</v>
      </c>
      <c r="G988" s="54" t="n">
        <v>1</v>
      </c>
      <c r="H988" s="55" t="n">
        <v>273</v>
      </c>
      <c r="I988" s="55" t="n">
        <v>263.49</v>
      </c>
      <c r="J988" s="55" t="n">
        <v>0</v>
      </c>
      <c r="K988" s="55" t="n">
        <v>0</v>
      </c>
      <c r="L988" s="55" t="n">
        <v>263.49</v>
      </c>
      <c r="M988" s="55" t="n">
        <v>-9.51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RX8585</t>
        </is>
      </c>
    </row>
    <row r="989">
      <c r="A989" s="36" t="inlineStr">
        <is>
          <t>137938</t>
        </is>
      </c>
      <c r="B989" s="52" t="n">
        <v>46029</v>
      </c>
      <c r="C989" s="36" t="inlineStr">
        <is>
          <t>00456120330</t>
        </is>
      </c>
      <c r="D989" s="53" t="inlineStr">
        <is>
          <t>LINZESS 72 MCG ORAL CAPSULE</t>
        </is>
      </c>
      <c r="E989" s="36" t="n">
        <v>30</v>
      </c>
      <c r="F989" s="54" t="n">
        <v>30</v>
      </c>
      <c r="G989" s="54" t="n">
        <v>1</v>
      </c>
      <c r="H989" s="55" t="n">
        <v>273</v>
      </c>
      <c r="I989" s="55" t="n">
        <v>551.36</v>
      </c>
      <c r="J989" s="55" t="n">
        <v>0</v>
      </c>
      <c r="K989" s="55" t="n">
        <v>3</v>
      </c>
      <c r="L989" s="55" t="n">
        <v>554.36</v>
      </c>
      <c r="M989" s="55" t="n">
        <v>281.36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134713</t>
        </is>
      </c>
      <c r="B990" s="52" t="n">
        <v>46002</v>
      </c>
      <c r="C990" s="36" t="inlineStr">
        <is>
          <t>00456120330</t>
        </is>
      </c>
      <c r="D990" s="53" t="inlineStr">
        <is>
          <t>LINZESS 72 MCG ORAL CAPSULE</t>
        </is>
      </c>
      <c r="E990" s="36" t="n">
        <v>30</v>
      </c>
      <c r="F990" s="54" t="n">
        <v>30</v>
      </c>
      <c r="G990" s="54" t="n">
        <v>1</v>
      </c>
      <c r="H990" s="55" t="n">
        <v>547</v>
      </c>
      <c r="I990" s="55" t="n">
        <v>554.29</v>
      </c>
      <c r="J990" s="55" t="n">
        <v>0</v>
      </c>
      <c r="K990" s="55" t="n">
        <v>0</v>
      </c>
      <c r="L990" s="55" t="n">
        <v>554.29</v>
      </c>
      <c r="M990" s="55" t="n">
        <v>7.29</v>
      </c>
      <c r="N990" s="36" t="inlineStr">
        <is>
          <t>004740</t>
        </is>
      </c>
      <c r="O990" s="36" t="inlineStr">
        <is>
          <t>NYM</t>
        </is>
      </c>
      <c r="P990" s="36" t="inlineStr">
        <is>
          <t>9314DA31</t>
        </is>
      </c>
      <c r="Q990" s="36" t="n">
        <v/>
      </c>
    </row>
    <row r="991">
      <c r="A991" s="36" t="inlineStr">
        <is>
          <t>100108</t>
        </is>
      </c>
      <c r="B991" s="52" t="n">
        <v>46006</v>
      </c>
      <c r="C991" s="36" t="inlineStr">
        <is>
          <t>00456120330</t>
        </is>
      </c>
      <c r="D991" s="53" t="inlineStr">
        <is>
          <t>LINZESS 72 MCG ORAL CAPSULE</t>
        </is>
      </c>
      <c r="E991" s="36" t="n">
        <v>30</v>
      </c>
      <c r="F991" s="54" t="n">
        <v>30</v>
      </c>
      <c r="G991" s="54" t="n">
        <v>1</v>
      </c>
      <c r="H991" s="55" t="n">
        <v>547</v>
      </c>
      <c r="I991" s="55" t="n">
        <v>554.29</v>
      </c>
      <c r="J991" s="55" t="n">
        <v>0</v>
      </c>
      <c r="K991" s="55" t="n">
        <v>0</v>
      </c>
      <c r="L991" s="55" t="n">
        <v>554.29</v>
      </c>
      <c r="M991" s="55" t="n">
        <v>7.29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125767</t>
        </is>
      </c>
      <c r="B992" s="52" t="n">
        <v>45994</v>
      </c>
      <c r="C992" s="36" t="inlineStr">
        <is>
          <t>00456120330</t>
        </is>
      </c>
      <c r="D992" s="53" t="inlineStr">
        <is>
          <t>LINZESS 72 MCG ORAL CAPSULE</t>
        </is>
      </c>
      <c r="E992" s="36" t="n">
        <v>30</v>
      </c>
      <c r="F992" s="54" t="n">
        <v>60</v>
      </c>
      <c r="G992" s="54" t="n">
        <v>2</v>
      </c>
      <c r="H992" s="55" t="n">
        <v>1094</v>
      </c>
      <c r="I992" s="55" t="n">
        <v>1098.4</v>
      </c>
      <c r="J992" s="55" t="n">
        <v>0</v>
      </c>
      <c r="K992" s="55" t="n">
        <v>0</v>
      </c>
      <c r="L992" s="55" t="n">
        <v>1098.4</v>
      </c>
      <c r="M992" s="55" t="n">
        <v>4.4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138478</t>
        </is>
      </c>
      <c r="B993" s="52" t="n">
        <v>46034</v>
      </c>
      <c r="C993" s="36" t="inlineStr">
        <is>
          <t>00456120330</t>
        </is>
      </c>
      <c r="D993" s="53" t="inlineStr">
        <is>
          <t>LINZESS 72 MCG ORAL CAPSULE</t>
        </is>
      </c>
      <c r="E993" s="36" t="n">
        <v>30</v>
      </c>
      <c r="F993" s="54" t="n">
        <v>30</v>
      </c>
      <c r="G993" s="54" t="n">
        <v>1</v>
      </c>
      <c r="H993" s="55" t="n">
        <v>273</v>
      </c>
      <c r="I993" s="55" t="n">
        <v>0</v>
      </c>
      <c r="J993" s="55" t="n">
        <v>0</v>
      </c>
      <c r="K993" s="55" t="n">
        <v>284.45</v>
      </c>
      <c r="L993" s="55" t="n">
        <v>284.45</v>
      </c>
      <c r="M993" s="55" t="n">
        <v>11.45</v>
      </c>
      <c r="N993" s="36" t="inlineStr">
        <is>
          <t>610502</t>
        </is>
      </c>
      <c r="O993" s="36" t="inlineStr">
        <is>
          <t>CAREMARK</t>
        </is>
      </c>
      <c r="P993" s="36" t="inlineStr">
        <is>
          <t>MEDDAET</t>
        </is>
      </c>
      <c r="Q993" s="36" t="inlineStr">
        <is>
          <t>RXAETD</t>
        </is>
      </c>
    </row>
    <row r="994">
      <c r="A994" s="36" t="inlineStr">
        <is>
          <t>138285</t>
        </is>
      </c>
      <c r="B994" s="52" t="n">
        <v>46031</v>
      </c>
      <c r="C994" s="36" t="inlineStr">
        <is>
          <t>00456120330</t>
        </is>
      </c>
      <c r="D994" s="53" t="inlineStr">
        <is>
          <t>LINZESS 72 MCG ORAL CAPSULE</t>
        </is>
      </c>
      <c r="E994" s="36" t="n">
        <v>30</v>
      </c>
      <c r="F994" s="54" t="n">
        <v>90</v>
      </c>
      <c r="G994" s="54" t="n">
        <v>3</v>
      </c>
      <c r="H994" s="55" t="n">
        <v>819</v>
      </c>
      <c r="I994" s="55" t="n">
        <v>792.87</v>
      </c>
      <c r="J994" s="55" t="n">
        <v>0</v>
      </c>
      <c r="K994" s="55" t="n">
        <v>0</v>
      </c>
      <c r="L994" s="55" t="n">
        <v>792.87</v>
      </c>
      <c r="M994" s="55" t="n">
        <v>-26.13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139998</t>
        </is>
      </c>
      <c r="B995" s="52" t="n">
        <v>46071</v>
      </c>
      <c r="C995" s="36" t="inlineStr">
        <is>
          <t>00456120330</t>
        </is>
      </c>
      <c r="D995" s="53" t="inlineStr">
        <is>
          <t>LINZESS 72 MCG ORAL CAPSULE</t>
        </is>
      </c>
      <c r="E995" s="36" t="n">
        <v>30</v>
      </c>
      <c r="F995" s="54" t="n">
        <v>30</v>
      </c>
      <c r="G995" s="54" t="n">
        <v>1</v>
      </c>
      <c r="H995" s="55" t="n">
        <v>273</v>
      </c>
      <c r="I995" s="55" t="n">
        <v>263.49</v>
      </c>
      <c r="J995" s="55" t="n">
        <v>0</v>
      </c>
      <c r="K995" s="55" t="n">
        <v>0</v>
      </c>
      <c r="L995" s="55" t="n">
        <v>263.49</v>
      </c>
      <c r="M995" s="55" t="n">
        <v>-9.51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RX8585</t>
        </is>
      </c>
    </row>
    <row r="996">
      <c r="A996" s="36" t="inlineStr">
        <is>
          <t>134713</t>
        </is>
      </c>
      <c r="B996" s="52" t="n">
        <v>46057</v>
      </c>
      <c r="C996" s="36" t="inlineStr">
        <is>
          <t>00456120330</t>
        </is>
      </c>
      <c r="D996" s="53" t="inlineStr">
        <is>
          <t>LINZESS 72 MCG ORAL CAPSULE</t>
        </is>
      </c>
      <c r="E996" s="36" t="n">
        <v>30</v>
      </c>
      <c r="F996" s="54" t="n">
        <v>30</v>
      </c>
      <c r="G996" s="54" t="n">
        <v>1</v>
      </c>
      <c r="H996" s="55" t="n">
        <v>273</v>
      </c>
      <c r="I996" s="55" t="n">
        <v>280.83</v>
      </c>
      <c r="J996" s="55" t="n">
        <v>0</v>
      </c>
      <c r="K996" s="55" t="n">
        <v>0</v>
      </c>
      <c r="L996" s="55" t="n">
        <v>280.83</v>
      </c>
      <c r="M996" s="55" t="n">
        <v>7.83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128706</t>
        </is>
      </c>
      <c r="B997" s="52" t="n">
        <v>46017</v>
      </c>
      <c r="C997" s="36" t="inlineStr">
        <is>
          <t>00456120330</t>
        </is>
      </c>
      <c r="D997" s="53" t="inlineStr">
        <is>
          <t>LINZESS 72 MCG ORAL CAPSULE</t>
        </is>
      </c>
      <c r="E997" s="36" t="n">
        <v>30</v>
      </c>
      <c r="F997" s="54" t="n">
        <v>30</v>
      </c>
      <c r="G997" s="54" t="n">
        <v>1</v>
      </c>
      <c r="H997" s="55" t="n">
        <v>547</v>
      </c>
      <c r="I997" s="55" t="n">
        <v>535.47</v>
      </c>
      <c r="J997" s="55" t="n">
        <v>0</v>
      </c>
      <c r="K997" s="55" t="n">
        <v>0</v>
      </c>
      <c r="L997" s="55" t="n">
        <v>535.47</v>
      </c>
      <c r="M997" s="55" t="n">
        <v>-11.53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134796</t>
        </is>
      </c>
      <c r="B998" s="52" t="n">
        <v>46002</v>
      </c>
      <c r="C998" s="36" t="inlineStr">
        <is>
          <t>00456120330</t>
        </is>
      </c>
      <c r="D998" s="53" t="inlineStr">
        <is>
          <t>LINZESS 72 MCG ORAL CAPSULE</t>
        </is>
      </c>
      <c r="E998" s="36" t="n">
        <v>30</v>
      </c>
      <c r="F998" s="54" t="n">
        <v>30</v>
      </c>
      <c r="G998" s="54" t="n">
        <v>1</v>
      </c>
      <c r="H998" s="55" t="n">
        <v>547</v>
      </c>
      <c r="I998" s="55" t="n">
        <v>493.34</v>
      </c>
      <c r="J998" s="55" t="n">
        <v>0</v>
      </c>
      <c r="K998" s="55" t="n">
        <v>47</v>
      </c>
      <c r="L998" s="55" t="n">
        <v>540.34</v>
      </c>
      <c r="M998" s="55" t="n">
        <v>-6.66</v>
      </c>
      <c r="N998" s="36" t="inlineStr">
        <is>
          <t>015574</t>
        </is>
      </c>
      <c r="O998" s="36" t="inlineStr">
        <is>
          <t>MEDIMP</t>
        </is>
      </c>
      <c r="P998" s="36" t="inlineStr">
        <is>
          <t>ASPROD1</t>
        </is>
      </c>
      <c r="Q998" s="36" t="n">
        <v/>
      </c>
    </row>
    <row r="999">
      <c r="A999" s="36" t="inlineStr">
        <is>
          <t>133929</t>
        </is>
      </c>
      <c r="B999" s="52" t="n">
        <v>45996</v>
      </c>
      <c r="C999" s="36" t="inlineStr">
        <is>
          <t>00430042014</t>
        </is>
      </c>
      <c r="D999" s="53" t="inlineStr">
        <is>
          <t>LO LOESTRIN FE 1 MG-10 MCG / 10 MCG ORAL TABLET</t>
        </is>
      </c>
      <c r="E999" s="36" t="n">
        <v>140</v>
      </c>
      <c r="F999" s="54" t="n">
        <v>84</v>
      </c>
      <c r="G999" s="54" t="n">
        <v>0.6</v>
      </c>
      <c r="H999" s="55" t="n">
        <v>544.8</v>
      </c>
      <c r="I999" s="55" t="n">
        <v>551.9299999999999</v>
      </c>
      <c r="J999" s="55" t="n">
        <v>0</v>
      </c>
      <c r="K999" s="55" t="n">
        <v>0</v>
      </c>
      <c r="L999" s="55" t="n">
        <v>551.9299999999999</v>
      </c>
      <c r="M999" s="55" t="n">
        <v>7.13</v>
      </c>
      <c r="N999" s="36" t="inlineStr">
        <is>
          <t>004740</t>
        </is>
      </c>
      <c r="O999" s="36" t="inlineStr">
        <is>
          <t>NYM</t>
        </is>
      </c>
      <c r="P999" s="36" t="inlineStr">
        <is>
          <t>9314DA31</t>
        </is>
      </c>
      <c r="Q999" s="36" t="n">
        <v/>
      </c>
    </row>
    <row r="1000">
      <c r="A1000" s="36" t="inlineStr">
        <is>
          <t>133929</t>
        </is>
      </c>
      <c r="B1000" s="52" t="n">
        <v>46077</v>
      </c>
      <c r="C1000" s="36" t="inlineStr">
        <is>
          <t>00430042014</t>
        </is>
      </c>
      <c r="D1000" s="53" t="inlineStr">
        <is>
          <t>LO LOESTRIN FE 1 MG-10 MCG / 10 MCG ORAL TABLET</t>
        </is>
      </c>
      <c r="E1000" s="36" t="n">
        <v>140</v>
      </c>
      <c r="F1000" s="54" t="n">
        <v>84</v>
      </c>
      <c r="G1000" s="54" t="n">
        <v>0.6</v>
      </c>
      <c r="H1000" s="55" t="n">
        <v>544.8</v>
      </c>
      <c r="I1000" s="55" t="n">
        <v>579.13</v>
      </c>
      <c r="J1000" s="55" t="n">
        <v>0</v>
      </c>
      <c r="K1000" s="55" t="n">
        <v>0</v>
      </c>
      <c r="L1000" s="55" t="n">
        <v>579.13</v>
      </c>
      <c r="M1000" s="55" t="n">
        <v>34.33</v>
      </c>
      <c r="N1000" s="36" t="inlineStr">
        <is>
          <t>004740</t>
        </is>
      </c>
      <c r="O1000" s="36" t="inlineStr">
        <is>
          <t>NYM</t>
        </is>
      </c>
      <c r="P1000" s="36" t="inlineStr">
        <is>
          <t>9314DA31</t>
        </is>
      </c>
      <c r="Q1000" s="36" t="n">
        <v/>
      </c>
    </row>
    <row r="1001">
      <c r="A1001" s="36" t="inlineStr">
        <is>
          <t>136243</t>
        </is>
      </c>
      <c r="B1001" s="52" t="n">
        <v>46014</v>
      </c>
      <c r="C1001" s="36" t="inlineStr">
        <is>
          <t>00430042014</t>
        </is>
      </c>
      <c r="D1001" s="53" t="inlineStr">
        <is>
          <t>LO LOESTRIN FE 1 MG-10 MCG / 10 MCG ORAL TABLET</t>
        </is>
      </c>
      <c r="E1001" s="36" t="n">
        <v>140</v>
      </c>
      <c r="F1001" s="54" t="n">
        <v>84</v>
      </c>
      <c r="G1001" s="54" t="n">
        <v>0.6</v>
      </c>
      <c r="H1001" s="55" t="n">
        <v>544.8</v>
      </c>
      <c r="I1001" s="55" t="n">
        <v>552.04</v>
      </c>
      <c r="J1001" s="55" t="n">
        <v>0</v>
      </c>
      <c r="K1001" s="55" t="n">
        <v>0</v>
      </c>
      <c r="L1001" s="55" t="n">
        <v>552.04</v>
      </c>
      <c r="M1001" s="55" t="n">
        <v>7.24</v>
      </c>
      <c r="N1001" s="36" t="inlineStr">
        <is>
          <t>004740</t>
        </is>
      </c>
      <c r="O1001" s="36" t="inlineStr">
        <is>
          <t>NYM</t>
        </is>
      </c>
      <c r="P1001" s="36" t="inlineStr">
        <is>
          <t>9314DA31</t>
        </is>
      </c>
      <c r="Q1001" s="36" t="n">
        <v/>
      </c>
    </row>
    <row r="1002">
      <c r="A1002" s="36" t="inlineStr">
        <is>
          <t>136731</t>
        </is>
      </c>
      <c r="B1002" s="52" t="n">
        <v>46048</v>
      </c>
      <c r="C1002" s="36" t="inlineStr">
        <is>
          <t>00310111030</t>
        </is>
      </c>
      <c r="D1002" s="53" t="inlineStr">
        <is>
          <t>LOKELMA 10GM PACK</t>
        </is>
      </c>
      <c r="E1002" s="36" t="n">
        <v>30</v>
      </c>
      <c r="F1002" s="54" t="n">
        <v>30</v>
      </c>
      <c r="G1002" s="54" t="n">
        <v>1</v>
      </c>
      <c r="H1002" s="55" t="n">
        <v>829</v>
      </c>
      <c r="I1002" s="55" t="n">
        <v>839.28</v>
      </c>
      <c r="J1002" s="55" t="n">
        <v>0</v>
      </c>
      <c r="K1002" s="55" t="n">
        <v>4.9</v>
      </c>
      <c r="L1002" s="55" t="n">
        <v>844.1799999999999</v>
      </c>
      <c r="M1002" s="55" t="n">
        <v>15.18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133336</t>
        </is>
      </c>
      <c r="B1003" s="52" t="n">
        <v>46048</v>
      </c>
      <c r="C1003" s="36" t="inlineStr">
        <is>
          <t>00310111030</t>
        </is>
      </c>
      <c r="D1003" s="53" t="inlineStr">
        <is>
          <t>LOKELMA 10GM PACK</t>
        </is>
      </c>
      <c r="E1003" s="36" t="n">
        <v>30</v>
      </c>
      <c r="F1003" s="54" t="n">
        <v>30</v>
      </c>
      <c r="G1003" s="54" t="n">
        <v>1</v>
      </c>
      <c r="H1003" s="55" t="n">
        <v>829</v>
      </c>
      <c r="I1003" s="55" t="n">
        <v>844.1799999999999</v>
      </c>
      <c r="J1003" s="55" t="n">
        <v>0</v>
      </c>
      <c r="K1003" s="55" t="n">
        <v>0</v>
      </c>
      <c r="L1003" s="55" t="n">
        <v>844.1799999999999</v>
      </c>
      <c r="M1003" s="55" t="n">
        <v>15.18</v>
      </c>
      <c r="N1003" s="36" t="inlineStr">
        <is>
          <t>004336</t>
        </is>
      </c>
      <c r="O1003" s="36" t="inlineStr">
        <is>
          <t>CAREMARK</t>
        </is>
      </c>
      <c r="P1003" s="36" t="inlineStr">
        <is>
          <t>MEDDADV</t>
        </is>
      </c>
      <c r="Q1003" s="36" t="inlineStr">
        <is>
          <t>RX1110</t>
        </is>
      </c>
    </row>
    <row r="1004">
      <c r="A1004" s="36" t="inlineStr">
        <is>
          <t>138280</t>
        </is>
      </c>
      <c r="B1004" s="52" t="n">
        <v>46031</v>
      </c>
      <c r="C1004" s="36" t="inlineStr">
        <is>
          <t>00310111030</t>
        </is>
      </c>
      <c r="D1004" s="53" t="inlineStr">
        <is>
          <t>LOKELMA 10GM PACK</t>
        </is>
      </c>
      <c r="E1004" s="36" t="n">
        <v>30</v>
      </c>
      <c r="F1004" s="54" t="n">
        <v>30</v>
      </c>
      <c r="G1004" s="54" t="n">
        <v>1</v>
      </c>
      <c r="H1004" s="55" t="n">
        <v>829</v>
      </c>
      <c r="I1004" s="55" t="n">
        <v>839.28</v>
      </c>
      <c r="J1004" s="55" t="n">
        <v>0</v>
      </c>
      <c r="K1004" s="55" t="n">
        <v>4.9</v>
      </c>
      <c r="L1004" s="55" t="n">
        <v>844.1799999999999</v>
      </c>
      <c r="M1004" s="55" t="n">
        <v>15.18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133336</t>
        </is>
      </c>
      <c r="B1005" s="52" t="n">
        <v>46020</v>
      </c>
      <c r="C1005" s="36" t="inlineStr">
        <is>
          <t>00310111030</t>
        </is>
      </c>
      <c r="D1005" s="53" t="inlineStr">
        <is>
          <t>LOKELMA 10GM PACK</t>
        </is>
      </c>
      <c r="E1005" s="36" t="n">
        <v>30</v>
      </c>
      <c r="F1005" s="54" t="n">
        <v>30</v>
      </c>
      <c r="G1005" s="54" t="n">
        <v>1</v>
      </c>
      <c r="H1005" s="55" t="n">
        <v>829</v>
      </c>
      <c r="I1005" s="55" t="n">
        <v>812.36</v>
      </c>
      <c r="J1005" s="55" t="n">
        <v>0</v>
      </c>
      <c r="K1005" s="55" t="n">
        <v>0</v>
      </c>
      <c r="L1005" s="55" t="n">
        <v>812.36</v>
      </c>
      <c r="M1005" s="55" t="n">
        <v>-16.64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138280</t>
        </is>
      </c>
      <c r="B1006" s="52" t="n">
        <v>46059</v>
      </c>
      <c r="C1006" s="36" t="inlineStr">
        <is>
          <t>00310111030</t>
        </is>
      </c>
      <c r="D1006" s="53" t="inlineStr">
        <is>
          <t>LOKELMA 10GM PACK</t>
        </is>
      </c>
      <c r="E1006" s="36" t="n">
        <v>30</v>
      </c>
      <c r="F1006" s="54" t="n">
        <v>30</v>
      </c>
      <c r="G1006" s="54" t="n">
        <v>1</v>
      </c>
      <c r="H1006" s="55" t="n">
        <v>863</v>
      </c>
      <c r="I1006" s="55" t="n">
        <v>839.28</v>
      </c>
      <c r="J1006" s="55" t="n">
        <v>0</v>
      </c>
      <c r="K1006" s="55" t="n">
        <v>4.9</v>
      </c>
      <c r="L1006" s="55" t="n">
        <v>844.1799999999999</v>
      </c>
      <c r="M1006" s="55" t="n">
        <v>-18.82</v>
      </c>
      <c r="N1006" s="36" t="inlineStr">
        <is>
          <t>004336</t>
        </is>
      </c>
      <c r="O1006" s="36" t="inlineStr">
        <is>
          <t>CAREMARK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119281</t>
        </is>
      </c>
      <c r="B1007" s="52" t="n">
        <v>46028</v>
      </c>
      <c r="C1007" s="36" t="inlineStr">
        <is>
          <t>00310111030</t>
        </is>
      </c>
      <c r="D1007" s="53" t="inlineStr">
        <is>
          <t>LOKELMA 10GM PACK</t>
        </is>
      </c>
      <c r="E1007" s="36" t="n">
        <v>30</v>
      </c>
      <c r="F1007" s="54" t="n">
        <v>30</v>
      </c>
      <c r="G1007" s="54" t="n">
        <v>1</v>
      </c>
      <c r="H1007" s="55" t="n">
        <v>829</v>
      </c>
      <c r="I1007" s="55" t="n">
        <v>844.1799999999999</v>
      </c>
      <c r="J1007" s="55" t="n">
        <v>0</v>
      </c>
      <c r="K1007" s="55" t="n">
        <v>0</v>
      </c>
      <c r="L1007" s="55" t="n">
        <v>844.1799999999999</v>
      </c>
      <c r="M1007" s="55" t="n">
        <v>15.18</v>
      </c>
      <c r="N1007" s="36" t="inlineStr">
        <is>
          <t>004336</t>
        </is>
      </c>
      <c r="O1007" s="36" t="inlineStr">
        <is>
          <t>CAREMARK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136731</t>
        </is>
      </c>
      <c r="B1008" s="52" t="n">
        <v>46020</v>
      </c>
      <c r="C1008" s="36" t="inlineStr">
        <is>
          <t>00310111030</t>
        </is>
      </c>
      <c r="D1008" s="53" t="inlineStr">
        <is>
          <t>LOKELMA 10GM PACK</t>
        </is>
      </c>
      <c r="E1008" s="36" t="n">
        <v>30</v>
      </c>
      <c r="F1008" s="54" t="n">
        <v>30</v>
      </c>
      <c r="G1008" s="54" t="n">
        <v>1</v>
      </c>
      <c r="H1008" s="55" t="n">
        <v>829</v>
      </c>
      <c r="I1008" s="55" t="n">
        <v>812.36</v>
      </c>
      <c r="J1008" s="55" t="n">
        <v>0</v>
      </c>
      <c r="K1008" s="55" t="n">
        <v>0</v>
      </c>
      <c r="L1008" s="55" t="n">
        <v>812.36</v>
      </c>
      <c r="M1008" s="55" t="n">
        <v>-16.64</v>
      </c>
      <c r="N1008" s="36" t="inlineStr">
        <is>
          <t>004336</t>
        </is>
      </c>
      <c r="O1008" s="36" t="inlineStr">
        <is>
          <t>CAREMARK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133534</t>
        </is>
      </c>
      <c r="B1009" s="52" t="n">
        <v>46066</v>
      </c>
      <c r="C1009" s="36" t="inlineStr">
        <is>
          <t>00310111030</t>
        </is>
      </c>
      <c r="D1009" s="53" t="inlineStr">
        <is>
          <t>LOKELMA 10GM PACK</t>
        </is>
      </c>
      <c r="E1009" s="36" t="n">
        <v>30</v>
      </c>
      <c r="F1009" s="54" t="n">
        <v>30</v>
      </c>
      <c r="G1009" s="54" t="n">
        <v>1</v>
      </c>
      <c r="H1009" s="55" t="n">
        <v>863</v>
      </c>
      <c r="I1009" s="55" t="n">
        <v>839.28</v>
      </c>
      <c r="J1009" s="55" t="n">
        <v>0</v>
      </c>
      <c r="K1009" s="55" t="n">
        <v>4.9</v>
      </c>
      <c r="L1009" s="55" t="n">
        <v>844.1799999999999</v>
      </c>
      <c r="M1009" s="55" t="n">
        <v>-18.82</v>
      </c>
      <c r="N1009" s="36" t="inlineStr">
        <is>
          <t>004336</t>
        </is>
      </c>
      <c r="O1009" s="36" t="inlineStr">
        <is>
          <t>CAREMARK</t>
        </is>
      </c>
      <c r="P1009" s="36" t="inlineStr">
        <is>
          <t>MEDDADV</t>
        </is>
      </c>
      <c r="Q1009" s="36" t="inlineStr">
        <is>
          <t>RX1110</t>
        </is>
      </c>
    </row>
    <row r="1010">
      <c r="A1010" s="36" t="inlineStr">
        <is>
          <t>136731</t>
        </is>
      </c>
      <c r="B1010" s="52" t="n">
        <v>46076</v>
      </c>
      <c r="C1010" s="36" t="inlineStr">
        <is>
          <t>00310111030</t>
        </is>
      </c>
      <c r="D1010" s="53" t="inlineStr">
        <is>
          <t>LOKELMA 10GM PACK</t>
        </is>
      </c>
      <c r="E1010" s="36" t="n">
        <v>30</v>
      </c>
      <c r="F1010" s="54" t="n">
        <v>30</v>
      </c>
      <c r="G1010" s="54" t="n">
        <v>1</v>
      </c>
      <c r="H1010" s="55" t="n">
        <v>863</v>
      </c>
      <c r="I1010" s="55" t="n">
        <v>839.28</v>
      </c>
      <c r="J1010" s="55" t="n">
        <v>0</v>
      </c>
      <c r="K1010" s="55" t="n">
        <v>4.9</v>
      </c>
      <c r="L1010" s="55" t="n">
        <v>844.1799999999999</v>
      </c>
      <c r="M1010" s="55" t="n">
        <v>-18.82</v>
      </c>
      <c r="N1010" s="36" t="inlineStr">
        <is>
          <t>004336</t>
        </is>
      </c>
      <c r="O1010" s="36" t="inlineStr">
        <is>
          <t>CAREMARK</t>
        </is>
      </c>
      <c r="P1010" s="36" t="inlineStr">
        <is>
          <t>MEDDADV</t>
        </is>
      </c>
      <c r="Q1010" s="36" t="inlineStr">
        <is>
          <t>RX1110</t>
        </is>
      </c>
    </row>
    <row r="1011">
      <c r="A1011" s="36" t="inlineStr">
        <is>
          <t>144318</t>
        </is>
      </c>
      <c r="B1011" s="52" t="n">
        <v>46073</v>
      </c>
      <c r="C1011" s="36" t="inlineStr">
        <is>
          <t>00310111030</t>
        </is>
      </c>
      <c r="D1011" s="53" t="inlineStr">
        <is>
          <t>LOKELMA 10GM PACK</t>
        </is>
      </c>
      <c r="E1011" s="36" t="n">
        <v>30</v>
      </c>
      <c r="F1011" s="54" t="n">
        <v>30</v>
      </c>
      <c r="G1011" s="54" t="n">
        <v>1</v>
      </c>
      <c r="H1011" s="55" t="n">
        <v>863</v>
      </c>
      <c r="I1011" s="55" t="n">
        <v>894.1799999999999</v>
      </c>
      <c r="J1011" s="55" t="n">
        <v>0</v>
      </c>
      <c r="K1011" s="55" t="n">
        <v>0</v>
      </c>
      <c r="L1011" s="55" t="n">
        <v>894.1799999999999</v>
      </c>
      <c r="M1011" s="55" t="n">
        <v>31.18</v>
      </c>
      <c r="N1011" s="36" t="inlineStr">
        <is>
          <t>004336</t>
        </is>
      </c>
      <c r="O1011" s="36" t="inlineStr">
        <is>
          <t>CAREMARK</t>
        </is>
      </c>
      <c r="P1011" s="36" t="inlineStr">
        <is>
          <t>MEDDADV</t>
        </is>
      </c>
      <c r="Q1011" s="36" t="inlineStr">
        <is>
          <t>RXCVSD</t>
        </is>
      </c>
    </row>
    <row r="1012">
      <c r="A1012" s="36" t="inlineStr">
        <is>
          <t>139192</t>
        </is>
      </c>
      <c r="B1012" s="52" t="n">
        <v>46037</v>
      </c>
      <c r="C1012" s="36" t="inlineStr">
        <is>
          <t>00310111030</t>
        </is>
      </c>
      <c r="D1012" s="53" t="inlineStr">
        <is>
          <t>LOKELMA 10GM PACK</t>
        </is>
      </c>
      <c r="E1012" s="36" t="n">
        <v>30</v>
      </c>
      <c r="F1012" s="54" t="n">
        <v>30</v>
      </c>
      <c r="G1012" s="54" t="n">
        <v>1</v>
      </c>
      <c r="H1012" s="55" t="n">
        <v>829</v>
      </c>
      <c r="I1012" s="55" t="n">
        <v>884.99</v>
      </c>
      <c r="J1012" s="55" t="n">
        <v>0</v>
      </c>
      <c r="K1012" s="55" t="n">
        <v>4.9</v>
      </c>
      <c r="L1012" s="55" t="n">
        <v>889.89</v>
      </c>
      <c r="M1012" s="55" t="n">
        <v>60.89</v>
      </c>
      <c r="N1012" s="36" t="inlineStr">
        <is>
          <t>610097</t>
        </is>
      </c>
      <c r="O1012" s="36" t="inlineStr">
        <is>
          <t>OPTUM</t>
        </is>
      </c>
      <c r="P1012" s="36" t="inlineStr">
        <is>
          <t>9999</t>
        </is>
      </c>
      <c r="Q1012" s="36" t="inlineStr">
        <is>
          <t>MPDCSP</t>
        </is>
      </c>
    </row>
    <row r="1013">
      <c r="A1013" s="36" t="inlineStr">
        <is>
          <t>119281</t>
        </is>
      </c>
      <c r="B1013" s="52" t="n">
        <v>45995</v>
      </c>
      <c r="C1013" s="36" t="inlineStr">
        <is>
          <t>00310111030</t>
        </is>
      </c>
      <c r="D1013" s="53" t="inlineStr">
        <is>
          <t>LOKELMA 10GM PACK</t>
        </is>
      </c>
      <c r="E1013" s="36" t="n">
        <v>30</v>
      </c>
      <c r="F1013" s="54" t="n">
        <v>30</v>
      </c>
      <c r="G1013" s="54" t="n">
        <v>1</v>
      </c>
      <c r="H1013" s="55" t="n">
        <v>829</v>
      </c>
      <c r="I1013" s="55" t="n">
        <v>812.36</v>
      </c>
      <c r="J1013" s="55" t="n">
        <v>0</v>
      </c>
      <c r="K1013" s="55" t="n">
        <v>0</v>
      </c>
      <c r="L1013" s="55" t="n">
        <v>812.36</v>
      </c>
      <c r="M1013" s="55" t="n">
        <v>-16.64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134308</t>
        </is>
      </c>
      <c r="B1014" s="52" t="n">
        <v>45999</v>
      </c>
      <c r="C1014" s="36" t="inlineStr">
        <is>
          <t>00310111030</t>
        </is>
      </c>
      <c r="D1014" s="53" t="inlineStr">
        <is>
          <t>LOKELMA 10GM PACK</t>
        </is>
      </c>
      <c r="E1014" s="36" t="n">
        <v>30</v>
      </c>
      <c r="F1014" s="54" t="n">
        <v>30</v>
      </c>
      <c r="G1014" s="54" t="n">
        <v>1</v>
      </c>
      <c r="H1014" s="55" t="n">
        <v>829</v>
      </c>
      <c r="I1014" s="55" t="n">
        <v>864.52</v>
      </c>
      <c r="J1014" s="55" t="n">
        <v>0</v>
      </c>
      <c r="K1014" s="55" t="n">
        <v>0</v>
      </c>
      <c r="L1014" s="55" t="n">
        <v>864.52</v>
      </c>
      <c r="M1014" s="55" t="n">
        <v>35.52</v>
      </c>
      <c r="N1014" s="36" t="inlineStr">
        <is>
          <t>610097</t>
        </is>
      </c>
      <c r="O1014" s="36" t="inlineStr">
        <is>
          <t>OPTUM</t>
        </is>
      </c>
      <c r="P1014" s="36" t="inlineStr">
        <is>
          <t>9999</t>
        </is>
      </c>
      <c r="Q1014" s="36" t="inlineStr">
        <is>
          <t>MPDCSP</t>
        </is>
      </c>
    </row>
    <row r="1015">
      <c r="A1015" s="36" t="inlineStr">
        <is>
          <t>133336</t>
        </is>
      </c>
      <c r="B1015" s="52" t="n">
        <v>45993</v>
      </c>
      <c r="C1015" s="36" t="inlineStr">
        <is>
          <t>00310111030</t>
        </is>
      </c>
      <c r="D1015" s="53" t="inlineStr">
        <is>
          <t>LOKELMA 10GM PACK</t>
        </is>
      </c>
      <c r="E1015" s="36" t="n">
        <v>30</v>
      </c>
      <c r="F1015" s="54" t="n">
        <v>30</v>
      </c>
      <c r="G1015" s="54" t="n">
        <v>1</v>
      </c>
      <c r="H1015" s="55" t="n">
        <v>829</v>
      </c>
      <c r="I1015" s="55" t="n">
        <v>812.36</v>
      </c>
      <c r="J1015" s="55" t="n">
        <v>0</v>
      </c>
      <c r="K1015" s="55" t="n">
        <v>0</v>
      </c>
      <c r="L1015" s="55" t="n">
        <v>812.36</v>
      </c>
      <c r="M1015" s="55" t="n">
        <v>-16.64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144410</t>
        </is>
      </c>
      <c r="B1016" s="52" t="n">
        <v>46076</v>
      </c>
      <c r="C1016" s="36" t="inlineStr">
        <is>
          <t>00310111030</t>
        </is>
      </c>
      <c r="D1016" s="53" t="inlineStr">
        <is>
          <t>LOKELMA 10GM PACK</t>
        </is>
      </c>
      <c r="E1016" s="36" t="n">
        <v>30</v>
      </c>
      <c r="F1016" s="54" t="n">
        <v>30</v>
      </c>
      <c r="G1016" s="54" t="n">
        <v>1</v>
      </c>
      <c r="H1016" s="55" t="n">
        <v>863</v>
      </c>
      <c r="I1016" s="55" t="n">
        <v>844.1799999999999</v>
      </c>
      <c r="J1016" s="55" t="n">
        <v>0</v>
      </c>
      <c r="K1016" s="55" t="n">
        <v>0</v>
      </c>
      <c r="L1016" s="55" t="n">
        <v>844.1799999999999</v>
      </c>
      <c r="M1016" s="55" t="n">
        <v>-18.82</v>
      </c>
      <c r="N1016" s="36" t="inlineStr">
        <is>
          <t>004336</t>
        </is>
      </c>
      <c r="O1016" s="36" t="inlineStr">
        <is>
          <t>CAREMARK</t>
        </is>
      </c>
      <c r="P1016" s="36" t="inlineStr">
        <is>
          <t>MEDDADV</t>
        </is>
      </c>
      <c r="Q1016" s="36" t="inlineStr">
        <is>
          <t>RX1110</t>
        </is>
      </c>
    </row>
    <row r="1017">
      <c r="A1017" s="36" t="inlineStr">
        <is>
          <t>136849</t>
        </is>
      </c>
      <c r="B1017" s="52" t="n">
        <v>46020</v>
      </c>
      <c r="C1017" s="36" t="inlineStr">
        <is>
          <t>00310111030</t>
        </is>
      </c>
      <c r="D1017" s="53" t="inlineStr">
        <is>
          <t>LOKELMA 10GM PACK</t>
        </is>
      </c>
      <c r="E1017" s="36" t="n">
        <v>30</v>
      </c>
      <c r="F1017" s="54" t="n">
        <v>30</v>
      </c>
      <c r="G1017" s="54" t="n">
        <v>1</v>
      </c>
      <c r="H1017" s="55" t="n">
        <v>829</v>
      </c>
      <c r="I1017" s="55" t="n">
        <v>770.21</v>
      </c>
      <c r="J1017" s="55" t="n">
        <v>0</v>
      </c>
      <c r="K1017" s="55" t="n">
        <v>0</v>
      </c>
      <c r="L1017" s="55" t="n">
        <v>770.21</v>
      </c>
      <c r="M1017" s="55" t="n">
        <v>-58.79</v>
      </c>
      <c r="N1017" s="36" t="inlineStr">
        <is>
          <t>610014</t>
        </is>
      </c>
      <c r="O1017" s="36" t="inlineStr">
        <is>
          <t>EXPRESS</t>
        </is>
      </c>
      <c r="P1017" s="36" t="inlineStr">
        <is>
          <t>MEDDPRIME</t>
        </is>
      </c>
      <c r="Q1017" s="36" t="inlineStr">
        <is>
          <t>2FGA</t>
        </is>
      </c>
    </row>
    <row r="1018">
      <c r="A1018" s="36" t="inlineStr">
        <is>
          <t>133534</t>
        </is>
      </c>
      <c r="B1018" s="52" t="n">
        <v>45994</v>
      </c>
      <c r="C1018" s="36" t="inlineStr">
        <is>
          <t>00310111030</t>
        </is>
      </c>
      <c r="D1018" s="53" t="inlineStr">
        <is>
          <t>LOKELMA 10GM PACK</t>
        </is>
      </c>
      <c r="E1018" s="36" t="n">
        <v>30</v>
      </c>
      <c r="F1018" s="54" t="n">
        <v>30</v>
      </c>
      <c r="G1018" s="54" t="n">
        <v>1</v>
      </c>
      <c r="H1018" s="55" t="n">
        <v>829</v>
      </c>
      <c r="I1018" s="55" t="n">
        <v>812.36</v>
      </c>
      <c r="J1018" s="55" t="n">
        <v>0</v>
      </c>
      <c r="K1018" s="55" t="n">
        <v>0</v>
      </c>
      <c r="L1018" s="55" t="n">
        <v>812.36</v>
      </c>
      <c r="M1018" s="55" t="n">
        <v>-16.64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134308</t>
        </is>
      </c>
      <c r="B1019" s="52" t="n">
        <v>46027</v>
      </c>
      <c r="C1019" s="36" t="inlineStr">
        <is>
          <t>00310111030</t>
        </is>
      </c>
      <c r="D1019" s="53" t="inlineStr">
        <is>
          <t>LOKELMA 10GM PACK</t>
        </is>
      </c>
      <c r="E1019" s="36" t="n">
        <v>30</v>
      </c>
      <c r="F1019" s="54" t="n">
        <v>30</v>
      </c>
      <c r="G1019" s="54" t="n">
        <v>1</v>
      </c>
      <c r="H1019" s="55" t="n">
        <v>829</v>
      </c>
      <c r="I1019" s="55" t="n">
        <v>889.89</v>
      </c>
      <c r="J1019" s="55" t="n">
        <v>0</v>
      </c>
      <c r="K1019" s="55" t="n">
        <v>0</v>
      </c>
      <c r="L1019" s="55" t="n">
        <v>889.89</v>
      </c>
      <c r="M1019" s="55" t="n">
        <v>60.89</v>
      </c>
      <c r="N1019" s="36" t="inlineStr">
        <is>
          <t>610097</t>
        </is>
      </c>
      <c r="O1019" s="36" t="inlineStr">
        <is>
          <t>OPTUM</t>
        </is>
      </c>
      <c r="P1019" s="36" t="inlineStr">
        <is>
          <t>9999</t>
        </is>
      </c>
      <c r="Q1019" s="36" t="inlineStr">
        <is>
          <t>MPDCSP</t>
        </is>
      </c>
    </row>
    <row r="1020">
      <c r="A1020" s="36" t="inlineStr">
        <is>
          <t>123483</t>
        </is>
      </c>
      <c r="B1020" s="52" t="n">
        <v>46001</v>
      </c>
      <c r="C1020" s="36" t="inlineStr">
        <is>
          <t>00310111030</t>
        </is>
      </c>
      <c r="D1020" s="53" t="inlineStr">
        <is>
          <t>LOKELMA 10GM PACK</t>
        </is>
      </c>
      <c r="E1020" s="36" t="n">
        <v>30</v>
      </c>
      <c r="F1020" s="54" t="n">
        <v>30</v>
      </c>
      <c r="G1020" s="54" t="n">
        <v>1</v>
      </c>
      <c r="H1020" s="55" t="n">
        <v>829</v>
      </c>
      <c r="I1020" s="55" t="n">
        <v>812.36</v>
      </c>
      <c r="J1020" s="55" t="n">
        <v>0</v>
      </c>
      <c r="K1020" s="55" t="n">
        <v>0</v>
      </c>
      <c r="L1020" s="55" t="n">
        <v>812.36</v>
      </c>
      <c r="M1020" s="55" t="n">
        <v>-16.64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130073</t>
        </is>
      </c>
      <c r="B1021" s="52" t="n">
        <v>45994</v>
      </c>
      <c r="C1021" s="36" t="inlineStr">
        <is>
          <t>00310110530</t>
        </is>
      </c>
      <c r="D1021" s="53" t="inlineStr">
        <is>
          <t>LOKELMA 5GM PACK</t>
        </is>
      </c>
      <c r="E1021" s="36" t="n">
        <v>30</v>
      </c>
      <c r="F1021" s="54" t="n">
        <v>30</v>
      </c>
      <c r="G1021" s="54" t="n">
        <v>1</v>
      </c>
      <c r="H1021" s="55" t="n">
        <v>829</v>
      </c>
      <c r="I1021" s="55" t="n">
        <v>812.36</v>
      </c>
      <c r="J1021" s="55" t="n">
        <v>0</v>
      </c>
      <c r="K1021" s="55" t="n">
        <v>0</v>
      </c>
      <c r="L1021" s="55" t="n">
        <v>812.36</v>
      </c>
      <c r="M1021" s="55" t="n">
        <v>-16.64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137171</t>
        </is>
      </c>
      <c r="B1022" s="52" t="n">
        <v>46024</v>
      </c>
      <c r="C1022" s="36" t="inlineStr">
        <is>
          <t>00310110530</t>
        </is>
      </c>
      <c r="D1022" s="53" t="inlineStr">
        <is>
          <t>LOKELMA 5GM PACK</t>
        </is>
      </c>
      <c r="E1022" s="36" t="n">
        <v>30</v>
      </c>
      <c r="F1022" s="54" t="n">
        <v>30</v>
      </c>
      <c r="G1022" s="54" t="n">
        <v>1</v>
      </c>
      <c r="H1022" s="55" t="n">
        <v>829</v>
      </c>
      <c r="I1022" s="55" t="n">
        <v>839.28</v>
      </c>
      <c r="J1022" s="55" t="n">
        <v>0</v>
      </c>
      <c r="K1022" s="55" t="n">
        <v>4.9</v>
      </c>
      <c r="L1022" s="55" t="n">
        <v>844.1799999999999</v>
      </c>
      <c r="M1022" s="55" t="n">
        <v>15.18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140630</t>
        </is>
      </c>
      <c r="B1023" s="52" t="n">
        <v>46077</v>
      </c>
      <c r="C1023" s="36" t="inlineStr">
        <is>
          <t>00310110530</t>
        </is>
      </c>
      <c r="D1023" s="53" t="inlineStr">
        <is>
          <t>LOKELMA 5GM PACK</t>
        </is>
      </c>
      <c r="E1023" s="36" t="n">
        <v>30</v>
      </c>
      <c r="F1023" s="54" t="n">
        <v>30</v>
      </c>
      <c r="G1023" s="54" t="n">
        <v>1</v>
      </c>
      <c r="H1023" s="55" t="n">
        <v>863</v>
      </c>
      <c r="I1023" s="55" t="n">
        <v>839.28</v>
      </c>
      <c r="J1023" s="55" t="n">
        <v>0</v>
      </c>
      <c r="K1023" s="55" t="n">
        <v>4.9</v>
      </c>
      <c r="L1023" s="55" t="n">
        <v>844.1799999999999</v>
      </c>
      <c r="M1023" s="55" t="n">
        <v>-18.82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140630</t>
        </is>
      </c>
      <c r="B1024" s="52" t="n">
        <v>46049</v>
      </c>
      <c r="C1024" s="36" t="inlineStr">
        <is>
          <t>00310110530</t>
        </is>
      </c>
      <c r="D1024" s="53" t="inlineStr">
        <is>
          <t>LOKELMA 5GM PACK</t>
        </is>
      </c>
      <c r="E1024" s="36" t="n">
        <v>30</v>
      </c>
      <c r="F1024" s="54" t="n">
        <v>30</v>
      </c>
      <c r="G1024" s="54" t="n">
        <v>1</v>
      </c>
      <c r="H1024" s="55" t="n">
        <v>829</v>
      </c>
      <c r="I1024" s="55" t="n">
        <v>839.28</v>
      </c>
      <c r="J1024" s="55" t="n">
        <v>0</v>
      </c>
      <c r="K1024" s="55" t="n">
        <v>4.9</v>
      </c>
      <c r="L1024" s="55" t="n">
        <v>844.1799999999999</v>
      </c>
      <c r="M1024" s="55" t="n">
        <v>15.18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126075</t>
        </is>
      </c>
      <c r="B1025" s="52" t="n">
        <v>45993</v>
      </c>
      <c r="C1025" s="36" t="inlineStr">
        <is>
          <t>00310110530</t>
        </is>
      </c>
      <c r="D1025" s="53" t="inlineStr">
        <is>
          <t>LOKELMA 5GM PACK</t>
        </is>
      </c>
      <c r="E1025" s="36" t="n">
        <v>30</v>
      </c>
      <c r="F1025" s="54" t="n">
        <v>30</v>
      </c>
      <c r="G1025" s="54" t="n">
        <v>1</v>
      </c>
      <c r="H1025" s="55" t="n">
        <v>829</v>
      </c>
      <c r="I1025" s="55" t="n">
        <v>812.36</v>
      </c>
      <c r="J1025" s="55" t="n">
        <v>0</v>
      </c>
      <c r="K1025" s="55" t="n">
        <v>0</v>
      </c>
      <c r="L1025" s="55" t="n">
        <v>812.36</v>
      </c>
      <c r="M1025" s="55" t="n">
        <v>-16.64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137171</t>
        </is>
      </c>
      <c r="B1026" s="52" t="n">
        <v>46051</v>
      </c>
      <c r="C1026" s="36" t="inlineStr">
        <is>
          <t>00310110530</t>
        </is>
      </c>
      <c r="D1026" s="53" t="inlineStr">
        <is>
          <t>LOKELMA 5GM PACK</t>
        </is>
      </c>
      <c r="E1026" s="36" t="n">
        <v>30</v>
      </c>
      <c r="F1026" s="54" t="n">
        <v>30</v>
      </c>
      <c r="G1026" s="54" t="n">
        <v>1</v>
      </c>
      <c r="H1026" s="55" t="n">
        <v>829</v>
      </c>
      <c r="I1026" s="55" t="n">
        <v>839.28</v>
      </c>
      <c r="J1026" s="55" t="n">
        <v>0</v>
      </c>
      <c r="K1026" s="55" t="n">
        <v>4.9</v>
      </c>
      <c r="L1026" s="55" t="n">
        <v>844.1799999999999</v>
      </c>
      <c r="M1026" s="55" t="n">
        <v>15.18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141083</t>
        </is>
      </c>
      <c r="B1027" s="52" t="n">
        <v>46051</v>
      </c>
      <c r="C1027" s="36" t="inlineStr">
        <is>
          <t>00310110530</t>
        </is>
      </c>
      <c r="D1027" s="53" t="inlineStr">
        <is>
          <t>LOKELMA 5GM PACK</t>
        </is>
      </c>
      <c r="E1027" s="36" t="n">
        <v>30</v>
      </c>
      <c r="F1027" s="54" t="n">
        <v>90</v>
      </c>
      <c r="G1027" s="54" t="n">
        <v>3</v>
      </c>
      <c r="H1027" s="55" t="n">
        <v>2487</v>
      </c>
      <c r="I1027" s="55" t="n">
        <v>2486.49</v>
      </c>
      <c r="J1027" s="55" t="n">
        <v>0</v>
      </c>
      <c r="K1027" s="55" t="n">
        <v>4.9</v>
      </c>
      <c r="L1027" s="55" t="n">
        <v>2491.39</v>
      </c>
      <c r="M1027" s="55" t="n">
        <v>4.39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126075</t>
        </is>
      </c>
      <c r="B1028" s="52" t="n">
        <v>46021</v>
      </c>
      <c r="C1028" s="36" t="inlineStr">
        <is>
          <t>00310110530</t>
        </is>
      </c>
      <c r="D1028" s="53" t="inlineStr">
        <is>
          <t>LOKELMA 5GM PACK</t>
        </is>
      </c>
      <c r="E1028" s="36" t="n">
        <v>30</v>
      </c>
      <c r="F1028" s="54" t="n">
        <v>30</v>
      </c>
      <c r="G1028" s="54" t="n">
        <v>1</v>
      </c>
      <c r="H1028" s="55" t="n">
        <v>829</v>
      </c>
      <c r="I1028" s="55" t="n">
        <v>812.36</v>
      </c>
      <c r="J1028" s="55" t="n">
        <v>0</v>
      </c>
      <c r="K1028" s="55" t="n">
        <v>0</v>
      </c>
      <c r="L1028" s="55" t="n">
        <v>812.36</v>
      </c>
      <c r="M1028" s="55" t="n">
        <v>-16.64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142180</t>
        </is>
      </c>
      <c r="B1029" s="52" t="n">
        <v>46059</v>
      </c>
      <c r="C1029" s="36" t="inlineStr">
        <is>
          <t>00023320505</t>
        </is>
      </c>
      <c r="D1029" s="53" t="inlineStr">
        <is>
          <t>LUMIGAN 0.01 % OPHTHALMIC SOLUTION</t>
        </is>
      </c>
      <c r="E1029" s="36" t="n">
        <v>5</v>
      </c>
      <c r="F1029" s="54" t="n">
        <v>5</v>
      </c>
      <c r="G1029" s="54" t="n">
        <v>1</v>
      </c>
      <c r="H1029" s="55" t="n">
        <v>524</v>
      </c>
      <c r="I1029" s="55" t="n">
        <v>507.57</v>
      </c>
      <c r="J1029" s="55" t="n">
        <v>0</v>
      </c>
      <c r="K1029" s="55" t="n">
        <v>4.9</v>
      </c>
      <c r="L1029" s="55" t="n">
        <v>512.47</v>
      </c>
      <c r="M1029" s="55" t="n">
        <v>-11.53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123204</t>
        </is>
      </c>
      <c r="B1030" s="52" t="n">
        <v>46013</v>
      </c>
      <c r="C1030" s="36" t="inlineStr">
        <is>
          <t>00023320505</t>
        </is>
      </c>
      <c r="D1030" s="53" t="inlineStr">
        <is>
          <t>LUMIGAN 0.01 % OPHTHALMIC SOLUTION</t>
        </is>
      </c>
      <c r="E1030" s="36" t="n">
        <v>5</v>
      </c>
      <c r="F1030" s="54" t="n">
        <v>5</v>
      </c>
      <c r="G1030" s="54" t="n">
        <v>1</v>
      </c>
      <c r="H1030" s="55" t="n">
        <v>524</v>
      </c>
      <c r="I1030" s="55" t="n">
        <v>497.49</v>
      </c>
      <c r="J1030" s="55" t="n">
        <v>0</v>
      </c>
      <c r="K1030" s="55" t="n">
        <v>0</v>
      </c>
      <c r="L1030" s="55" t="n">
        <v>497.49</v>
      </c>
      <c r="M1030" s="55" t="n">
        <v>-26.51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123204</t>
        </is>
      </c>
      <c r="B1031" s="52" t="n">
        <v>46059</v>
      </c>
      <c r="C1031" s="36" t="inlineStr">
        <is>
          <t>00023320505</t>
        </is>
      </c>
      <c r="D1031" s="53" t="inlineStr">
        <is>
          <t>LUMIGAN 0.01 % OPHTHALMIC SOLUTION</t>
        </is>
      </c>
      <c r="E1031" s="36" t="n">
        <v>5</v>
      </c>
      <c r="F1031" s="54" t="n">
        <v>5</v>
      </c>
      <c r="G1031" s="54" t="n">
        <v>1</v>
      </c>
      <c r="H1031" s="55" t="n">
        <v>524</v>
      </c>
      <c r="I1031" s="55" t="n">
        <v>512.47</v>
      </c>
      <c r="J1031" s="55" t="n">
        <v>0</v>
      </c>
      <c r="K1031" s="55" t="n">
        <v>0</v>
      </c>
      <c r="L1031" s="55" t="n">
        <v>512.47</v>
      </c>
      <c r="M1031" s="55" t="n">
        <v>-11.53</v>
      </c>
      <c r="N1031" s="36" t="inlineStr">
        <is>
          <t>004336</t>
        </is>
      </c>
      <c r="O1031" s="36" t="inlineStr">
        <is>
          <t>CAREMARK</t>
        </is>
      </c>
      <c r="P1031" s="36" t="inlineStr">
        <is>
          <t>MEDDADV</t>
        </is>
      </c>
      <c r="Q1031" s="36" t="inlineStr">
        <is>
          <t>RX1110</t>
        </is>
      </c>
    </row>
    <row r="1032">
      <c r="A1032" s="36" t="inlineStr">
        <is>
          <t>131328</t>
        </is>
      </c>
      <c r="B1032" s="52" t="n">
        <v>46048</v>
      </c>
      <c r="C1032" s="36" t="inlineStr">
        <is>
          <t>00023320508</t>
        </is>
      </c>
      <c r="D1032" s="53" t="inlineStr">
        <is>
          <t>LUMIGAN 0.01% SOLUTION</t>
        </is>
      </c>
      <c r="E1032" s="36" t="n">
        <v>7.5</v>
      </c>
      <c r="F1032" s="54" t="n">
        <v>7.5</v>
      </c>
      <c r="G1032" s="54" t="n">
        <v>1</v>
      </c>
      <c r="H1032" s="55" t="n">
        <v>780</v>
      </c>
      <c r="I1032" s="55" t="n">
        <v>745.61</v>
      </c>
      <c r="J1032" s="55" t="n">
        <v>0</v>
      </c>
      <c r="K1032" s="55" t="n">
        <v>4.9</v>
      </c>
      <c r="L1032" s="55" t="n">
        <v>750.51</v>
      </c>
      <c r="M1032" s="55" t="n">
        <v>-29.49</v>
      </c>
      <c r="N1032" s="36" t="inlineStr">
        <is>
          <t>015574</t>
        </is>
      </c>
      <c r="O1032" s="36" t="inlineStr">
        <is>
          <t>MEDIMP</t>
        </is>
      </c>
      <c r="P1032" s="36" t="inlineStr">
        <is>
          <t>ASPROD1</t>
        </is>
      </c>
      <c r="Q1032" s="36" t="inlineStr">
        <is>
          <t>VNS01</t>
        </is>
      </c>
    </row>
    <row r="1033">
      <c r="A1033" s="36" t="inlineStr">
        <is>
          <t>125432</t>
        </is>
      </c>
      <c r="B1033" s="52" t="n">
        <v>46004</v>
      </c>
      <c r="C1033" s="36" t="inlineStr">
        <is>
          <t>00023320508</t>
        </is>
      </c>
      <c r="D1033" s="53" t="inlineStr">
        <is>
          <t>LUMIGAN 0.01% SOLUTION</t>
        </is>
      </c>
      <c r="E1033" s="36" t="n">
        <v>7.5</v>
      </c>
      <c r="F1033" s="54" t="n">
        <v>7.5</v>
      </c>
      <c r="G1033" s="54" t="n">
        <v>1</v>
      </c>
      <c r="H1033" s="55" t="n">
        <v>762</v>
      </c>
      <c r="I1033" s="55" t="n">
        <v>746.3200000000001</v>
      </c>
      <c r="J1033" s="55" t="n">
        <v>0</v>
      </c>
      <c r="K1033" s="55" t="n">
        <v>0</v>
      </c>
      <c r="L1033" s="55" t="n">
        <v>746.3200000000001</v>
      </c>
      <c r="M1033" s="55" t="n">
        <v>-15.68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132710</t>
        </is>
      </c>
      <c r="B1034" s="52" t="n">
        <v>46059</v>
      </c>
      <c r="C1034" s="36" t="inlineStr">
        <is>
          <t>00023320508</t>
        </is>
      </c>
      <c r="D1034" s="53" t="inlineStr">
        <is>
          <t>LUMIGAN 0.01% SOLUTION</t>
        </is>
      </c>
      <c r="E1034" s="36" t="n">
        <v>7.5</v>
      </c>
      <c r="F1034" s="54" t="n">
        <v>7.5</v>
      </c>
      <c r="G1034" s="54" t="n">
        <v>1</v>
      </c>
      <c r="H1034" s="55" t="n">
        <v>786</v>
      </c>
      <c r="I1034" s="55" t="n">
        <v>763.89</v>
      </c>
      <c r="J1034" s="55" t="n">
        <v>0</v>
      </c>
      <c r="K1034" s="55" t="n">
        <v>4.9</v>
      </c>
      <c r="L1034" s="55" t="n">
        <v>768.79</v>
      </c>
      <c r="M1034" s="55" t="n">
        <v>-17.21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141488</t>
        </is>
      </c>
      <c r="B1035" s="52" t="n">
        <v>46055</v>
      </c>
      <c r="C1035" s="36" t="inlineStr">
        <is>
          <t>00023320508</t>
        </is>
      </c>
      <c r="D1035" s="53" t="inlineStr">
        <is>
          <t>LUMIGAN 0.01% SOLUTION</t>
        </is>
      </c>
      <c r="E1035" s="36" t="n">
        <v>7.5</v>
      </c>
      <c r="F1035" s="54" t="n">
        <v>7.5</v>
      </c>
      <c r="G1035" s="54" t="n">
        <v>1</v>
      </c>
      <c r="H1035" s="55" t="n">
        <v>786</v>
      </c>
      <c r="I1035" s="55" t="n">
        <v>768.79</v>
      </c>
      <c r="J1035" s="55" t="n">
        <v>0</v>
      </c>
      <c r="K1035" s="55" t="n">
        <v>0</v>
      </c>
      <c r="L1035" s="55" t="n">
        <v>768.79</v>
      </c>
      <c r="M1035" s="55" t="n">
        <v>-17.21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137360</t>
        </is>
      </c>
      <c r="B1036" s="52" t="n">
        <v>46024</v>
      </c>
      <c r="C1036" s="36" t="inlineStr">
        <is>
          <t>00023320508</t>
        </is>
      </c>
      <c r="D1036" s="53" t="inlineStr">
        <is>
          <t>LUMIGAN 0.01% SOLUTION</t>
        </is>
      </c>
      <c r="E1036" s="36" t="n">
        <v>7.5</v>
      </c>
      <c r="F1036" s="54" t="n">
        <v>7.5</v>
      </c>
      <c r="G1036" s="54" t="n">
        <v>1</v>
      </c>
      <c r="H1036" s="55" t="n">
        <v>780</v>
      </c>
      <c r="I1036" s="55" t="n">
        <v>752.97</v>
      </c>
      <c r="J1036" s="55" t="n">
        <v>0</v>
      </c>
      <c r="K1036" s="55" t="n">
        <v>0</v>
      </c>
      <c r="L1036" s="55" t="n">
        <v>752.97</v>
      </c>
      <c r="M1036" s="55" t="n">
        <v>-27.03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140527</t>
        </is>
      </c>
      <c r="B1037" s="52" t="n">
        <v>46048</v>
      </c>
      <c r="C1037" s="36" t="inlineStr">
        <is>
          <t>00023320508</t>
        </is>
      </c>
      <c r="D1037" s="53" t="inlineStr">
        <is>
          <t>LUMIGAN 0.01% SOLUTION</t>
        </is>
      </c>
      <c r="E1037" s="36" t="n">
        <v>7.5</v>
      </c>
      <c r="F1037" s="54" t="n">
        <v>7.5</v>
      </c>
      <c r="G1037" s="54" t="n">
        <v>1</v>
      </c>
      <c r="H1037" s="55" t="n">
        <v>780</v>
      </c>
      <c r="I1037" s="55" t="n">
        <v>768.79</v>
      </c>
      <c r="J1037" s="55" t="n">
        <v>0</v>
      </c>
      <c r="K1037" s="55" t="n">
        <v>0</v>
      </c>
      <c r="L1037" s="55" t="n">
        <v>768.79</v>
      </c>
      <c r="M1037" s="55" t="n">
        <v>-11.21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114632</t>
        </is>
      </c>
      <c r="B1038" s="52" t="n">
        <v>46069</v>
      </c>
      <c r="C1038" s="36" t="inlineStr">
        <is>
          <t>00023320508</t>
        </is>
      </c>
      <c r="D1038" s="53" t="inlineStr">
        <is>
          <t>LUMIGAN 0.01% SOLUTION</t>
        </is>
      </c>
      <c r="E1038" s="36" t="n">
        <v>7.5</v>
      </c>
      <c r="F1038" s="54" t="n">
        <v>7.5</v>
      </c>
      <c r="G1038" s="54" t="n">
        <v>1</v>
      </c>
      <c r="H1038" s="55" t="n">
        <v>786</v>
      </c>
      <c r="I1038" s="55" t="n">
        <v>784.8200000000001</v>
      </c>
      <c r="J1038" s="55" t="n">
        <v>0</v>
      </c>
      <c r="K1038" s="55" t="n">
        <v>0</v>
      </c>
      <c r="L1038" s="55" t="n">
        <v>784.8200000000001</v>
      </c>
      <c r="M1038" s="55" t="n">
        <v>-1.18</v>
      </c>
      <c r="N1038" s="36" t="inlineStr">
        <is>
          <t>004740</t>
        </is>
      </c>
      <c r="O1038" s="36" t="inlineStr">
        <is>
          <t>NYM</t>
        </is>
      </c>
      <c r="P1038" s="36" t="inlineStr">
        <is>
          <t>9314DA31</t>
        </is>
      </c>
      <c r="Q1038" s="36" t="n">
        <v/>
      </c>
    </row>
    <row r="1039">
      <c r="A1039" s="36" t="inlineStr">
        <is>
          <t>129134</t>
        </is>
      </c>
      <c r="B1039" s="52" t="n">
        <v>46030</v>
      </c>
      <c r="C1039" s="36" t="inlineStr">
        <is>
          <t>00023320508</t>
        </is>
      </c>
      <c r="D1039" s="53" t="inlineStr">
        <is>
          <t>LUMIGAN 0.01% SOLUTION</t>
        </is>
      </c>
      <c r="E1039" s="36" t="n">
        <v>7.5</v>
      </c>
      <c r="F1039" s="54" t="n">
        <v>7.5</v>
      </c>
      <c r="G1039" s="54" t="n">
        <v>1</v>
      </c>
      <c r="H1039" s="55" t="n">
        <v>780</v>
      </c>
      <c r="I1039" s="55" t="n">
        <v>768.79</v>
      </c>
      <c r="J1039" s="55" t="n">
        <v>0</v>
      </c>
      <c r="K1039" s="55" t="n">
        <v>0</v>
      </c>
      <c r="L1039" s="55" t="n">
        <v>768.79</v>
      </c>
      <c r="M1039" s="55" t="n">
        <v>-11.21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114898</t>
        </is>
      </c>
      <c r="B1040" s="52" t="n">
        <v>46004</v>
      </c>
      <c r="C1040" s="36" t="inlineStr">
        <is>
          <t>00023320508</t>
        </is>
      </c>
      <c r="D1040" s="53" t="inlineStr">
        <is>
          <t>LUMIGAN 0.01% SOLUTION</t>
        </is>
      </c>
      <c r="E1040" s="36" t="n">
        <v>7.5</v>
      </c>
      <c r="F1040" s="54" t="n">
        <v>7.5</v>
      </c>
      <c r="G1040" s="54" t="n">
        <v>1</v>
      </c>
      <c r="H1040" s="55" t="n">
        <v>762</v>
      </c>
      <c r="I1040" s="55" t="n">
        <v>746.3200000000001</v>
      </c>
      <c r="J1040" s="55" t="n">
        <v>0</v>
      </c>
      <c r="K1040" s="55" t="n">
        <v>0</v>
      </c>
      <c r="L1040" s="55" t="n">
        <v>746.3200000000001</v>
      </c>
      <c r="M1040" s="55" t="n">
        <v>-15.68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142586</t>
        </is>
      </c>
      <c r="B1041" s="52" t="n">
        <v>46063</v>
      </c>
      <c r="C1041" s="36" t="inlineStr">
        <is>
          <t>00023320508</t>
        </is>
      </c>
      <c r="D1041" s="53" t="inlineStr">
        <is>
          <t>LUMIGAN 0.01% SOLUTION</t>
        </is>
      </c>
      <c r="E1041" s="36" t="n">
        <v>7.5</v>
      </c>
      <c r="F1041" s="54" t="n">
        <v>7.5</v>
      </c>
      <c r="G1041" s="54" t="n">
        <v>1</v>
      </c>
      <c r="H1041" s="55" t="n">
        <v>786</v>
      </c>
      <c r="I1041" s="55" t="n">
        <v>768.79</v>
      </c>
      <c r="J1041" s="55" t="n">
        <v>0</v>
      </c>
      <c r="K1041" s="55" t="n">
        <v>0</v>
      </c>
      <c r="L1041" s="55" t="n">
        <v>768.79</v>
      </c>
      <c r="M1041" s="55" t="n">
        <v>-17.21</v>
      </c>
      <c r="N1041" s="36" t="inlineStr">
        <is>
          <t>004336</t>
        </is>
      </c>
      <c r="O1041" s="36" t="inlineStr">
        <is>
          <t>CAREMARK</t>
        </is>
      </c>
      <c r="P1041" s="36" t="inlineStr">
        <is>
          <t>MEDDADV</t>
        </is>
      </c>
      <c r="Q1041" s="36" t="inlineStr">
        <is>
          <t>RX1110</t>
        </is>
      </c>
    </row>
    <row r="1042">
      <c r="A1042" s="36" t="inlineStr">
        <is>
          <t>134657</t>
        </is>
      </c>
      <c r="B1042" s="52" t="n">
        <v>46001</v>
      </c>
      <c r="C1042" s="36" t="inlineStr">
        <is>
          <t>00023320508</t>
        </is>
      </c>
      <c r="D1042" s="53" t="inlineStr">
        <is>
          <t>LUMIGAN 0.01% SOLUTION</t>
        </is>
      </c>
      <c r="E1042" s="36" t="n">
        <v>7.5</v>
      </c>
      <c r="F1042" s="54" t="n">
        <v>7.5</v>
      </c>
      <c r="G1042" s="54" t="n">
        <v>1</v>
      </c>
      <c r="H1042" s="55" t="n">
        <v>762</v>
      </c>
      <c r="I1042" s="55" t="n">
        <v>746.3200000000001</v>
      </c>
      <c r="J1042" s="55" t="n">
        <v>0</v>
      </c>
      <c r="K1042" s="55" t="n">
        <v>0</v>
      </c>
      <c r="L1042" s="55" t="n">
        <v>746.3200000000001</v>
      </c>
      <c r="M1042" s="55" t="n">
        <v>-15.68</v>
      </c>
      <c r="N1042" s="36" t="inlineStr">
        <is>
          <t>004336</t>
        </is>
      </c>
      <c r="O1042" s="36" t="inlineStr">
        <is>
          <t>CAREMARK</t>
        </is>
      </c>
      <c r="P1042" s="36" t="inlineStr">
        <is>
          <t>MEDDADV</t>
        </is>
      </c>
      <c r="Q1042" s="36" t="inlineStr">
        <is>
          <t>RX1110</t>
        </is>
      </c>
    </row>
    <row r="1043">
      <c r="A1043" s="36" t="inlineStr">
        <is>
          <t>112740</t>
        </is>
      </c>
      <c r="B1043" s="52" t="n">
        <v>46017</v>
      </c>
      <c r="C1043" s="36" t="inlineStr">
        <is>
          <t>00023320508</t>
        </is>
      </c>
      <c r="D1043" s="53" t="inlineStr">
        <is>
          <t>LUMIGAN 0.01% SOLUTION</t>
        </is>
      </c>
      <c r="E1043" s="36" t="n">
        <v>7.5</v>
      </c>
      <c r="F1043" s="54" t="n">
        <v>7.5</v>
      </c>
      <c r="G1043" s="54" t="n">
        <v>1</v>
      </c>
      <c r="H1043" s="55" t="n">
        <v>762</v>
      </c>
      <c r="I1043" s="55" t="n">
        <v>746.3200000000001</v>
      </c>
      <c r="J1043" s="55" t="n">
        <v>0</v>
      </c>
      <c r="K1043" s="55" t="n">
        <v>0</v>
      </c>
      <c r="L1043" s="55" t="n">
        <v>746.3200000000001</v>
      </c>
      <c r="M1043" s="55" t="n">
        <v>-15.68</v>
      </c>
      <c r="N1043" s="36" t="inlineStr">
        <is>
          <t>004336</t>
        </is>
      </c>
      <c r="O1043" s="36" t="inlineStr">
        <is>
          <t>CAREMARK</t>
        </is>
      </c>
      <c r="P1043" s="36" t="inlineStr">
        <is>
          <t>MEDDADV</t>
        </is>
      </c>
      <c r="Q1043" s="36" t="inlineStr">
        <is>
          <t>RX1110</t>
        </is>
      </c>
    </row>
    <row r="1044">
      <c r="A1044" s="36" t="inlineStr">
        <is>
          <t>106827</t>
        </is>
      </c>
      <c r="B1044" s="52" t="n">
        <v>46017</v>
      </c>
      <c r="C1044" s="36" t="inlineStr">
        <is>
          <t>00023320508</t>
        </is>
      </c>
      <c r="D1044" s="53" t="inlineStr">
        <is>
          <t>LUMIGAN 0.01% SOLUTION</t>
        </is>
      </c>
      <c r="E1044" s="36" t="n">
        <v>7.5</v>
      </c>
      <c r="F1044" s="54" t="n">
        <v>7.5</v>
      </c>
      <c r="G1044" s="54" t="n">
        <v>1</v>
      </c>
      <c r="H1044" s="55" t="n">
        <v>762</v>
      </c>
      <c r="I1044" s="55" t="n">
        <v>746.3200000000001</v>
      </c>
      <c r="J1044" s="55" t="n">
        <v>0</v>
      </c>
      <c r="K1044" s="55" t="n">
        <v>0</v>
      </c>
      <c r="L1044" s="55" t="n">
        <v>746.3200000000001</v>
      </c>
      <c r="M1044" s="55" t="n">
        <v>-15.68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122389</t>
        </is>
      </c>
      <c r="B1045" s="52" t="n">
        <v>46002</v>
      </c>
      <c r="C1045" s="36" t="inlineStr">
        <is>
          <t>00023320503</t>
        </is>
      </c>
      <c r="D1045" s="53" t="inlineStr">
        <is>
          <t>LUMIGAN 0.01% SOLUTION</t>
        </is>
      </c>
      <c r="E1045" s="36" t="n">
        <v>2.5</v>
      </c>
      <c r="F1045" s="54" t="n">
        <v>2.5</v>
      </c>
      <c r="G1045" s="54" t="n">
        <v>1</v>
      </c>
      <c r="H1045" s="55" t="n">
        <v>0</v>
      </c>
      <c r="I1045" s="55" t="n">
        <v>243.69</v>
      </c>
      <c r="J1045" s="55" t="n">
        <v>0</v>
      </c>
      <c r="K1045" s="55" t="n">
        <v>3</v>
      </c>
      <c r="L1045" s="55" t="n">
        <v>246.69</v>
      </c>
      <c r="M1045" s="55" t="n">
        <v>0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ADV</t>
        </is>
      </c>
      <c r="Q1045" s="36" t="inlineStr">
        <is>
          <t>RX1103</t>
        </is>
      </c>
    </row>
    <row r="1046">
      <c r="A1046" s="36" t="inlineStr">
        <is>
          <t>107061</t>
        </is>
      </c>
      <c r="B1046" s="52" t="n">
        <v>46024</v>
      </c>
      <c r="C1046" s="36" t="inlineStr">
        <is>
          <t>00023320508</t>
        </is>
      </c>
      <c r="D1046" s="53" t="inlineStr">
        <is>
          <t>LUMIGAN 0.01% SOLUTION</t>
        </is>
      </c>
      <c r="E1046" s="36" t="n">
        <v>7.5</v>
      </c>
      <c r="F1046" s="54" t="n">
        <v>7.5</v>
      </c>
      <c r="G1046" s="54" t="n">
        <v>1</v>
      </c>
      <c r="H1046" s="55" t="n">
        <v>780</v>
      </c>
      <c r="I1046" s="55" t="n">
        <v>752.97</v>
      </c>
      <c r="J1046" s="55" t="n">
        <v>0</v>
      </c>
      <c r="K1046" s="55" t="n">
        <v>0</v>
      </c>
      <c r="L1046" s="55" t="n">
        <v>752.97</v>
      </c>
      <c r="M1046" s="55" t="n">
        <v>-27.03</v>
      </c>
      <c r="N1046" s="36" t="inlineStr">
        <is>
          <t>004336</t>
        </is>
      </c>
      <c r="O1046" s="36" t="inlineStr">
        <is>
          <t>CAREMARK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114632</t>
        </is>
      </c>
      <c r="B1047" s="52" t="n">
        <v>45996</v>
      </c>
      <c r="C1047" s="36" t="inlineStr">
        <is>
          <t>00023320508</t>
        </is>
      </c>
      <c r="D1047" s="53" t="inlineStr">
        <is>
          <t>LUMIGAN 0.01% SOLUTION</t>
        </is>
      </c>
      <c r="E1047" s="36" t="n">
        <v>7.5</v>
      </c>
      <c r="F1047" s="54" t="n">
        <v>7.5</v>
      </c>
      <c r="G1047" s="54" t="n">
        <v>1</v>
      </c>
      <c r="H1047" s="55" t="n">
        <v>762</v>
      </c>
      <c r="I1047" s="55" t="n">
        <v>769</v>
      </c>
      <c r="J1047" s="55" t="n">
        <v>0</v>
      </c>
      <c r="K1047" s="55" t="n">
        <v>0</v>
      </c>
      <c r="L1047" s="55" t="n">
        <v>769</v>
      </c>
      <c r="M1047" s="55" t="n">
        <v>7</v>
      </c>
      <c r="N1047" s="36" t="inlineStr">
        <is>
          <t>004740</t>
        </is>
      </c>
      <c r="O1047" s="36" t="inlineStr">
        <is>
          <t>NYM</t>
        </is>
      </c>
      <c r="P1047" s="36" t="inlineStr">
        <is>
          <t>9314DA31</t>
        </is>
      </c>
      <c r="Q1047" s="36" t="n">
        <v/>
      </c>
    </row>
    <row r="1048">
      <c r="A1048" s="36" t="inlineStr">
        <is>
          <t>109246</t>
        </is>
      </c>
      <c r="B1048" s="52" t="n">
        <v>46015</v>
      </c>
      <c r="C1048" s="36" t="inlineStr">
        <is>
          <t>00023320508</t>
        </is>
      </c>
      <c r="D1048" s="53" t="inlineStr">
        <is>
          <t>LUMIGAN 0.01% SOLUTION</t>
        </is>
      </c>
      <c r="E1048" s="36" t="n">
        <v>7.5</v>
      </c>
      <c r="F1048" s="54" t="n">
        <v>7.5</v>
      </c>
      <c r="G1048" s="54" t="n">
        <v>1</v>
      </c>
      <c r="H1048" s="55" t="n">
        <v>762</v>
      </c>
      <c r="I1048" s="55" t="n">
        <v>794.3200000000001</v>
      </c>
      <c r="J1048" s="55" t="n">
        <v>0</v>
      </c>
      <c r="K1048" s="55" t="n">
        <v>0</v>
      </c>
      <c r="L1048" s="55" t="n">
        <v>794.3200000000001</v>
      </c>
      <c r="M1048" s="55" t="n">
        <v>32.32</v>
      </c>
      <c r="N1048" s="36" t="inlineStr">
        <is>
          <t>610097</t>
        </is>
      </c>
      <c r="O1048" s="36" t="inlineStr">
        <is>
          <t>OPTUM</t>
        </is>
      </c>
      <c r="P1048" s="36" t="inlineStr">
        <is>
          <t>9999</t>
        </is>
      </c>
      <c r="Q1048" s="36" t="inlineStr">
        <is>
          <t>MPDCSP</t>
        </is>
      </c>
    </row>
    <row r="1049">
      <c r="A1049" s="36" t="inlineStr">
        <is>
          <t>127884</t>
        </is>
      </c>
      <c r="B1049" s="52" t="n">
        <v>46006</v>
      </c>
      <c r="C1049" s="36" t="inlineStr">
        <is>
          <t>68382045219</t>
        </is>
      </c>
      <c r="D1049" s="53" t="inlineStr">
        <is>
          <t>MESALAMINE ER 0.375GCAPSULE</t>
        </is>
      </c>
      <c r="E1049" s="36" t="n">
        <v>120</v>
      </c>
      <c r="F1049" s="54" t="n">
        <v>120</v>
      </c>
      <c r="G1049" s="54" t="n">
        <v>1</v>
      </c>
      <c r="H1049" s="55" t="n">
        <v>68</v>
      </c>
      <c r="I1049" s="55" t="n">
        <v>39.38</v>
      </c>
      <c r="J1049" s="55" t="n">
        <v>0</v>
      </c>
      <c r="K1049" s="55" t="n">
        <v>0</v>
      </c>
      <c r="L1049" s="55" t="n">
        <v>39.38</v>
      </c>
      <c r="M1049" s="55" t="n">
        <v>-28.62</v>
      </c>
      <c r="N1049" s="36" t="inlineStr">
        <is>
          <t>004336</t>
        </is>
      </c>
      <c r="O1049" s="36" t="inlineStr">
        <is>
          <t>CAREMARK</t>
        </is>
      </c>
      <c r="P1049" s="36" t="inlineStr">
        <is>
          <t>ADV</t>
        </is>
      </c>
      <c r="Q1049" s="36" t="inlineStr">
        <is>
          <t>RX23MD</t>
        </is>
      </c>
    </row>
    <row r="1050">
      <c r="A1050" s="36" t="inlineStr">
        <is>
          <t>138484</t>
        </is>
      </c>
      <c r="B1050" s="52" t="n">
        <v>46062</v>
      </c>
      <c r="C1050" s="36" t="inlineStr">
        <is>
          <t>68382045219</t>
        </is>
      </c>
      <c r="D1050" s="53" t="inlineStr">
        <is>
          <t>MESALAMINE ER 0.375GCAPSULE</t>
        </is>
      </c>
      <c r="E1050" s="36" t="n">
        <v>120</v>
      </c>
      <c r="F1050" s="54" t="n">
        <v>120</v>
      </c>
      <c r="G1050" s="54" t="n">
        <v>1</v>
      </c>
      <c r="H1050" s="55" t="n">
        <v>68</v>
      </c>
      <c r="I1050" s="55" t="n">
        <v>29.47</v>
      </c>
      <c r="J1050" s="55" t="n">
        <v>0</v>
      </c>
      <c r="K1050" s="55" t="n">
        <v>0</v>
      </c>
      <c r="L1050" s="55" t="n">
        <v>29.47</v>
      </c>
      <c r="M1050" s="55" t="n">
        <v>-38.53</v>
      </c>
      <c r="N1050" s="36" t="inlineStr">
        <is>
          <t>004336</t>
        </is>
      </c>
      <c r="O1050" s="36" t="inlineStr">
        <is>
          <t>CAREMARK</t>
        </is>
      </c>
      <c r="P1050" s="36" t="inlineStr">
        <is>
          <t>ADV</t>
        </is>
      </c>
      <c r="Q1050" s="36" t="inlineStr">
        <is>
          <t>RX23MD</t>
        </is>
      </c>
    </row>
    <row r="1051">
      <c r="A1051" s="36" t="inlineStr">
        <is>
          <t>138484</t>
        </is>
      </c>
      <c r="B1051" s="52" t="n">
        <v>46034</v>
      </c>
      <c r="C1051" s="36" t="inlineStr">
        <is>
          <t>68382045219</t>
        </is>
      </c>
      <c r="D1051" s="53" t="inlineStr">
        <is>
          <t>MESALAMINE ER 0.375GCAPSULE</t>
        </is>
      </c>
      <c r="E1051" s="36" t="n">
        <v>120</v>
      </c>
      <c r="F1051" s="54" t="n">
        <v>120</v>
      </c>
      <c r="G1051" s="54" t="n">
        <v>1</v>
      </c>
      <c r="H1051" s="55" t="n">
        <v>68</v>
      </c>
      <c r="I1051" s="55" t="n">
        <v>39.38</v>
      </c>
      <c r="J1051" s="55" t="n">
        <v>0</v>
      </c>
      <c r="K1051" s="55" t="n">
        <v>0</v>
      </c>
      <c r="L1051" s="55" t="n">
        <v>39.38</v>
      </c>
      <c r="M1051" s="55" t="n">
        <v>-28.62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ADV</t>
        </is>
      </c>
      <c r="Q1051" s="36" t="inlineStr">
        <is>
          <t>RX23MD</t>
        </is>
      </c>
    </row>
    <row r="1052">
      <c r="A1052" s="36" t="inlineStr">
        <is>
          <t>141735</t>
        </is>
      </c>
      <c r="B1052" s="52" t="n">
        <v>46056</v>
      </c>
      <c r="C1052" s="36" t="inlineStr">
        <is>
          <t>59630075050</t>
        </is>
      </c>
      <c r="D1052" s="53" t="inlineStr">
        <is>
          <t>METHYLIN 5 MG/5ML ORAL SOLUTION</t>
        </is>
      </c>
      <c r="E1052" s="36" t="n">
        <v>500</v>
      </c>
      <c r="F1052" s="54" t="n">
        <v>300</v>
      </c>
      <c r="G1052" s="54" t="n">
        <v>0.6</v>
      </c>
      <c r="H1052" s="55" t="n">
        <v>49.2</v>
      </c>
      <c r="I1052" s="55" t="n">
        <v>33.43</v>
      </c>
      <c r="J1052" s="55" t="n">
        <v>0</v>
      </c>
      <c r="K1052" s="55" t="n">
        <v>0</v>
      </c>
      <c r="L1052" s="55" t="n">
        <v>33.43</v>
      </c>
      <c r="M1052" s="55" t="n">
        <v>-15.77</v>
      </c>
      <c r="N1052" s="36" t="inlineStr">
        <is>
          <t>004740</t>
        </is>
      </c>
      <c r="O1052" s="36" t="inlineStr">
        <is>
          <t>NYM</t>
        </is>
      </c>
      <c r="P1052" s="36" t="inlineStr">
        <is>
          <t>9314DA31</t>
        </is>
      </c>
      <c r="Q1052" s="36" t="n">
        <v/>
      </c>
    </row>
    <row r="1053">
      <c r="A1053" s="36" t="inlineStr">
        <is>
          <t>137878</t>
        </is>
      </c>
      <c r="B1053" s="52" t="n">
        <v>46028</v>
      </c>
      <c r="C1053" s="36" t="inlineStr">
        <is>
          <t>59630075050</t>
        </is>
      </c>
      <c r="D1053" s="53" t="inlineStr">
        <is>
          <t>METHYLIN 5 MG/5ML ORAL SOLUTION</t>
        </is>
      </c>
      <c r="E1053" s="36" t="n">
        <v>500</v>
      </c>
      <c r="F1053" s="54" t="n">
        <v>300</v>
      </c>
      <c r="G1053" s="54" t="n">
        <v>0.6</v>
      </c>
      <c r="H1053" s="55" t="n">
        <v>49.2</v>
      </c>
      <c r="I1053" s="55" t="n">
        <v>33.96</v>
      </c>
      <c r="J1053" s="55" t="n">
        <v>0</v>
      </c>
      <c r="K1053" s="55" t="n">
        <v>0</v>
      </c>
      <c r="L1053" s="55" t="n">
        <v>33.96</v>
      </c>
      <c r="M1053" s="55" t="n">
        <v>-15.24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135596</t>
        </is>
      </c>
      <c r="B1054" s="52" t="n">
        <v>46065</v>
      </c>
      <c r="C1054" s="36" t="inlineStr">
        <is>
          <t>24208037705</t>
        </is>
      </c>
      <c r="D1054" s="53" t="inlineStr">
        <is>
          <t>MIEBO 1.338 GM/ML OPHTHALMIC SOLUTION</t>
        </is>
      </c>
      <c r="E1054" s="36" t="n">
        <v>3</v>
      </c>
      <c r="F1054" s="54" t="n">
        <v>3</v>
      </c>
      <c r="G1054" s="54" t="n">
        <v>1</v>
      </c>
      <c r="H1054" s="55" t="n">
        <v>803</v>
      </c>
      <c r="I1054" s="55" t="n">
        <v>780.79</v>
      </c>
      <c r="J1054" s="55" t="n">
        <v>0</v>
      </c>
      <c r="K1054" s="55" t="n">
        <v>4.9</v>
      </c>
      <c r="L1054" s="55" t="n">
        <v>785.6900000000001</v>
      </c>
      <c r="M1054" s="55" t="n">
        <v>-17.31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139717</t>
        </is>
      </c>
      <c r="B1055" s="52" t="n">
        <v>46041</v>
      </c>
      <c r="C1055" s="36" t="inlineStr">
        <is>
          <t>24208037705</t>
        </is>
      </c>
      <c r="D1055" s="53" t="inlineStr">
        <is>
          <t>MIEBO 1.338 GM/ML OPHTHALMIC SOLUTION</t>
        </is>
      </c>
      <c r="E1055" s="36" t="n">
        <v>3</v>
      </c>
      <c r="F1055" s="54" t="n">
        <v>3</v>
      </c>
      <c r="G1055" s="54" t="n">
        <v>1</v>
      </c>
      <c r="H1055" s="55" t="n">
        <v>772</v>
      </c>
      <c r="I1055" s="55" t="n">
        <v>780.79</v>
      </c>
      <c r="J1055" s="55" t="n">
        <v>0</v>
      </c>
      <c r="K1055" s="55" t="n">
        <v>4.9</v>
      </c>
      <c r="L1055" s="55" t="n">
        <v>785.6900000000001</v>
      </c>
      <c r="M1055" s="55" t="n">
        <v>13.69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142399</t>
        </is>
      </c>
      <c r="B1056" s="52" t="n">
        <v>46062</v>
      </c>
      <c r="C1056" s="36" t="inlineStr">
        <is>
          <t>24208037705</t>
        </is>
      </c>
      <c r="D1056" s="53" t="inlineStr">
        <is>
          <t>MIEBO 1.338 GM/ML OPHTHALMIC SOLUTION</t>
        </is>
      </c>
      <c r="E1056" s="36" t="n">
        <v>3</v>
      </c>
      <c r="F1056" s="54" t="n">
        <v>3</v>
      </c>
      <c r="G1056" s="54" t="n">
        <v>1</v>
      </c>
      <c r="H1056" s="55" t="n">
        <v>803</v>
      </c>
      <c r="I1056" s="55" t="n">
        <v>785.6900000000001</v>
      </c>
      <c r="J1056" s="55" t="n">
        <v>0</v>
      </c>
      <c r="K1056" s="55" t="n">
        <v>0</v>
      </c>
      <c r="L1056" s="55" t="n">
        <v>785.6900000000001</v>
      </c>
      <c r="M1056" s="55" t="n">
        <v>-17.31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136689</t>
        </is>
      </c>
      <c r="B1057" s="52" t="n">
        <v>46017</v>
      </c>
      <c r="C1057" s="36" t="inlineStr">
        <is>
          <t>24208037705</t>
        </is>
      </c>
      <c r="D1057" s="53" t="inlineStr">
        <is>
          <t>MIEBO 1.338 GM/ML OPHTHALMIC SOLUTION</t>
        </is>
      </c>
      <c r="E1057" s="36" t="n">
        <v>3</v>
      </c>
      <c r="F1057" s="54" t="n">
        <v>3</v>
      </c>
      <c r="G1057" s="54" t="n">
        <v>1</v>
      </c>
      <c r="H1057" s="55" t="n">
        <v>772</v>
      </c>
      <c r="I1057" s="55" t="n">
        <v>756.0599999999999</v>
      </c>
      <c r="J1057" s="55" t="n">
        <v>0</v>
      </c>
      <c r="K1057" s="55" t="n">
        <v>0</v>
      </c>
      <c r="L1057" s="55" t="n">
        <v>756.0599999999999</v>
      </c>
      <c r="M1057" s="55" t="n">
        <v>-15.94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133864</t>
        </is>
      </c>
      <c r="B1058" s="52" t="n">
        <v>45995</v>
      </c>
      <c r="C1058" s="36" t="inlineStr">
        <is>
          <t>24208037705</t>
        </is>
      </c>
      <c r="D1058" s="53" t="inlineStr">
        <is>
          <t>MIEBO 1.338 GM/ML OPHTHALMIC SOLUTION</t>
        </is>
      </c>
      <c r="E1058" s="36" t="n">
        <v>3</v>
      </c>
      <c r="F1058" s="54" t="n">
        <v>3</v>
      </c>
      <c r="G1058" s="54" t="n">
        <v>1</v>
      </c>
      <c r="H1058" s="55" t="n">
        <v>772</v>
      </c>
      <c r="I1058" s="55" t="n">
        <v>778.55</v>
      </c>
      <c r="J1058" s="55" t="n">
        <v>0</v>
      </c>
      <c r="K1058" s="55" t="n">
        <v>0</v>
      </c>
      <c r="L1058" s="55" t="n">
        <v>778.55</v>
      </c>
      <c r="M1058" s="55" t="n">
        <v>6.55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136689</t>
        </is>
      </c>
      <c r="B1059" s="52" t="n">
        <v>46072</v>
      </c>
      <c r="C1059" s="36" t="inlineStr">
        <is>
          <t>24208037705</t>
        </is>
      </c>
      <c r="D1059" s="53" t="inlineStr">
        <is>
          <t>MIEBO 1.338 GM/ML OPHTHALMIC SOLUTION</t>
        </is>
      </c>
      <c r="E1059" s="36" t="n">
        <v>3</v>
      </c>
      <c r="F1059" s="54" t="n">
        <v>3</v>
      </c>
      <c r="G1059" s="54" t="n">
        <v>1</v>
      </c>
      <c r="H1059" s="55" t="n">
        <v>803</v>
      </c>
      <c r="I1059" s="55" t="n">
        <v>780.79</v>
      </c>
      <c r="J1059" s="55" t="n">
        <v>0</v>
      </c>
      <c r="K1059" s="55" t="n">
        <v>4.9</v>
      </c>
      <c r="L1059" s="55" t="n">
        <v>785.6900000000001</v>
      </c>
      <c r="M1059" s="55" t="n">
        <v>-17.31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RX1110</t>
        </is>
      </c>
    </row>
    <row r="1060">
      <c r="A1060" s="36" t="inlineStr">
        <is>
          <t>134500</t>
        </is>
      </c>
      <c r="B1060" s="52" t="n">
        <v>46000</v>
      </c>
      <c r="C1060" s="36" t="inlineStr">
        <is>
          <t>24208037705</t>
        </is>
      </c>
      <c r="D1060" s="53" t="inlineStr">
        <is>
          <t>MIEBO 1.338 GM/ML OPHTHALMIC SOLUTION</t>
        </is>
      </c>
      <c r="E1060" s="36" t="n">
        <v>3</v>
      </c>
      <c r="F1060" s="54" t="n">
        <v>3</v>
      </c>
      <c r="G1060" s="54" t="n">
        <v>1</v>
      </c>
      <c r="H1060" s="55" t="n">
        <v>772</v>
      </c>
      <c r="I1060" s="55" t="n">
        <v>756.0599999999999</v>
      </c>
      <c r="J1060" s="55" t="n">
        <v>0</v>
      </c>
      <c r="K1060" s="55" t="n">
        <v>0</v>
      </c>
      <c r="L1060" s="55" t="n">
        <v>756.0599999999999</v>
      </c>
      <c r="M1060" s="55" t="n">
        <v>-15.94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101796</t>
        </is>
      </c>
      <c r="B1061" s="52" t="n">
        <v>46003</v>
      </c>
      <c r="C1061" s="36" t="inlineStr">
        <is>
          <t>24208037705</t>
        </is>
      </c>
      <c r="D1061" s="53" t="inlineStr">
        <is>
          <t>MIEBO 1.338 GM/ML OPHTHALMIC SOLUTION</t>
        </is>
      </c>
      <c r="E1061" s="36" t="n">
        <v>3</v>
      </c>
      <c r="F1061" s="54" t="n">
        <v>9</v>
      </c>
      <c r="G1061" s="54" t="n">
        <v>3</v>
      </c>
      <c r="H1061" s="55" t="n">
        <v>2316</v>
      </c>
      <c r="I1061" s="55" t="n">
        <v>2236.8</v>
      </c>
      <c r="J1061" s="55" t="n">
        <v>0</v>
      </c>
      <c r="K1061" s="55" t="n">
        <v>0</v>
      </c>
      <c r="L1061" s="55" t="n">
        <v>2236.8</v>
      </c>
      <c r="M1061" s="55" t="n">
        <v>-79.2</v>
      </c>
      <c r="N1061" s="36" t="inlineStr">
        <is>
          <t>004336</t>
        </is>
      </c>
      <c r="O1061" s="36" t="inlineStr">
        <is>
          <t>CAREMARK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139463</t>
        </is>
      </c>
      <c r="B1062" s="52" t="n">
        <v>46066</v>
      </c>
      <c r="C1062" s="36" t="inlineStr">
        <is>
          <t>24208037705</t>
        </is>
      </c>
      <c r="D1062" s="53" t="inlineStr">
        <is>
          <t>MIEBO 1.338 GM/ML OPHTHALMIC SOLUTION</t>
        </is>
      </c>
      <c r="E1062" s="36" t="n">
        <v>3</v>
      </c>
      <c r="F1062" s="54" t="n">
        <v>3</v>
      </c>
      <c r="G1062" s="54" t="n">
        <v>1</v>
      </c>
      <c r="H1062" s="55" t="n">
        <v>803</v>
      </c>
      <c r="I1062" s="55" t="n">
        <v>773.04</v>
      </c>
      <c r="J1062" s="55" t="n">
        <v>0</v>
      </c>
      <c r="K1062" s="55" t="n">
        <v>12.65</v>
      </c>
      <c r="L1062" s="55" t="n">
        <v>785.6900000000001</v>
      </c>
      <c r="M1062" s="55" t="n">
        <v>-17.31</v>
      </c>
      <c r="N1062" s="36" t="inlineStr">
        <is>
          <t>004336</t>
        </is>
      </c>
      <c r="O1062" s="36" t="inlineStr">
        <is>
          <t>CAREMARK</t>
        </is>
      </c>
      <c r="P1062" s="36" t="inlineStr">
        <is>
          <t>MEDDADV</t>
        </is>
      </c>
      <c r="Q1062" s="36" t="inlineStr">
        <is>
          <t>RX1110</t>
        </is>
      </c>
    </row>
    <row r="1063">
      <c r="A1063" s="36" t="inlineStr">
        <is>
          <t>134176</t>
        </is>
      </c>
      <c r="B1063" s="52" t="n">
        <v>45999</v>
      </c>
      <c r="C1063" s="36" t="inlineStr">
        <is>
          <t>24208037705</t>
        </is>
      </c>
      <c r="D1063" s="53" t="inlineStr">
        <is>
          <t>MIEBO 1.338 GM/ML OPHTHALMIC SOLUTION</t>
        </is>
      </c>
      <c r="E1063" s="36" t="n">
        <v>3</v>
      </c>
      <c r="F1063" s="54" t="n">
        <v>3</v>
      </c>
      <c r="G1063" s="54" t="n">
        <v>1</v>
      </c>
      <c r="H1063" s="55" t="n">
        <v>772</v>
      </c>
      <c r="I1063" s="55" t="n">
        <v>717.35</v>
      </c>
      <c r="J1063" s="55" t="n">
        <v>0</v>
      </c>
      <c r="K1063" s="55" t="n">
        <v>25</v>
      </c>
      <c r="L1063" s="55" t="n">
        <v>742.35</v>
      </c>
      <c r="M1063" s="55" t="n">
        <v>-29.65</v>
      </c>
      <c r="N1063" s="36" t="inlineStr">
        <is>
          <t>610014</t>
        </is>
      </c>
      <c r="O1063" s="36" t="inlineStr">
        <is>
          <t>EXPRESS</t>
        </is>
      </c>
      <c r="P1063" s="36" t="inlineStr">
        <is>
          <t>PEU</t>
        </is>
      </c>
      <c r="Q1063" s="36" t="n">
        <v/>
      </c>
    </row>
    <row r="1064">
      <c r="A1064" s="36" t="inlineStr">
        <is>
          <t>129688</t>
        </is>
      </c>
      <c r="B1064" s="52" t="n">
        <v>46048</v>
      </c>
      <c r="C1064" s="36" t="inlineStr">
        <is>
          <t>24208037705</t>
        </is>
      </c>
      <c r="D1064" s="53" t="inlineStr">
        <is>
          <t>MIEBO 1.338 GM/ML OPHTHALMIC SOLUTION</t>
        </is>
      </c>
      <c r="E1064" s="36" t="n">
        <v>3</v>
      </c>
      <c r="F1064" s="54" t="n">
        <v>3</v>
      </c>
      <c r="G1064" s="54" t="n">
        <v>1</v>
      </c>
      <c r="H1064" s="55" t="n">
        <v>772</v>
      </c>
      <c r="I1064" s="55" t="n">
        <v>765.92</v>
      </c>
      <c r="J1064" s="55" t="n">
        <v>0</v>
      </c>
      <c r="K1064" s="55" t="n">
        <v>4.9</v>
      </c>
      <c r="L1064" s="55" t="n">
        <v>770.8200000000001</v>
      </c>
      <c r="M1064" s="55" t="n">
        <v>-1.18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RX8585</t>
        </is>
      </c>
    </row>
    <row r="1065">
      <c r="A1065" s="36" t="inlineStr">
        <is>
          <t>126915</t>
        </is>
      </c>
      <c r="B1065" s="52" t="n">
        <v>45999</v>
      </c>
      <c r="C1065" s="36" t="inlineStr">
        <is>
          <t>24208037705</t>
        </is>
      </c>
      <c r="D1065" s="53" t="inlineStr">
        <is>
          <t>MIEBO 1.338 GM/ML OPHTHALMIC SOLUTION</t>
        </is>
      </c>
      <c r="E1065" s="36" t="n">
        <v>3</v>
      </c>
      <c r="F1065" s="54" t="n">
        <v>3</v>
      </c>
      <c r="G1065" s="54" t="n">
        <v>1</v>
      </c>
      <c r="H1065" s="55" t="n">
        <v>772</v>
      </c>
      <c r="I1065" s="55" t="n">
        <v>778.55</v>
      </c>
      <c r="J1065" s="55" t="n">
        <v>0</v>
      </c>
      <c r="K1065" s="55" t="n">
        <v>0</v>
      </c>
      <c r="L1065" s="55" t="n">
        <v>778.55</v>
      </c>
      <c r="M1065" s="55" t="n">
        <v>6.55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139717</t>
        </is>
      </c>
      <c r="B1066" s="52" t="n">
        <v>46069</v>
      </c>
      <c r="C1066" s="36" t="inlineStr">
        <is>
          <t>24208037705</t>
        </is>
      </c>
      <c r="D1066" s="53" t="inlineStr">
        <is>
          <t>MIEBO 1.338 GM/ML OPHTHALMIC SOLUTION</t>
        </is>
      </c>
      <c r="E1066" s="36" t="n">
        <v>3</v>
      </c>
      <c r="F1066" s="54" t="n">
        <v>3</v>
      </c>
      <c r="G1066" s="54" t="n">
        <v>1</v>
      </c>
      <c r="H1066" s="55" t="n">
        <v>803</v>
      </c>
      <c r="I1066" s="55" t="n">
        <v>780.79</v>
      </c>
      <c r="J1066" s="55" t="n">
        <v>0</v>
      </c>
      <c r="K1066" s="55" t="n">
        <v>4.9</v>
      </c>
      <c r="L1066" s="55" t="n">
        <v>785.6900000000001</v>
      </c>
      <c r="M1066" s="55" t="n">
        <v>-17.31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118265</t>
        </is>
      </c>
      <c r="B1067" s="52" t="n">
        <v>46049</v>
      </c>
      <c r="C1067" s="36" t="inlineStr">
        <is>
          <t>24208037705</t>
        </is>
      </c>
      <c r="D1067" s="53" t="inlineStr">
        <is>
          <t>MIEBO 1.338 GM/ML OPHTHALMIC SOLUTION</t>
        </is>
      </c>
      <c r="E1067" s="36" t="n">
        <v>3</v>
      </c>
      <c r="F1067" s="54" t="n">
        <v>3</v>
      </c>
      <c r="G1067" s="54" t="n">
        <v>1</v>
      </c>
      <c r="H1067" s="55" t="n">
        <v>772</v>
      </c>
      <c r="I1067" s="55" t="n">
        <v>451.54</v>
      </c>
      <c r="J1067" s="55" t="n">
        <v>0</v>
      </c>
      <c r="K1067" s="55" t="n">
        <v>334.15</v>
      </c>
      <c r="L1067" s="55" t="n">
        <v>785.6900000000001</v>
      </c>
      <c r="M1067" s="55" t="n">
        <v>13.69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128752</t>
        </is>
      </c>
      <c r="B1068" s="52" t="n">
        <v>46045</v>
      </c>
      <c r="C1068" s="36" t="inlineStr">
        <is>
          <t>24208037705</t>
        </is>
      </c>
      <c r="D1068" s="53" t="inlineStr">
        <is>
          <t>MIEBO 1.338 GM/ML OPHTHALMIC SOLUTION</t>
        </is>
      </c>
      <c r="E1068" s="36" t="n">
        <v>3</v>
      </c>
      <c r="F1068" s="54" t="n">
        <v>9</v>
      </c>
      <c r="G1068" s="54" t="n">
        <v>3</v>
      </c>
      <c r="H1068" s="55" t="n">
        <v>2316</v>
      </c>
      <c r="I1068" s="55" t="n">
        <v>1372.32</v>
      </c>
      <c r="J1068" s="55" t="n">
        <v>0</v>
      </c>
      <c r="K1068" s="55" t="n">
        <v>946.47</v>
      </c>
      <c r="L1068" s="55" t="n">
        <v>2318.79</v>
      </c>
      <c r="M1068" s="55" t="n">
        <v>2.79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139771</t>
        </is>
      </c>
      <c r="B1069" s="52" t="n">
        <v>46042</v>
      </c>
      <c r="C1069" s="36" t="inlineStr">
        <is>
          <t>24208037705</t>
        </is>
      </c>
      <c r="D1069" s="53" t="inlineStr">
        <is>
          <t>MIEBO 1.338 GM/ML OPHTHALMIC SOLUTION</t>
        </is>
      </c>
      <c r="E1069" s="36" t="n">
        <v>3</v>
      </c>
      <c r="F1069" s="54" t="n">
        <v>3</v>
      </c>
      <c r="G1069" s="54" t="n">
        <v>1</v>
      </c>
      <c r="H1069" s="55" t="n">
        <v>772</v>
      </c>
      <c r="I1069" s="55" t="n">
        <v>780.79</v>
      </c>
      <c r="J1069" s="55" t="n">
        <v>0</v>
      </c>
      <c r="K1069" s="55" t="n">
        <v>4.9</v>
      </c>
      <c r="L1069" s="55" t="n">
        <v>785.6900000000001</v>
      </c>
      <c r="M1069" s="55" t="n">
        <v>13.69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118265</t>
        </is>
      </c>
      <c r="B1070" s="52" t="n">
        <v>46022</v>
      </c>
      <c r="C1070" s="36" t="inlineStr">
        <is>
          <t>24208037705</t>
        </is>
      </c>
      <c r="D1070" s="53" t="inlineStr">
        <is>
          <t>MIEBO 1.338 GM/ML OPHTHALMIC SOLUTION</t>
        </is>
      </c>
      <c r="E1070" s="36" t="n">
        <v>3</v>
      </c>
      <c r="F1070" s="54" t="n">
        <v>3</v>
      </c>
      <c r="G1070" s="54" t="n">
        <v>1</v>
      </c>
      <c r="H1070" s="55" t="n">
        <v>772</v>
      </c>
      <c r="I1070" s="55" t="n">
        <v>756.0599999999999</v>
      </c>
      <c r="J1070" s="55" t="n">
        <v>0</v>
      </c>
      <c r="K1070" s="55" t="n">
        <v>0</v>
      </c>
      <c r="L1070" s="55" t="n">
        <v>756.0599999999999</v>
      </c>
      <c r="M1070" s="55" t="n">
        <v>-15.94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133864</t>
        </is>
      </c>
      <c r="B1071" s="52" t="n">
        <v>46022</v>
      </c>
      <c r="C1071" s="36" t="inlineStr">
        <is>
          <t>24208037705</t>
        </is>
      </c>
      <c r="D1071" s="53" t="inlineStr">
        <is>
          <t>MIEBO 1.338 GM/ML OPHTHALMIC SOLUTION</t>
        </is>
      </c>
      <c r="E1071" s="36" t="n">
        <v>3</v>
      </c>
      <c r="F1071" s="54" t="n">
        <v>3</v>
      </c>
      <c r="G1071" s="54" t="n">
        <v>1</v>
      </c>
      <c r="H1071" s="55" t="n">
        <v>772</v>
      </c>
      <c r="I1071" s="55" t="n">
        <v>778.51</v>
      </c>
      <c r="J1071" s="55" t="n">
        <v>0</v>
      </c>
      <c r="K1071" s="55" t="n">
        <v>0</v>
      </c>
      <c r="L1071" s="55" t="n">
        <v>778.51</v>
      </c>
      <c r="M1071" s="55" t="n">
        <v>6.51</v>
      </c>
      <c r="N1071" s="36" t="inlineStr">
        <is>
          <t>004740</t>
        </is>
      </c>
      <c r="O1071" s="36" t="inlineStr">
        <is>
          <t>NYM</t>
        </is>
      </c>
      <c r="P1071" s="36" t="inlineStr">
        <is>
          <t>9314DA31</t>
        </is>
      </c>
      <c r="Q1071" s="36" t="n">
        <v/>
      </c>
    </row>
    <row r="1072">
      <c r="A1072" s="36" t="inlineStr">
        <is>
          <t>120717</t>
        </is>
      </c>
      <c r="B1072" s="52" t="n">
        <v>46070</v>
      </c>
      <c r="C1072" s="36" t="inlineStr">
        <is>
          <t>24208037705</t>
        </is>
      </c>
      <c r="D1072" s="53" t="inlineStr">
        <is>
          <t>MIEBO 1.338 GM/ML OPHTHALMIC SOLUTION</t>
        </is>
      </c>
      <c r="E1072" s="36" t="n">
        <v>3</v>
      </c>
      <c r="F1072" s="54" t="n">
        <v>9</v>
      </c>
      <c r="G1072" s="54" t="n">
        <v>3</v>
      </c>
      <c r="H1072" s="55" t="n">
        <v>2409</v>
      </c>
      <c r="I1072" s="55" t="n">
        <v>2305.35</v>
      </c>
      <c r="J1072" s="55" t="n">
        <v>0</v>
      </c>
      <c r="K1072" s="55" t="n">
        <v>45</v>
      </c>
      <c r="L1072" s="55" t="n">
        <v>2350.35</v>
      </c>
      <c r="M1072" s="55" t="n">
        <v>-58.65</v>
      </c>
      <c r="N1072" s="36" t="inlineStr">
        <is>
          <t>004336</t>
        </is>
      </c>
      <c r="O1072" s="36" t="inlineStr">
        <is>
          <t>CAREMARK</t>
        </is>
      </c>
      <c r="P1072" s="36" t="inlineStr">
        <is>
          <t>ADV</t>
        </is>
      </c>
      <c r="Q1072" s="36" t="inlineStr">
        <is>
          <t>RX1104</t>
        </is>
      </c>
    </row>
    <row r="1073">
      <c r="A1073" s="36" t="inlineStr">
        <is>
          <t>139771</t>
        </is>
      </c>
      <c r="B1073" s="52" t="n">
        <v>46070</v>
      </c>
      <c r="C1073" s="36" t="inlineStr">
        <is>
          <t>24208037705</t>
        </is>
      </c>
      <c r="D1073" s="53" t="inlineStr">
        <is>
          <t>MIEBO 1.338 GM/ML OPHTHALMIC SOLUTION</t>
        </is>
      </c>
      <c r="E1073" s="36" t="n">
        <v>3</v>
      </c>
      <c r="F1073" s="54" t="n">
        <v>3</v>
      </c>
      <c r="G1073" s="54" t="n">
        <v>1</v>
      </c>
      <c r="H1073" s="55" t="n">
        <v>803</v>
      </c>
      <c r="I1073" s="55" t="n">
        <v>780.79</v>
      </c>
      <c r="J1073" s="55" t="n">
        <v>0</v>
      </c>
      <c r="K1073" s="55" t="n">
        <v>4.9</v>
      </c>
      <c r="L1073" s="55" t="n">
        <v>785.6900000000001</v>
      </c>
      <c r="M1073" s="55" t="n">
        <v>-17.31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133864</t>
        </is>
      </c>
      <c r="B1074" s="52" t="n">
        <v>46050</v>
      </c>
      <c r="C1074" s="36" t="inlineStr">
        <is>
          <t>24208037705</t>
        </is>
      </c>
      <c r="D1074" s="53" t="inlineStr">
        <is>
          <t>MIEBO 1.338 GM/ML OPHTHALMIC SOLUTION</t>
        </is>
      </c>
      <c r="E1074" s="36" t="n">
        <v>3</v>
      </c>
      <c r="F1074" s="54" t="n">
        <v>3</v>
      </c>
      <c r="G1074" s="54" t="n">
        <v>1</v>
      </c>
      <c r="H1074" s="55" t="n">
        <v>772</v>
      </c>
      <c r="I1074" s="55" t="n">
        <v>801.5700000000001</v>
      </c>
      <c r="J1074" s="55" t="n">
        <v>0</v>
      </c>
      <c r="K1074" s="55" t="n">
        <v>0</v>
      </c>
      <c r="L1074" s="55" t="n">
        <v>801.5700000000001</v>
      </c>
      <c r="M1074" s="55" t="n">
        <v>29.57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123351</t>
        </is>
      </c>
      <c r="B1075" s="52" t="n">
        <v>46000</v>
      </c>
      <c r="C1075" s="36" t="inlineStr">
        <is>
          <t>24208037705</t>
        </is>
      </c>
      <c r="D1075" s="53" t="inlineStr">
        <is>
          <t>MIEBO 1.338 GM/ML OPHTHALMIC SOLUTION</t>
        </is>
      </c>
      <c r="E1075" s="36" t="n">
        <v>3</v>
      </c>
      <c r="F1075" s="54" t="n">
        <v>3</v>
      </c>
      <c r="G1075" s="54" t="n">
        <v>1</v>
      </c>
      <c r="H1075" s="55" t="n">
        <v>772</v>
      </c>
      <c r="I1075" s="55" t="n">
        <v>756.0599999999999</v>
      </c>
      <c r="J1075" s="55" t="n">
        <v>0</v>
      </c>
      <c r="K1075" s="55" t="n">
        <v>0</v>
      </c>
      <c r="L1075" s="55" t="n">
        <v>756.0599999999999</v>
      </c>
      <c r="M1075" s="55" t="n">
        <v>-15.94</v>
      </c>
      <c r="N1075" s="36" t="inlineStr">
        <is>
          <t>004336</t>
        </is>
      </c>
      <c r="O1075" s="36" t="inlineStr">
        <is>
          <t>CAREMARK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129688</t>
        </is>
      </c>
      <c r="B1076" s="52" t="n">
        <v>46020</v>
      </c>
      <c r="C1076" s="36" t="inlineStr">
        <is>
          <t>24208037705</t>
        </is>
      </c>
      <c r="D1076" s="53" t="inlineStr">
        <is>
          <t>MIEBO 1.338 GM/ML OPHTHALMIC SOLUTION</t>
        </is>
      </c>
      <c r="E1076" s="36" t="n">
        <v>3</v>
      </c>
      <c r="F1076" s="54" t="n">
        <v>3</v>
      </c>
      <c r="G1076" s="54" t="n">
        <v>1</v>
      </c>
      <c r="H1076" s="55" t="n">
        <v>772</v>
      </c>
      <c r="I1076" s="55" t="n">
        <v>763.75</v>
      </c>
      <c r="J1076" s="55" t="n">
        <v>0</v>
      </c>
      <c r="K1076" s="55" t="n">
        <v>0</v>
      </c>
      <c r="L1076" s="55" t="n">
        <v>763.75</v>
      </c>
      <c r="M1076" s="55" t="n">
        <v>-8.25</v>
      </c>
      <c r="N1076" s="36" t="inlineStr">
        <is>
          <t>004336</t>
        </is>
      </c>
      <c r="O1076" s="36" t="inlineStr">
        <is>
          <t>CAREMARK</t>
        </is>
      </c>
      <c r="P1076" s="36" t="inlineStr">
        <is>
          <t>MEDDADV</t>
        </is>
      </c>
      <c r="Q1076" s="36" t="inlineStr">
        <is>
          <t>RX8585</t>
        </is>
      </c>
    </row>
    <row r="1077">
      <c r="A1077" s="36" t="inlineStr">
        <is>
          <t>127073</t>
        </is>
      </c>
      <c r="B1077" s="52" t="n">
        <v>46000</v>
      </c>
      <c r="C1077" s="36" t="inlineStr">
        <is>
          <t>24208037705</t>
        </is>
      </c>
      <c r="D1077" s="53" t="inlineStr">
        <is>
          <t>MIEBO 1.338 GM/ML OPHTHALMIC SOLUTION</t>
        </is>
      </c>
      <c r="E1077" s="36" t="n">
        <v>3</v>
      </c>
      <c r="F1077" s="54" t="n">
        <v>3</v>
      </c>
      <c r="G1077" s="54" t="n">
        <v>1</v>
      </c>
      <c r="H1077" s="55" t="n">
        <v>772</v>
      </c>
      <c r="I1077" s="55" t="n">
        <v>756.0599999999999</v>
      </c>
      <c r="J1077" s="55" t="n">
        <v>0</v>
      </c>
      <c r="K1077" s="55" t="n">
        <v>0</v>
      </c>
      <c r="L1077" s="55" t="n">
        <v>756.0599999999999</v>
      </c>
      <c r="M1077" s="55" t="n">
        <v>-15.94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136689</t>
        </is>
      </c>
      <c r="B1078" s="52" t="n">
        <v>46044</v>
      </c>
      <c r="C1078" s="36" t="inlineStr">
        <is>
          <t>24208037705</t>
        </is>
      </c>
      <c r="D1078" s="53" t="inlineStr">
        <is>
          <t>MIEBO 1.338 GM/ML OPHTHALMIC SOLUTION</t>
        </is>
      </c>
      <c r="E1078" s="36" t="n">
        <v>3</v>
      </c>
      <c r="F1078" s="54" t="n">
        <v>3</v>
      </c>
      <c r="G1078" s="54" t="n">
        <v>1</v>
      </c>
      <c r="H1078" s="55" t="n">
        <v>772</v>
      </c>
      <c r="I1078" s="55" t="n">
        <v>780.79</v>
      </c>
      <c r="J1078" s="55" t="n">
        <v>0</v>
      </c>
      <c r="K1078" s="55" t="n">
        <v>4.9</v>
      </c>
      <c r="L1078" s="55" t="n">
        <v>785.6900000000001</v>
      </c>
      <c r="M1078" s="55" t="n">
        <v>13.69</v>
      </c>
      <c r="N1078" s="36" t="inlineStr">
        <is>
          <t>004336</t>
        </is>
      </c>
      <c r="O1078" s="36" t="inlineStr">
        <is>
          <t>CAREMARK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134176</t>
        </is>
      </c>
      <c r="B1079" s="52" t="n">
        <v>46022</v>
      </c>
      <c r="C1079" s="36" t="inlineStr">
        <is>
          <t>24208037705</t>
        </is>
      </c>
      <c r="D1079" s="53" t="inlineStr">
        <is>
          <t>MIEBO 1.338 GM/ML OPHTHALMIC SOLUTION</t>
        </is>
      </c>
      <c r="E1079" s="36" t="n">
        <v>3</v>
      </c>
      <c r="F1079" s="54" t="n">
        <v>3</v>
      </c>
      <c r="G1079" s="54" t="n">
        <v>1</v>
      </c>
      <c r="H1079" s="55" t="n">
        <v>772</v>
      </c>
      <c r="I1079" s="55" t="n">
        <v>717.35</v>
      </c>
      <c r="J1079" s="55" t="n">
        <v>0</v>
      </c>
      <c r="K1079" s="55" t="n">
        <v>25</v>
      </c>
      <c r="L1079" s="55" t="n">
        <v>742.35</v>
      </c>
      <c r="M1079" s="55" t="n">
        <v>-29.65</v>
      </c>
      <c r="N1079" s="36" t="inlineStr">
        <is>
          <t>610014</t>
        </is>
      </c>
      <c r="O1079" s="36" t="inlineStr">
        <is>
          <t>EXPRESS</t>
        </is>
      </c>
      <c r="P1079" s="36" t="inlineStr">
        <is>
          <t>PEU</t>
        </is>
      </c>
      <c r="Q1079" s="36" t="n">
        <v/>
      </c>
    </row>
    <row r="1080">
      <c r="A1080" s="36" t="inlineStr">
        <is>
          <t>126915</t>
        </is>
      </c>
      <c r="B1080" s="52" t="n">
        <v>46027</v>
      </c>
      <c r="C1080" s="36" t="inlineStr">
        <is>
          <t>24208037705</t>
        </is>
      </c>
      <c r="D1080" s="53" t="inlineStr">
        <is>
          <t>MIEBO 1.338 GM/ML OPHTHALMIC SOLUTION</t>
        </is>
      </c>
      <c r="E1080" s="36" t="n">
        <v>3</v>
      </c>
      <c r="F1080" s="54" t="n">
        <v>3</v>
      </c>
      <c r="G1080" s="54" t="n">
        <v>1</v>
      </c>
      <c r="H1080" s="55" t="n">
        <v>772</v>
      </c>
      <c r="I1080" s="55" t="n">
        <v>778.51</v>
      </c>
      <c r="J1080" s="55" t="n">
        <v>0</v>
      </c>
      <c r="K1080" s="55" t="n">
        <v>0</v>
      </c>
      <c r="L1080" s="55" t="n">
        <v>778.51</v>
      </c>
      <c r="M1080" s="55" t="n">
        <v>6.51</v>
      </c>
      <c r="N1080" s="36" t="inlineStr">
        <is>
          <t>004740</t>
        </is>
      </c>
      <c r="O1080" s="36" t="inlineStr">
        <is>
          <t>NYM</t>
        </is>
      </c>
      <c r="P1080" s="36" t="inlineStr">
        <is>
          <t>9314DA31</t>
        </is>
      </c>
      <c r="Q1080" s="36" t="n">
        <v/>
      </c>
    </row>
    <row r="1081">
      <c r="A1081" s="36" t="inlineStr">
        <is>
          <t>112201</t>
        </is>
      </c>
      <c r="B1081" s="52" t="n">
        <v>45994</v>
      </c>
      <c r="C1081" s="36" t="inlineStr">
        <is>
          <t>24208037705</t>
        </is>
      </c>
      <c r="D1081" s="53" t="inlineStr">
        <is>
          <t>MIEBO 1.338 GM/ML OPHTHALMIC SOLUTION</t>
        </is>
      </c>
      <c r="E1081" s="36" t="n">
        <v>3</v>
      </c>
      <c r="F1081" s="54" t="n">
        <v>3</v>
      </c>
      <c r="G1081" s="54" t="n">
        <v>1</v>
      </c>
      <c r="H1081" s="55" t="n">
        <v>772</v>
      </c>
      <c r="I1081" s="55" t="n">
        <v>778.55</v>
      </c>
      <c r="J1081" s="55" t="n">
        <v>0</v>
      </c>
      <c r="K1081" s="55" t="n">
        <v>0</v>
      </c>
      <c r="L1081" s="55" t="n">
        <v>778.55</v>
      </c>
      <c r="M1081" s="55" t="n">
        <v>6.55</v>
      </c>
      <c r="N1081" s="36" t="inlineStr">
        <is>
          <t>004740</t>
        </is>
      </c>
      <c r="O1081" s="36" t="inlineStr">
        <is>
          <t>NYM</t>
        </is>
      </c>
      <c r="P1081" s="36" t="inlineStr">
        <is>
          <t>9314DA31</t>
        </is>
      </c>
      <c r="Q1081" s="36" t="n">
        <v/>
      </c>
    </row>
    <row r="1082">
      <c r="A1082" s="36" t="inlineStr">
        <is>
          <t>134500</t>
        </is>
      </c>
      <c r="B1082" s="52" t="n">
        <v>46028</v>
      </c>
      <c r="C1082" s="36" t="inlineStr">
        <is>
          <t>24208037705</t>
        </is>
      </c>
      <c r="D1082" s="53" t="inlineStr">
        <is>
          <t>MIEBO 1.338 GM/ML OPHTHALMIC SOLUTION</t>
        </is>
      </c>
      <c r="E1082" s="36" t="n">
        <v>3</v>
      </c>
      <c r="F1082" s="54" t="n">
        <v>3</v>
      </c>
      <c r="G1082" s="54" t="n">
        <v>1</v>
      </c>
      <c r="H1082" s="55" t="n">
        <v>772</v>
      </c>
      <c r="I1082" s="55" t="n">
        <v>785.6900000000001</v>
      </c>
      <c r="J1082" s="55" t="n">
        <v>0</v>
      </c>
      <c r="K1082" s="55" t="n">
        <v>0</v>
      </c>
      <c r="L1082" s="55" t="n">
        <v>785.6900000000001</v>
      </c>
      <c r="M1082" s="55" t="n">
        <v>13.69</v>
      </c>
      <c r="N1082" s="36" t="inlineStr">
        <is>
          <t>004336</t>
        </is>
      </c>
      <c r="O1082" s="36" t="inlineStr">
        <is>
          <t>CAREMARK</t>
        </is>
      </c>
      <c r="P1082" s="36" t="inlineStr">
        <is>
          <t>MEDDADV</t>
        </is>
      </c>
      <c r="Q1082" s="36" t="inlineStr">
        <is>
          <t>RX1110</t>
        </is>
      </c>
    </row>
    <row r="1083">
      <c r="A1083" s="36" t="inlineStr">
        <is>
          <t>118265</t>
        </is>
      </c>
      <c r="B1083" s="52" t="n">
        <v>46077</v>
      </c>
      <c r="C1083" s="36" t="inlineStr">
        <is>
          <t>24208037705</t>
        </is>
      </c>
      <c r="D1083" s="53" t="inlineStr">
        <is>
          <t>MIEBO 1.338 GM/ML OPHTHALMIC SOLUTION</t>
        </is>
      </c>
      <c r="E1083" s="36" t="n">
        <v>3</v>
      </c>
      <c r="F1083" s="54" t="n">
        <v>3</v>
      </c>
      <c r="G1083" s="54" t="n">
        <v>1</v>
      </c>
      <c r="H1083" s="55" t="n">
        <v>803</v>
      </c>
      <c r="I1083" s="55" t="n">
        <v>636.41</v>
      </c>
      <c r="J1083" s="55" t="n">
        <v>0</v>
      </c>
      <c r="K1083" s="55" t="n">
        <v>149.28</v>
      </c>
      <c r="L1083" s="55" t="n">
        <v>785.6900000000001</v>
      </c>
      <c r="M1083" s="55" t="n">
        <v>-17.31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inlineStr">
        <is>
          <t>RX1110</t>
        </is>
      </c>
    </row>
    <row r="1084">
      <c r="A1084" s="36" t="inlineStr">
        <is>
          <t>138754</t>
        </is>
      </c>
      <c r="B1084" s="52" t="n">
        <v>46034</v>
      </c>
      <c r="C1084" s="36" t="inlineStr">
        <is>
          <t>24208037705</t>
        </is>
      </c>
      <c r="D1084" s="53" t="inlineStr">
        <is>
          <t>MIEBO 1.338 GM/ML OPHTHALMIC SOLUTION</t>
        </is>
      </c>
      <c r="E1084" s="36" t="n">
        <v>3</v>
      </c>
      <c r="F1084" s="54" t="n">
        <v>3</v>
      </c>
      <c r="G1084" s="54" t="n">
        <v>1</v>
      </c>
      <c r="H1084" s="55" t="n">
        <v>772</v>
      </c>
      <c r="I1084" s="55" t="n">
        <v>785.6900000000001</v>
      </c>
      <c r="J1084" s="55" t="n">
        <v>0</v>
      </c>
      <c r="K1084" s="55" t="n">
        <v>0</v>
      </c>
      <c r="L1084" s="55" t="n">
        <v>785.6900000000001</v>
      </c>
      <c r="M1084" s="55" t="n">
        <v>13.69</v>
      </c>
      <c r="N1084" s="36" t="inlineStr">
        <is>
          <t>004336</t>
        </is>
      </c>
      <c r="O1084" s="36" t="inlineStr">
        <is>
          <t>CAREMARK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133126</t>
        </is>
      </c>
      <c r="B1085" s="52" t="n">
        <v>45992</v>
      </c>
      <c r="C1085" s="36" t="inlineStr">
        <is>
          <t>24208037705</t>
        </is>
      </c>
      <c r="D1085" s="53" t="inlineStr">
        <is>
          <t>MIEBO 1.338 GM/ML OPHTHALMIC SOLUTION</t>
        </is>
      </c>
      <c r="E1085" s="36" t="n">
        <v>3</v>
      </c>
      <c r="F1085" s="54" t="n">
        <v>9</v>
      </c>
      <c r="G1085" s="54" t="n">
        <v>3</v>
      </c>
      <c r="H1085" s="55" t="n">
        <v>2316</v>
      </c>
      <c r="I1085" s="55" t="n">
        <v>2213.71</v>
      </c>
      <c r="J1085" s="55" t="n">
        <v>0</v>
      </c>
      <c r="K1085" s="55" t="n">
        <v>0</v>
      </c>
      <c r="L1085" s="55" t="n">
        <v>2213.71</v>
      </c>
      <c r="M1085" s="55" t="n">
        <v>-102.29</v>
      </c>
      <c r="N1085" s="36" t="inlineStr">
        <is>
          <t>004336</t>
        </is>
      </c>
      <c r="O1085" s="36" t="inlineStr">
        <is>
          <t>CAREMARK</t>
        </is>
      </c>
      <c r="P1085" s="36" t="inlineStr">
        <is>
          <t>MEDDADV</t>
        </is>
      </c>
      <c r="Q1085" s="36" t="inlineStr">
        <is>
          <t>RX8585</t>
        </is>
      </c>
    </row>
    <row r="1086">
      <c r="A1086" s="36" t="inlineStr">
        <is>
          <t>95760</t>
        </is>
      </c>
      <c r="B1086" s="52" t="n">
        <v>46056</v>
      </c>
      <c r="C1086" s="36" t="inlineStr">
        <is>
          <t>24208037705</t>
        </is>
      </c>
      <c r="D1086" s="53" t="inlineStr">
        <is>
          <t>MIEBO 1.338 GM/ML OPHTHALMIC SOLUTION</t>
        </is>
      </c>
      <c r="E1086" s="36" t="n">
        <v>3</v>
      </c>
      <c r="F1086" s="54" t="n">
        <v>3</v>
      </c>
      <c r="G1086" s="54" t="n">
        <v>1</v>
      </c>
      <c r="H1086" s="55" t="n">
        <v>803</v>
      </c>
      <c r="I1086" s="55" t="n">
        <v>801.5700000000001</v>
      </c>
      <c r="J1086" s="55" t="n">
        <v>0</v>
      </c>
      <c r="K1086" s="55" t="n">
        <v>0</v>
      </c>
      <c r="L1086" s="55" t="n">
        <v>801.5700000000001</v>
      </c>
      <c r="M1086" s="55" t="n">
        <v>-1.43</v>
      </c>
      <c r="N1086" s="36" t="inlineStr">
        <is>
          <t>004740</t>
        </is>
      </c>
      <c r="O1086" s="36" t="inlineStr">
        <is>
          <t>NYM</t>
        </is>
      </c>
      <c r="P1086" s="36" t="inlineStr">
        <is>
          <t>9314DA31</t>
        </is>
      </c>
      <c r="Q1086" s="36" t="n">
        <v/>
      </c>
    </row>
    <row r="1087">
      <c r="A1087" s="36" t="inlineStr">
        <is>
          <t>123351</t>
        </is>
      </c>
      <c r="B1087" s="52" t="n">
        <v>46056</v>
      </c>
      <c r="C1087" s="36" t="inlineStr">
        <is>
          <t>24208037705</t>
        </is>
      </c>
      <c r="D1087" s="53" t="inlineStr">
        <is>
          <t>MIEBO 1.338 GM/ML OPHTHALMIC SOLUTION</t>
        </is>
      </c>
      <c r="E1087" s="36" t="n">
        <v>3</v>
      </c>
      <c r="F1087" s="54" t="n">
        <v>3</v>
      </c>
      <c r="G1087" s="54" t="n">
        <v>1</v>
      </c>
      <c r="H1087" s="55" t="n">
        <v>803</v>
      </c>
      <c r="I1087" s="55" t="n">
        <v>780.79</v>
      </c>
      <c r="J1087" s="55" t="n">
        <v>0</v>
      </c>
      <c r="K1087" s="55" t="n">
        <v>4.9</v>
      </c>
      <c r="L1087" s="55" t="n">
        <v>785.6900000000001</v>
      </c>
      <c r="M1087" s="55" t="n">
        <v>-17.31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127073</t>
        </is>
      </c>
      <c r="B1088" s="52" t="n">
        <v>46028</v>
      </c>
      <c r="C1088" s="36" t="inlineStr">
        <is>
          <t>24208037705</t>
        </is>
      </c>
      <c r="D1088" s="53" t="inlineStr">
        <is>
          <t>MIEBO 1.338 GM/ML OPHTHALMIC SOLUTION</t>
        </is>
      </c>
      <c r="E1088" s="36" t="n">
        <v>3</v>
      </c>
      <c r="F1088" s="54" t="n">
        <v>3</v>
      </c>
      <c r="G1088" s="54" t="n">
        <v>1</v>
      </c>
      <c r="H1088" s="55" t="n">
        <v>772</v>
      </c>
      <c r="I1088" s="55" t="n">
        <v>780.79</v>
      </c>
      <c r="J1088" s="55" t="n">
        <v>0</v>
      </c>
      <c r="K1088" s="55" t="n">
        <v>4.9</v>
      </c>
      <c r="L1088" s="55" t="n">
        <v>785.6900000000001</v>
      </c>
      <c r="M1088" s="55" t="n">
        <v>13.69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135596</t>
        </is>
      </c>
      <c r="B1089" s="52" t="n">
        <v>46009</v>
      </c>
      <c r="C1089" s="36" t="inlineStr">
        <is>
          <t>24208037705</t>
        </is>
      </c>
      <c r="D1089" s="53" t="inlineStr">
        <is>
          <t>MIEBO 1.338 GM/ML OPHTHALMIC SOLUTION</t>
        </is>
      </c>
      <c r="E1089" s="36" t="n">
        <v>3</v>
      </c>
      <c r="F1089" s="54" t="n">
        <v>3</v>
      </c>
      <c r="G1089" s="54" t="n">
        <v>1</v>
      </c>
      <c r="H1089" s="55" t="n">
        <v>772</v>
      </c>
      <c r="I1089" s="55" t="n">
        <v>756.0599999999999</v>
      </c>
      <c r="J1089" s="55" t="n">
        <v>0</v>
      </c>
      <c r="K1089" s="55" t="n">
        <v>0</v>
      </c>
      <c r="L1089" s="55" t="n">
        <v>756.0599999999999</v>
      </c>
      <c r="M1089" s="55" t="n">
        <v>-15.94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139463</t>
        </is>
      </c>
      <c r="B1090" s="52" t="n">
        <v>46038</v>
      </c>
      <c r="C1090" s="36" t="inlineStr">
        <is>
          <t>24208037705</t>
        </is>
      </c>
      <c r="D1090" s="53" t="inlineStr">
        <is>
          <t>MIEBO 1.338 GM/ML OPHTHALMIC SOLUTION</t>
        </is>
      </c>
      <c r="E1090" s="36" t="n">
        <v>3</v>
      </c>
      <c r="F1090" s="54" t="n">
        <v>3</v>
      </c>
      <c r="G1090" s="54" t="n">
        <v>1</v>
      </c>
      <c r="H1090" s="55" t="n">
        <v>772</v>
      </c>
      <c r="I1090" s="55" t="n">
        <v>773.04</v>
      </c>
      <c r="J1090" s="55" t="n">
        <v>0</v>
      </c>
      <c r="K1090" s="55" t="n">
        <v>12.65</v>
      </c>
      <c r="L1090" s="55" t="n">
        <v>785.6900000000001</v>
      </c>
      <c r="M1090" s="55" t="n">
        <v>13.69</v>
      </c>
      <c r="N1090" s="36" t="inlineStr">
        <is>
          <t>004336</t>
        </is>
      </c>
      <c r="O1090" s="36" t="inlineStr">
        <is>
          <t>CAREMARK</t>
        </is>
      </c>
      <c r="P1090" s="36" t="inlineStr">
        <is>
          <t>MEDDADV</t>
        </is>
      </c>
      <c r="Q1090" s="36" t="inlineStr">
        <is>
          <t>RX1110</t>
        </is>
      </c>
    </row>
    <row r="1091">
      <c r="A1091" s="36" t="inlineStr">
        <is>
          <t>129688</t>
        </is>
      </c>
      <c r="B1091" s="52" t="n">
        <v>45992</v>
      </c>
      <c r="C1091" s="36" t="inlineStr">
        <is>
          <t>24208037705</t>
        </is>
      </c>
      <c r="D1091" s="53" t="inlineStr">
        <is>
          <t>MIEBO 1.338 GM/ML OPHTHALMIC SOLUTION</t>
        </is>
      </c>
      <c r="E1091" s="36" t="n">
        <v>3</v>
      </c>
      <c r="F1091" s="54" t="n">
        <v>3</v>
      </c>
      <c r="G1091" s="54" t="n">
        <v>1</v>
      </c>
      <c r="H1091" s="55" t="n">
        <v>772</v>
      </c>
      <c r="I1091" s="55" t="n">
        <v>758.95</v>
      </c>
      <c r="J1091" s="55" t="n">
        <v>0</v>
      </c>
      <c r="K1091" s="55" t="n">
        <v>4.8</v>
      </c>
      <c r="L1091" s="55" t="n">
        <v>763.75</v>
      </c>
      <c r="M1091" s="55" t="n">
        <v>-8.25</v>
      </c>
      <c r="N1091" s="36" t="inlineStr">
        <is>
          <t>004336</t>
        </is>
      </c>
      <c r="O1091" s="36" t="inlineStr">
        <is>
          <t>CAREMARK</t>
        </is>
      </c>
      <c r="P1091" s="36" t="inlineStr">
        <is>
          <t>MEDDADV</t>
        </is>
      </c>
      <c r="Q1091" s="36" t="inlineStr">
        <is>
          <t>RX8585</t>
        </is>
      </c>
    </row>
    <row r="1092">
      <c r="A1092" s="36" t="inlineStr">
        <is>
          <t>129688</t>
        </is>
      </c>
      <c r="B1092" s="52" t="n">
        <v>46076</v>
      </c>
      <c r="C1092" s="36" t="inlineStr">
        <is>
          <t>24208037705</t>
        </is>
      </c>
      <c r="D1092" s="53" t="inlineStr">
        <is>
          <t>MIEBO 1.338 GM/ML OPHTHALMIC SOLUTION</t>
        </is>
      </c>
      <c r="E1092" s="36" t="n">
        <v>3</v>
      </c>
      <c r="F1092" s="54" t="n">
        <v>3</v>
      </c>
      <c r="G1092" s="54" t="n">
        <v>1</v>
      </c>
      <c r="H1092" s="55" t="n">
        <v>803</v>
      </c>
      <c r="I1092" s="55" t="n">
        <v>770.8200000000001</v>
      </c>
      <c r="J1092" s="55" t="n">
        <v>0</v>
      </c>
      <c r="K1092" s="55" t="n">
        <v>0</v>
      </c>
      <c r="L1092" s="55" t="n">
        <v>770.8200000000001</v>
      </c>
      <c r="M1092" s="55" t="n">
        <v>-32.18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RX8585</t>
        </is>
      </c>
    </row>
    <row r="1093">
      <c r="A1093" s="36" t="inlineStr">
        <is>
          <t>138347</t>
        </is>
      </c>
      <c r="B1093" s="52" t="n">
        <v>46059</v>
      </c>
      <c r="C1093" s="36" t="inlineStr">
        <is>
          <t>24208037705</t>
        </is>
      </c>
      <c r="D1093" s="53" t="inlineStr">
        <is>
          <t>MIEBO 1.338 GM/ML OPHTHALMIC SOLUTION</t>
        </is>
      </c>
      <c r="E1093" s="36" t="n">
        <v>3</v>
      </c>
      <c r="F1093" s="54" t="n">
        <v>3</v>
      </c>
      <c r="G1093" s="54" t="n">
        <v>1</v>
      </c>
      <c r="H1093" s="55" t="n">
        <v>803</v>
      </c>
      <c r="I1093" s="55" t="n">
        <v>780.79</v>
      </c>
      <c r="J1093" s="55" t="n">
        <v>0</v>
      </c>
      <c r="K1093" s="55" t="n">
        <v>4.9</v>
      </c>
      <c r="L1093" s="55" t="n">
        <v>785.6900000000001</v>
      </c>
      <c r="M1093" s="55" t="n">
        <v>-17.31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138347</t>
        </is>
      </c>
      <c r="B1094" s="52" t="n">
        <v>46031</v>
      </c>
      <c r="C1094" s="36" t="inlineStr">
        <is>
          <t>24208037705</t>
        </is>
      </c>
      <c r="D1094" s="53" t="inlineStr">
        <is>
          <t>MIEBO 1.338 GM/ML OPHTHALMIC SOLUTION</t>
        </is>
      </c>
      <c r="E1094" s="36" t="n">
        <v>3</v>
      </c>
      <c r="F1094" s="54" t="n">
        <v>3</v>
      </c>
      <c r="G1094" s="54" t="n">
        <v>1</v>
      </c>
      <c r="H1094" s="55" t="n">
        <v>772</v>
      </c>
      <c r="I1094" s="55" t="n">
        <v>780.79</v>
      </c>
      <c r="J1094" s="55" t="n">
        <v>0</v>
      </c>
      <c r="K1094" s="55" t="n">
        <v>4.9</v>
      </c>
      <c r="L1094" s="55" t="n">
        <v>785.6900000000001</v>
      </c>
      <c r="M1094" s="55" t="n">
        <v>13.69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95760</t>
        </is>
      </c>
      <c r="B1095" s="52" t="n">
        <v>46029</v>
      </c>
      <c r="C1095" s="36" t="inlineStr">
        <is>
          <t>24208037705</t>
        </is>
      </c>
      <c r="D1095" s="53" t="inlineStr">
        <is>
          <t>MIEBO 1.338 GM/ML OPHTHALMIC SOLUTION</t>
        </is>
      </c>
      <c r="E1095" s="36" t="n">
        <v>3</v>
      </c>
      <c r="F1095" s="54" t="n">
        <v>3</v>
      </c>
      <c r="G1095" s="54" t="n">
        <v>1</v>
      </c>
      <c r="H1095" s="55" t="n">
        <v>772</v>
      </c>
      <c r="I1095" s="55" t="n">
        <v>778.51</v>
      </c>
      <c r="J1095" s="55" t="n">
        <v>0</v>
      </c>
      <c r="K1095" s="55" t="n">
        <v>0</v>
      </c>
      <c r="L1095" s="55" t="n">
        <v>778.51</v>
      </c>
      <c r="M1095" s="55" t="n">
        <v>6.51</v>
      </c>
      <c r="N1095" s="36" t="inlineStr">
        <is>
          <t>004740</t>
        </is>
      </c>
      <c r="O1095" s="36" t="inlineStr">
        <is>
          <t>NYM</t>
        </is>
      </c>
      <c r="P1095" s="36" t="inlineStr">
        <is>
          <t>9314DA31</t>
        </is>
      </c>
      <c r="Q1095" s="36" t="n">
        <v/>
      </c>
    </row>
    <row r="1096">
      <c r="A1096" s="36" t="inlineStr">
        <is>
          <t>118265</t>
        </is>
      </c>
      <c r="B1096" s="52" t="n">
        <v>45995</v>
      </c>
      <c r="C1096" s="36" t="inlineStr">
        <is>
          <t>24208037705</t>
        </is>
      </c>
      <c r="D1096" s="53" t="inlineStr">
        <is>
          <t>MIEBO 1.338 GM/ML OPHTHALMIC SOLUTION</t>
        </is>
      </c>
      <c r="E1096" s="36" t="n">
        <v>3</v>
      </c>
      <c r="F1096" s="54" t="n">
        <v>3</v>
      </c>
      <c r="G1096" s="54" t="n">
        <v>1</v>
      </c>
      <c r="H1096" s="55" t="n">
        <v>772</v>
      </c>
      <c r="I1096" s="55" t="n">
        <v>756.0599999999999</v>
      </c>
      <c r="J1096" s="55" t="n">
        <v>0</v>
      </c>
      <c r="K1096" s="55" t="n">
        <v>0</v>
      </c>
      <c r="L1096" s="55" t="n">
        <v>756.0599999999999</v>
      </c>
      <c r="M1096" s="55" t="n">
        <v>-15.94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112237</t>
        </is>
      </c>
      <c r="B1097" s="52" t="n">
        <v>45994</v>
      </c>
      <c r="C1097" s="36" t="inlineStr">
        <is>
          <t>24208037705</t>
        </is>
      </c>
      <c r="D1097" s="53" t="inlineStr">
        <is>
          <t>MIEBO 1.338 GM/ML OPHTHALMIC SOLUTION</t>
        </is>
      </c>
      <c r="E1097" s="36" t="n">
        <v>3</v>
      </c>
      <c r="F1097" s="54" t="n">
        <v>3</v>
      </c>
      <c r="G1097" s="54" t="n">
        <v>1</v>
      </c>
      <c r="H1097" s="55" t="n">
        <v>772</v>
      </c>
      <c r="I1097" s="55" t="n">
        <v>756.0599999999999</v>
      </c>
      <c r="J1097" s="55" t="n">
        <v>0</v>
      </c>
      <c r="K1097" s="55" t="n">
        <v>0</v>
      </c>
      <c r="L1097" s="55" t="n">
        <v>756.0599999999999</v>
      </c>
      <c r="M1097" s="55" t="n">
        <v>-15.94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135596</t>
        </is>
      </c>
      <c r="B1098" s="52" t="n">
        <v>46037</v>
      </c>
      <c r="C1098" s="36" t="inlineStr">
        <is>
          <t>24208037705</t>
        </is>
      </c>
      <c r="D1098" s="53" t="inlineStr">
        <is>
          <t>MIEBO 1.338 GM/ML OPHTHALMIC SOLUTION</t>
        </is>
      </c>
      <c r="E1098" s="36" t="n">
        <v>3</v>
      </c>
      <c r="F1098" s="54" t="n">
        <v>3</v>
      </c>
      <c r="G1098" s="54" t="n">
        <v>1</v>
      </c>
      <c r="H1098" s="55" t="n">
        <v>772</v>
      </c>
      <c r="I1098" s="55" t="n">
        <v>780.79</v>
      </c>
      <c r="J1098" s="55" t="n">
        <v>0</v>
      </c>
      <c r="K1098" s="55" t="n">
        <v>4.9</v>
      </c>
      <c r="L1098" s="55" t="n">
        <v>785.6900000000001</v>
      </c>
      <c r="M1098" s="55" t="n">
        <v>13.69</v>
      </c>
      <c r="N1098" s="36" t="inlineStr">
        <is>
          <t>004336</t>
        </is>
      </c>
      <c r="O1098" s="36" t="inlineStr">
        <is>
          <t>CAREMARK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134500</t>
        </is>
      </c>
      <c r="B1099" s="52" t="n">
        <v>46056</v>
      </c>
      <c r="C1099" s="36" t="inlineStr">
        <is>
          <t>24208037705</t>
        </is>
      </c>
      <c r="D1099" s="53" t="inlineStr">
        <is>
          <t>MIEBO 1.338 GM/ML OPHTHALMIC SOLUTION</t>
        </is>
      </c>
      <c r="E1099" s="36" t="n">
        <v>3</v>
      </c>
      <c r="F1099" s="54" t="n">
        <v>3</v>
      </c>
      <c r="G1099" s="54" t="n">
        <v>1</v>
      </c>
      <c r="H1099" s="55" t="n">
        <v>803</v>
      </c>
      <c r="I1099" s="55" t="n">
        <v>785.6900000000001</v>
      </c>
      <c r="J1099" s="55" t="n">
        <v>0</v>
      </c>
      <c r="K1099" s="55" t="n">
        <v>0</v>
      </c>
      <c r="L1099" s="55" t="n">
        <v>785.6900000000001</v>
      </c>
      <c r="M1099" s="55" t="n">
        <v>-17.31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MEDDADV</t>
        </is>
      </c>
      <c r="Q1099" s="36" t="inlineStr">
        <is>
          <t>RX1110</t>
        </is>
      </c>
    </row>
    <row r="1100">
      <c r="A1100" s="36" t="inlineStr">
        <is>
          <t>123351</t>
        </is>
      </c>
      <c r="B1100" s="52" t="n">
        <v>46028</v>
      </c>
      <c r="C1100" s="36" t="inlineStr">
        <is>
          <t>24208037705</t>
        </is>
      </c>
      <c r="D1100" s="53" t="inlineStr">
        <is>
          <t>MIEBO 1.338 GM/ML OPHTHALMIC SOLUTION</t>
        </is>
      </c>
      <c r="E1100" s="36" t="n">
        <v>3</v>
      </c>
      <c r="F1100" s="54" t="n">
        <v>3</v>
      </c>
      <c r="G1100" s="54" t="n">
        <v>1</v>
      </c>
      <c r="H1100" s="55" t="n">
        <v>772</v>
      </c>
      <c r="I1100" s="55" t="n">
        <v>780.79</v>
      </c>
      <c r="J1100" s="55" t="n">
        <v>0</v>
      </c>
      <c r="K1100" s="55" t="n">
        <v>4.9</v>
      </c>
      <c r="L1100" s="55" t="n">
        <v>785.6900000000001</v>
      </c>
      <c r="M1100" s="55" t="n">
        <v>13.69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121338</t>
        </is>
      </c>
      <c r="B1101" s="52" t="n">
        <v>46069</v>
      </c>
      <c r="C1101" s="36" t="inlineStr">
        <is>
          <t>00002147180</t>
        </is>
      </c>
      <c r="D1101" s="53" t="inlineStr">
        <is>
          <t>MOUNJARO 10 MG/0.5ML PEN-INJECTOR</t>
        </is>
      </c>
      <c r="E1101" s="36" t="n">
        <v>2</v>
      </c>
      <c r="F1101" s="54" t="n">
        <v>2</v>
      </c>
      <c r="G1101" s="54" t="n">
        <v>1</v>
      </c>
      <c r="H1101" s="55" t="n">
        <v>1082</v>
      </c>
      <c r="I1101" s="55" t="n">
        <v>1053.19</v>
      </c>
      <c r="J1101" s="55" t="n">
        <v>0</v>
      </c>
      <c r="K1101" s="55" t="n">
        <v>4.9</v>
      </c>
      <c r="L1101" s="55" t="n">
        <v>1058.09</v>
      </c>
      <c r="M1101" s="55" t="n">
        <v>-23.91</v>
      </c>
      <c r="N1101" s="36" t="inlineStr">
        <is>
          <t>004336</t>
        </is>
      </c>
      <c r="O1101" s="36" t="inlineStr">
        <is>
          <t>CAREMARK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123609</t>
        </is>
      </c>
      <c r="B1102" s="52" t="n">
        <v>46048</v>
      </c>
      <c r="C1102" s="36" t="inlineStr">
        <is>
          <t>00002147180</t>
        </is>
      </c>
      <c r="D1102" s="53" t="inlineStr">
        <is>
          <t>MOUNJARO 10 MG/0.5ML PEN-INJECTOR</t>
        </is>
      </c>
      <c r="E1102" s="36" t="n">
        <v>2</v>
      </c>
      <c r="F1102" s="54" t="n">
        <v>2</v>
      </c>
      <c r="G1102" s="54" t="n">
        <v>1</v>
      </c>
      <c r="H1102" s="55" t="n">
        <v>1073</v>
      </c>
      <c r="I1102" s="55" t="n">
        <v>1087.6</v>
      </c>
      <c r="J1102" s="55" t="n">
        <v>0</v>
      </c>
      <c r="K1102" s="55" t="n">
        <v>0</v>
      </c>
      <c r="L1102" s="55" t="n">
        <v>1087.6</v>
      </c>
      <c r="M1102" s="55" t="n">
        <v>14.6</v>
      </c>
      <c r="N1102" s="36" t="inlineStr">
        <is>
          <t>004740</t>
        </is>
      </c>
      <c r="O1102" s="36" t="inlineStr">
        <is>
          <t>NYM</t>
        </is>
      </c>
      <c r="P1102" s="36" t="inlineStr">
        <is>
          <t>9314DA31</t>
        </is>
      </c>
      <c r="Q1102" s="36" t="n">
        <v/>
      </c>
    </row>
    <row r="1103">
      <c r="A1103" s="36" t="inlineStr">
        <is>
          <t>123609</t>
        </is>
      </c>
      <c r="B1103" s="52" t="n">
        <v>45999</v>
      </c>
      <c r="C1103" s="36" t="inlineStr">
        <is>
          <t>00002147180</t>
        </is>
      </c>
      <c r="D1103" s="53" t="inlineStr">
        <is>
          <t>MOUNJARO 10 MG/0.5ML PEN-INJECTOR</t>
        </is>
      </c>
      <c r="E1103" s="36" t="n">
        <v>2</v>
      </c>
      <c r="F1103" s="54" t="n">
        <v>2</v>
      </c>
      <c r="G1103" s="54" t="n">
        <v>1</v>
      </c>
      <c r="H1103" s="55" t="n">
        <v>1039</v>
      </c>
      <c r="I1103" s="55" t="n">
        <v>1056.31</v>
      </c>
      <c r="J1103" s="55" t="n">
        <v>0</v>
      </c>
      <c r="K1103" s="55" t="n">
        <v>0</v>
      </c>
      <c r="L1103" s="55" t="n">
        <v>1056.31</v>
      </c>
      <c r="M1103" s="55" t="n">
        <v>17.31</v>
      </c>
      <c r="N1103" s="36" t="inlineStr">
        <is>
          <t>004740</t>
        </is>
      </c>
      <c r="O1103" s="36" t="inlineStr">
        <is>
          <t>NYM</t>
        </is>
      </c>
      <c r="P1103" s="36" t="inlineStr">
        <is>
          <t>9314DA31</t>
        </is>
      </c>
      <c r="Q1103" s="36" t="n">
        <v/>
      </c>
    </row>
    <row r="1104">
      <c r="A1104" s="36" t="inlineStr">
        <is>
          <t>144484</t>
        </is>
      </c>
      <c r="B1104" s="52" t="n">
        <v>46076</v>
      </c>
      <c r="C1104" s="36" t="inlineStr">
        <is>
          <t>00002147180</t>
        </is>
      </c>
      <c r="D1104" s="53" t="inlineStr">
        <is>
          <t>MOUNJARO 10 MG/0.5ML PEN-INJECTOR</t>
        </is>
      </c>
      <c r="E1104" s="36" t="n">
        <v>2</v>
      </c>
      <c r="F1104" s="54" t="n">
        <v>6</v>
      </c>
      <c r="G1104" s="54" t="n">
        <v>3</v>
      </c>
      <c r="H1104" s="55" t="n">
        <v>3246</v>
      </c>
      <c r="I1104" s="55" t="n">
        <v>3117.7</v>
      </c>
      <c r="J1104" s="55" t="n">
        <v>0</v>
      </c>
      <c r="K1104" s="55" t="n">
        <v>4.9</v>
      </c>
      <c r="L1104" s="55" t="n">
        <v>3122.6</v>
      </c>
      <c r="M1104" s="55" t="n">
        <v>-123.4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136585</t>
        </is>
      </c>
      <c r="B1105" s="52" t="n">
        <v>46045</v>
      </c>
      <c r="C1105" s="36" t="inlineStr">
        <is>
          <t>00002147180</t>
        </is>
      </c>
      <c r="D1105" s="53" t="inlineStr">
        <is>
          <t>MOUNJARO 10 MG/0.5ML PEN-INJECTOR</t>
        </is>
      </c>
      <c r="E1105" s="36" t="n">
        <v>2</v>
      </c>
      <c r="F1105" s="54" t="n">
        <v>2</v>
      </c>
      <c r="G1105" s="54" t="n">
        <v>1</v>
      </c>
      <c r="H1105" s="55" t="n">
        <v>1073</v>
      </c>
      <c r="I1105" s="55" t="n">
        <v>403.17</v>
      </c>
      <c r="J1105" s="55" t="n">
        <v>0</v>
      </c>
      <c r="K1105" s="55" t="n">
        <v>654.92</v>
      </c>
      <c r="L1105" s="55" t="n">
        <v>1058.09</v>
      </c>
      <c r="M1105" s="55" t="n">
        <v>-14.91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113369</t>
        </is>
      </c>
      <c r="B1106" s="52" t="n">
        <v>46052</v>
      </c>
      <c r="C1106" s="36" t="inlineStr">
        <is>
          <t>00002147180</t>
        </is>
      </c>
      <c r="D1106" s="53" t="inlineStr">
        <is>
          <t>MOUNJARO 10 MG/0.5ML PEN-INJECTOR</t>
        </is>
      </c>
      <c r="E1106" s="36" t="n">
        <v>2</v>
      </c>
      <c r="F1106" s="54" t="n">
        <v>2</v>
      </c>
      <c r="G1106" s="54" t="n">
        <v>1</v>
      </c>
      <c r="H1106" s="55" t="n">
        <v>1073</v>
      </c>
      <c r="I1106" s="55" t="n">
        <v>1054.04</v>
      </c>
      <c r="J1106" s="55" t="n">
        <v>0</v>
      </c>
      <c r="K1106" s="55" t="n">
        <v>0</v>
      </c>
      <c r="L1106" s="55" t="n">
        <v>1054.04</v>
      </c>
      <c r="M1106" s="55" t="n">
        <v>-18.96</v>
      </c>
      <c r="N1106" s="36" t="inlineStr">
        <is>
          <t>610502</t>
        </is>
      </c>
      <c r="O1106" s="36" t="inlineStr">
        <is>
          <t>CAREMARK</t>
        </is>
      </c>
      <c r="P1106" s="36" t="inlineStr">
        <is>
          <t>MEDDAET</t>
        </is>
      </c>
      <c r="Q1106" s="36" t="inlineStr">
        <is>
          <t>RXAETD</t>
        </is>
      </c>
    </row>
    <row r="1107">
      <c r="A1107" s="36" t="inlineStr">
        <is>
          <t>123609</t>
        </is>
      </c>
      <c r="B1107" s="52" t="n">
        <v>46022</v>
      </c>
      <c r="C1107" s="36" t="inlineStr">
        <is>
          <t>00002147180</t>
        </is>
      </c>
      <c r="D1107" s="53" t="inlineStr">
        <is>
          <t>MOUNJARO 10 MG/0.5ML PEN-INJECTOR</t>
        </is>
      </c>
      <c r="E1107" s="36" t="n">
        <v>2</v>
      </c>
      <c r="F1107" s="54" t="n">
        <v>2</v>
      </c>
      <c r="G1107" s="54" t="n">
        <v>1</v>
      </c>
      <c r="H1107" s="55" t="n">
        <v>1039</v>
      </c>
      <c r="I1107" s="55" t="n">
        <v>1056.22</v>
      </c>
      <c r="J1107" s="55" t="n">
        <v>0</v>
      </c>
      <c r="K1107" s="55" t="n">
        <v>0</v>
      </c>
      <c r="L1107" s="55" t="n">
        <v>1056.22</v>
      </c>
      <c r="M1107" s="55" t="n">
        <v>17.22</v>
      </c>
      <c r="N1107" s="36" t="inlineStr">
        <is>
          <t>004740</t>
        </is>
      </c>
      <c r="O1107" s="36" t="inlineStr">
        <is>
          <t>NYM</t>
        </is>
      </c>
      <c r="P1107" s="36" t="inlineStr">
        <is>
          <t>9314DA31</t>
        </is>
      </c>
      <c r="Q1107" s="36" t="n">
        <v/>
      </c>
    </row>
    <row r="1108">
      <c r="A1108" s="36" t="inlineStr">
        <is>
          <t>144004</t>
        </is>
      </c>
      <c r="B1108" s="52" t="n">
        <v>46073</v>
      </c>
      <c r="C1108" s="36" t="inlineStr">
        <is>
          <t>00002147180</t>
        </is>
      </c>
      <c r="D1108" s="53" t="inlineStr">
        <is>
          <t>MOUNJARO 10 MG/0.5ML PEN-INJECTOR</t>
        </is>
      </c>
      <c r="E1108" s="36" t="n">
        <v>2</v>
      </c>
      <c r="F1108" s="54" t="n">
        <v>2</v>
      </c>
      <c r="G1108" s="54" t="n">
        <v>1</v>
      </c>
      <c r="H1108" s="55" t="n">
        <v>1082</v>
      </c>
      <c r="I1108" s="55" t="n">
        <v>1054.04</v>
      </c>
      <c r="J1108" s="55" t="n">
        <v>0</v>
      </c>
      <c r="K1108" s="55" t="n">
        <v>0</v>
      </c>
      <c r="L1108" s="55" t="n">
        <v>1054.04</v>
      </c>
      <c r="M1108" s="55" t="n">
        <v>-27.96</v>
      </c>
      <c r="N1108" s="36" t="inlineStr">
        <is>
          <t>610502</t>
        </is>
      </c>
      <c r="O1108" s="36" t="inlineStr">
        <is>
          <t>CAREMARK</t>
        </is>
      </c>
      <c r="P1108" s="36" t="inlineStr">
        <is>
          <t>MEDDAET</t>
        </is>
      </c>
      <c r="Q1108" s="36" t="inlineStr">
        <is>
          <t>RXAETD</t>
        </is>
      </c>
    </row>
    <row r="1109">
      <c r="A1109" s="36" t="inlineStr">
        <is>
          <t>123002</t>
        </is>
      </c>
      <c r="B1109" s="52" t="n">
        <v>45994</v>
      </c>
      <c r="C1109" s="36" t="inlineStr">
        <is>
          <t>00002147180</t>
        </is>
      </c>
      <c r="D1109" s="53" t="inlineStr">
        <is>
          <t>MOUNJARO 10 MG/0.5ML PEN-INJECTOR</t>
        </is>
      </c>
      <c r="E1109" s="36" t="n">
        <v>2</v>
      </c>
      <c r="F1109" s="54" t="n">
        <v>6</v>
      </c>
      <c r="G1109" s="54" t="n">
        <v>3</v>
      </c>
      <c r="H1109" s="55" t="n">
        <v>3117</v>
      </c>
      <c r="I1109" s="55" t="n">
        <v>3012.21</v>
      </c>
      <c r="J1109" s="55" t="n">
        <v>0</v>
      </c>
      <c r="K1109" s="55" t="n">
        <v>0</v>
      </c>
      <c r="L1109" s="55" t="n">
        <v>3012.21</v>
      </c>
      <c r="M1109" s="55" t="n">
        <v>-104.79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127034</t>
        </is>
      </c>
      <c r="B1110" s="52" t="n">
        <v>45995</v>
      </c>
      <c r="C1110" s="36" t="inlineStr">
        <is>
          <t>00002147180</t>
        </is>
      </c>
      <c r="D1110" s="53" t="inlineStr">
        <is>
          <t>MOUNJARO 10 MG/0.5ML PEN-INJECTOR</t>
        </is>
      </c>
      <c r="E1110" s="36" t="n">
        <v>2</v>
      </c>
      <c r="F1110" s="54" t="n">
        <v>2</v>
      </c>
      <c r="G1110" s="54" t="n">
        <v>1</v>
      </c>
      <c r="H1110" s="55" t="n">
        <v>1039</v>
      </c>
      <c r="I1110" s="55" t="n">
        <v>1023.33</v>
      </c>
      <c r="J1110" s="55" t="n">
        <v>0</v>
      </c>
      <c r="K1110" s="55" t="n">
        <v>0</v>
      </c>
      <c r="L1110" s="55" t="n">
        <v>1023.33</v>
      </c>
      <c r="M1110" s="55" t="n">
        <v>-15.67</v>
      </c>
      <c r="N1110" s="36" t="inlineStr">
        <is>
          <t>610502</t>
        </is>
      </c>
      <c r="O1110" s="36" t="inlineStr">
        <is>
          <t>CAREMARK</t>
        </is>
      </c>
      <c r="P1110" s="36" t="inlineStr">
        <is>
          <t>MEDDAET</t>
        </is>
      </c>
      <c r="Q1110" s="36" t="inlineStr">
        <is>
          <t>RXAETD</t>
        </is>
      </c>
    </row>
    <row r="1111">
      <c r="A1111" s="36" t="inlineStr">
        <is>
          <t>127034</t>
        </is>
      </c>
      <c r="B1111" s="52" t="n">
        <v>46027</v>
      </c>
      <c r="C1111" s="36" t="inlineStr">
        <is>
          <t>00002147180</t>
        </is>
      </c>
      <c r="D1111" s="53" t="inlineStr">
        <is>
          <t>MOUNJARO 10 MG/0.5ML PEN-INJECTOR</t>
        </is>
      </c>
      <c r="E1111" s="36" t="n">
        <v>2</v>
      </c>
      <c r="F1111" s="54" t="n">
        <v>2</v>
      </c>
      <c r="G1111" s="54" t="n">
        <v>1</v>
      </c>
      <c r="H1111" s="55" t="n">
        <v>1073</v>
      </c>
      <c r="I1111" s="55" t="n">
        <v>1054.04</v>
      </c>
      <c r="J1111" s="55" t="n">
        <v>0</v>
      </c>
      <c r="K1111" s="55" t="n">
        <v>0</v>
      </c>
      <c r="L1111" s="55" t="n">
        <v>1054.04</v>
      </c>
      <c r="M1111" s="55" t="n">
        <v>-18.96</v>
      </c>
      <c r="N1111" s="36" t="inlineStr">
        <is>
          <t>610502</t>
        </is>
      </c>
      <c r="O1111" s="36" t="inlineStr">
        <is>
          <t>CAREMARK</t>
        </is>
      </c>
      <c r="P1111" s="36" t="inlineStr">
        <is>
          <t>MEDDAET</t>
        </is>
      </c>
      <c r="Q1111" s="36" t="inlineStr">
        <is>
          <t>RXAETD</t>
        </is>
      </c>
    </row>
    <row r="1112">
      <c r="A1112" s="36" t="inlineStr">
        <is>
          <t>136585</t>
        </is>
      </c>
      <c r="B1112" s="52" t="n">
        <v>46017</v>
      </c>
      <c r="C1112" s="36" t="inlineStr">
        <is>
          <t>00002147180</t>
        </is>
      </c>
      <c r="D1112" s="53" t="inlineStr">
        <is>
          <t>MOUNJARO 10 MG/0.5ML PEN-INJECTOR</t>
        </is>
      </c>
      <c r="E1112" s="36" t="n">
        <v>2</v>
      </c>
      <c r="F1112" s="54" t="n">
        <v>2</v>
      </c>
      <c r="G1112" s="54" t="n">
        <v>1</v>
      </c>
      <c r="H1112" s="55" t="n">
        <v>1039</v>
      </c>
      <c r="I1112" s="55" t="n">
        <v>1018.2</v>
      </c>
      <c r="J1112" s="55" t="n">
        <v>0</v>
      </c>
      <c r="K1112" s="55" t="n">
        <v>0</v>
      </c>
      <c r="L1112" s="55" t="n">
        <v>1018.2</v>
      </c>
      <c r="M1112" s="55" t="n">
        <v>-20.8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132345</t>
        </is>
      </c>
      <c r="B1113" s="52" t="n">
        <v>46027</v>
      </c>
      <c r="C1113" s="36" t="inlineStr">
        <is>
          <t>00002147180</t>
        </is>
      </c>
      <c r="D1113" s="53" t="inlineStr">
        <is>
          <t>MOUNJARO 10 MG/0.5ML PEN-INJECTOR</t>
        </is>
      </c>
      <c r="E1113" s="36" t="n">
        <v>2</v>
      </c>
      <c r="F1113" s="54" t="n">
        <v>2</v>
      </c>
      <c r="G1113" s="54" t="n">
        <v>1</v>
      </c>
      <c r="H1113" s="55" t="n">
        <v>1073</v>
      </c>
      <c r="I1113" s="55" t="n">
        <v>1056.22</v>
      </c>
      <c r="J1113" s="55" t="n">
        <v>0</v>
      </c>
      <c r="K1113" s="55" t="n">
        <v>0</v>
      </c>
      <c r="L1113" s="55" t="n">
        <v>1056.22</v>
      </c>
      <c r="M1113" s="55" t="n">
        <v>-16.78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131639</t>
        </is>
      </c>
      <c r="B1114" s="52" t="n">
        <v>46057</v>
      </c>
      <c r="C1114" s="36" t="inlineStr">
        <is>
          <t>00002146080</t>
        </is>
      </c>
      <c r="D1114" s="53" t="inlineStr">
        <is>
          <t>MOUNJARO 12.5 MG/0.5ML PEN-INJECTOR</t>
        </is>
      </c>
      <c r="E1114" s="36" t="n">
        <v>2</v>
      </c>
      <c r="F1114" s="54" t="n">
        <v>2</v>
      </c>
      <c r="G1114" s="54" t="n">
        <v>1</v>
      </c>
      <c r="H1114" s="55" t="n">
        <v>1082</v>
      </c>
      <c r="I1114" s="55" t="n">
        <v>1058.09</v>
      </c>
      <c r="J1114" s="55" t="n">
        <v>0</v>
      </c>
      <c r="K1114" s="55" t="n">
        <v>0</v>
      </c>
      <c r="L1114" s="55" t="n">
        <v>1058.09</v>
      </c>
      <c r="M1114" s="55" t="n">
        <v>-23.91</v>
      </c>
      <c r="N1114" s="36" t="inlineStr">
        <is>
          <t>004336</t>
        </is>
      </c>
      <c r="O1114" s="36" t="inlineStr">
        <is>
          <t>CAREMARK</t>
        </is>
      </c>
      <c r="P1114" s="36" t="inlineStr">
        <is>
          <t>MEDDADV</t>
        </is>
      </c>
      <c r="Q1114" s="36" t="inlineStr">
        <is>
          <t>RX1110</t>
        </is>
      </c>
    </row>
    <row r="1115">
      <c r="A1115" s="36" t="inlineStr">
        <is>
          <t>130042</t>
        </is>
      </c>
      <c r="B1115" s="52" t="n">
        <v>45992</v>
      </c>
      <c r="C1115" s="36" t="inlineStr">
        <is>
          <t>00002146080</t>
        </is>
      </c>
      <c r="D1115" s="53" t="inlineStr">
        <is>
          <t>MOUNJARO 12.5 MG/0.5ML PEN-INJECTOR</t>
        </is>
      </c>
      <c r="E1115" s="36" t="n">
        <v>2</v>
      </c>
      <c r="F1115" s="54" t="n">
        <v>2</v>
      </c>
      <c r="G1115" s="54" t="n">
        <v>1</v>
      </c>
      <c r="H1115" s="55" t="n">
        <v>1039</v>
      </c>
      <c r="I1115" s="55" t="n">
        <v>1083.32</v>
      </c>
      <c r="J1115" s="55" t="n">
        <v>0</v>
      </c>
      <c r="K1115" s="55" t="n">
        <v>0</v>
      </c>
      <c r="L1115" s="55" t="n">
        <v>1083.32</v>
      </c>
      <c r="M1115" s="55" t="n">
        <v>44.32</v>
      </c>
      <c r="N1115" s="36" t="inlineStr">
        <is>
          <t>610097</t>
        </is>
      </c>
      <c r="O1115" s="36" t="inlineStr">
        <is>
          <t>OPTUM</t>
        </is>
      </c>
      <c r="P1115" s="36" t="inlineStr">
        <is>
          <t>9999</t>
        </is>
      </c>
      <c r="Q1115" s="36" t="inlineStr">
        <is>
          <t>PDPIND</t>
        </is>
      </c>
    </row>
    <row r="1116">
      <c r="A1116" s="36" t="inlineStr">
        <is>
          <t>136364</t>
        </is>
      </c>
      <c r="B1116" s="52" t="n">
        <v>46041</v>
      </c>
      <c r="C1116" s="36" t="inlineStr">
        <is>
          <t>00002146080</t>
        </is>
      </c>
      <c r="D1116" s="53" t="inlineStr">
        <is>
          <t>MOUNJARO 12.5 MG/0.5ML PEN-INJECTOR</t>
        </is>
      </c>
      <c r="E1116" s="36" t="n">
        <v>2</v>
      </c>
      <c r="F1116" s="54" t="n">
        <v>2</v>
      </c>
      <c r="G1116" s="54" t="n">
        <v>1</v>
      </c>
      <c r="H1116" s="55" t="n">
        <v>1073</v>
      </c>
      <c r="I1116" s="55" t="n">
        <v>978.6900000000001</v>
      </c>
      <c r="J1116" s="55" t="n">
        <v>0</v>
      </c>
      <c r="K1116" s="55" t="n">
        <v>4.9</v>
      </c>
      <c r="L1116" s="55" t="n">
        <v>983.59</v>
      </c>
      <c r="M1116" s="55" t="n">
        <v>-89.41</v>
      </c>
      <c r="N1116" s="36" t="inlineStr">
        <is>
          <t>610014</t>
        </is>
      </c>
      <c r="O1116" s="36" t="inlineStr">
        <is>
          <t>EXPRESS</t>
        </is>
      </c>
      <c r="P1116" s="36" t="inlineStr">
        <is>
          <t>MEDDPRIME</t>
        </is>
      </c>
      <c r="Q1116" s="36" t="inlineStr">
        <is>
          <t>2FFA</t>
        </is>
      </c>
    </row>
    <row r="1117">
      <c r="A1117" s="36" t="inlineStr">
        <is>
          <t>130153</t>
        </is>
      </c>
      <c r="B1117" s="52" t="n">
        <v>45994</v>
      </c>
      <c r="C1117" s="36" t="inlineStr">
        <is>
          <t>00002146080</t>
        </is>
      </c>
      <c r="D1117" s="53" t="inlineStr">
        <is>
          <t>MOUNJARO 12.5 MG/0.5ML PEN-INJECTOR</t>
        </is>
      </c>
      <c r="E1117" s="36" t="n">
        <v>2</v>
      </c>
      <c r="F1117" s="54" t="n">
        <v>2</v>
      </c>
      <c r="G1117" s="54" t="n">
        <v>1</v>
      </c>
      <c r="H1117" s="55" t="n">
        <v>1039</v>
      </c>
      <c r="I1117" s="55" t="n">
        <v>1032.45</v>
      </c>
      <c r="J1117" s="55" t="n">
        <v>0</v>
      </c>
      <c r="K1117" s="55" t="n">
        <v>0</v>
      </c>
      <c r="L1117" s="55" t="n">
        <v>1032.45</v>
      </c>
      <c r="M1117" s="55" t="n">
        <v>-6.55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RX8541</t>
        </is>
      </c>
    </row>
    <row r="1118">
      <c r="A1118" s="36" t="inlineStr">
        <is>
          <t>143217</t>
        </is>
      </c>
      <c r="B1118" s="52" t="n">
        <v>46066</v>
      </c>
      <c r="C1118" s="36" t="inlineStr">
        <is>
          <t>00002146080</t>
        </is>
      </c>
      <c r="D1118" s="53" t="inlineStr">
        <is>
          <t>MOUNJARO 12.5 MG/0.5ML PEN-INJECTOR</t>
        </is>
      </c>
      <c r="E1118" s="36" t="n">
        <v>2</v>
      </c>
      <c r="F1118" s="54" t="n">
        <v>2</v>
      </c>
      <c r="G1118" s="54" t="n">
        <v>1</v>
      </c>
      <c r="H1118" s="55" t="n">
        <v>1082</v>
      </c>
      <c r="I1118" s="55" t="n">
        <v>1055.09</v>
      </c>
      <c r="J1118" s="55" t="n">
        <v>0</v>
      </c>
      <c r="K1118" s="55" t="n">
        <v>0</v>
      </c>
      <c r="L1118" s="55" t="n">
        <v>1055.09</v>
      </c>
      <c r="M1118" s="55" t="n">
        <v>-26.91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ADV</t>
        </is>
      </c>
      <c r="Q1118" s="36" t="inlineStr">
        <is>
          <t>RX0839</t>
        </is>
      </c>
    </row>
    <row r="1119">
      <c r="A1119" s="36" t="inlineStr">
        <is>
          <t>133033</t>
        </is>
      </c>
      <c r="B1119" s="52" t="n">
        <v>46041</v>
      </c>
      <c r="C1119" s="36" t="inlineStr">
        <is>
          <t>00002146080</t>
        </is>
      </c>
      <c r="D1119" s="53" t="inlineStr">
        <is>
          <t>MOUNJARO 12.5 MG/0.5ML PEN-INJECTOR</t>
        </is>
      </c>
      <c r="E1119" s="36" t="n">
        <v>2</v>
      </c>
      <c r="F1119" s="54" t="n">
        <v>2</v>
      </c>
      <c r="G1119" s="54" t="n">
        <v>1</v>
      </c>
      <c r="H1119" s="55" t="n">
        <v>1073</v>
      </c>
      <c r="I1119" s="55" t="n">
        <v>1055.09</v>
      </c>
      <c r="J1119" s="55" t="n">
        <v>0</v>
      </c>
      <c r="K1119" s="55" t="n">
        <v>0</v>
      </c>
      <c r="L1119" s="55" t="n">
        <v>1055.09</v>
      </c>
      <c r="M1119" s="55" t="n">
        <v>-17.91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ADV</t>
        </is>
      </c>
      <c r="Q1119" s="36" t="inlineStr">
        <is>
          <t>RX0839</t>
        </is>
      </c>
    </row>
    <row r="1120">
      <c r="A1120" s="36" t="inlineStr">
        <is>
          <t>136364</t>
        </is>
      </c>
      <c r="B1120" s="52" t="n">
        <v>46014</v>
      </c>
      <c r="C1120" s="36" t="inlineStr">
        <is>
          <t>00002146080</t>
        </is>
      </c>
      <c r="D1120" s="53" t="inlineStr">
        <is>
          <t>MOUNJARO 12.5 MG/0.5ML PEN-INJECTOR</t>
        </is>
      </c>
      <c r="E1120" s="36" t="n">
        <v>2</v>
      </c>
      <c r="F1120" s="54" t="n">
        <v>2</v>
      </c>
      <c r="G1120" s="54" t="n">
        <v>1</v>
      </c>
      <c r="H1120" s="55" t="n">
        <v>1039</v>
      </c>
      <c r="I1120" s="55" t="n">
        <v>965.3099999999999</v>
      </c>
      <c r="J1120" s="55" t="n">
        <v>0</v>
      </c>
      <c r="K1120" s="55" t="n">
        <v>0</v>
      </c>
      <c r="L1120" s="55" t="n">
        <v>965.3099999999999</v>
      </c>
      <c r="M1120" s="55" t="n">
        <v>-73.69</v>
      </c>
      <c r="N1120" s="36" t="inlineStr">
        <is>
          <t>610014</t>
        </is>
      </c>
      <c r="O1120" s="36" t="inlineStr">
        <is>
          <t>EXPRESS</t>
        </is>
      </c>
      <c r="P1120" s="36" t="inlineStr">
        <is>
          <t>MEDDPRIME</t>
        </is>
      </c>
      <c r="Q1120" s="36" t="inlineStr">
        <is>
          <t>2FFA</t>
        </is>
      </c>
    </row>
    <row r="1121">
      <c r="A1121" s="36" t="inlineStr">
        <is>
          <t>136364</t>
        </is>
      </c>
      <c r="B1121" s="52" t="n">
        <v>46066</v>
      </c>
      <c r="C1121" s="36" t="inlineStr">
        <is>
          <t>00002146080</t>
        </is>
      </c>
      <c r="D1121" s="53" t="inlineStr">
        <is>
          <t>MOUNJARO 12.5 MG/0.5ML PEN-INJECTOR</t>
        </is>
      </c>
      <c r="E1121" s="36" t="n">
        <v>2</v>
      </c>
      <c r="F1121" s="54" t="n">
        <v>2</v>
      </c>
      <c r="G1121" s="54" t="n">
        <v>1</v>
      </c>
      <c r="H1121" s="55" t="n">
        <v>1082</v>
      </c>
      <c r="I1121" s="55" t="n">
        <v>978.6900000000001</v>
      </c>
      <c r="J1121" s="55" t="n">
        <v>0</v>
      </c>
      <c r="K1121" s="55" t="n">
        <v>4.9</v>
      </c>
      <c r="L1121" s="55" t="n">
        <v>983.59</v>
      </c>
      <c r="M1121" s="55" t="n">
        <v>-98.41</v>
      </c>
      <c r="N1121" s="36" t="inlineStr">
        <is>
          <t>610014</t>
        </is>
      </c>
      <c r="O1121" s="36" t="inlineStr">
        <is>
          <t>EXPRESS</t>
        </is>
      </c>
      <c r="P1121" s="36" t="inlineStr">
        <is>
          <t>MEDDPRIME</t>
        </is>
      </c>
      <c r="Q1121" s="36" t="inlineStr">
        <is>
          <t>2FFA</t>
        </is>
      </c>
    </row>
    <row r="1122">
      <c r="A1122" s="36" t="inlineStr">
        <is>
          <t>131639</t>
        </is>
      </c>
      <c r="B1122" s="52" t="n">
        <v>46007</v>
      </c>
      <c r="C1122" s="36" t="inlineStr">
        <is>
          <t>00002146080</t>
        </is>
      </c>
      <c r="D1122" s="53" t="inlineStr">
        <is>
          <t>MOUNJARO 12.5 MG/0.5ML PEN-INJECTOR</t>
        </is>
      </c>
      <c r="E1122" s="36" t="n">
        <v>2</v>
      </c>
      <c r="F1122" s="54" t="n">
        <v>2</v>
      </c>
      <c r="G1122" s="54" t="n">
        <v>1</v>
      </c>
      <c r="H1122" s="55" t="n">
        <v>1039</v>
      </c>
      <c r="I1122" s="55" t="n">
        <v>1018.2</v>
      </c>
      <c r="J1122" s="55" t="n">
        <v>0</v>
      </c>
      <c r="K1122" s="55" t="n">
        <v>0</v>
      </c>
      <c r="L1122" s="55" t="n">
        <v>1018.2</v>
      </c>
      <c r="M1122" s="55" t="n">
        <v>-20.8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130042</t>
        </is>
      </c>
      <c r="B1123" s="52" t="n">
        <v>46017</v>
      </c>
      <c r="C1123" s="36" t="inlineStr">
        <is>
          <t>00002146080</t>
        </is>
      </c>
      <c r="D1123" s="53" t="inlineStr">
        <is>
          <t>MOUNJARO 12.5 MG/0.5ML PEN-INJECTOR</t>
        </is>
      </c>
      <c r="E1123" s="36" t="n">
        <v>2</v>
      </c>
      <c r="F1123" s="54" t="n">
        <v>2</v>
      </c>
      <c r="G1123" s="54" t="n">
        <v>1</v>
      </c>
      <c r="H1123" s="55" t="n">
        <v>1039</v>
      </c>
      <c r="I1123" s="55" t="n">
        <v>1083.32</v>
      </c>
      <c r="J1123" s="55" t="n">
        <v>0</v>
      </c>
      <c r="K1123" s="55" t="n">
        <v>0</v>
      </c>
      <c r="L1123" s="55" t="n">
        <v>1083.32</v>
      </c>
      <c r="M1123" s="55" t="n">
        <v>44.32</v>
      </c>
      <c r="N1123" s="36" t="inlineStr">
        <is>
          <t>610097</t>
        </is>
      </c>
      <c r="O1123" s="36" t="inlineStr">
        <is>
          <t>OPTUM</t>
        </is>
      </c>
      <c r="P1123" s="36" t="inlineStr">
        <is>
          <t>9999</t>
        </is>
      </c>
      <c r="Q1123" s="36" t="inlineStr">
        <is>
          <t>PDPIND</t>
        </is>
      </c>
    </row>
    <row r="1124">
      <c r="A1124" s="36" t="inlineStr">
        <is>
          <t>133033</t>
        </is>
      </c>
      <c r="B1124" s="52" t="n">
        <v>46014</v>
      </c>
      <c r="C1124" s="36" t="inlineStr">
        <is>
          <t>00002146080</t>
        </is>
      </c>
      <c r="D1124" s="53" t="inlineStr">
        <is>
          <t>MOUNJARO 12.5 MG/0.5ML PEN-INJECTOR</t>
        </is>
      </c>
      <c r="E1124" s="36" t="n">
        <v>2</v>
      </c>
      <c r="F1124" s="54" t="n">
        <v>2</v>
      </c>
      <c r="G1124" s="54" t="n">
        <v>1</v>
      </c>
      <c r="H1124" s="55" t="n">
        <v>1039</v>
      </c>
      <c r="I1124" s="55" t="n">
        <v>1024.37</v>
      </c>
      <c r="J1124" s="55" t="n">
        <v>0</v>
      </c>
      <c r="K1124" s="55" t="n">
        <v>0</v>
      </c>
      <c r="L1124" s="55" t="n">
        <v>1024.37</v>
      </c>
      <c r="M1124" s="55" t="n">
        <v>-14.63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ADV</t>
        </is>
      </c>
      <c r="Q1124" s="36" t="inlineStr">
        <is>
          <t>RX0839</t>
        </is>
      </c>
    </row>
    <row r="1125">
      <c r="A1125" s="36" t="inlineStr">
        <is>
          <t>131639</t>
        </is>
      </c>
      <c r="B1125" s="52" t="n">
        <v>46032</v>
      </c>
      <c r="C1125" s="36" t="inlineStr">
        <is>
          <t>00002146080</t>
        </is>
      </c>
      <c r="D1125" s="53" t="inlineStr">
        <is>
          <t>MOUNJARO 12.5 MG/0.5ML PEN-INJECTOR</t>
        </is>
      </c>
      <c r="E1125" s="36" t="n">
        <v>2</v>
      </c>
      <c r="F1125" s="54" t="n">
        <v>2</v>
      </c>
      <c r="G1125" s="54" t="n">
        <v>1</v>
      </c>
      <c r="H1125" s="55" t="n">
        <v>1073</v>
      </c>
      <c r="I1125" s="55" t="n">
        <v>1058.09</v>
      </c>
      <c r="J1125" s="55" t="n">
        <v>0</v>
      </c>
      <c r="K1125" s="55" t="n">
        <v>0</v>
      </c>
      <c r="L1125" s="55" t="n">
        <v>1058.09</v>
      </c>
      <c r="M1125" s="55" t="n">
        <v>-14.91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136343</t>
        </is>
      </c>
      <c r="B1126" s="52" t="n">
        <v>46014</v>
      </c>
      <c r="C1126" s="36" t="inlineStr">
        <is>
          <t>00002145780</t>
        </is>
      </c>
      <c r="D1126" s="53" t="inlineStr">
        <is>
          <t>MOUNJARO 15 MG/0.5ML PEN-INJECTOR</t>
        </is>
      </c>
      <c r="E1126" s="36" t="n">
        <v>2</v>
      </c>
      <c r="F1126" s="54" t="n">
        <v>2</v>
      </c>
      <c r="G1126" s="54" t="n">
        <v>1</v>
      </c>
      <c r="H1126" s="55" t="n">
        <v>1039</v>
      </c>
      <c r="I1126" s="55" t="n">
        <v>1018.2</v>
      </c>
      <c r="J1126" s="55" t="n">
        <v>0</v>
      </c>
      <c r="K1126" s="55" t="n">
        <v>0</v>
      </c>
      <c r="L1126" s="55" t="n">
        <v>1018.2</v>
      </c>
      <c r="M1126" s="55" t="n">
        <v>-20.8</v>
      </c>
      <c r="N1126" s="36" t="inlineStr">
        <is>
          <t>004336</t>
        </is>
      </c>
      <c r="O1126" s="36" t="inlineStr">
        <is>
          <t>CAREMARK</t>
        </is>
      </c>
      <c r="P1126" s="36" t="inlineStr">
        <is>
          <t>MEDDADV</t>
        </is>
      </c>
      <c r="Q1126" s="36" t="inlineStr">
        <is>
          <t>RX1110</t>
        </is>
      </c>
    </row>
    <row r="1127">
      <c r="A1127" s="36" t="inlineStr">
        <is>
          <t>139676</t>
        </is>
      </c>
      <c r="B1127" s="52" t="n">
        <v>46066</v>
      </c>
      <c r="C1127" s="36" t="inlineStr">
        <is>
          <t>00002145780</t>
        </is>
      </c>
      <c r="D1127" s="53" t="inlineStr">
        <is>
          <t>MOUNJARO 15 MG/0.5ML PEN-INJECTOR</t>
        </is>
      </c>
      <c r="E1127" s="36" t="n">
        <v>2</v>
      </c>
      <c r="F1127" s="54" t="n">
        <v>2</v>
      </c>
      <c r="G1127" s="54" t="n">
        <v>1</v>
      </c>
      <c r="H1127" s="55" t="n">
        <v>1082</v>
      </c>
      <c r="I1127" s="55" t="n">
        <v>1058.09</v>
      </c>
      <c r="J1127" s="55" t="n">
        <v>0</v>
      </c>
      <c r="K1127" s="55" t="n">
        <v>0</v>
      </c>
      <c r="L1127" s="55" t="n">
        <v>1058.09</v>
      </c>
      <c r="M1127" s="55" t="n">
        <v>-23.91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MEDDADV</t>
        </is>
      </c>
      <c r="Q1127" s="36" t="inlineStr">
        <is>
          <t>RX1110</t>
        </is>
      </c>
    </row>
    <row r="1128">
      <c r="A1128" s="36" t="inlineStr">
        <is>
          <t>134808</t>
        </is>
      </c>
      <c r="B1128" s="52" t="n">
        <v>46002</v>
      </c>
      <c r="C1128" s="36" t="inlineStr">
        <is>
          <t>00002145780</t>
        </is>
      </c>
      <c r="D1128" s="53" t="inlineStr">
        <is>
          <t>MOUNJARO 15 MG/0.5ML PEN-INJECTOR</t>
        </is>
      </c>
      <c r="E1128" s="36" t="n">
        <v>2</v>
      </c>
      <c r="F1128" s="54" t="n">
        <v>2</v>
      </c>
      <c r="G1128" s="54" t="n">
        <v>1</v>
      </c>
      <c r="H1128" s="55" t="n">
        <v>1039</v>
      </c>
      <c r="I1128" s="55" t="n">
        <v>1056.18</v>
      </c>
      <c r="J1128" s="55" t="n">
        <v>0</v>
      </c>
      <c r="K1128" s="55" t="n">
        <v>0</v>
      </c>
      <c r="L1128" s="55" t="n">
        <v>1056.18</v>
      </c>
      <c r="M1128" s="55" t="n">
        <v>17.18</v>
      </c>
      <c r="N1128" s="36" t="inlineStr">
        <is>
          <t>004740</t>
        </is>
      </c>
      <c r="O1128" s="36" t="inlineStr">
        <is>
          <t>NYM</t>
        </is>
      </c>
      <c r="P1128" s="36" t="inlineStr">
        <is>
          <t>9314DA31</t>
        </is>
      </c>
      <c r="Q1128" s="36" t="n">
        <v/>
      </c>
    </row>
    <row r="1129">
      <c r="A1129" s="36" t="inlineStr">
        <is>
          <t>140774</t>
        </is>
      </c>
      <c r="B1129" s="52" t="n">
        <v>46049</v>
      </c>
      <c r="C1129" s="36" t="inlineStr">
        <is>
          <t>00002145780</t>
        </is>
      </c>
      <c r="D1129" s="53" t="inlineStr">
        <is>
          <t>MOUNJARO 15 MG/0.5ML PEN-INJECTOR</t>
        </is>
      </c>
      <c r="E1129" s="36" t="n">
        <v>2</v>
      </c>
      <c r="F1129" s="54" t="n">
        <v>2</v>
      </c>
      <c r="G1129" s="54" t="n">
        <v>1</v>
      </c>
      <c r="H1129" s="55" t="n">
        <v>1073</v>
      </c>
      <c r="I1129" s="55" t="n">
        <v>1059.86</v>
      </c>
      <c r="J1129" s="55" t="n">
        <v>0</v>
      </c>
      <c r="K1129" s="55" t="n">
        <v>4.9</v>
      </c>
      <c r="L1129" s="55" t="n">
        <v>1064.76</v>
      </c>
      <c r="M1129" s="55" t="n">
        <v>-8.24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MEDDADV</t>
        </is>
      </c>
      <c r="Q1129" s="36" t="inlineStr">
        <is>
          <t>RX8541</t>
        </is>
      </c>
    </row>
    <row r="1130">
      <c r="A1130" s="36" t="inlineStr">
        <is>
          <t>141393</t>
        </is>
      </c>
      <c r="B1130" s="52" t="n">
        <v>46055</v>
      </c>
      <c r="C1130" s="36" t="inlineStr">
        <is>
          <t>00002145780</t>
        </is>
      </c>
      <c r="D1130" s="53" t="inlineStr">
        <is>
          <t>MOUNJARO 15 MG/0.5ML PEN-INJECTOR</t>
        </is>
      </c>
      <c r="E1130" s="36" t="n">
        <v>2</v>
      </c>
      <c r="F1130" s="54" t="n">
        <v>2</v>
      </c>
      <c r="G1130" s="54" t="n">
        <v>1</v>
      </c>
      <c r="H1130" s="55" t="n">
        <v>1082</v>
      </c>
      <c r="I1130" s="55" t="n">
        <v>1087.46</v>
      </c>
      <c r="J1130" s="55" t="n">
        <v>0</v>
      </c>
      <c r="K1130" s="55" t="n">
        <v>0</v>
      </c>
      <c r="L1130" s="55" t="n">
        <v>1087.46</v>
      </c>
      <c r="M1130" s="55" t="n">
        <v>5.46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136887</t>
        </is>
      </c>
      <c r="B1131" s="52" t="n">
        <v>46020</v>
      </c>
      <c r="C1131" s="36" t="inlineStr">
        <is>
          <t>00002145780</t>
        </is>
      </c>
      <c r="D1131" s="53" t="inlineStr">
        <is>
          <t>MOUNJARO 15 MG/0.5ML PEN-INJECTOR</t>
        </is>
      </c>
      <c r="E1131" s="36" t="n">
        <v>2</v>
      </c>
      <c r="F1131" s="54" t="n">
        <v>2</v>
      </c>
      <c r="G1131" s="54" t="n">
        <v>1</v>
      </c>
      <c r="H1131" s="55" t="n">
        <v>1039</v>
      </c>
      <c r="I1131" s="55" t="n">
        <v>1032.45</v>
      </c>
      <c r="J1131" s="55" t="n">
        <v>0</v>
      </c>
      <c r="K1131" s="55" t="n">
        <v>0</v>
      </c>
      <c r="L1131" s="55" t="n">
        <v>1032.45</v>
      </c>
      <c r="M1131" s="55" t="n">
        <v>-6.55</v>
      </c>
      <c r="N1131" s="36" t="inlineStr">
        <is>
          <t>004336</t>
        </is>
      </c>
      <c r="O1131" s="36" t="inlineStr">
        <is>
          <t>CAREMARK</t>
        </is>
      </c>
      <c r="P1131" s="36" t="inlineStr">
        <is>
          <t>MEDDADV</t>
        </is>
      </c>
      <c r="Q1131" s="36" t="inlineStr">
        <is>
          <t>RX8541</t>
        </is>
      </c>
    </row>
    <row r="1132">
      <c r="A1132" s="36" t="inlineStr">
        <is>
          <t>144475</t>
        </is>
      </c>
      <c r="B1132" s="52" t="n">
        <v>46076</v>
      </c>
      <c r="C1132" s="36" t="inlineStr">
        <is>
          <t>00002145780</t>
        </is>
      </c>
      <c r="D1132" s="53" t="inlineStr">
        <is>
          <t>MOUNJARO 15 MG/0.5ML PEN-INJECTOR</t>
        </is>
      </c>
      <c r="E1132" s="36" t="n">
        <v>2</v>
      </c>
      <c r="F1132" s="54" t="n">
        <v>2</v>
      </c>
      <c r="G1132" s="54" t="n">
        <v>1</v>
      </c>
      <c r="H1132" s="55" t="n">
        <v>1082</v>
      </c>
      <c r="I1132" s="55" t="n">
        <v>1059.86</v>
      </c>
      <c r="J1132" s="55" t="n">
        <v>0</v>
      </c>
      <c r="K1132" s="55" t="n">
        <v>4.9</v>
      </c>
      <c r="L1132" s="55" t="n">
        <v>1064.76</v>
      </c>
      <c r="M1132" s="55" t="n">
        <v>-17.24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RX8541</t>
        </is>
      </c>
    </row>
    <row r="1133">
      <c r="A1133" s="36" t="inlineStr">
        <is>
          <t>138050</t>
        </is>
      </c>
      <c r="B1133" s="52" t="n">
        <v>46030</v>
      </c>
      <c r="C1133" s="36" t="inlineStr">
        <is>
          <t>00002145780</t>
        </is>
      </c>
      <c r="D1133" s="53" t="inlineStr">
        <is>
          <t>MOUNJARO 15 MG/0.5ML PEN-INJECTOR</t>
        </is>
      </c>
      <c r="E1133" s="36" t="n">
        <v>2</v>
      </c>
      <c r="F1133" s="54" t="n">
        <v>2</v>
      </c>
      <c r="G1133" s="54" t="n">
        <v>1</v>
      </c>
      <c r="H1133" s="55" t="n">
        <v>1073</v>
      </c>
      <c r="I1133" s="55" t="n">
        <v>1056.08</v>
      </c>
      <c r="J1133" s="55" t="n">
        <v>0</v>
      </c>
      <c r="K1133" s="55" t="n">
        <v>0</v>
      </c>
      <c r="L1133" s="55" t="n">
        <v>1056.08</v>
      </c>
      <c r="M1133" s="55" t="n">
        <v>-16.92</v>
      </c>
      <c r="N1133" s="36" t="inlineStr">
        <is>
          <t>004740</t>
        </is>
      </c>
      <c r="O1133" s="36" t="inlineStr">
        <is>
          <t>NYM</t>
        </is>
      </c>
      <c r="P1133" s="36" t="inlineStr">
        <is>
          <t>9314DA31</t>
        </is>
      </c>
      <c r="Q1133" s="36" t="n">
        <v/>
      </c>
    </row>
    <row r="1134">
      <c r="A1134" s="36" t="inlineStr">
        <is>
          <t>139676</t>
        </is>
      </c>
      <c r="B1134" s="52" t="n">
        <v>46041</v>
      </c>
      <c r="C1134" s="36" t="inlineStr">
        <is>
          <t>00002145780</t>
        </is>
      </c>
      <c r="D1134" s="53" t="inlineStr">
        <is>
          <t>MOUNJARO 15 MG/0.5ML PEN-INJECTOR</t>
        </is>
      </c>
      <c r="E1134" s="36" t="n">
        <v>2</v>
      </c>
      <c r="F1134" s="54" t="n">
        <v>2</v>
      </c>
      <c r="G1134" s="54" t="n">
        <v>1</v>
      </c>
      <c r="H1134" s="55" t="n">
        <v>1073</v>
      </c>
      <c r="I1134" s="55" t="n">
        <v>1053.19</v>
      </c>
      <c r="J1134" s="55" t="n">
        <v>0</v>
      </c>
      <c r="K1134" s="55" t="n">
        <v>4.9</v>
      </c>
      <c r="L1134" s="55" t="n">
        <v>1058.09</v>
      </c>
      <c r="M1134" s="55" t="n">
        <v>-14.91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137143</t>
        </is>
      </c>
      <c r="B1135" s="52" t="n">
        <v>46022</v>
      </c>
      <c r="C1135" s="36" t="inlineStr">
        <is>
          <t>00002150680</t>
        </is>
      </c>
      <c r="D1135" s="53" t="inlineStr">
        <is>
          <t>MOUNJARO 2.5 MG/0.5ML PEN-INJECTOR</t>
        </is>
      </c>
      <c r="E1135" s="36" t="n">
        <v>2</v>
      </c>
      <c r="F1135" s="54" t="n">
        <v>2</v>
      </c>
      <c r="G1135" s="54" t="n">
        <v>1</v>
      </c>
      <c r="H1135" s="55" t="n">
        <v>1073</v>
      </c>
      <c r="I1135" s="55" t="n">
        <v>1056.38</v>
      </c>
      <c r="J1135" s="55" t="n">
        <v>0</v>
      </c>
      <c r="K1135" s="55" t="n">
        <v>0</v>
      </c>
      <c r="L1135" s="55" t="n">
        <v>1056.38</v>
      </c>
      <c r="M1135" s="55" t="n">
        <v>-16.62</v>
      </c>
      <c r="N1135" s="36" t="inlineStr">
        <is>
          <t>004740</t>
        </is>
      </c>
      <c r="O1135" s="36" t="inlineStr">
        <is>
          <t>NYM</t>
        </is>
      </c>
      <c r="P1135" s="36" t="inlineStr">
        <is>
          <t>9314DA31</t>
        </is>
      </c>
      <c r="Q1135" s="36" t="n">
        <v/>
      </c>
    </row>
    <row r="1136">
      <c r="A1136" s="36" t="inlineStr">
        <is>
          <t>121345</t>
        </is>
      </c>
      <c r="B1136" s="52" t="n">
        <v>46069</v>
      </c>
      <c r="C1136" s="36" t="inlineStr">
        <is>
          <t>00002150680</t>
        </is>
      </c>
      <c r="D1136" s="53" t="inlineStr">
        <is>
          <t>MOUNJARO 2.5 MG/0.5ML PEN-INJECTOR</t>
        </is>
      </c>
      <c r="E1136" s="36" t="n">
        <v>2</v>
      </c>
      <c r="F1136" s="54" t="n">
        <v>6</v>
      </c>
      <c r="G1136" s="54" t="n">
        <v>3</v>
      </c>
      <c r="H1136" s="55" t="n">
        <v>3246</v>
      </c>
      <c r="I1136" s="55" t="n">
        <v>3182.66</v>
      </c>
      <c r="J1136" s="55" t="n">
        <v>0</v>
      </c>
      <c r="K1136" s="55" t="n">
        <v>0</v>
      </c>
      <c r="L1136" s="55" t="n">
        <v>3182.66</v>
      </c>
      <c r="M1136" s="55" t="n">
        <v>-63.34</v>
      </c>
      <c r="N1136" s="36" t="inlineStr">
        <is>
          <t>004336</t>
        </is>
      </c>
      <c r="O1136" s="36" t="inlineStr">
        <is>
          <t>CAREMARK</t>
        </is>
      </c>
      <c r="P1136" s="36" t="inlineStr">
        <is>
          <t>MEDDADV</t>
        </is>
      </c>
      <c r="Q1136" s="36" t="inlineStr">
        <is>
          <t>RXCVSD</t>
        </is>
      </c>
    </row>
    <row r="1137">
      <c r="A1137" s="36" t="inlineStr">
        <is>
          <t>142931</t>
        </is>
      </c>
      <c r="B1137" s="52" t="n">
        <v>46064</v>
      </c>
      <c r="C1137" s="36" t="inlineStr">
        <is>
          <t>00002150680</t>
        </is>
      </c>
      <c r="D1137" s="53" t="inlineStr">
        <is>
          <t>MOUNJARO 2.5 MG/0.5ML PEN-INJECTOR</t>
        </is>
      </c>
      <c r="E1137" s="36" t="n">
        <v>2</v>
      </c>
      <c r="F1137" s="54" t="n">
        <v>2</v>
      </c>
      <c r="G1137" s="54" t="n">
        <v>1</v>
      </c>
      <c r="H1137" s="55" t="n">
        <v>1082</v>
      </c>
      <c r="I1137" s="55" t="n">
        <v>1055.09</v>
      </c>
      <c r="J1137" s="55" t="n">
        <v>0</v>
      </c>
      <c r="K1137" s="55" t="n">
        <v>0</v>
      </c>
      <c r="L1137" s="55" t="n">
        <v>1055.09</v>
      </c>
      <c r="M1137" s="55" t="n">
        <v>-26.91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ADV</t>
        </is>
      </c>
      <c r="Q1137" s="36" t="inlineStr">
        <is>
          <t>RX1108</t>
        </is>
      </c>
    </row>
    <row r="1138">
      <c r="A1138" s="36" t="inlineStr">
        <is>
          <t>139288</t>
        </is>
      </c>
      <c r="B1138" s="52" t="n">
        <v>46037</v>
      </c>
      <c r="C1138" s="36" t="inlineStr">
        <is>
          <t>00002150680</t>
        </is>
      </c>
      <c r="D1138" s="53" t="inlineStr">
        <is>
          <t>MOUNJARO 2.5 MG/0.5ML PEN-INJECTOR</t>
        </is>
      </c>
      <c r="E1138" s="36" t="n">
        <v>2</v>
      </c>
      <c r="F1138" s="54" t="n">
        <v>2</v>
      </c>
      <c r="G1138" s="54" t="n">
        <v>1</v>
      </c>
      <c r="H1138" s="55" t="n">
        <v>1073</v>
      </c>
      <c r="I1138" s="55" t="n">
        <v>1055.09</v>
      </c>
      <c r="J1138" s="55" t="n">
        <v>0</v>
      </c>
      <c r="K1138" s="55" t="n">
        <v>0</v>
      </c>
      <c r="L1138" s="55" t="n">
        <v>1055.09</v>
      </c>
      <c r="M1138" s="55" t="n">
        <v>-17.91</v>
      </c>
      <c r="N1138" s="36" t="inlineStr">
        <is>
          <t>004336</t>
        </is>
      </c>
      <c r="O1138" s="36" t="inlineStr">
        <is>
          <t>CAREMARK</t>
        </is>
      </c>
      <c r="P1138" s="36" t="inlineStr">
        <is>
          <t>ADV</t>
        </is>
      </c>
      <c r="Q1138" s="36" t="inlineStr">
        <is>
          <t>RX1108</t>
        </is>
      </c>
    </row>
    <row r="1139">
      <c r="A1139" s="36" t="inlineStr">
        <is>
          <t>143689</t>
        </is>
      </c>
      <c r="B1139" s="52" t="n">
        <v>46070</v>
      </c>
      <c r="C1139" s="36" t="inlineStr">
        <is>
          <t>00002150680</t>
        </is>
      </c>
      <c r="D1139" s="53" t="inlineStr">
        <is>
          <t>MOUNJARO 2.5 MG/0.5ML PEN-INJECTOR</t>
        </is>
      </c>
      <c r="E1139" s="36" t="n">
        <v>2</v>
      </c>
      <c r="F1139" s="54" t="n">
        <v>2</v>
      </c>
      <c r="G1139" s="54" t="n">
        <v>1</v>
      </c>
      <c r="H1139" s="55" t="n">
        <v>1082</v>
      </c>
      <c r="I1139" s="55" t="n">
        <v>1115.13</v>
      </c>
      <c r="J1139" s="55" t="n">
        <v>0</v>
      </c>
      <c r="K1139" s="55" t="n">
        <v>0</v>
      </c>
      <c r="L1139" s="55" t="n">
        <v>1115.13</v>
      </c>
      <c r="M1139" s="55" t="n">
        <v>33.13</v>
      </c>
      <c r="N1139" s="36" t="inlineStr">
        <is>
          <t>610097</t>
        </is>
      </c>
      <c r="O1139" s="36" t="inlineStr">
        <is>
          <t>OPTUM</t>
        </is>
      </c>
      <c r="P1139" s="36" t="inlineStr">
        <is>
          <t>9999</t>
        </is>
      </c>
      <c r="Q1139" s="36" t="inlineStr">
        <is>
          <t>MPDCSP</t>
        </is>
      </c>
    </row>
    <row r="1140">
      <c r="A1140" s="36" t="inlineStr">
        <is>
          <t>137249</t>
        </is>
      </c>
      <c r="B1140" s="52" t="n">
        <v>46049</v>
      </c>
      <c r="C1140" s="36" t="inlineStr">
        <is>
          <t>00002149580</t>
        </is>
      </c>
      <c r="D1140" s="53" t="inlineStr">
        <is>
          <t>MOUNJARO 5 MG/0.5ML PEN-INJECTOR</t>
        </is>
      </c>
      <c r="E1140" s="36" t="n">
        <v>2</v>
      </c>
      <c r="F1140" s="54" t="n">
        <v>2</v>
      </c>
      <c r="G1140" s="54" t="n">
        <v>1</v>
      </c>
      <c r="H1140" s="55" t="n">
        <v>1073</v>
      </c>
      <c r="I1140" s="55" t="n">
        <v>1055.09</v>
      </c>
      <c r="J1140" s="55" t="n">
        <v>0</v>
      </c>
      <c r="K1140" s="55" t="n">
        <v>0</v>
      </c>
      <c r="L1140" s="55" t="n">
        <v>1055.09</v>
      </c>
      <c r="M1140" s="55" t="n">
        <v>-17.91</v>
      </c>
      <c r="N1140" s="36" t="inlineStr">
        <is>
          <t>004336</t>
        </is>
      </c>
      <c r="O1140" s="36" t="inlineStr">
        <is>
          <t>CAREMARK</t>
        </is>
      </c>
      <c r="P1140" s="36" t="inlineStr">
        <is>
          <t>ADV</t>
        </is>
      </c>
      <c r="Q1140" s="36" t="inlineStr">
        <is>
          <t>RX1103</t>
        </is>
      </c>
    </row>
    <row r="1141">
      <c r="A1141" s="36" t="inlineStr">
        <is>
          <t>143561</t>
        </is>
      </c>
      <c r="B1141" s="52" t="n">
        <v>46069</v>
      </c>
      <c r="C1141" s="36" t="inlineStr">
        <is>
          <t>00002149580</t>
        </is>
      </c>
      <c r="D1141" s="53" t="inlineStr">
        <is>
          <t>MOUNJARO 5 MG/0.5ML PEN-INJECTOR</t>
        </is>
      </c>
      <c r="E1141" s="36" t="n">
        <v>2</v>
      </c>
      <c r="F1141" s="54" t="n">
        <v>2</v>
      </c>
      <c r="G1141" s="54" t="n">
        <v>1</v>
      </c>
      <c r="H1141" s="55" t="n">
        <v>1082</v>
      </c>
      <c r="I1141" s="55" t="n">
        <v>1014.64</v>
      </c>
      <c r="J1141" s="55" t="n">
        <v>0</v>
      </c>
      <c r="K1141" s="55" t="n">
        <v>15</v>
      </c>
      <c r="L1141" s="55" t="n">
        <v>1029.64</v>
      </c>
      <c r="M1141" s="55" t="n">
        <v>-52.36</v>
      </c>
      <c r="N1141" s="36" t="inlineStr">
        <is>
          <t>610014</t>
        </is>
      </c>
      <c r="O1141" s="36" t="inlineStr">
        <is>
          <t>EXPRESS</t>
        </is>
      </c>
      <c r="P1141" s="36" t="inlineStr">
        <is>
          <t>COBSEG</t>
        </is>
      </c>
      <c r="Q1141" s="36" t="inlineStr">
        <is>
          <t>UWMM810</t>
        </is>
      </c>
    </row>
    <row r="1142">
      <c r="A1142" s="36" t="inlineStr">
        <is>
          <t>136756</t>
        </is>
      </c>
      <c r="B1142" s="52" t="n">
        <v>46020</v>
      </c>
      <c r="C1142" s="36" t="inlineStr">
        <is>
          <t>00002149580</t>
        </is>
      </c>
      <c r="D1142" s="53" t="inlineStr">
        <is>
          <t>MOUNJARO 5 MG/0.5ML PEN-INJECTOR</t>
        </is>
      </c>
      <c r="E1142" s="36" t="n">
        <v>2</v>
      </c>
      <c r="F1142" s="54" t="n">
        <v>2</v>
      </c>
      <c r="G1142" s="54" t="n">
        <v>1</v>
      </c>
      <c r="H1142" s="55" t="n">
        <v>1039</v>
      </c>
      <c r="I1142" s="55" t="n">
        <v>1056.28</v>
      </c>
      <c r="J1142" s="55" t="n">
        <v>0</v>
      </c>
      <c r="K1142" s="55" t="n">
        <v>0</v>
      </c>
      <c r="L1142" s="55" t="n">
        <v>1056.28</v>
      </c>
      <c r="M1142" s="55" t="n">
        <v>17.28</v>
      </c>
      <c r="N1142" s="36" t="inlineStr">
        <is>
          <t>004740</t>
        </is>
      </c>
      <c r="O1142" s="36" t="inlineStr">
        <is>
          <t>NYM</t>
        </is>
      </c>
      <c r="P1142" s="36" t="inlineStr">
        <is>
          <t>9314DA31</t>
        </is>
      </c>
      <c r="Q1142" s="36" t="n">
        <v/>
      </c>
    </row>
    <row r="1143">
      <c r="A1143" s="36" t="inlineStr">
        <is>
          <t>141825</t>
        </is>
      </c>
      <c r="B1143" s="52" t="n">
        <v>46057</v>
      </c>
      <c r="C1143" s="36" t="inlineStr">
        <is>
          <t>00002149580</t>
        </is>
      </c>
      <c r="D1143" s="53" t="inlineStr">
        <is>
          <t>MOUNJARO 5 MG/0.5ML PEN-INJECTOR</t>
        </is>
      </c>
      <c r="E1143" s="36" t="n">
        <v>2</v>
      </c>
      <c r="F1143" s="54" t="n">
        <v>6</v>
      </c>
      <c r="G1143" s="54" t="n">
        <v>3</v>
      </c>
      <c r="H1143" s="55" t="n">
        <v>3246</v>
      </c>
      <c r="I1143" s="55" t="n">
        <v>3117.7</v>
      </c>
      <c r="J1143" s="55" t="n">
        <v>0</v>
      </c>
      <c r="K1143" s="55" t="n">
        <v>4.9</v>
      </c>
      <c r="L1143" s="55" t="n">
        <v>3122.6</v>
      </c>
      <c r="M1143" s="55" t="n">
        <v>-123.4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136906</t>
        </is>
      </c>
      <c r="B1144" s="52" t="n">
        <v>46020</v>
      </c>
      <c r="C1144" s="36" t="inlineStr">
        <is>
          <t>00002149580</t>
        </is>
      </c>
      <c r="D1144" s="53" t="inlineStr">
        <is>
          <t>MOUNJARO 5 MG/0.5ML PEN-INJECTOR</t>
        </is>
      </c>
      <c r="E1144" s="36" t="n">
        <v>2</v>
      </c>
      <c r="F1144" s="54" t="n">
        <v>6</v>
      </c>
      <c r="G1144" s="54" t="n">
        <v>3</v>
      </c>
      <c r="H1144" s="55" t="n">
        <v>3117</v>
      </c>
      <c r="I1144" s="55" t="n">
        <v>2895.93</v>
      </c>
      <c r="J1144" s="55" t="n">
        <v>0</v>
      </c>
      <c r="K1144" s="55" t="n">
        <v>0</v>
      </c>
      <c r="L1144" s="55" t="n">
        <v>2895.93</v>
      </c>
      <c r="M1144" s="55" t="n">
        <v>-221.07</v>
      </c>
      <c r="N1144" s="36" t="inlineStr">
        <is>
          <t>610014</t>
        </is>
      </c>
      <c r="O1144" s="36" t="inlineStr">
        <is>
          <t>EXPRESS</t>
        </is>
      </c>
      <c r="P1144" s="36" t="inlineStr">
        <is>
          <t>MEDDPRIME</t>
        </is>
      </c>
      <c r="Q1144" s="36" t="inlineStr">
        <is>
          <t>2FFA</t>
        </is>
      </c>
    </row>
    <row r="1145">
      <c r="A1145" s="36" t="inlineStr">
        <is>
          <t>132432</t>
        </is>
      </c>
      <c r="B1145" s="52" t="n">
        <v>46035</v>
      </c>
      <c r="C1145" s="36" t="inlineStr">
        <is>
          <t>00002149580</t>
        </is>
      </c>
      <c r="D1145" s="53" t="inlineStr">
        <is>
          <t>MOUNJARO 5 MG/0.5ML PEN-INJECTOR</t>
        </is>
      </c>
      <c r="E1145" s="36" t="n">
        <v>2</v>
      </c>
      <c r="F1145" s="54" t="n">
        <v>2</v>
      </c>
      <c r="G1145" s="54" t="n">
        <v>1</v>
      </c>
      <c r="H1145" s="55" t="n">
        <v>1073</v>
      </c>
      <c r="I1145" s="55" t="n">
        <v>1056.28</v>
      </c>
      <c r="J1145" s="55" t="n">
        <v>0</v>
      </c>
      <c r="K1145" s="55" t="n">
        <v>0</v>
      </c>
      <c r="L1145" s="55" t="n">
        <v>1056.28</v>
      </c>
      <c r="M1145" s="55" t="n">
        <v>-16.72</v>
      </c>
      <c r="N1145" s="36" t="inlineStr">
        <is>
          <t>004740</t>
        </is>
      </c>
      <c r="O1145" s="36" t="inlineStr">
        <is>
          <t>NYM</t>
        </is>
      </c>
      <c r="P1145" s="36" t="inlineStr">
        <is>
          <t>9314DA31</t>
        </is>
      </c>
      <c r="Q1145" s="36" t="n">
        <v/>
      </c>
    </row>
    <row r="1146">
      <c r="A1146" s="36" t="inlineStr">
        <is>
          <t>135460</t>
        </is>
      </c>
      <c r="B1146" s="52" t="n">
        <v>46008</v>
      </c>
      <c r="C1146" s="36" t="inlineStr">
        <is>
          <t>00002149580</t>
        </is>
      </c>
      <c r="D1146" s="53" t="inlineStr">
        <is>
          <t>MOUNJARO 5 MG/0.5ML PEN-INJECTOR</t>
        </is>
      </c>
      <c r="E1146" s="36" t="n">
        <v>2</v>
      </c>
      <c r="F1146" s="54" t="n">
        <v>2</v>
      </c>
      <c r="G1146" s="54" t="n">
        <v>1</v>
      </c>
      <c r="H1146" s="55" t="n">
        <v>1039</v>
      </c>
      <c r="I1146" s="55" t="n">
        <v>984.65</v>
      </c>
      <c r="J1146" s="55" t="n">
        <v>0</v>
      </c>
      <c r="K1146" s="55" t="n">
        <v>15</v>
      </c>
      <c r="L1146" s="55" t="n">
        <v>999.65</v>
      </c>
      <c r="M1146" s="55" t="n">
        <v>-39.35</v>
      </c>
      <c r="N1146" s="36" t="inlineStr">
        <is>
          <t>610014</t>
        </is>
      </c>
      <c r="O1146" s="36" t="inlineStr">
        <is>
          <t>EXPRESS</t>
        </is>
      </c>
      <c r="P1146" s="36" t="inlineStr">
        <is>
          <t>COBSEG</t>
        </is>
      </c>
      <c r="Q1146" s="36" t="inlineStr">
        <is>
          <t>UWMM810</t>
        </is>
      </c>
    </row>
    <row r="1147">
      <c r="A1147" s="36" t="inlineStr">
        <is>
          <t>137249</t>
        </is>
      </c>
      <c r="B1147" s="52" t="n">
        <v>46076</v>
      </c>
      <c r="C1147" s="36" t="inlineStr">
        <is>
          <t>00002149580</t>
        </is>
      </c>
      <c r="D1147" s="53" t="inlineStr">
        <is>
          <t>MOUNJARO 5 MG/0.5ML PEN-INJECTOR</t>
        </is>
      </c>
      <c r="E1147" s="36" t="n">
        <v>2</v>
      </c>
      <c r="F1147" s="54" t="n">
        <v>2</v>
      </c>
      <c r="G1147" s="54" t="n">
        <v>1</v>
      </c>
      <c r="H1147" s="55" t="n">
        <v>1082</v>
      </c>
      <c r="I1147" s="55" t="n">
        <v>1055.09</v>
      </c>
      <c r="J1147" s="55" t="n">
        <v>0</v>
      </c>
      <c r="K1147" s="55" t="n">
        <v>0</v>
      </c>
      <c r="L1147" s="55" t="n">
        <v>1055.09</v>
      </c>
      <c r="M1147" s="55" t="n">
        <v>-26.91</v>
      </c>
      <c r="N1147" s="36" t="inlineStr">
        <is>
          <t>004336</t>
        </is>
      </c>
      <c r="O1147" s="36" t="inlineStr">
        <is>
          <t>CAREMARK</t>
        </is>
      </c>
      <c r="P1147" s="36" t="inlineStr">
        <is>
          <t>ADV</t>
        </is>
      </c>
      <c r="Q1147" s="36" t="inlineStr">
        <is>
          <t>RX1103</t>
        </is>
      </c>
    </row>
    <row r="1148">
      <c r="A1148" s="36" t="inlineStr">
        <is>
          <t>141830</t>
        </is>
      </c>
      <c r="B1148" s="52" t="n">
        <v>46057</v>
      </c>
      <c r="C1148" s="36" t="inlineStr">
        <is>
          <t>00002149580</t>
        </is>
      </c>
      <c r="D1148" s="53" t="inlineStr">
        <is>
          <t>MOUNJARO 5 MG/0.5ML PEN-INJECTOR</t>
        </is>
      </c>
      <c r="E1148" s="36" t="n">
        <v>2</v>
      </c>
      <c r="F1148" s="54" t="n">
        <v>6</v>
      </c>
      <c r="G1148" s="54" t="n">
        <v>3</v>
      </c>
      <c r="H1148" s="55" t="n">
        <v>3246</v>
      </c>
      <c r="I1148" s="55" t="n">
        <v>3117.7</v>
      </c>
      <c r="J1148" s="55" t="n">
        <v>0</v>
      </c>
      <c r="K1148" s="55" t="n">
        <v>4.9</v>
      </c>
      <c r="L1148" s="55" t="n">
        <v>3122.6</v>
      </c>
      <c r="M1148" s="55" t="n">
        <v>-123.4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135460</t>
        </is>
      </c>
      <c r="B1149" s="52" t="n">
        <v>46035</v>
      </c>
      <c r="C1149" s="36" t="inlineStr">
        <is>
          <t>00002149580</t>
        </is>
      </c>
      <c r="D1149" s="53" t="inlineStr">
        <is>
          <t>MOUNJARO 5 MG/0.5ML PEN-INJECTOR</t>
        </is>
      </c>
      <c r="E1149" s="36" t="n">
        <v>2</v>
      </c>
      <c r="F1149" s="54" t="n">
        <v>2</v>
      </c>
      <c r="G1149" s="54" t="n">
        <v>1</v>
      </c>
      <c r="H1149" s="55" t="n">
        <v>1073</v>
      </c>
      <c r="I1149" s="55" t="n">
        <v>1014.64</v>
      </c>
      <c r="J1149" s="55" t="n">
        <v>0</v>
      </c>
      <c r="K1149" s="55" t="n">
        <v>15</v>
      </c>
      <c r="L1149" s="55" t="n">
        <v>1029.64</v>
      </c>
      <c r="M1149" s="55" t="n">
        <v>-43.36</v>
      </c>
      <c r="N1149" s="36" t="inlineStr">
        <is>
          <t>610014</t>
        </is>
      </c>
      <c r="O1149" s="36" t="inlineStr">
        <is>
          <t>EXPRESS</t>
        </is>
      </c>
      <c r="P1149" s="36" t="inlineStr">
        <is>
          <t>COBSEG</t>
        </is>
      </c>
      <c r="Q1149" s="36" t="inlineStr">
        <is>
          <t>UWMM810</t>
        </is>
      </c>
    </row>
    <row r="1150">
      <c r="A1150" s="36" t="inlineStr">
        <is>
          <t>113554</t>
        </is>
      </c>
      <c r="B1150" s="52" t="n">
        <v>45993</v>
      </c>
      <c r="C1150" s="36" t="inlineStr">
        <is>
          <t>00002149580</t>
        </is>
      </c>
      <c r="D1150" s="53" t="inlineStr">
        <is>
          <t>MOUNJARO 5 MG/0.5ML PEN-INJECTOR</t>
        </is>
      </c>
      <c r="E1150" s="36" t="n">
        <v>2</v>
      </c>
      <c r="F1150" s="54" t="n">
        <v>2</v>
      </c>
      <c r="G1150" s="54" t="n">
        <v>1</v>
      </c>
      <c r="H1150" s="55" t="n">
        <v>1039</v>
      </c>
      <c r="I1150" s="55" t="n">
        <v>1008.82</v>
      </c>
      <c r="J1150" s="55" t="n">
        <v>0</v>
      </c>
      <c r="K1150" s="55" t="n">
        <v>0</v>
      </c>
      <c r="L1150" s="55" t="n">
        <v>1008.82</v>
      </c>
      <c r="M1150" s="55" t="n">
        <v>-30.18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ADV</t>
        </is>
      </c>
      <c r="Q1150" s="36" t="inlineStr">
        <is>
          <t>RX1103</t>
        </is>
      </c>
    </row>
    <row r="1151">
      <c r="A1151" s="36" t="inlineStr">
        <is>
          <t>144596</t>
        </is>
      </c>
      <c r="B1151" s="52" t="n">
        <v>46077</v>
      </c>
      <c r="C1151" s="36" t="inlineStr">
        <is>
          <t>00002149580</t>
        </is>
      </c>
      <c r="D1151" s="53" t="inlineStr">
        <is>
          <t>MOUNJARO 5 MG/0.5ML PEN-INJECTOR</t>
        </is>
      </c>
      <c r="E1151" s="36" t="n">
        <v>2</v>
      </c>
      <c r="F1151" s="54" t="n">
        <v>2</v>
      </c>
      <c r="G1151" s="54" t="n">
        <v>1</v>
      </c>
      <c r="H1151" s="55" t="n">
        <v>1082</v>
      </c>
      <c r="I1151" s="55" t="n">
        <v>1087.67</v>
      </c>
      <c r="J1151" s="55" t="n">
        <v>0</v>
      </c>
      <c r="K1151" s="55" t="n">
        <v>0</v>
      </c>
      <c r="L1151" s="55" t="n">
        <v>1087.67</v>
      </c>
      <c r="M1151" s="55" t="n">
        <v>5.67</v>
      </c>
      <c r="N1151" s="36" t="inlineStr">
        <is>
          <t>004740</t>
        </is>
      </c>
      <c r="O1151" s="36" t="inlineStr">
        <is>
          <t>NYM</t>
        </is>
      </c>
      <c r="P1151" s="36" t="inlineStr">
        <is>
          <t>9314DA31</t>
        </is>
      </c>
      <c r="Q1151" s="36" t="n">
        <v/>
      </c>
    </row>
    <row r="1152">
      <c r="A1152" s="36" t="inlineStr">
        <is>
          <t>139021</t>
        </is>
      </c>
      <c r="B1152" s="52" t="n">
        <v>46036</v>
      </c>
      <c r="C1152" s="36" t="inlineStr">
        <is>
          <t>00002149580</t>
        </is>
      </c>
      <c r="D1152" s="53" t="inlineStr">
        <is>
          <t>MOUNJARO 5 MG/0.5ML PEN-INJECTOR</t>
        </is>
      </c>
      <c r="E1152" s="36" t="n">
        <v>2</v>
      </c>
      <c r="F1152" s="54" t="n">
        <v>2</v>
      </c>
      <c r="G1152" s="54" t="n">
        <v>1</v>
      </c>
      <c r="H1152" s="55" t="n">
        <v>1073</v>
      </c>
      <c r="I1152" s="55" t="n">
        <v>1053.28</v>
      </c>
      <c r="J1152" s="55" t="n">
        <v>0</v>
      </c>
      <c r="K1152" s="55" t="n">
        <v>3</v>
      </c>
      <c r="L1152" s="55" t="n">
        <v>1056.28</v>
      </c>
      <c r="M1152" s="55" t="n">
        <v>-16.72</v>
      </c>
      <c r="N1152" s="36" t="inlineStr">
        <is>
          <t>004740</t>
        </is>
      </c>
      <c r="O1152" s="36" t="inlineStr">
        <is>
          <t>NYM</t>
        </is>
      </c>
      <c r="P1152" s="36" t="inlineStr">
        <is>
          <t>9314DA31</t>
        </is>
      </c>
      <c r="Q1152" s="36" t="n">
        <v/>
      </c>
    </row>
    <row r="1153">
      <c r="A1153" s="36" t="inlineStr">
        <is>
          <t>128596</t>
        </is>
      </c>
      <c r="B1153" s="52" t="n">
        <v>46000</v>
      </c>
      <c r="C1153" s="36" t="inlineStr">
        <is>
          <t>00002149580</t>
        </is>
      </c>
      <c r="D1153" s="53" t="inlineStr">
        <is>
          <t>MOUNJARO 5 MG/0.5ML PEN-INJECTOR</t>
        </is>
      </c>
      <c r="E1153" s="36" t="n">
        <v>2</v>
      </c>
      <c r="F1153" s="54" t="n">
        <v>2</v>
      </c>
      <c r="G1153" s="54" t="n">
        <v>1</v>
      </c>
      <c r="H1153" s="55" t="n">
        <v>1039</v>
      </c>
      <c r="I1153" s="55" t="n">
        <v>1053.34</v>
      </c>
      <c r="J1153" s="55" t="n">
        <v>0</v>
      </c>
      <c r="K1153" s="55" t="n">
        <v>3</v>
      </c>
      <c r="L1153" s="55" t="n">
        <v>1056.34</v>
      </c>
      <c r="M1153" s="55" t="n">
        <v>17.34</v>
      </c>
      <c r="N1153" s="36" t="inlineStr">
        <is>
          <t>004740</t>
        </is>
      </c>
      <c r="O1153" s="36" t="inlineStr">
        <is>
          <t>NYM</t>
        </is>
      </c>
      <c r="P1153" s="36" t="inlineStr">
        <is>
          <t>9314DA31</t>
        </is>
      </c>
      <c r="Q1153" s="36" t="n">
        <v/>
      </c>
    </row>
    <row r="1154">
      <c r="A1154" s="36" t="inlineStr">
        <is>
          <t>135583</t>
        </is>
      </c>
      <c r="B1154" s="52" t="n">
        <v>46009</v>
      </c>
      <c r="C1154" s="36" t="inlineStr">
        <is>
          <t>00002149580</t>
        </is>
      </c>
      <c r="D1154" s="53" t="inlineStr">
        <is>
          <t>MOUNJARO 5 MG/0.5ML PEN-INJECTOR</t>
        </is>
      </c>
      <c r="E1154" s="36" t="n">
        <v>2</v>
      </c>
      <c r="F1154" s="54" t="n">
        <v>2</v>
      </c>
      <c r="G1154" s="54" t="n">
        <v>1</v>
      </c>
      <c r="H1154" s="55" t="n">
        <v>1039</v>
      </c>
      <c r="I1154" s="55" t="n">
        <v>1053.34</v>
      </c>
      <c r="J1154" s="55" t="n">
        <v>0</v>
      </c>
      <c r="K1154" s="55" t="n">
        <v>3</v>
      </c>
      <c r="L1154" s="55" t="n">
        <v>1056.34</v>
      </c>
      <c r="M1154" s="55" t="n">
        <v>17.34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110983</t>
        </is>
      </c>
      <c r="B1155" s="52" t="n">
        <v>46000</v>
      </c>
      <c r="C1155" s="36" t="inlineStr">
        <is>
          <t>00002149580</t>
        </is>
      </c>
      <c r="D1155" s="53" t="inlineStr">
        <is>
          <t>MOUNJARO 5 MG/0.5ML PEN-INJECTOR</t>
        </is>
      </c>
      <c r="E1155" s="36" t="n">
        <v>2</v>
      </c>
      <c r="F1155" s="54" t="n">
        <v>2</v>
      </c>
      <c r="G1155" s="54" t="n">
        <v>1</v>
      </c>
      <c r="H1155" s="55" t="n">
        <v>1039</v>
      </c>
      <c r="I1155" s="55" t="n">
        <v>1018.2</v>
      </c>
      <c r="J1155" s="55" t="n">
        <v>0</v>
      </c>
      <c r="K1155" s="55" t="n">
        <v>0</v>
      </c>
      <c r="L1155" s="55" t="n">
        <v>1018.2</v>
      </c>
      <c r="M1155" s="55" t="n">
        <v>-20.8</v>
      </c>
      <c r="N1155" s="36" t="inlineStr">
        <is>
          <t>004336</t>
        </is>
      </c>
      <c r="O1155" s="36" t="inlineStr">
        <is>
          <t>CAREMARK</t>
        </is>
      </c>
      <c r="P1155" s="36" t="inlineStr">
        <is>
          <t>MEDDADV</t>
        </is>
      </c>
      <c r="Q1155" s="36" t="inlineStr">
        <is>
          <t>RX1110</t>
        </is>
      </c>
    </row>
    <row r="1156">
      <c r="A1156" s="36" t="inlineStr">
        <is>
          <t>132432</t>
        </is>
      </c>
      <c r="B1156" s="52" t="n">
        <v>46059</v>
      </c>
      <c r="C1156" s="36" t="inlineStr">
        <is>
          <t>00002149580</t>
        </is>
      </c>
      <c r="D1156" s="53" t="inlineStr">
        <is>
          <t>MOUNJARO 5 MG/0.5ML PEN-INJECTOR</t>
        </is>
      </c>
      <c r="E1156" s="36" t="n">
        <v>2</v>
      </c>
      <c r="F1156" s="54" t="n">
        <v>2</v>
      </c>
      <c r="G1156" s="54" t="n">
        <v>1</v>
      </c>
      <c r="H1156" s="55" t="n">
        <v>1082</v>
      </c>
      <c r="I1156" s="55" t="n">
        <v>1087.67</v>
      </c>
      <c r="J1156" s="55" t="n">
        <v>0</v>
      </c>
      <c r="K1156" s="55" t="n">
        <v>0</v>
      </c>
      <c r="L1156" s="55" t="n">
        <v>1087.67</v>
      </c>
      <c r="M1156" s="55" t="n">
        <v>5.67</v>
      </c>
      <c r="N1156" s="36" t="inlineStr">
        <is>
          <t>004740</t>
        </is>
      </c>
      <c r="O1156" s="36" t="inlineStr">
        <is>
          <t>NYM</t>
        </is>
      </c>
      <c r="P1156" s="36" t="inlineStr">
        <is>
          <t>9314DA31</t>
        </is>
      </c>
      <c r="Q1156" s="36" t="n">
        <v/>
      </c>
    </row>
    <row r="1157">
      <c r="A1157" s="36" t="inlineStr">
        <is>
          <t>144510</t>
        </is>
      </c>
      <c r="B1157" s="52" t="n">
        <v>46077</v>
      </c>
      <c r="C1157" s="36" t="inlineStr">
        <is>
          <t>00002149580</t>
        </is>
      </c>
      <c r="D1157" s="53" t="inlineStr">
        <is>
          <t>MOUNJARO 5 MG/0.5ML PEN-INJECTOR</t>
        </is>
      </c>
      <c r="E1157" s="36" t="n">
        <v>2</v>
      </c>
      <c r="F1157" s="54" t="n">
        <v>6</v>
      </c>
      <c r="G1157" s="54" t="n">
        <v>3</v>
      </c>
      <c r="H1157" s="55" t="n">
        <v>3246</v>
      </c>
      <c r="I1157" s="55" t="n">
        <v>3122.6</v>
      </c>
      <c r="J1157" s="55" t="n">
        <v>0</v>
      </c>
      <c r="K1157" s="55" t="n">
        <v>0</v>
      </c>
      <c r="L1157" s="55" t="n">
        <v>3122.6</v>
      </c>
      <c r="M1157" s="55" t="n">
        <v>-123.4</v>
      </c>
      <c r="N1157" s="36" t="inlineStr">
        <is>
          <t>004336</t>
        </is>
      </c>
      <c r="O1157" s="36" t="inlineStr">
        <is>
          <t>CAREMARK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136578</t>
        </is>
      </c>
      <c r="B1158" s="52" t="n">
        <v>46077</v>
      </c>
      <c r="C1158" s="36" t="inlineStr">
        <is>
          <t>00002149580</t>
        </is>
      </c>
      <c r="D1158" s="53" t="inlineStr">
        <is>
          <t>MOUNJARO 5 MG/0.5ML PEN-INJECTOR</t>
        </is>
      </c>
      <c r="E1158" s="36" t="n">
        <v>2</v>
      </c>
      <c r="F1158" s="54" t="n">
        <v>2</v>
      </c>
      <c r="G1158" s="54" t="n">
        <v>1</v>
      </c>
      <c r="H1158" s="55" t="n">
        <v>1082</v>
      </c>
      <c r="I1158" s="55" t="n">
        <v>1058.09</v>
      </c>
      <c r="J1158" s="55" t="n">
        <v>0</v>
      </c>
      <c r="K1158" s="55" t="n">
        <v>0</v>
      </c>
      <c r="L1158" s="55" t="n">
        <v>1058.09</v>
      </c>
      <c r="M1158" s="55" t="n">
        <v>-23.91</v>
      </c>
      <c r="N1158" s="36" t="inlineStr">
        <is>
          <t>004336</t>
        </is>
      </c>
      <c r="O1158" s="36" t="inlineStr">
        <is>
          <t>CAREMARK</t>
        </is>
      </c>
      <c r="P1158" s="36" t="inlineStr">
        <is>
          <t>MEDDADV</t>
        </is>
      </c>
      <c r="Q1158" s="36" t="inlineStr">
        <is>
          <t>RX1110</t>
        </is>
      </c>
    </row>
    <row r="1159">
      <c r="A1159" s="36" t="inlineStr">
        <is>
          <t>136756</t>
        </is>
      </c>
      <c r="B1159" s="52" t="n">
        <v>46048</v>
      </c>
      <c r="C1159" s="36" t="inlineStr">
        <is>
          <t>00002149580</t>
        </is>
      </c>
      <c r="D1159" s="53" t="inlineStr">
        <is>
          <t>MOUNJARO 5 MG/0.5ML PEN-INJECTOR</t>
        </is>
      </c>
      <c r="E1159" s="36" t="n">
        <v>2</v>
      </c>
      <c r="F1159" s="54" t="n">
        <v>2</v>
      </c>
      <c r="G1159" s="54" t="n">
        <v>1</v>
      </c>
      <c r="H1159" s="55" t="n">
        <v>1073</v>
      </c>
      <c r="I1159" s="55" t="n">
        <v>1087.67</v>
      </c>
      <c r="J1159" s="55" t="n">
        <v>0</v>
      </c>
      <c r="K1159" s="55" t="n">
        <v>0</v>
      </c>
      <c r="L1159" s="55" t="n">
        <v>1087.67</v>
      </c>
      <c r="M1159" s="55" t="n">
        <v>14.67</v>
      </c>
      <c r="N1159" s="36" t="inlineStr">
        <is>
          <t>004740</t>
        </is>
      </c>
      <c r="O1159" s="36" t="inlineStr">
        <is>
          <t>NYM</t>
        </is>
      </c>
      <c r="P1159" s="36" t="inlineStr">
        <is>
          <t>9314DA31</t>
        </is>
      </c>
      <c r="Q1159" s="36" t="n">
        <v/>
      </c>
    </row>
    <row r="1160">
      <c r="A1160" s="36" t="inlineStr">
        <is>
          <t>136578</t>
        </is>
      </c>
      <c r="B1160" s="52" t="n">
        <v>46017</v>
      </c>
      <c r="C1160" s="36" t="inlineStr">
        <is>
          <t>00002149580</t>
        </is>
      </c>
      <c r="D1160" s="53" t="inlineStr">
        <is>
          <t>MOUNJARO 5 MG/0.5ML PEN-INJECTOR</t>
        </is>
      </c>
      <c r="E1160" s="36" t="n">
        <v>2</v>
      </c>
      <c r="F1160" s="54" t="n">
        <v>2</v>
      </c>
      <c r="G1160" s="54" t="n">
        <v>1</v>
      </c>
      <c r="H1160" s="55" t="n">
        <v>1039</v>
      </c>
      <c r="I1160" s="55" t="n">
        <v>1018.2</v>
      </c>
      <c r="J1160" s="55" t="n">
        <v>0</v>
      </c>
      <c r="K1160" s="55" t="n">
        <v>0</v>
      </c>
      <c r="L1160" s="55" t="n">
        <v>1018.2</v>
      </c>
      <c r="M1160" s="55" t="n">
        <v>-20.8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136578</t>
        </is>
      </c>
      <c r="B1161" s="52" t="n">
        <v>46043</v>
      </c>
      <c r="C1161" s="36" t="inlineStr">
        <is>
          <t>00002149580</t>
        </is>
      </c>
      <c r="D1161" s="53" t="inlineStr">
        <is>
          <t>MOUNJARO 5 MG/0.5ML PEN-INJECTOR</t>
        </is>
      </c>
      <c r="E1161" s="36" t="n">
        <v>2</v>
      </c>
      <c r="F1161" s="54" t="n">
        <v>2</v>
      </c>
      <c r="G1161" s="54" t="n">
        <v>1</v>
      </c>
      <c r="H1161" s="55" t="n">
        <v>1073</v>
      </c>
      <c r="I1161" s="55" t="n">
        <v>1058.09</v>
      </c>
      <c r="J1161" s="55" t="n">
        <v>0</v>
      </c>
      <c r="K1161" s="55" t="n">
        <v>0</v>
      </c>
      <c r="L1161" s="55" t="n">
        <v>1058.09</v>
      </c>
      <c r="M1161" s="55" t="n">
        <v>-14.91</v>
      </c>
      <c r="N1161" s="36" t="inlineStr">
        <is>
          <t>004336</t>
        </is>
      </c>
      <c r="O1161" s="36" t="inlineStr">
        <is>
          <t>CAREMARK</t>
        </is>
      </c>
      <c r="P1161" s="36" t="inlineStr">
        <is>
          <t>MEDDADV</t>
        </is>
      </c>
      <c r="Q1161" s="36" t="inlineStr">
        <is>
          <t>RX1110</t>
        </is>
      </c>
    </row>
    <row r="1162">
      <c r="A1162" s="36" t="inlineStr">
        <is>
          <t>128596</t>
        </is>
      </c>
      <c r="B1162" s="52" t="n">
        <v>46027</v>
      </c>
      <c r="C1162" s="36" t="inlineStr">
        <is>
          <t>00002149580</t>
        </is>
      </c>
      <c r="D1162" s="53" t="inlineStr">
        <is>
          <t>MOUNJARO 5 MG/0.5ML PEN-INJECTOR</t>
        </is>
      </c>
      <c r="E1162" s="36" t="n">
        <v>2</v>
      </c>
      <c r="F1162" s="54" t="n">
        <v>2</v>
      </c>
      <c r="G1162" s="54" t="n">
        <v>1</v>
      </c>
      <c r="H1162" s="55" t="n">
        <v>1073</v>
      </c>
      <c r="I1162" s="55" t="n">
        <v>1053.28</v>
      </c>
      <c r="J1162" s="55" t="n">
        <v>0</v>
      </c>
      <c r="K1162" s="55" t="n">
        <v>3</v>
      </c>
      <c r="L1162" s="55" t="n">
        <v>1056.28</v>
      </c>
      <c r="M1162" s="55" t="n">
        <v>-16.72</v>
      </c>
      <c r="N1162" s="36" t="inlineStr">
        <is>
          <t>004740</t>
        </is>
      </c>
      <c r="O1162" s="36" t="inlineStr">
        <is>
          <t>NYM</t>
        </is>
      </c>
      <c r="P1162" s="36" t="inlineStr">
        <is>
          <t>9314DA31</t>
        </is>
      </c>
      <c r="Q1162" s="36" t="n">
        <v/>
      </c>
    </row>
    <row r="1163">
      <c r="A1163" s="36" t="inlineStr">
        <is>
          <t>137679</t>
        </is>
      </c>
      <c r="B1163" s="52" t="n">
        <v>46053</v>
      </c>
      <c r="C1163" s="36" t="inlineStr">
        <is>
          <t>00002149580</t>
        </is>
      </c>
      <c r="D1163" s="53" t="inlineStr">
        <is>
          <t>MOUNJARO 5 MG/0.5ML PEN-INJECTOR</t>
        </is>
      </c>
      <c r="E1163" s="36" t="n">
        <v>2</v>
      </c>
      <c r="F1163" s="54" t="n">
        <v>2</v>
      </c>
      <c r="G1163" s="54" t="n">
        <v>1</v>
      </c>
      <c r="H1163" s="55" t="n">
        <v>1073</v>
      </c>
      <c r="I1163" s="55" t="n">
        <v>1058.09</v>
      </c>
      <c r="J1163" s="55" t="n">
        <v>0</v>
      </c>
      <c r="K1163" s="55" t="n">
        <v>0</v>
      </c>
      <c r="L1163" s="55" t="n">
        <v>1058.09</v>
      </c>
      <c r="M1163" s="55" t="n">
        <v>-14.91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139021</t>
        </is>
      </c>
      <c r="B1164" s="52" t="n">
        <v>46062</v>
      </c>
      <c r="C1164" s="36" t="inlineStr">
        <is>
          <t>00002149580</t>
        </is>
      </c>
      <c r="D1164" s="53" t="inlineStr">
        <is>
          <t>MOUNJARO 5 MG/0.5ML PEN-INJECTOR</t>
        </is>
      </c>
      <c r="E1164" s="36" t="n">
        <v>2</v>
      </c>
      <c r="F1164" s="54" t="n">
        <v>2</v>
      </c>
      <c r="G1164" s="54" t="n">
        <v>1</v>
      </c>
      <c r="H1164" s="55" t="n">
        <v>1082</v>
      </c>
      <c r="I1164" s="55" t="n">
        <v>1084.67</v>
      </c>
      <c r="J1164" s="55" t="n">
        <v>0</v>
      </c>
      <c r="K1164" s="55" t="n">
        <v>3</v>
      </c>
      <c r="L1164" s="55" t="n">
        <v>1087.67</v>
      </c>
      <c r="M1164" s="55" t="n">
        <v>5.67</v>
      </c>
      <c r="N1164" s="36" t="inlineStr">
        <is>
          <t>004740</t>
        </is>
      </c>
      <c r="O1164" s="36" t="inlineStr">
        <is>
          <t>NYM</t>
        </is>
      </c>
      <c r="P1164" s="36" t="inlineStr">
        <is>
          <t>9314DA31</t>
        </is>
      </c>
      <c r="Q1164" s="36" t="n">
        <v/>
      </c>
    </row>
    <row r="1165">
      <c r="A1165" s="36" t="inlineStr">
        <is>
          <t>122563</t>
        </is>
      </c>
      <c r="B1165" s="52" t="n">
        <v>45996</v>
      </c>
      <c r="C1165" s="36" t="inlineStr">
        <is>
          <t>00002149580</t>
        </is>
      </c>
      <c r="D1165" s="53" t="inlineStr">
        <is>
          <t>MOUNJARO 5 MG/0.5ML PEN-INJECTOR</t>
        </is>
      </c>
      <c r="E1165" s="36" t="n">
        <v>2</v>
      </c>
      <c r="F1165" s="54" t="n">
        <v>6</v>
      </c>
      <c r="G1165" s="54" t="n">
        <v>3</v>
      </c>
      <c r="H1165" s="55" t="n">
        <v>3117</v>
      </c>
      <c r="I1165" s="55" t="n">
        <v>3012.21</v>
      </c>
      <c r="J1165" s="55" t="n">
        <v>0</v>
      </c>
      <c r="K1165" s="55" t="n">
        <v>0</v>
      </c>
      <c r="L1165" s="55" t="n">
        <v>3012.21</v>
      </c>
      <c r="M1165" s="55" t="n">
        <v>-104.79</v>
      </c>
      <c r="N1165" s="36" t="inlineStr">
        <is>
          <t>004336</t>
        </is>
      </c>
      <c r="O1165" s="36" t="inlineStr">
        <is>
          <t>CAREMARK</t>
        </is>
      </c>
      <c r="P1165" s="36" t="inlineStr">
        <is>
          <t>MEDDADV</t>
        </is>
      </c>
      <c r="Q1165" s="36" t="inlineStr">
        <is>
          <t>RX1110</t>
        </is>
      </c>
    </row>
    <row r="1166">
      <c r="A1166" s="36" t="inlineStr">
        <is>
          <t>136756</t>
        </is>
      </c>
      <c r="B1166" s="52" t="n">
        <v>46073</v>
      </c>
      <c r="C1166" s="36" t="inlineStr">
        <is>
          <t>00002149580</t>
        </is>
      </c>
      <c r="D1166" s="53" t="inlineStr">
        <is>
          <t>MOUNJARO 5 MG/0.5ML PEN-INJECTOR</t>
        </is>
      </c>
      <c r="E1166" s="36" t="n">
        <v>2</v>
      </c>
      <c r="F1166" s="54" t="n">
        <v>2</v>
      </c>
      <c r="G1166" s="54" t="n">
        <v>1</v>
      </c>
      <c r="H1166" s="55" t="n">
        <v>1082</v>
      </c>
      <c r="I1166" s="55" t="n">
        <v>1087.67</v>
      </c>
      <c r="J1166" s="55" t="n">
        <v>0</v>
      </c>
      <c r="K1166" s="55" t="n">
        <v>0</v>
      </c>
      <c r="L1166" s="55" t="n">
        <v>1087.67</v>
      </c>
      <c r="M1166" s="55" t="n">
        <v>5.67</v>
      </c>
      <c r="N1166" s="36" t="inlineStr">
        <is>
          <t>004740</t>
        </is>
      </c>
      <c r="O1166" s="36" t="inlineStr">
        <is>
          <t>NYM</t>
        </is>
      </c>
      <c r="P1166" s="36" t="inlineStr">
        <is>
          <t>9314DA31</t>
        </is>
      </c>
      <c r="Q1166" s="36" t="n">
        <v/>
      </c>
    </row>
    <row r="1167">
      <c r="A1167" s="36" t="inlineStr">
        <is>
          <t>137679</t>
        </is>
      </c>
      <c r="B1167" s="52" t="n">
        <v>46028</v>
      </c>
      <c r="C1167" s="36" t="inlineStr">
        <is>
          <t>00002149580</t>
        </is>
      </c>
      <c r="D1167" s="53" t="inlineStr">
        <is>
          <t>MOUNJARO 5 MG/0.5ML PEN-INJECTOR</t>
        </is>
      </c>
      <c r="E1167" s="36" t="n">
        <v>2</v>
      </c>
      <c r="F1167" s="54" t="n">
        <v>2</v>
      </c>
      <c r="G1167" s="54" t="n">
        <v>1</v>
      </c>
      <c r="H1167" s="55" t="n">
        <v>1073</v>
      </c>
      <c r="I1167" s="55" t="n">
        <v>1058.09</v>
      </c>
      <c r="J1167" s="55" t="n">
        <v>0</v>
      </c>
      <c r="K1167" s="55" t="n">
        <v>0</v>
      </c>
      <c r="L1167" s="55" t="n">
        <v>1058.09</v>
      </c>
      <c r="M1167" s="55" t="n">
        <v>-14.91</v>
      </c>
      <c r="N1167" s="36" t="inlineStr">
        <is>
          <t>004336</t>
        </is>
      </c>
      <c r="O1167" s="36" t="inlineStr">
        <is>
          <t>CAREMARK</t>
        </is>
      </c>
      <c r="P1167" s="36" t="inlineStr">
        <is>
          <t>MEDDADV</t>
        </is>
      </c>
      <c r="Q1167" s="36" t="inlineStr">
        <is>
          <t>RX1110</t>
        </is>
      </c>
    </row>
    <row r="1168">
      <c r="A1168" s="36" t="inlineStr">
        <is>
          <t>137249</t>
        </is>
      </c>
      <c r="B1168" s="52" t="n">
        <v>46024</v>
      </c>
      <c r="C1168" s="36" t="inlineStr">
        <is>
          <t>00002149580</t>
        </is>
      </c>
      <c r="D1168" s="53" t="inlineStr">
        <is>
          <t>MOUNJARO 5 MG/0.5ML PEN-INJECTOR</t>
        </is>
      </c>
      <c r="E1168" s="36" t="n">
        <v>2</v>
      </c>
      <c r="F1168" s="54" t="n">
        <v>2</v>
      </c>
      <c r="G1168" s="54" t="n">
        <v>1</v>
      </c>
      <c r="H1168" s="55" t="n">
        <v>1073</v>
      </c>
      <c r="I1168" s="55" t="n">
        <v>1055.09</v>
      </c>
      <c r="J1168" s="55" t="n">
        <v>0</v>
      </c>
      <c r="K1168" s="55" t="n">
        <v>0</v>
      </c>
      <c r="L1168" s="55" t="n">
        <v>1055.09</v>
      </c>
      <c r="M1168" s="55" t="n">
        <v>-17.91</v>
      </c>
      <c r="N1168" s="36" t="inlineStr">
        <is>
          <t>004336</t>
        </is>
      </c>
      <c r="O1168" s="36" t="inlineStr">
        <is>
          <t>CAREMARK</t>
        </is>
      </c>
      <c r="P1168" s="36" t="inlineStr">
        <is>
          <t>ADV</t>
        </is>
      </c>
      <c r="Q1168" s="36" t="inlineStr">
        <is>
          <t>RX1103</t>
        </is>
      </c>
    </row>
    <row r="1169">
      <c r="A1169" s="36" t="inlineStr">
        <is>
          <t>132432</t>
        </is>
      </c>
      <c r="B1169" s="52" t="n">
        <v>46010</v>
      </c>
      <c r="C1169" s="36" t="inlineStr">
        <is>
          <t>00002149580</t>
        </is>
      </c>
      <c r="D1169" s="53" t="inlineStr">
        <is>
          <t>MOUNJARO 5 MG/0.5ML PEN-INJECTOR</t>
        </is>
      </c>
      <c r="E1169" s="36" t="n">
        <v>2</v>
      </c>
      <c r="F1169" s="54" t="n">
        <v>2</v>
      </c>
      <c r="G1169" s="54" t="n">
        <v>1</v>
      </c>
      <c r="H1169" s="55" t="n">
        <v>1039</v>
      </c>
      <c r="I1169" s="55" t="n">
        <v>1056.34</v>
      </c>
      <c r="J1169" s="55" t="n">
        <v>0</v>
      </c>
      <c r="K1169" s="55" t="n">
        <v>0</v>
      </c>
      <c r="L1169" s="55" t="n">
        <v>1056.34</v>
      </c>
      <c r="M1169" s="55" t="n">
        <v>17.34</v>
      </c>
      <c r="N1169" s="36" t="inlineStr">
        <is>
          <t>004740</t>
        </is>
      </c>
      <c r="O1169" s="36" t="inlineStr">
        <is>
          <t>NYM</t>
        </is>
      </c>
      <c r="P1169" s="36" t="inlineStr">
        <is>
          <t>9314DA31</t>
        </is>
      </c>
      <c r="Q1169" s="36" t="n">
        <v/>
      </c>
    </row>
    <row r="1170">
      <c r="A1170" s="36" t="inlineStr">
        <is>
          <t>139301</t>
        </is>
      </c>
      <c r="B1170" s="52" t="n">
        <v>46037</v>
      </c>
      <c r="C1170" s="36" t="inlineStr">
        <is>
          <t>00002148480</t>
        </is>
      </c>
      <c r="D1170" s="53" t="inlineStr">
        <is>
          <t>MOUNJARO 7.5 MG/0.5ML PEN-INJECTOR</t>
        </is>
      </c>
      <c r="E1170" s="36" t="n">
        <v>2</v>
      </c>
      <c r="F1170" s="54" t="n">
        <v>2</v>
      </c>
      <c r="G1170" s="54" t="n">
        <v>1</v>
      </c>
      <c r="H1170" s="55" t="n">
        <v>1073</v>
      </c>
      <c r="I1170" s="55" t="n">
        <v>1053.28</v>
      </c>
      <c r="J1170" s="55" t="n">
        <v>0</v>
      </c>
      <c r="K1170" s="55" t="n">
        <v>3</v>
      </c>
      <c r="L1170" s="55" t="n">
        <v>1056.28</v>
      </c>
      <c r="M1170" s="55" t="n">
        <v>-16.72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135705</t>
        </is>
      </c>
      <c r="B1171" s="52" t="n">
        <v>46063</v>
      </c>
      <c r="C1171" s="36" t="inlineStr">
        <is>
          <t>00002148480</t>
        </is>
      </c>
      <c r="D1171" s="53" t="inlineStr">
        <is>
          <t>MOUNJARO 7.5 MG/0.5ML PEN-INJECTOR</t>
        </is>
      </c>
      <c r="E1171" s="36" t="n">
        <v>2</v>
      </c>
      <c r="F1171" s="54" t="n">
        <v>2</v>
      </c>
      <c r="G1171" s="54" t="n">
        <v>1</v>
      </c>
      <c r="H1171" s="55" t="n">
        <v>1082</v>
      </c>
      <c r="I1171" s="55" t="n">
        <v>1038.07</v>
      </c>
      <c r="J1171" s="55" t="n">
        <v>0</v>
      </c>
      <c r="K1171" s="55" t="n">
        <v>0</v>
      </c>
      <c r="L1171" s="55" t="n">
        <v>1038.07</v>
      </c>
      <c r="M1171" s="55" t="n">
        <v>-43.93</v>
      </c>
      <c r="N1171" s="36" t="inlineStr">
        <is>
          <t>004336</t>
        </is>
      </c>
      <c r="O1171" s="36" t="inlineStr">
        <is>
          <t>CAREMARK</t>
        </is>
      </c>
      <c r="P1171" s="36" t="inlineStr">
        <is>
          <t>MEDDADV</t>
        </is>
      </c>
      <c r="Q1171" s="36" t="inlineStr">
        <is>
          <t>RX8585</t>
        </is>
      </c>
    </row>
    <row r="1172">
      <c r="A1172" s="36" t="inlineStr">
        <is>
          <t>128860</t>
        </is>
      </c>
      <c r="B1172" s="52" t="n">
        <v>46014</v>
      </c>
      <c r="C1172" s="36" t="inlineStr">
        <is>
          <t>00002148480</t>
        </is>
      </c>
      <c r="D1172" s="53" t="inlineStr">
        <is>
          <t>MOUNJARO 7.5 MG/0.5ML PEN-INJECTOR</t>
        </is>
      </c>
      <c r="E1172" s="36" t="n">
        <v>2</v>
      </c>
      <c r="F1172" s="54" t="n">
        <v>2</v>
      </c>
      <c r="G1172" s="54" t="n">
        <v>1</v>
      </c>
      <c r="H1172" s="55" t="n">
        <v>1039</v>
      </c>
      <c r="I1172" s="55" t="n">
        <v>1018.2</v>
      </c>
      <c r="J1172" s="55" t="n">
        <v>0</v>
      </c>
      <c r="K1172" s="55" t="n">
        <v>0</v>
      </c>
      <c r="L1172" s="55" t="n">
        <v>1018.2</v>
      </c>
      <c r="M1172" s="55" t="n">
        <v>-20.8</v>
      </c>
      <c r="N1172" s="36" t="inlineStr">
        <is>
          <t>004336</t>
        </is>
      </c>
      <c r="O1172" s="36" t="inlineStr">
        <is>
          <t>CAREMARK</t>
        </is>
      </c>
      <c r="P1172" s="36" t="inlineStr">
        <is>
          <t>MEDDADV</t>
        </is>
      </c>
      <c r="Q1172" s="36" t="inlineStr">
        <is>
          <t>RX1110</t>
        </is>
      </c>
    </row>
    <row r="1173">
      <c r="A1173" s="36" t="inlineStr">
        <is>
          <t>139597</t>
        </is>
      </c>
      <c r="B1173" s="52" t="n">
        <v>46066</v>
      </c>
      <c r="C1173" s="36" t="inlineStr">
        <is>
          <t>00002148480</t>
        </is>
      </c>
      <c r="D1173" s="53" t="inlineStr">
        <is>
          <t>MOUNJARO 7.5 MG/0.5ML PEN-INJECTOR</t>
        </is>
      </c>
      <c r="E1173" s="36" t="n">
        <v>2</v>
      </c>
      <c r="F1173" s="54" t="n">
        <v>2</v>
      </c>
      <c r="G1173" s="54" t="n">
        <v>1</v>
      </c>
      <c r="H1173" s="55" t="n">
        <v>1082</v>
      </c>
      <c r="I1173" s="55" t="n">
        <v>1058.09</v>
      </c>
      <c r="J1173" s="55" t="n">
        <v>0</v>
      </c>
      <c r="K1173" s="55" t="n">
        <v>0</v>
      </c>
      <c r="L1173" s="55" t="n">
        <v>1058.09</v>
      </c>
      <c r="M1173" s="55" t="n">
        <v>-23.91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139747</t>
        </is>
      </c>
      <c r="B1174" s="52" t="n">
        <v>46042</v>
      </c>
      <c r="C1174" s="36" t="inlineStr">
        <is>
          <t>00002148480</t>
        </is>
      </c>
      <c r="D1174" s="53" t="inlineStr">
        <is>
          <t>MOUNJARO 7.5 MG/0.5ML PEN-INJECTOR</t>
        </is>
      </c>
      <c r="E1174" s="36" t="n">
        <v>2</v>
      </c>
      <c r="F1174" s="54" t="n">
        <v>6</v>
      </c>
      <c r="G1174" s="54" t="n">
        <v>3</v>
      </c>
      <c r="H1174" s="55" t="n">
        <v>3219</v>
      </c>
      <c r="I1174" s="55" t="n">
        <v>3122.6</v>
      </c>
      <c r="J1174" s="55" t="n">
        <v>0</v>
      </c>
      <c r="K1174" s="55" t="n">
        <v>0</v>
      </c>
      <c r="L1174" s="55" t="n">
        <v>3122.6</v>
      </c>
      <c r="M1174" s="55" t="n">
        <v>-96.40000000000001</v>
      </c>
      <c r="N1174" s="36" t="inlineStr">
        <is>
          <t>004336</t>
        </is>
      </c>
      <c r="O1174" s="36" t="inlineStr">
        <is>
          <t>CAREMARK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141686</t>
        </is>
      </c>
      <c r="B1175" s="52" t="n">
        <v>46056</v>
      </c>
      <c r="C1175" s="36" t="inlineStr">
        <is>
          <t>00002148480</t>
        </is>
      </c>
      <c r="D1175" s="53" t="inlineStr">
        <is>
          <t>MOUNJARO 7.5 MG/0.5ML PEN-INJECTOR</t>
        </is>
      </c>
      <c r="E1175" s="36" t="n">
        <v>2</v>
      </c>
      <c r="F1175" s="54" t="n">
        <v>2</v>
      </c>
      <c r="G1175" s="54" t="n">
        <v>1</v>
      </c>
      <c r="H1175" s="55" t="n">
        <v>1082</v>
      </c>
      <c r="I1175" s="55" t="n">
        <v>1058.09</v>
      </c>
      <c r="J1175" s="55" t="n">
        <v>0</v>
      </c>
      <c r="K1175" s="55" t="n">
        <v>0</v>
      </c>
      <c r="L1175" s="55" t="n">
        <v>1058.09</v>
      </c>
      <c r="M1175" s="55" t="n">
        <v>-23.91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132414</t>
        </is>
      </c>
      <c r="B1176" s="52" t="n">
        <v>46013</v>
      </c>
      <c r="C1176" s="36" t="inlineStr">
        <is>
          <t>00002148480</t>
        </is>
      </c>
      <c r="D1176" s="53" t="inlineStr">
        <is>
          <t>MOUNJARO 7.5 MG/0.5ML PEN-INJECTOR</t>
        </is>
      </c>
      <c r="E1176" s="36" t="n">
        <v>2</v>
      </c>
      <c r="F1176" s="54" t="n">
        <v>2</v>
      </c>
      <c r="G1176" s="54" t="n">
        <v>1</v>
      </c>
      <c r="H1176" s="55" t="n">
        <v>1039</v>
      </c>
      <c r="I1176" s="55" t="n">
        <v>1027.06</v>
      </c>
      <c r="J1176" s="55" t="n">
        <v>0</v>
      </c>
      <c r="K1176" s="55" t="n">
        <v>0</v>
      </c>
      <c r="L1176" s="55" t="n">
        <v>1027.06</v>
      </c>
      <c r="M1176" s="55" t="n">
        <v>-11.94</v>
      </c>
      <c r="N1176" s="36" t="inlineStr">
        <is>
          <t>015574</t>
        </is>
      </c>
      <c r="O1176" s="36" t="inlineStr">
        <is>
          <t>MEDIMP</t>
        </is>
      </c>
      <c r="P1176" s="36" t="inlineStr">
        <is>
          <t>ASPROD1</t>
        </is>
      </c>
      <c r="Q1176" s="36" t="inlineStr">
        <is>
          <t>VNS01</t>
        </is>
      </c>
    </row>
    <row r="1177">
      <c r="A1177" s="36" t="inlineStr">
        <is>
          <t>137842</t>
        </is>
      </c>
      <c r="B1177" s="52" t="n">
        <v>46028</v>
      </c>
      <c r="C1177" s="36" t="inlineStr">
        <is>
          <t>00002148480</t>
        </is>
      </c>
      <c r="D1177" s="53" t="inlineStr">
        <is>
          <t>MOUNJARO 7.5 MG/0.5ML PEN-INJECTOR</t>
        </is>
      </c>
      <c r="E1177" s="36" t="n">
        <v>2</v>
      </c>
      <c r="F1177" s="54" t="n">
        <v>2</v>
      </c>
      <c r="G1177" s="54" t="n">
        <v>1</v>
      </c>
      <c r="H1177" s="55" t="n">
        <v>1073</v>
      </c>
      <c r="I1177" s="55" t="n">
        <v>1058.09</v>
      </c>
      <c r="J1177" s="55" t="n">
        <v>0</v>
      </c>
      <c r="K1177" s="55" t="n">
        <v>0</v>
      </c>
      <c r="L1177" s="55" t="n">
        <v>1058.09</v>
      </c>
      <c r="M1177" s="55" t="n">
        <v>-14.91</v>
      </c>
      <c r="N1177" s="36" t="inlineStr">
        <is>
          <t>004336</t>
        </is>
      </c>
      <c r="O1177" s="36" t="inlineStr">
        <is>
          <t>CAREMARK</t>
        </is>
      </c>
      <c r="P1177" s="36" t="inlineStr">
        <is>
          <t>MEDDADV</t>
        </is>
      </c>
      <c r="Q1177" s="36" t="inlineStr">
        <is>
          <t>RX1110</t>
        </is>
      </c>
    </row>
    <row r="1178">
      <c r="A1178" s="36" t="inlineStr">
        <is>
          <t>135705</t>
        </is>
      </c>
      <c r="B1178" s="52" t="n">
        <v>46035</v>
      </c>
      <c r="C1178" s="36" t="inlineStr">
        <is>
          <t>00002148480</t>
        </is>
      </c>
      <c r="D1178" s="53" t="inlineStr">
        <is>
          <t>MOUNJARO 7.5 MG/0.5ML PEN-INJECTOR</t>
        </is>
      </c>
      <c r="E1178" s="36" t="n">
        <v>2</v>
      </c>
      <c r="F1178" s="54" t="n">
        <v>2</v>
      </c>
      <c r="G1178" s="54" t="n">
        <v>1</v>
      </c>
      <c r="H1178" s="55" t="n">
        <v>1073</v>
      </c>
      <c r="I1178" s="55" t="n">
        <v>1038.07</v>
      </c>
      <c r="J1178" s="55" t="n">
        <v>0</v>
      </c>
      <c r="K1178" s="55" t="n">
        <v>0</v>
      </c>
      <c r="L1178" s="55" t="n">
        <v>1038.07</v>
      </c>
      <c r="M1178" s="55" t="n">
        <v>-34.93</v>
      </c>
      <c r="N1178" s="36" t="inlineStr">
        <is>
          <t>004336</t>
        </is>
      </c>
      <c r="O1178" s="36" t="inlineStr">
        <is>
          <t>CAREMARK</t>
        </is>
      </c>
      <c r="P1178" s="36" t="inlineStr">
        <is>
          <t>MEDDADV</t>
        </is>
      </c>
      <c r="Q1178" s="36" t="inlineStr">
        <is>
          <t>RX8585</t>
        </is>
      </c>
    </row>
    <row r="1179">
      <c r="A1179" s="36" t="inlineStr">
        <is>
          <t>137093</t>
        </is>
      </c>
      <c r="B1179" s="52" t="n">
        <v>46022</v>
      </c>
      <c r="C1179" s="36" t="inlineStr">
        <is>
          <t>00002148480</t>
        </is>
      </c>
      <c r="D1179" s="53" t="inlineStr">
        <is>
          <t>MOUNJARO 7.5 MG/0.5ML PEN-INJECTOR</t>
        </is>
      </c>
      <c r="E1179" s="36" t="n">
        <v>2</v>
      </c>
      <c r="F1179" s="54" t="n">
        <v>6</v>
      </c>
      <c r="G1179" s="54" t="n">
        <v>3</v>
      </c>
      <c r="H1179" s="55" t="n">
        <v>3117</v>
      </c>
      <c r="I1179" s="55" t="n">
        <v>3012.21</v>
      </c>
      <c r="J1179" s="55" t="n">
        <v>0</v>
      </c>
      <c r="K1179" s="55" t="n">
        <v>0</v>
      </c>
      <c r="L1179" s="55" t="n">
        <v>3012.21</v>
      </c>
      <c r="M1179" s="55" t="n">
        <v>-104.79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135705</t>
        </is>
      </c>
      <c r="B1180" s="52" t="n">
        <v>46010</v>
      </c>
      <c r="C1180" s="36" t="inlineStr">
        <is>
          <t>00002148480</t>
        </is>
      </c>
      <c r="D1180" s="53" t="inlineStr">
        <is>
          <t>MOUNJARO 7.5 MG/0.5ML PEN-INJECTOR</t>
        </is>
      </c>
      <c r="E1180" s="36" t="n">
        <v>2</v>
      </c>
      <c r="F1180" s="54" t="n">
        <v>2</v>
      </c>
      <c r="G1180" s="54" t="n">
        <v>1</v>
      </c>
      <c r="H1180" s="55" t="n">
        <v>1039</v>
      </c>
      <c r="I1180" s="55" t="n">
        <v>1028.56</v>
      </c>
      <c r="J1180" s="55" t="n">
        <v>0</v>
      </c>
      <c r="K1180" s="55" t="n">
        <v>0</v>
      </c>
      <c r="L1180" s="55" t="n">
        <v>1028.56</v>
      </c>
      <c r="M1180" s="55" t="n">
        <v>-10.44</v>
      </c>
      <c r="N1180" s="36" t="inlineStr">
        <is>
          <t>004336</t>
        </is>
      </c>
      <c r="O1180" s="36" t="inlineStr">
        <is>
          <t>CAREMARK</t>
        </is>
      </c>
      <c r="P1180" s="36" t="inlineStr">
        <is>
          <t>MEDDADV</t>
        </is>
      </c>
      <c r="Q1180" s="36" t="inlineStr">
        <is>
          <t>RX8585</t>
        </is>
      </c>
    </row>
    <row r="1181">
      <c r="A1181" s="36" t="inlineStr">
        <is>
          <t>132414</t>
        </is>
      </c>
      <c r="B1181" s="52" t="n">
        <v>46066</v>
      </c>
      <c r="C1181" s="36" t="inlineStr">
        <is>
          <t>00002148480</t>
        </is>
      </c>
      <c r="D1181" s="53" t="inlineStr">
        <is>
          <t>MOUNJARO 7.5 MG/0.5ML PEN-INJECTOR</t>
        </is>
      </c>
      <c r="E1181" s="36" t="n">
        <v>2</v>
      </c>
      <c r="F1181" s="54" t="n">
        <v>2</v>
      </c>
      <c r="G1181" s="54" t="n">
        <v>1</v>
      </c>
      <c r="H1181" s="55" t="n">
        <v>1082</v>
      </c>
      <c r="I1181" s="55" t="n">
        <v>1054.48</v>
      </c>
      <c r="J1181" s="55" t="n">
        <v>0</v>
      </c>
      <c r="K1181" s="55" t="n">
        <v>0</v>
      </c>
      <c r="L1181" s="55" t="n">
        <v>1054.48</v>
      </c>
      <c r="M1181" s="55" t="n">
        <v>-27.52</v>
      </c>
      <c r="N1181" s="36" t="inlineStr">
        <is>
          <t>015574</t>
        </is>
      </c>
      <c r="O1181" s="36" t="inlineStr">
        <is>
          <t>MEDIMP</t>
        </is>
      </c>
      <c r="P1181" s="36" t="inlineStr">
        <is>
          <t>ASPROD1</t>
        </is>
      </c>
      <c r="Q1181" s="36" t="inlineStr">
        <is>
          <t>VNS01</t>
        </is>
      </c>
    </row>
    <row r="1182">
      <c r="A1182" s="36" t="inlineStr">
        <is>
          <t>140101</t>
        </is>
      </c>
      <c r="B1182" s="52" t="n">
        <v>46044</v>
      </c>
      <c r="C1182" s="36" t="inlineStr">
        <is>
          <t>00002148480</t>
        </is>
      </c>
      <c r="D1182" s="53" t="inlineStr">
        <is>
          <t>MOUNJARO 7.5 MG/0.5ML PEN-INJECTOR</t>
        </is>
      </c>
      <c r="E1182" s="36" t="n">
        <v>2</v>
      </c>
      <c r="F1182" s="54" t="n">
        <v>6</v>
      </c>
      <c r="G1182" s="54" t="n">
        <v>3</v>
      </c>
      <c r="H1182" s="55" t="n">
        <v>3219</v>
      </c>
      <c r="I1182" s="55" t="n">
        <v>3117.7</v>
      </c>
      <c r="J1182" s="55" t="n">
        <v>0</v>
      </c>
      <c r="K1182" s="55" t="n">
        <v>4.9</v>
      </c>
      <c r="L1182" s="55" t="n">
        <v>3122.6</v>
      </c>
      <c r="M1182" s="55" t="n">
        <v>-96.40000000000001</v>
      </c>
      <c r="N1182" s="36" t="inlineStr">
        <is>
          <t>004336</t>
        </is>
      </c>
      <c r="O1182" s="36" t="inlineStr">
        <is>
          <t>CAREMARK</t>
        </is>
      </c>
      <c r="P1182" s="36" t="inlineStr">
        <is>
          <t>MEDDADV</t>
        </is>
      </c>
      <c r="Q1182" s="36" t="inlineStr">
        <is>
          <t>RX1110</t>
        </is>
      </c>
    </row>
    <row r="1183">
      <c r="A1183" s="36" t="inlineStr">
        <is>
          <t>139597</t>
        </is>
      </c>
      <c r="B1183" s="52" t="n">
        <v>46041</v>
      </c>
      <c r="C1183" s="36" t="inlineStr">
        <is>
          <t>00002148480</t>
        </is>
      </c>
      <c r="D1183" s="53" t="inlineStr">
        <is>
          <t>MOUNJARO 7.5 MG/0.5ML PEN-INJECTOR</t>
        </is>
      </c>
      <c r="E1183" s="36" t="n">
        <v>2</v>
      </c>
      <c r="F1183" s="54" t="n">
        <v>2</v>
      </c>
      <c r="G1183" s="54" t="n">
        <v>1</v>
      </c>
      <c r="H1183" s="55" t="n">
        <v>1073</v>
      </c>
      <c r="I1183" s="55" t="n">
        <v>1058.09</v>
      </c>
      <c r="J1183" s="55" t="n">
        <v>0</v>
      </c>
      <c r="K1183" s="55" t="n">
        <v>0</v>
      </c>
      <c r="L1183" s="55" t="n">
        <v>1058.09</v>
      </c>
      <c r="M1183" s="55" t="n">
        <v>-14.91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133406</t>
        </is>
      </c>
      <c r="B1184" s="52" t="n">
        <v>45993</v>
      </c>
      <c r="C1184" s="36" t="inlineStr">
        <is>
          <t>00002148480</t>
        </is>
      </c>
      <c r="D1184" s="53" t="inlineStr">
        <is>
          <t>MOUNJARO 7.5 MG/0.5ML PEN-INJECTOR</t>
        </is>
      </c>
      <c r="E1184" s="36" t="n">
        <v>2</v>
      </c>
      <c r="F1184" s="54" t="n">
        <v>2</v>
      </c>
      <c r="G1184" s="54" t="n">
        <v>1</v>
      </c>
      <c r="H1184" s="55" t="n">
        <v>1039</v>
      </c>
      <c r="I1184" s="55" t="n">
        <v>1018.2</v>
      </c>
      <c r="J1184" s="55" t="n">
        <v>0</v>
      </c>
      <c r="K1184" s="55" t="n">
        <v>0</v>
      </c>
      <c r="L1184" s="55" t="n">
        <v>1018.2</v>
      </c>
      <c r="M1184" s="55" t="n">
        <v>-20.8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MEDDADV</t>
        </is>
      </c>
      <c r="Q1184" s="36" t="inlineStr">
        <is>
          <t>RX1110</t>
        </is>
      </c>
    </row>
    <row r="1185">
      <c r="A1185" s="36" t="inlineStr">
        <is>
          <t>131280</t>
        </is>
      </c>
      <c r="B1185" s="52" t="n">
        <v>46000</v>
      </c>
      <c r="C1185" s="36" t="inlineStr">
        <is>
          <t>00002148480</t>
        </is>
      </c>
      <c r="D1185" s="53" t="inlineStr">
        <is>
          <t>MOUNJARO 7.5 MG/0.5ML PEN-INJECTOR</t>
        </is>
      </c>
      <c r="E1185" s="36" t="n">
        <v>2</v>
      </c>
      <c r="F1185" s="54" t="n">
        <v>2</v>
      </c>
      <c r="G1185" s="54" t="n">
        <v>1</v>
      </c>
      <c r="H1185" s="55" t="n">
        <v>1039</v>
      </c>
      <c r="I1185" s="55" t="n">
        <v>1018.2</v>
      </c>
      <c r="J1185" s="55" t="n">
        <v>0</v>
      </c>
      <c r="K1185" s="55" t="n">
        <v>0</v>
      </c>
      <c r="L1185" s="55" t="n">
        <v>1018.2</v>
      </c>
      <c r="M1185" s="55" t="n">
        <v>-20.8</v>
      </c>
      <c r="N1185" s="36" t="inlineStr">
        <is>
          <t>004336</t>
        </is>
      </c>
      <c r="O1185" s="36" t="inlineStr">
        <is>
          <t>CAREMARK</t>
        </is>
      </c>
      <c r="P1185" s="36" t="inlineStr">
        <is>
          <t>MEDDADV</t>
        </is>
      </c>
      <c r="Q1185" s="36" t="inlineStr">
        <is>
          <t>RX1110</t>
        </is>
      </c>
    </row>
    <row r="1186">
      <c r="A1186" s="36" t="inlineStr">
        <is>
          <t>139301</t>
        </is>
      </c>
      <c r="B1186" s="52" t="n">
        <v>46062</v>
      </c>
      <c r="C1186" s="36" t="inlineStr">
        <is>
          <t>00002148480</t>
        </is>
      </c>
      <c r="D1186" s="53" t="inlineStr">
        <is>
          <t>MOUNJARO 7.5 MG/0.5ML PEN-INJECTOR</t>
        </is>
      </c>
      <c r="E1186" s="36" t="n">
        <v>2</v>
      </c>
      <c r="F1186" s="54" t="n">
        <v>2</v>
      </c>
      <c r="G1186" s="54" t="n">
        <v>1</v>
      </c>
      <c r="H1186" s="55" t="n">
        <v>1082</v>
      </c>
      <c r="I1186" s="55" t="n">
        <v>1084.66</v>
      </c>
      <c r="J1186" s="55" t="n">
        <v>0</v>
      </c>
      <c r="K1186" s="55" t="n">
        <v>3</v>
      </c>
      <c r="L1186" s="55" t="n">
        <v>1087.66</v>
      </c>
      <c r="M1186" s="55" t="n">
        <v>5.66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132414</t>
        </is>
      </c>
      <c r="B1187" s="52" t="n">
        <v>46041</v>
      </c>
      <c r="C1187" s="36" t="inlineStr">
        <is>
          <t>00002148480</t>
        </is>
      </c>
      <c r="D1187" s="53" t="inlineStr">
        <is>
          <t>MOUNJARO 7.5 MG/0.5ML PEN-INJECTOR</t>
        </is>
      </c>
      <c r="E1187" s="36" t="n">
        <v>2</v>
      </c>
      <c r="F1187" s="54" t="n">
        <v>2</v>
      </c>
      <c r="G1187" s="54" t="n">
        <v>1</v>
      </c>
      <c r="H1187" s="55" t="n">
        <v>1073</v>
      </c>
      <c r="I1187" s="55" t="n">
        <v>1054.48</v>
      </c>
      <c r="J1187" s="55" t="n">
        <v>0</v>
      </c>
      <c r="K1187" s="55" t="n">
        <v>0</v>
      </c>
      <c r="L1187" s="55" t="n">
        <v>1054.48</v>
      </c>
      <c r="M1187" s="55" t="n">
        <v>-18.52</v>
      </c>
      <c r="N1187" s="36" t="inlineStr">
        <is>
          <t>015574</t>
        </is>
      </c>
      <c r="O1187" s="36" t="inlineStr">
        <is>
          <t>MEDIMP</t>
        </is>
      </c>
      <c r="P1187" s="36" t="inlineStr">
        <is>
          <t>ASPROD1</t>
        </is>
      </c>
      <c r="Q1187" s="36" t="inlineStr">
        <is>
          <t>VNS01</t>
        </is>
      </c>
    </row>
    <row r="1188">
      <c r="A1188" s="36" t="inlineStr">
        <is>
          <t>128801</t>
        </is>
      </c>
      <c r="B1188" s="52" t="n">
        <v>46013</v>
      </c>
      <c r="C1188" s="36" t="inlineStr">
        <is>
          <t>00002148480</t>
        </is>
      </c>
      <c r="D1188" s="53" t="inlineStr">
        <is>
          <t>MOUNJARO 7.5 MG/0.5ML PEN-INJECTOR</t>
        </is>
      </c>
      <c r="E1188" s="36" t="n">
        <v>2</v>
      </c>
      <c r="F1188" s="54" t="n">
        <v>2</v>
      </c>
      <c r="G1188" s="54" t="n">
        <v>1</v>
      </c>
      <c r="H1188" s="55" t="n">
        <v>1039</v>
      </c>
      <c r="I1188" s="55" t="n">
        <v>1018.2</v>
      </c>
      <c r="J1188" s="55" t="n">
        <v>0</v>
      </c>
      <c r="K1188" s="55" t="n">
        <v>0</v>
      </c>
      <c r="L1188" s="55" t="n">
        <v>1018.2</v>
      </c>
      <c r="M1188" s="55" t="n">
        <v>-20.8</v>
      </c>
      <c r="N1188" s="36" t="inlineStr">
        <is>
          <t>004336</t>
        </is>
      </c>
      <c r="O1188" s="36" t="inlineStr">
        <is>
          <t>CAREMARK</t>
        </is>
      </c>
      <c r="P1188" s="36" t="inlineStr">
        <is>
          <t>MEDDADV</t>
        </is>
      </c>
      <c r="Q1188" s="36" t="inlineStr">
        <is>
          <t>RX1110</t>
        </is>
      </c>
    </row>
    <row r="1189">
      <c r="A1189" s="36" t="inlineStr">
        <is>
          <t>118163</t>
        </is>
      </c>
      <c r="B1189" s="52" t="n">
        <v>46015</v>
      </c>
      <c r="C1189" s="36" t="inlineStr">
        <is>
          <t>00469260130</t>
        </is>
      </c>
      <c r="D1189" s="53" t="inlineStr">
        <is>
          <t>MYRBETRIQ 25MG TABLET</t>
        </is>
      </c>
      <c r="E1189" s="36" t="n">
        <v>30</v>
      </c>
      <c r="F1189" s="54" t="n">
        <v>30</v>
      </c>
      <c r="G1189" s="54" t="n">
        <v>1</v>
      </c>
      <c r="H1189" s="55" t="n">
        <v>0</v>
      </c>
      <c r="I1189" s="55" t="n">
        <v>411.51</v>
      </c>
      <c r="J1189" s="55" t="n">
        <v>0</v>
      </c>
      <c r="K1189" s="55" t="n">
        <v>0</v>
      </c>
      <c r="L1189" s="55" t="n">
        <v>411.51</v>
      </c>
      <c r="M1189" s="55" t="n">
        <v>0</v>
      </c>
      <c r="N1189" s="36" t="inlineStr">
        <is>
          <t>610014</t>
        </is>
      </c>
      <c r="O1189" s="36" t="inlineStr">
        <is>
          <t>EXPRESS</t>
        </is>
      </c>
      <c r="P1189" s="36" t="inlineStr">
        <is>
          <t>MEDDPRIME</t>
        </is>
      </c>
      <c r="Q1189" s="36" t="inlineStr">
        <is>
          <t>2FGA</t>
        </is>
      </c>
    </row>
    <row r="1190">
      <c r="A1190" s="36" t="inlineStr">
        <is>
          <t>132084</t>
        </is>
      </c>
      <c r="B1190" s="52" t="n">
        <v>46008</v>
      </c>
      <c r="C1190" s="36" t="inlineStr">
        <is>
          <t>00469260130</t>
        </is>
      </c>
      <c r="D1190" s="53" t="inlineStr">
        <is>
          <t>MYRBETRIQ 25MG TABLET</t>
        </is>
      </c>
      <c r="E1190" s="36" t="n">
        <v>30</v>
      </c>
      <c r="F1190" s="54" t="n">
        <v>30</v>
      </c>
      <c r="G1190" s="54" t="n">
        <v>1</v>
      </c>
      <c r="H1190" s="55" t="n">
        <v>0</v>
      </c>
      <c r="I1190" s="55" t="n">
        <v>331.24</v>
      </c>
      <c r="J1190" s="55" t="n">
        <v>0</v>
      </c>
      <c r="K1190" s="55" t="n">
        <v>110.41</v>
      </c>
      <c r="L1190" s="55" t="n">
        <v>441.65</v>
      </c>
      <c r="M1190" s="55" t="n">
        <v>0</v>
      </c>
      <c r="N1190" s="36" t="inlineStr">
        <is>
          <t>004336</t>
        </is>
      </c>
      <c r="O1190" s="36" t="inlineStr">
        <is>
          <t>CAREMARK</t>
        </is>
      </c>
      <c r="P1190" s="36" t="inlineStr">
        <is>
          <t>MEDDADV</t>
        </is>
      </c>
      <c r="Q1190" s="36" t="inlineStr">
        <is>
          <t>RXCVSD</t>
        </is>
      </c>
    </row>
    <row r="1191">
      <c r="A1191" s="36" t="inlineStr">
        <is>
          <t>132084</t>
        </is>
      </c>
      <c r="B1191" s="52" t="n">
        <v>46035</v>
      </c>
      <c r="C1191" s="36" t="inlineStr">
        <is>
          <t>00469260130</t>
        </is>
      </c>
      <c r="D1191" s="53" t="inlineStr">
        <is>
          <t>MYRBETRIQ 25MG TABLET</t>
        </is>
      </c>
      <c r="E1191" s="36" t="n">
        <v>30</v>
      </c>
      <c r="F1191" s="54" t="n">
        <v>30</v>
      </c>
      <c r="G1191" s="54" t="n">
        <v>1</v>
      </c>
      <c r="H1191" s="55" t="n">
        <v>0</v>
      </c>
      <c r="I1191" s="55" t="n">
        <v>331.98</v>
      </c>
      <c r="J1191" s="55" t="n">
        <v>0</v>
      </c>
      <c r="K1191" s="55" t="n">
        <v>110.77</v>
      </c>
      <c r="L1191" s="55" t="n">
        <v>442.75</v>
      </c>
      <c r="M1191" s="55" t="n">
        <v>0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RXCVSD</t>
        </is>
      </c>
    </row>
    <row r="1192">
      <c r="A1192" s="36" t="inlineStr">
        <is>
          <t>127032</t>
        </is>
      </c>
      <c r="B1192" s="52" t="n">
        <v>46024</v>
      </c>
      <c r="C1192" s="36" t="inlineStr">
        <is>
          <t>00469260230</t>
        </is>
      </c>
      <c r="D1192" s="53" t="inlineStr">
        <is>
          <t>MYRBETRIQ 50MG TABLET</t>
        </is>
      </c>
      <c r="E1192" s="36" t="n">
        <v>30</v>
      </c>
      <c r="F1192" s="54" t="n">
        <v>30</v>
      </c>
      <c r="G1192" s="54" t="n">
        <v>1</v>
      </c>
      <c r="H1192" s="55" t="n">
        <v>443</v>
      </c>
      <c r="I1192" s="55" t="n">
        <v>452.65</v>
      </c>
      <c r="J1192" s="55" t="n">
        <v>0</v>
      </c>
      <c r="K1192" s="55" t="n">
        <v>0</v>
      </c>
      <c r="L1192" s="55" t="n">
        <v>452.65</v>
      </c>
      <c r="M1192" s="55" t="n">
        <v>9.65</v>
      </c>
      <c r="N1192" s="36" t="inlineStr">
        <is>
          <t>610502</t>
        </is>
      </c>
      <c r="O1192" s="36" t="inlineStr">
        <is>
          <t>CAREMARK</t>
        </is>
      </c>
      <c r="P1192" s="36" t="inlineStr">
        <is>
          <t>MEDDAET</t>
        </is>
      </c>
      <c r="Q1192" s="36" t="inlineStr">
        <is>
          <t>RXAETD</t>
        </is>
      </c>
    </row>
    <row r="1193">
      <c r="A1193" s="36" t="inlineStr">
        <is>
          <t>141395</t>
        </is>
      </c>
      <c r="B1193" s="52" t="n">
        <v>46055</v>
      </c>
      <c r="C1193" s="36" t="inlineStr">
        <is>
          <t>00469260230</t>
        </is>
      </c>
      <c r="D1193" s="53" t="inlineStr">
        <is>
          <t>MYRBETRIQ 50MG TABLET</t>
        </is>
      </c>
      <c r="E1193" s="36" t="n">
        <v>30</v>
      </c>
      <c r="F1193" s="54" t="n">
        <v>30</v>
      </c>
      <c r="G1193" s="54" t="n">
        <v>1</v>
      </c>
      <c r="H1193" s="55" t="n">
        <v>448</v>
      </c>
      <c r="I1193" s="55" t="n">
        <v>452.65</v>
      </c>
      <c r="J1193" s="55" t="n">
        <v>0</v>
      </c>
      <c r="K1193" s="55" t="n">
        <v>0</v>
      </c>
      <c r="L1193" s="55" t="n">
        <v>452.65</v>
      </c>
      <c r="M1193" s="55" t="n">
        <v>4.65</v>
      </c>
      <c r="N1193" s="36" t="inlineStr">
        <is>
          <t>610502</t>
        </is>
      </c>
      <c r="O1193" s="36" t="inlineStr">
        <is>
          <t>CAREMARK</t>
        </is>
      </c>
      <c r="P1193" s="36" t="inlineStr">
        <is>
          <t>MEDDAET</t>
        </is>
      </c>
      <c r="Q1193" s="36" t="inlineStr">
        <is>
          <t>RXAETD</t>
        </is>
      </c>
    </row>
    <row r="1194">
      <c r="A1194" s="36" t="inlineStr">
        <is>
          <t>142561</t>
        </is>
      </c>
      <c r="B1194" s="52" t="n">
        <v>46063</v>
      </c>
      <c r="C1194" s="36" t="inlineStr">
        <is>
          <t>00469260230</t>
        </is>
      </c>
      <c r="D1194" s="53" t="inlineStr">
        <is>
          <t>MYRBETRIQ 50MG TABLET</t>
        </is>
      </c>
      <c r="E1194" s="36" t="n">
        <v>30</v>
      </c>
      <c r="F1194" s="54" t="n">
        <v>90</v>
      </c>
      <c r="G1194" s="54" t="n">
        <v>3</v>
      </c>
      <c r="H1194" s="55" t="n">
        <v>1344</v>
      </c>
      <c r="I1194" s="55" t="n">
        <v>1292.18</v>
      </c>
      <c r="J1194" s="55" t="n">
        <v>0</v>
      </c>
      <c r="K1194" s="55" t="n">
        <v>0</v>
      </c>
      <c r="L1194" s="55" t="n">
        <v>1292.18</v>
      </c>
      <c r="M1194" s="55" t="n">
        <v>-51.82</v>
      </c>
      <c r="N1194" s="36" t="inlineStr">
        <is>
          <t>004336</t>
        </is>
      </c>
      <c r="O1194" s="36" t="inlineStr">
        <is>
          <t>CAREMARK</t>
        </is>
      </c>
      <c r="P1194" s="36" t="inlineStr">
        <is>
          <t>MEDDADV</t>
        </is>
      </c>
      <c r="Q1194" s="36" t="inlineStr">
        <is>
          <t>RX1110</t>
        </is>
      </c>
    </row>
    <row r="1195">
      <c r="A1195" s="36" t="inlineStr">
        <is>
          <t>131343</t>
        </is>
      </c>
      <c r="B1195" s="52" t="n">
        <v>46034</v>
      </c>
      <c r="C1195" s="36" t="inlineStr">
        <is>
          <t>00469260230</t>
        </is>
      </c>
      <c r="D1195" s="53" t="inlineStr">
        <is>
          <t>MYRBETRIQ 50MG TABLET</t>
        </is>
      </c>
      <c r="E1195" s="36" t="n">
        <v>30</v>
      </c>
      <c r="F1195" s="54" t="n">
        <v>30</v>
      </c>
      <c r="G1195" s="54" t="n">
        <v>1</v>
      </c>
      <c r="H1195" s="55" t="n">
        <v>443</v>
      </c>
      <c r="I1195" s="55" t="n">
        <v>437.78</v>
      </c>
      <c r="J1195" s="55" t="n">
        <v>0</v>
      </c>
      <c r="K1195" s="55" t="n">
        <v>0</v>
      </c>
      <c r="L1195" s="55" t="n">
        <v>437.78</v>
      </c>
      <c r="M1195" s="55" t="n">
        <v>-5.22</v>
      </c>
      <c r="N1195" s="36" t="inlineStr">
        <is>
          <t>004336</t>
        </is>
      </c>
      <c r="O1195" s="36" t="inlineStr">
        <is>
          <t>CAREMARK</t>
        </is>
      </c>
      <c r="P1195" s="36" t="inlineStr">
        <is>
          <t>MEDDADV</t>
        </is>
      </c>
      <c r="Q1195" s="36" t="inlineStr">
        <is>
          <t>RX1110</t>
        </is>
      </c>
    </row>
    <row r="1196">
      <c r="A1196" s="36" t="inlineStr">
        <is>
          <t>127032</t>
        </is>
      </c>
      <c r="B1196" s="52" t="n">
        <v>46000</v>
      </c>
      <c r="C1196" s="36" t="inlineStr">
        <is>
          <t>00469260230</t>
        </is>
      </c>
      <c r="D1196" s="53" t="inlineStr">
        <is>
          <t>MYRBETRIQ 50MG TABLET</t>
        </is>
      </c>
      <c r="E1196" s="36" t="n">
        <v>30</v>
      </c>
      <c r="F1196" s="54" t="n">
        <v>30</v>
      </c>
      <c r="G1196" s="54" t="n">
        <v>1</v>
      </c>
      <c r="H1196" s="55" t="n">
        <v>443</v>
      </c>
      <c r="I1196" s="55" t="n">
        <v>441.6</v>
      </c>
      <c r="J1196" s="55" t="n">
        <v>0</v>
      </c>
      <c r="K1196" s="55" t="n">
        <v>0</v>
      </c>
      <c r="L1196" s="55" t="n">
        <v>441.6</v>
      </c>
      <c r="M1196" s="55" t="n">
        <v>-1.4</v>
      </c>
      <c r="N1196" s="36" t="inlineStr">
        <is>
          <t>610502</t>
        </is>
      </c>
      <c r="O1196" s="36" t="inlineStr">
        <is>
          <t>CAREMARK</t>
        </is>
      </c>
      <c r="P1196" s="36" t="inlineStr">
        <is>
          <t>MEDDAET</t>
        </is>
      </c>
      <c r="Q1196" s="36" t="inlineStr">
        <is>
          <t>RXAETD</t>
        </is>
      </c>
    </row>
    <row r="1197">
      <c r="A1197" s="36" t="inlineStr">
        <is>
          <t>114281</t>
        </is>
      </c>
      <c r="B1197" s="52" t="n">
        <v>46013</v>
      </c>
      <c r="C1197" s="36" t="inlineStr">
        <is>
          <t>00469260230</t>
        </is>
      </c>
      <c r="D1197" s="53" t="inlineStr">
        <is>
          <t>MYRBETRIQ 50MG TABLET</t>
        </is>
      </c>
      <c r="E1197" s="36" t="n">
        <v>30</v>
      </c>
      <c r="F1197" s="54" t="n">
        <v>30</v>
      </c>
      <c r="G1197" s="54" t="n">
        <v>1</v>
      </c>
      <c r="H1197" s="55" t="n">
        <v>443</v>
      </c>
      <c r="I1197" s="55" t="n">
        <v>451.23</v>
      </c>
      <c r="J1197" s="55" t="n">
        <v>0</v>
      </c>
      <c r="K1197" s="55" t="n">
        <v>0</v>
      </c>
      <c r="L1197" s="55" t="n">
        <v>451.23</v>
      </c>
      <c r="M1197" s="55" t="n">
        <v>8.23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143859</t>
        </is>
      </c>
      <c r="B1198" s="52" t="n">
        <v>46071</v>
      </c>
      <c r="C1198" s="36" t="inlineStr">
        <is>
          <t>00469260230</t>
        </is>
      </c>
      <c r="D1198" s="53" t="inlineStr">
        <is>
          <t>MYRBETRIQ 50MG TABLET</t>
        </is>
      </c>
      <c r="E1198" s="36" t="n">
        <v>30</v>
      </c>
      <c r="F1198" s="54" t="n">
        <v>90</v>
      </c>
      <c r="G1198" s="54" t="n">
        <v>3</v>
      </c>
      <c r="H1198" s="55" t="n">
        <v>1344</v>
      </c>
      <c r="I1198" s="55" t="n">
        <v>1333.24</v>
      </c>
      <c r="J1198" s="55" t="n">
        <v>0</v>
      </c>
      <c r="K1198" s="55" t="n">
        <v>0</v>
      </c>
      <c r="L1198" s="55" t="n">
        <v>1333.24</v>
      </c>
      <c r="M1198" s="55" t="n">
        <v>-10.76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137353</t>
        </is>
      </c>
      <c r="B1199" s="52" t="n">
        <v>46024</v>
      </c>
      <c r="C1199" s="36" t="inlineStr">
        <is>
          <t>00469260230</t>
        </is>
      </c>
      <c r="D1199" s="53" t="inlineStr">
        <is>
          <t>MYRBETRIQ 50MG TABLET</t>
        </is>
      </c>
      <c r="E1199" s="36" t="n">
        <v>30</v>
      </c>
      <c r="F1199" s="54" t="n">
        <v>90</v>
      </c>
      <c r="G1199" s="54" t="n">
        <v>3</v>
      </c>
      <c r="H1199" s="55" t="n">
        <v>1329</v>
      </c>
      <c r="I1199" s="55" t="n">
        <v>1020.83</v>
      </c>
      <c r="J1199" s="55" t="n">
        <v>0</v>
      </c>
      <c r="K1199" s="55" t="n">
        <v>271.35</v>
      </c>
      <c r="L1199" s="55" t="n">
        <v>1292.18</v>
      </c>
      <c r="M1199" s="55" t="n">
        <v>-36.82</v>
      </c>
      <c r="N1199" s="36" t="inlineStr">
        <is>
          <t>004336</t>
        </is>
      </c>
      <c r="O1199" s="36" t="inlineStr">
        <is>
          <t>CAREMARK</t>
        </is>
      </c>
      <c r="P1199" s="36" t="inlineStr">
        <is>
          <t>MEDDADV</t>
        </is>
      </c>
      <c r="Q1199" s="36" t="inlineStr">
        <is>
          <t>RX1110</t>
        </is>
      </c>
    </row>
    <row r="1200">
      <c r="A1200" s="36" t="inlineStr">
        <is>
          <t>133744</t>
        </is>
      </c>
      <c r="B1200" s="52" t="n">
        <v>46006</v>
      </c>
      <c r="C1200" s="36" t="inlineStr">
        <is>
          <t>00469260230</t>
        </is>
      </c>
      <c r="D1200" s="53" t="inlineStr">
        <is>
          <t>MYRBETRIQ 50MG TABLET</t>
        </is>
      </c>
      <c r="E1200" s="36" t="n">
        <v>30</v>
      </c>
      <c r="F1200" s="54" t="n">
        <v>90</v>
      </c>
      <c r="G1200" s="54" t="n">
        <v>3</v>
      </c>
      <c r="H1200" s="55" t="n">
        <v>1329</v>
      </c>
      <c r="I1200" s="55" t="n">
        <v>1391.66</v>
      </c>
      <c r="J1200" s="55" t="n">
        <v>0</v>
      </c>
      <c r="K1200" s="55" t="n">
        <v>0</v>
      </c>
      <c r="L1200" s="55" t="n">
        <v>1391.66</v>
      </c>
      <c r="M1200" s="55" t="n">
        <v>62.66</v>
      </c>
      <c r="N1200" s="36" t="inlineStr">
        <is>
          <t>004336</t>
        </is>
      </c>
      <c r="O1200" s="36" t="inlineStr">
        <is>
          <t>CAREMARK</t>
        </is>
      </c>
      <c r="P1200" s="36" t="inlineStr">
        <is>
          <t>MEDDADV</t>
        </is>
      </c>
      <c r="Q1200" s="36" t="inlineStr">
        <is>
          <t>RXCVSD</t>
        </is>
      </c>
    </row>
    <row r="1201">
      <c r="A1201" s="36" t="inlineStr">
        <is>
          <t>131343</t>
        </is>
      </c>
      <c r="B1201" s="52" t="n">
        <v>46006</v>
      </c>
      <c r="C1201" s="36" t="inlineStr">
        <is>
          <t>00469260230</t>
        </is>
      </c>
      <c r="D1201" s="53" t="inlineStr">
        <is>
          <t>MYRBETRIQ 50MG TABLET</t>
        </is>
      </c>
      <c r="E1201" s="36" t="n">
        <v>30</v>
      </c>
      <c r="F1201" s="54" t="n">
        <v>30</v>
      </c>
      <c r="G1201" s="54" t="n">
        <v>1</v>
      </c>
      <c r="H1201" s="55" t="n">
        <v>443</v>
      </c>
      <c r="I1201" s="55" t="n">
        <v>433.91</v>
      </c>
      <c r="J1201" s="55" t="n">
        <v>0</v>
      </c>
      <c r="K1201" s="55" t="n">
        <v>0</v>
      </c>
      <c r="L1201" s="55" t="n">
        <v>433.91</v>
      </c>
      <c r="M1201" s="55" t="n">
        <v>-9.09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RX1110</t>
        </is>
      </c>
    </row>
    <row r="1202">
      <c r="A1202" s="36" t="inlineStr">
        <is>
          <t>116385</t>
        </is>
      </c>
      <c r="B1202" s="52" t="n">
        <v>46037</v>
      </c>
      <c r="C1202" s="36" t="inlineStr">
        <is>
          <t>00469260230</t>
        </is>
      </c>
      <c r="D1202" s="53" t="inlineStr">
        <is>
          <t>MYRBETRIQ 50MG TABLET</t>
        </is>
      </c>
      <c r="E1202" s="36" t="n">
        <v>30</v>
      </c>
      <c r="F1202" s="54" t="n">
        <v>90</v>
      </c>
      <c r="G1202" s="54" t="n">
        <v>3</v>
      </c>
      <c r="H1202" s="55" t="n">
        <v>1329</v>
      </c>
      <c r="I1202" s="55" t="n">
        <v>1292.18</v>
      </c>
      <c r="J1202" s="55" t="n">
        <v>0</v>
      </c>
      <c r="K1202" s="55" t="n">
        <v>0</v>
      </c>
      <c r="L1202" s="55" t="n">
        <v>1292.18</v>
      </c>
      <c r="M1202" s="55" t="n">
        <v>-36.82</v>
      </c>
      <c r="N1202" s="36" t="inlineStr">
        <is>
          <t>004336</t>
        </is>
      </c>
      <c r="O1202" s="36" t="inlineStr">
        <is>
          <t>CAREMARK</t>
        </is>
      </c>
      <c r="P1202" s="36" t="inlineStr">
        <is>
          <t>MEDDADV</t>
        </is>
      </c>
      <c r="Q1202" s="36" t="inlineStr">
        <is>
          <t>RX1110</t>
        </is>
      </c>
    </row>
    <row r="1203">
      <c r="A1203" s="36" t="inlineStr">
        <is>
          <t>139431</t>
        </is>
      </c>
      <c r="B1203" s="52" t="n">
        <v>46038</v>
      </c>
      <c r="C1203" s="36" t="inlineStr">
        <is>
          <t>58151028301</t>
        </is>
      </c>
      <c r="D1203" s="53" t="inlineStr">
        <is>
          <t>NEURONTIN 400 MG ORAL CAPSULE</t>
        </is>
      </c>
      <c r="E1203" s="36" t="n">
        <v>100</v>
      </c>
      <c r="F1203" s="54" t="n">
        <v>270</v>
      </c>
      <c r="G1203" s="54" t="n">
        <v>2.7</v>
      </c>
      <c r="H1203" s="55" t="n">
        <v>2300.4</v>
      </c>
      <c r="I1203" s="55" t="n">
        <v>2349.43</v>
      </c>
      <c r="J1203" s="55" t="n">
        <v>0</v>
      </c>
      <c r="K1203" s="55" t="n">
        <v>0</v>
      </c>
      <c r="L1203" s="55" t="n">
        <v>2349.43</v>
      </c>
      <c r="M1203" s="55" t="n">
        <v>49.03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133968</t>
        </is>
      </c>
      <c r="B1204" s="52" t="n">
        <v>45996</v>
      </c>
      <c r="C1204" s="36" t="inlineStr">
        <is>
          <t>58151028301</t>
        </is>
      </c>
      <c r="D1204" s="53" t="inlineStr">
        <is>
          <t>NEURONTIN 400 MG ORAL CAPSULE</t>
        </is>
      </c>
      <c r="E1204" s="36" t="n">
        <v>100</v>
      </c>
      <c r="F1204" s="54" t="n">
        <v>270</v>
      </c>
      <c r="G1204" s="54" t="n">
        <v>2.7</v>
      </c>
      <c r="H1204" s="55" t="n">
        <v>2300.4</v>
      </c>
      <c r="I1204" s="55" t="n">
        <v>1971.04</v>
      </c>
      <c r="J1204" s="55" t="n">
        <v>0</v>
      </c>
      <c r="K1204" s="55" t="n">
        <v>0</v>
      </c>
      <c r="L1204" s="55" t="n">
        <v>1971.04</v>
      </c>
      <c r="M1204" s="55" t="n">
        <v>-329.36</v>
      </c>
      <c r="N1204" s="36" t="inlineStr">
        <is>
          <t>017010</t>
        </is>
      </c>
      <c r="O1204" s="36" t="inlineStr">
        <is>
          <t>EXPRESS</t>
        </is>
      </c>
      <c r="P1204" s="36" t="inlineStr">
        <is>
          <t>CIMCARE</t>
        </is>
      </c>
      <c r="Q1204" s="36" t="n">
        <v/>
      </c>
    </row>
    <row r="1205">
      <c r="A1205" s="36" t="inlineStr">
        <is>
          <t>119007</t>
        </is>
      </c>
      <c r="B1205" s="52" t="n">
        <v>46058</v>
      </c>
      <c r="C1205" s="36" t="inlineStr">
        <is>
          <t>00186504031</t>
        </is>
      </c>
      <c r="D1205" s="53" t="inlineStr">
        <is>
          <t>NEXIUM 40MG CAPSULE</t>
        </is>
      </c>
      <c r="E1205" s="36" t="n">
        <v>30</v>
      </c>
      <c r="F1205" s="54" t="n">
        <v>180</v>
      </c>
      <c r="G1205" s="54" t="n">
        <v>6</v>
      </c>
      <c r="H1205" s="55" t="n">
        <v>1608</v>
      </c>
      <c r="I1205" s="55" t="n">
        <v>1545.79</v>
      </c>
      <c r="J1205" s="55" t="n">
        <v>0</v>
      </c>
      <c r="K1205" s="55" t="n">
        <v>0</v>
      </c>
      <c r="L1205" s="55" t="n">
        <v>1545.79</v>
      </c>
      <c r="M1205" s="55" t="n">
        <v>-62.21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128917</t>
        </is>
      </c>
      <c r="B1206" s="52" t="n">
        <v>46013</v>
      </c>
      <c r="C1206" s="36" t="inlineStr">
        <is>
          <t>00186504031</t>
        </is>
      </c>
      <c r="D1206" s="53" t="inlineStr">
        <is>
          <t>NEXIUM 40MG CAPSULE</t>
        </is>
      </c>
      <c r="E1206" s="36" t="n">
        <v>30</v>
      </c>
      <c r="F1206" s="54" t="n">
        <v>60</v>
      </c>
      <c r="G1206" s="54" t="n">
        <v>2</v>
      </c>
      <c r="H1206" s="55" t="n">
        <v>530</v>
      </c>
      <c r="I1206" s="55" t="n">
        <v>519.1</v>
      </c>
      <c r="J1206" s="55" t="n">
        <v>0</v>
      </c>
      <c r="K1206" s="55" t="n">
        <v>0</v>
      </c>
      <c r="L1206" s="55" t="n">
        <v>519.1</v>
      </c>
      <c r="M1206" s="55" t="n">
        <v>-10.9</v>
      </c>
      <c r="N1206" s="36" t="inlineStr">
        <is>
          <t>004336</t>
        </is>
      </c>
      <c r="O1206" s="36" t="inlineStr">
        <is>
          <t>CAREMARK</t>
        </is>
      </c>
      <c r="P1206" s="36" t="inlineStr">
        <is>
          <t>MEDDADV</t>
        </is>
      </c>
      <c r="Q1206" s="36" t="inlineStr">
        <is>
          <t>RX1110</t>
        </is>
      </c>
    </row>
    <row r="1207">
      <c r="A1207" s="36" t="inlineStr">
        <is>
          <t>140438</t>
        </is>
      </c>
      <c r="B1207" s="52" t="n">
        <v>46048</v>
      </c>
      <c r="C1207" s="36" t="inlineStr">
        <is>
          <t>00186504031</t>
        </is>
      </c>
      <c r="D1207" s="53" t="inlineStr">
        <is>
          <t>NEXIUM 40MG CAPSULE</t>
        </is>
      </c>
      <c r="E1207" s="36" t="n">
        <v>30</v>
      </c>
      <c r="F1207" s="54" t="n">
        <v>60</v>
      </c>
      <c r="G1207" s="54" t="n">
        <v>2</v>
      </c>
      <c r="H1207" s="55" t="n">
        <v>532</v>
      </c>
      <c r="I1207" s="55" t="n">
        <v>523.73</v>
      </c>
      <c r="J1207" s="55" t="n">
        <v>0</v>
      </c>
      <c r="K1207" s="55" t="n">
        <v>0</v>
      </c>
      <c r="L1207" s="55" t="n">
        <v>523.73</v>
      </c>
      <c r="M1207" s="55" t="n">
        <v>-8.27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140438</t>
        </is>
      </c>
      <c r="B1208" s="52" t="n">
        <v>46076</v>
      </c>
      <c r="C1208" s="36" t="inlineStr">
        <is>
          <t>00186504031</t>
        </is>
      </c>
      <c r="D1208" s="53" t="inlineStr">
        <is>
          <t>NEXIUM 40MG CAPSULE</t>
        </is>
      </c>
      <c r="E1208" s="36" t="n">
        <v>30</v>
      </c>
      <c r="F1208" s="54" t="n">
        <v>60</v>
      </c>
      <c r="G1208" s="54" t="n">
        <v>2</v>
      </c>
      <c r="H1208" s="55" t="n">
        <v>536</v>
      </c>
      <c r="I1208" s="55" t="n">
        <v>523.73</v>
      </c>
      <c r="J1208" s="55" t="n">
        <v>0</v>
      </c>
      <c r="K1208" s="55" t="n">
        <v>0</v>
      </c>
      <c r="L1208" s="55" t="n">
        <v>523.73</v>
      </c>
      <c r="M1208" s="55" t="n">
        <v>-12.27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MEDDADV</t>
        </is>
      </c>
      <c r="Q1208" s="36" t="inlineStr">
        <is>
          <t>RX1110</t>
        </is>
      </c>
    </row>
    <row r="1209">
      <c r="A1209" s="36" t="inlineStr">
        <is>
          <t>116916</t>
        </is>
      </c>
      <c r="B1209" s="52" t="n">
        <v>46042</v>
      </c>
      <c r="C1209" s="36" t="inlineStr">
        <is>
          <t>72426011803</t>
        </is>
      </c>
      <c r="D1209" s="53" t="inlineStr">
        <is>
          <t>NEXLETOL 180 MG ORAL TABLET</t>
        </is>
      </c>
      <c r="E1209" s="36" t="n">
        <v>30</v>
      </c>
      <c r="F1209" s="54" t="n">
        <v>90</v>
      </c>
      <c r="G1209" s="54" t="n">
        <v>3</v>
      </c>
      <c r="H1209" s="55" t="n">
        <v>1263</v>
      </c>
      <c r="I1209" s="55" t="n">
        <v>1209.73</v>
      </c>
      <c r="J1209" s="55" t="n">
        <v>0</v>
      </c>
      <c r="K1209" s="55" t="n">
        <v>4.9</v>
      </c>
      <c r="L1209" s="55" t="n">
        <v>1214.63</v>
      </c>
      <c r="M1209" s="55" t="n">
        <v>-48.37</v>
      </c>
      <c r="N1209" s="36" t="inlineStr">
        <is>
          <t>004336</t>
        </is>
      </c>
      <c r="O1209" s="36" t="inlineStr">
        <is>
          <t>CAREMARK</t>
        </is>
      </c>
      <c r="P1209" s="36" t="inlineStr">
        <is>
          <t>MEDDADV</t>
        </is>
      </c>
      <c r="Q1209" s="36" t="inlineStr">
        <is>
          <t>RX1110</t>
        </is>
      </c>
    </row>
    <row r="1210">
      <c r="A1210" s="36" t="inlineStr">
        <is>
          <t>114404</t>
        </is>
      </c>
      <c r="B1210" s="52" t="n">
        <v>46030</v>
      </c>
      <c r="C1210" s="36" t="inlineStr">
        <is>
          <t>72426081803</t>
        </is>
      </c>
      <c r="D1210" s="53" t="inlineStr">
        <is>
          <t>NEXLIZET 180-10MG TABLET</t>
        </is>
      </c>
      <c r="E1210" s="36" t="n">
        <v>30</v>
      </c>
      <c r="F1210" s="54" t="n">
        <v>90</v>
      </c>
      <c r="G1210" s="54" t="n">
        <v>3</v>
      </c>
      <c r="H1210" s="55" t="n">
        <v>1263</v>
      </c>
      <c r="I1210" s="55" t="n">
        <v>1209.73</v>
      </c>
      <c r="J1210" s="55" t="n">
        <v>0</v>
      </c>
      <c r="K1210" s="55" t="n">
        <v>4.9</v>
      </c>
      <c r="L1210" s="55" t="n">
        <v>1214.63</v>
      </c>
      <c r="M1210" s="55" t="n">
        <v>-48.37</v>
      </c>
      <c r="N1210" s="36" t="inlineStr">
        <is>
          <t>004336</t>
        </is>
      </c>
      <c r="O1210" s="36" t="inlineStr">
        <is>
          <t>CAREMARK</t>
        </is>
      </c>
      <c r="P1210" s="36" t="inlineStr">
        <is>
          <t>MEDDADV</t>
        </is>
      </c>
      <c r="Q1210" s="36" t="inlineStr">
        <is>
          <t>RX1110</t>
        </is>
      </c>
    </row>
    <row r="1211">
      <c r="A1211" s="36" t="inlineStr">
        <is>
          <t>127600</t>
        </is>
      </c>
      <c r="B1211" s="52" t="n">
        <v>46070</v>
      </c>
      <c r="C1211" s="36" t="inlineStr">
        <is>
          <t>00169183411</t>
        </is>
      </c>
      <c r="D1211" s="53" t="inlineStr">
        <is>
          <t>NOVOLIN N 100UNIT/ML SUSPENSION</t>
        </is>
      </c>
      <c r="E1211" s="36" t="n">
        <v>10</v>
      </c>
      <c r="F1211" s="54" t="n">
        <v>20</v>
      </c>
      <c r="G1211" s="54" t="n">
        <v>2</v>
      </c>
      <c r="H1211" s="55" t="n">
        <v>96</v>
      </c>
      <c r="I1211" s="55" t="n">
        <v>91.55</v>
      </c>
      <c r="J1211" s="55" t="n">
        <v>0</v>
      </c>
      <c r="K1211" s="55" t="n">
        <v>0</v>
      </c>
      <c r="L1211" s="55" t="n">
        <v>91.55</v>
      </c>
      <c r="M1211" s="55" t="n">
        <v>-4.45</v>
      </c>
      <c r="N1211" s="36" t="inlineStr">
        <is>
          <t>610502</t>
        </is>
      </c>
      <c r="O1211" s="36" t="inlineStr">
        <is>
          <t>CAREMARK</t>
        </is>
      </c>
      <c r="P1211" s="36" t="inlineStr">
        <is>
          <t>00670000</t>
        </is>
      </c>
      <c r="Q1211" s="36" t="inlineStr">
        <is>
          <t>RX7700</t>
        </is>
      </c>
    </row>
    <row r="1212">
      <c r="A1212" s="36" t="inlineStr">
        <is>
          <t>127600</t>
        </is>
      </c>
      <c r="B1212" s="52" t="n">
        <v>46022</v>
      </c>
      <c r="C1212" s="36" t="inlineStr">
        <is>
          <t>00169183411</t>
        </is>
      </c>
      <c r="D1212" s="53" t="inlineStr">
        <is>
          <t>NOVOLIN N 100UNIT/ML SUSPENSION</t>
        </is>
      </c>
      <c r="E1212" s="36" t="n">
        <v>10</v>
      </c>
      <c r="F1212" s="54" t="n">
        <v>20</v>
      </c>
      <c r="G1212" s="54" t="n">
        <v>2</v>
      </c>
      <c r="H1212" s="55" t="n">
        <v>96</v>
      </c>
      <c r="I1212" s="55" t="n">
        <v>91.55</v>
      </c>
      <c r="J1212" s="55" t="n">
        <v>0</v>
      </c>
      <c r="K1212" s="55" t="n">
        <v>0</v>
      </c>
      <c r="L1212" s="55" t="n">
        <v>91.55</v>
      </c>
      <c r="M1212" s="55" t="n">
        <v>-4.45</v>
      </c>
      <c r="N1212" s="36" t="inlineStr">
        <is>
          <t>610502</t>
        </is>
      </c>
      <c r="O1212" s="36" t="inlineStr">
        <is>
          <t>CAREMARK</t>
        </is>
      </c>
      <c r="P1212" s="36" t="inlineStr">
        <is>
          <t>00670000</t>
        </is>
      </c>
      <c r="Q1212" s="36" t="inlineStr">
        <is>
          <t>RX7700</t>
        </is>
      </c>
    </row>
    <row r="1213">
      <c r="A1213" s="36" t="inlineStr">
        <is>
          <t>123818</t>
        </is>
      </c>
      <c r="B1213" s="52" t="n">
        <v>46022</v>
      </c>
      <c r="C1213" s="36" t="inlineStr">
        <is>
          <t>00169750111</t>
        </is>
      </c>
      <c r="D1213" s="53" t="inlineStr">
        <is>
          <t>NOVOLOG 100UNIT/ML SOLUTION</t>
        </is>
      </c>
      <c r="E1213" s="36" t="n">
        <v>10</v>
      </c>
      <c r="F1213" s="54" t="n">
        <v>30</v>
      </c>
      <c r="G1213" s="54" t="n">
        <v>3</v>
      </c>
      <c r="H1213" s="55" t="n">
        <v>210</v>
      </c>
      <c r="I1213" s="55" t="n">
        <v>205.97</v>
      </c>
      <c r="J1213" s="55" t="n">
        <v>0</v>
      </c>
      <c r="K1213" s="55" t="n">
        <v>0</v>
      </c>
      <c r="L1213" s="55" t="n">
        <v>205.97</v>
      </c>
      <c r="M1213" s="55" t="n">
        <v>-4.03</v>
      </c>
      <c r="N1213" s="36" t="inlineStr">
        <is>
          <t>610502</t>
        </is>
      </c>
      <c r="O1213" s="36" t="inlineStr">
        <is>
          <t>CAREMARK</t>
        </is>
      </c>
      <c r="P1213" s="36" t="inlineStr">
        <is>
          <t>00670000</t>
        </is>
      </c>
      <c r="Q1213" s="36" t="inlineStr">
        <is>
          <t>RX7700</t>
        </is>
      </c>
    </row>
    <row r="1214">
      <c r="A1214" s="36" t="inlineStr">
        <is>
          <t>123818</t>
        </is>
      </c>
      <c r="B1214" s="52" t="n">
        <v>46070</v>
      </c>
      <c r="C1214" s="36" t="inlineStr">
        <is>
          <t>00169750111</t>
        </is>
      </c>
      <c r="D1214" s="53" t="inlineStr">
        <is>
          <t>NOVOLOG 100UNIT/ML SOLUTION</t>
        </is>
      </c>
      <c r="E1214" s="36" t="n">
        <v>10</v>
      </c>
      <c r="F1214" s="54" t="n">
        <v>30</v>
      </c>
      <c r="G1214" s="54" t="n">
        <v>3</v>
      </c>
      <c r="H1214" s="55" t="n">
        <v>210</v>
      </c>
      <c r="I1214" s="55" t="n">
        <v>205.97</v>
      </c>
      <c r="J1214" s="55" t="n">
        <v>0</v>
      </c>
      <c r="K1214" s="55" t="n">
        <v>0</v>
      </c>
      <c r="L1214" s="55" t="n">
        <v>205.97</v>
      </c>
      <c r="M1214" s="55" t="n">
        <v>-4.03</v>
      </c>
      <c r="N1214" s="36" t="inlineStr">
        <is>
          <t>610502</t>
        </is>
      </c>
      <c r="O1214" s="36" t="inlineStr">
        <is>
          <t>CAREMARK</t>
        </is>
      </c>
      <c r="P1214" s="36" t="inlineStr">
        <is>
          <t>00670000</t>
        </is>
      </c>
      <c r="Q1214" s="36" t="inlineStr">
        <is>
          <t>RX7700</t>
        </is>
      </c>
    </row>
    <row r="1215">
      <c r="A1215" s="36" t="inlineStr">
        <is>
          <t>139987</t>
        </is>
      </c>
      <c r="B1215" s="52" t="n">
        <v>46043</v>
      </c>
      <c r="C1215" s="36" t="inlineStr">
        <is>
          <t>00169633910</t>
        </is>
      </c>
      <c r="D1215" s="53" t="inlineStr">
        <is>
          <t>NOVOLOG FLEXPEN 100UNIT/ML INJECTION</t>
        </is>
      </c>
      <c r="E1215" s="36" t="n">
        <v>15</v>
      </c>
      <c r="F1215" s="54" t="n">
        <v>9</v>
      </c>
      <c r="G1215" s="54" t="n">
        <v>0.6</v>
      </c>
      <c r="H1215" s="55" t="n">
        <v>81</v>
      </c>
      <c r="I1215" s="55" t="n">
        <v>78.12</v>
      </c>
      <c r="J1215" s="55" t="n">
        <v>3.22</v>
      </c>
      <c r="K1215" s="55" t="n">
        <v>0</v>
      </c>
      <c r="L1215" s="55" t="n">
        <v>81.34</v>
      </c>
      <c r="M1215" s="55" t="n">
        <v>0.34</v>
      </c>
      <c r="N1215" s="36" t="inlineStr">
        <is>
          <t>004336</t>
        </is>
      </c>
      <c r="O1215" s="36" t="inlineStr">
        <is>
          <t>CAREMARK</t>
        </is>
      </c>
      <c r="P1215" s="36" t="inlineStr">
        <is>
          <t>MEDDADV</t>
        </is>
      </c>
      <c r="Q1215" s="36" t="inlineStr">
        <is>
          <t>RX1110</t>
        </is>
      </c>
    </row>
    <row r="1216">
      <c r="A1216" s="36" t="inlineStr">
        <is>
          <t>136833</t>
        </is>
      </c>
      <c r="B1216" s="52" t="n">
        <v>46020</v>
      </c>
      <c r="C1216" s="36" t="inlineStr">
        <is>
          <t>00169633910</t>
        </is>
      </c>
      <c r="D1216" s="53" t="inlineStr">
        <is>
          <t>NOVOLOG FLEXPEN 100UNIT/ML INJECTION</t>
        </is>
      </c>
      <c r="E1216" s="36" t="n">
        <v>15</v>
      </c>
      <c r="F1216" s="54" t="n">
        <v>15</v>
      </c>
      <c r="G1216" s="54" t="n">
        <v>1</v>
      </c>
      <c r="H1216" s="55" t="n">
        <v>134</v>
      </c>
      <c r="I1216" s="55" t="n">
        <v>131.53</v>
      </c>
      <c r="J1216" s="55" t="n">
        <v>0</v>
      </c>
      <c r="K1216" s="55" t="n">
        <v>0</v>
      </c>
      <c r="L1216" s="55" t="n">
        <v>131.53</v>
      </c>
      <c r="M1216" s="55" t="n">
        <v>-2.47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141796</t>
        </is>
      </c>
      <c r="B1217" s="52" t="n">
        <v>46057</v>
      </c>
      <c r="C1217" s="36" t="inlineStr">
        <is>
          <t>00169633910</t>
        </is>
      </c>
      <c r="D1217" s="53" t="inlineStr">
        <is>
          <t>NOVOLOG FLEXPEN 100UNIT/ML INJECTION</t>
        </is>
      </c>
      <c r="E1217" s="36" t="n">
        <v>15</v>
      </c>
      <c r="F1217" s="54" t="n">
        <v>9</v>
      </c>
      <c r="G1217" s="54" t="n">
        <v>0.6</v>
      </c>
      <c r="H1217" s="55" t="n">
        <v>81</v>
      </c>
      <c r="I1217" s="55" t="n">
        <v>73.27</v>
      </c>
      <c r="J1217" s="55" t="n">
        <v>3.22</v>
      </c>
      <c r="K1217" s="55" t="n">
        <v>4.9</v>
      </c>
      <c r="L1217" s="55" t="n">
        <v>81.39</v>
      </c>
      <c r="M1217" s="55" t="n">
        <v>0.39</v>
      </c>
      <c r="N1217" s="36" t="inlineStr">
        <is>
          <t>610502</t>
        </is>
      </c>
      <c r="O1217" s="36" t="inlineStr">
        <is>
          <t>CAREMARK</t>
        </is>
      </c>
      <c r="P1217" s="36" t="inlineStr">
        <is>
          <t>MEDDAET</t>
        </is>
      </c>
      <c r="Q1217" s="36" t="inlineStr">
        <is>
          <t>RXAETD</t>
        </is>
      </c>
    </row>
    <row r="1218">
      <c r="A1218" s="36" t="inlineStr">
        <is>
          <t>142875</t>
        </is>
      </c>
      <c r="B1218" s="52" t="n">
        <v>46064</v>
      </c>
      <c r="C1218" s="36" t="inlineStr">
        <is>
          <t>00169633910</t>
        </is>
      </c>
      <c r="D1218" s="53" t="inlineStr">
        <is>
          <t>NOVOLOG FLEXPEN 100UNIT/ML INJECTION</t>
        </is>
      </c>
      <c r="E1218" s="36" t="n">
        <v>15</v>
      </c>
      <c r="F1218" s="54" t="n">
        <v>36</v>
      </c>
      <c r="G1218" s="54" t="n">
        <v>2.4</v>
      </c>
      <c r="H1218" s="55" t="n">
        <v>324</v>
      </c>
      <c r="I1218" s="55" t="n">
        <v>313.5</v>
      </c>
      <c r="J1218" s="55" t="n">
        <v>12.85</v>
      </c>
      <c r="K1218" s="55" t="n">
        <v>0</v>
      </c>
      <c r="L1218" s="55" t="n">
        <v>326.35</v>
      </c>
      <c r="M1218" s="55" t="n">
        <v>2.35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RX1110</t>
        </is>
      </c>
    </row>
    <row r="1219">
      <c r="A1219" s="36" t="inlineStr">
        <is>
          <t>95761</t>
        </is>
      </c>
      <c r="B1219" s="52" t="n">
        <v>46002</v>
      </c>
      <c r="C1219" s="36" t="inlineStr">
        <is>
          <t>00169633910</t>
        </is>
      </c>
      <c r="D1219" s="53" t="inlineStr">
        <is>
          <t>NOVOLOG FLEXPEN 100UNIT/ML INJECTION</t>
        </is>
      </c>
      <c r="E1219" s="36" t="n">
        <v>15</v>
      </c>
      <c r="F1219" s="54" t="n">
        <v>9</v>
      </c>
      <c r="G1219" s="54" t="n">
        <v>0.6</v>
      </c>
      <c r="H1219" s="55" t="n">
        <v>80.40000000000001</v>
      </c>
      <c r="I1219" s="55" t="n">
        <v>80.18000000000001</v>
      </c>
      <c r="J1219" s="55" t="n">
        <v>0</v>
      </c>
      <c r="K1219" s="55" t="n">
        <v>0</v>
      </c>
      <c r="L1219" s="55" t="n">
        <v>80.18000000000001</v>
      </c>
      <c r="M1219" s="55" t="n">
        <v>-0.22</v>
      </c>
      <c r="N1219" s="36" t="inlineStr">
        <is>
          <t>610502</t>
        </is>
      </c>
      <c r="O1219" s="36" t="inlineStr">
        <is>
          <t>CAREMARK</t>
        </is>
      </c>
      <c r="P1219" s="36" t="inlineStr">
        <is>
          <t>MEDDAET</t>
        </is>
      </c>
      <c r="Q1219" s="36" t="inlineStr">
        <is>
          <t>RXAETD</t>
        </is>
      </c>
    </row>
    <row r="1220">
      <c r="A1220" s="36" t="inlineStr">
        <is>
          <t>133873</t>
        </is>
      </c>
      <c r="B1220" s="52" t="n">
        <v>45995</v>
      </c>
      <c r="C1220" s="36" t="inlineStr">
        <is>
          <t>00169633910</t>
        </is>
      </c>
      <c r="D1220" s="53" t="inlineStr">
        <is>
          <t>NOVOLOG FLEXPEN 100UNIT/ML INJECTION</t>
        </is>
      </c>
      <c r="E1220" s="36" t="n">
        <v>15</v>
      </c>
      <c r="F1220" s="54" t="n">
        <v>9</v>
      </c>
      <c r="G1220" s="54" t="n">
        <v>0.6</v>
      </c>
      <c r="H1220" s="55" t="n">
        <v>80.40000000000001</v>
      </c>
      <c r="I1220" s="55" t="n">
        <v>77.62</v>
      </c>
      <c r="J1220" s="55" t="n">
        <v>0</v>
      </c>
      <c r="K1220" s="55" t="n">
        <v>0</v>
      </c>
      <c r="L1220" s="55" t="n">
        <v>77.62</v>
      </c>
      <c r="M1220" s="55" t="n">
        <v>-2.78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135626</t>
        </is>
      </c>
      <c r="B1221" s="52" t="n">
        <v>46037</v>
      </c>
      <c r="C1221" s="36" t="inlineStr">
        <is>
          <t>00169633910</t>
        </is>
      </c>
      <c r="D1221" s="53" t="inlineStr">
        <is>
          <t>NOVOLOG FLEXPEN 100UNIT/ML INJECTION</t>
        </is>
      </c>
      <c r="E1221" s="36" t="n">
        <v>15</v>
      </c>
      <c r="F1221" s="54" t="n">
        <v>9</v>
      </c>
      <c r="G1221" s="54" t="n">
        <v>0.6</v>
      </c>
      <c r="H1221" s="55" t="n">
        <v>81</v>
      </c>
      <c r="I1221" s="55" t="n">
        <v>74.63</v>
      </c>
      <c r="J1221" s="55" t="n">
        <v>3.22</v>
      </c>
      <c r="K1221" s="55" t="n">
        <v>4.9</v>
      </c>
      <c r="L1221" s="55" t="n">
        <v>82.75</v>
      </c>
      <c r="M1221" s="55" t="n">
        <v>1.75</v>
      </c>
      <c r="N1221" s="36" t="inlineStr">
        <is>
          <t>004336</t>
        </is>
      </c>
      <c r="O1221" s="36" t="inlineStr">
        <is>
          <t>CAREMARK</t>
        </is>
      </c>
      <c r="P1221" s="36" t="inlineStr">
        <is>
          <t>MEDDADV</t>
        </is>
      </c>
      <c r="Q1221" s="36" t="inlineStr">
        <is>
          <t>RX1110</t>
        </is>
      </c>
    </row>
    <row r="1222">
      <c r="A1222" s="36" t="inlineStr">
        <is>
          <t>126927</t>
        </is>
      </c>
      <c r="B1222" s="52" t="n">
        <v>46020</v>
      </c>
      <c r="C1222" s="36" t="inlineStr">
        <is>
          <t>00169633910</t>
        </is>
      </c>
      <c r="D1222" s="53" t="inlineStr">
        <is>
          <t>NOVOLOG FLEXPEN 100UNIT/ML INJECTION</t>
        </is>
      </c>
      <c r="E1222" s="36" t="n">
        <v>15</v>
      </c>
      <c r="F1222" s="54" t="n">
        <v>6</v>
      </c>
      <c r="G1222" s="54" t="n">
        <v>0.4</v>
      </c>
      <c r="H1222" s="55" t="n">
        <v>53.6</v>
      </c>
      <c r="I1222" s="55" t="n">
        <v>51.63</v>
      </c>
      <c r="J1222" s="55" t="n">
        <v>0</v>
      </c>
      <c r="K1222" s="55" t="n">
        <v>0</v>
      </c>
      <c r="L1222" s="55" t="n">
        <v>51.63</v>
      </c>
      <c r="M1222" s="55" t="n">
        <v>-1.97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MEDDADV</t>
        </is>
      </c>
      <c r="Q1222" s="36" t="inlineStr">
        <is>
          <t>RX1110</t>
        </is>
      </c>
    </row>
    <row r="1223">
      <c r="A1223" s="36" t="inlineStr">
        <is>
          <t>124937</t>
        </is>
      </c>
      <c r="B1223" s="52" t="n">
        <v>46013</v>
      </c>
      <c r="C1223" s="36" t="inlineStr">
        <is>
          <t>00169633910</t>
        </is>
      </c>
      <c r="D1223" s="53" t="inlineStr">
        <is>
          <t>NOVOLOG FLEXPEN 100UNIT/ML INJECTION</t>
        </is>
      </c>
      <c r="E1223" s="36" t="n">
        <v>15</v>
      </c>
      <c r="F1223" s="54" t="n">
        <v>3</v>
      </c>
      <c r="G1223" s="54" t="n">
        <v>0.2</v>
      </c>
      <c r="H1223" s="55" t="n">
        <v>26.8</v>
      </c>
      <c r="I1223" s="55" t="n">
        <v>26.11</v>
      </c>
      <c r="J1223" s="55" t="n">
        <v>0</v>
      </c>
      <c r="K1223" s="55" t="n">
        <v>0</v>
      </c>
      <c r="L1223" s="55" t="n">
        <v>26.11</v>
      </c>
      <c r="M1223" s="55" t="n">
        <v>-0.6899999999999999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134874</t>
        </is>
      </c>
      <c r="B1224" s="52" t="n">
        <v>46003</v>
      </c>
      <c r="C1224" s="36" t="inlineStr">
        <is>
          <t>00169633910</t>
        </is>
      </c>
      <c r="D1224" s="53" t="inlineStr">
        <is>
          <t>NOVOLOG FLEXPEN 100UNIT/ML INJECTION</t>
        </is>
      </c>
      <c r="E1224" s="36" t="n">
        <v>15</v>
      </c>
      <c r="F1224" s="54" t="n">
        <v>15</v>
      </c>
      <c r="G1224" s="54" t="n">
        <v>1</v>
      </c>
      <c r="H1224" s="55" t="n">
        <v>134</v>
      </c>
      <c r="I1224" s="55" t="n">
        <v>131.53</v>
      </c>
      <c r="J1224" s="55" t="n">
        <v>0</v>
      </c>
      <c r="K1224" s="55" t="n">
        <v>0</v>
      </c>
      <c r="L1224" s="55" t="n">
        <v>131.53</v>
      </c>
      <c r="M1224" s="55" t="n">
        <v>-2.47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RX1110</t>
        </is>
      </c>
    </row>
    <row r="1225">
      <c r="A1225" s="36" t="inlineStr">
        <is>
          <t>125156</t>
        </is>
      </c>
      <c r="B1225" s="52" t="n">
        <v>46020</v>
      </c>
      <c r="C1225" s="36" t="inlineStr">
        <is>
          <t>00169633910</t>
        </is>
      </c>
      <c r="D1225" s="53" t="inlineStr">
        <is>
          <t>NOVOLOG FLEXPEN 100UNIT/ML INJECTION</t>
        </is>
      </c>
      <c r="E1225" s="36" t="n">
        <v>15</v>
      </c>
      <c r="F1225" s="54" t="n">
        <v>54</v>
      </c>
      <c r="G1225" s="54" t="n">
        <v>3.6</v>
      </c>
      <c r="H1225" s="55" t="n">
        <v>482.4</v>
      </c>
      <c r="I1225" s="55" t="n">
        <v>467.4</v>
      </c>
      <c r="J1225" s="55" t="n">
        <v>0</v>
      </c>
      <c r="K1225" s="55" t="n">
        <v>0</v>
      </c>
      <c r="L1225" s="55" t="n">
        <v>467.4</v>
      </c>
      <c r="M1225" s="55" t="n">
        <v>-15</v>
      </c>
      <c r="N1225" s="36" t="inlineStr">
        <is>
          <t>004336</t>
        </is>
      </c>
      <c r="O1225" s="36" t="inlineStr">
        <is>
          <t>CAREMARK</t>
        </is>
      </c>
      <c r="P1225" s="36" t="inlineStr">
        <is>
          <t>MEDDADV</t>
        </is>
      </c>
      <c r="Q1225" s="36" t="inlineStr">
        <is>
          <t>RX1110</t>
        </is>
      </c>
    </row>
    <row r="1226">
      <c r="A1226" s="36" t="inlineStr">
        <is>
          <t>135626</t>
        </is>
      </c>
      <c r="B1226" s="52" t="n">
        <v>46065</v>
      </c>
      <c r="C1226" s="36" t="inlineStr">
        <is>
          <t>00169633910</t>
        </is>
      </c>
      <c r="D1226" s="53" t="inlineStr">
        <is>
          <t>NOVOLOG FLEXPEN 100UNIT/ML INJECTION</t>
        </is>
      </c>
      <c r="E1226" s="36" t="n">
        <v>15</v>
      </c>
      <c r="F1226" s="54" t="n">
        <v>9</v>
      </c>
      <c r="G1226" s="54" t="n">
        <v>0.6</v>
      </c>
      <c r="H1226" s="55" t="n">
        <v>81</v>
      </c>
      <c r="I1226" s="55" t="n">
        <v>74.63</v>
      </c>
      <c r="J1226" s="55" t="n">
        <v>3.22</v>
      </c>
      <c r="K1226" s="55" t="n">
        <v>4.9</v>
      </c>
      <c r="L1226" s="55" t="n">
        <v>82.75</v>
      </c>
      <c r="M1226" s="55" t="n">
        <v>1.75</v>
      </c>
      <c r="N1226" s="36" t="inlineStr">
        <is>
          <t>004336</t>
        </is>
      </c>
      <c r="O1226" s="36" t="inlineStr">
        <is>
          <t>CAREMARK</t>
        </is>
      </c>
      <c r="P1226" s="36" t="inlineStr">
        <is>
          <t>MEDDADV</t>
        </is>
      </c>
      <c r="Q1226" s="36" t="inlineStr">
        <is>
          <t>RX1110</t>
        </is>
      </c>
    </row>
    <row r="1227">
      <c r="A1227" s="36" t="inlineStr">
        <is>
          <t>134062</t>
        </is>
      </c>
      <c r="B1227" s="52" t="n">
        <v>45997</v>
      </c>
      <c r="C1227" s="36" t="inlineStr">
        <is>
          <t>00169633910</t>
        </is>
      </c>
      <c r="D1227" s="53" t="inlineStr">
        <is>
          <t>NOVOLOG FLEXPEN 100UNIT/ML INJECTION</t>
        </is>
      </c>
      <c r="E1227" s="36" t="n">
        <v>15</v>
      </c>
      <c r="F1227" s="54" t="n">
        <v>9</v>
      </c>
      <c r="G1227" s="54" t="n">
        <v>0.6</v>
      </c>
      <c r="H1227" s="55" t="n">
        <v>80.40000000000001</v>
      </c>
      <c r="I1227" s="55" t="n">
        <v>80.18000000000001</v>
      </c>
      <c r="J1227" s="55" t="n">
        <v>0</v>
      </c>
      <c r="K1227" s="55" t="n">
        <v>0</v>
      </c>
      <c r="L1227" s="55" t="n">
        <v>80.18000000000001</v>
      </c>
      <c r="M1227" s="55" t="n">
        <v>-0.22</v>
      </c>
      <c r="N1227" s="36" t="inlineStr">
        <is>
          <t>610502</t>
        </is>
      </c>
      <c r="O1227" s="36" t="inlineStr">
        <is>
          <t>CAREMARK</t>
        </is>
      </c>
      <c r="P1227" s="36" t="inlineStr">
        <is>
          <t>MEDDAET</t>
        </is>
      </c>
      <c r="Q1227" s="36" t="inlineStr">
        <is>
          <t>RXAETD</t>
        </is>
      </c>
    </row>
    <row r="1228">
      <c r="A1228" s="36" t="inlineStr">
        <is>
          <t>131111</t>
        </is>
      </c>
      <c r="B1228" s="52" t="n">
        <v>46058</v>
      </c>
      <c r="C1228" s="36" t="inlineStr">
        <is>
          <t>00169633910</t>
        </is>
      </c>
      <c r="D1228" s="53" t="inlineStr">
        <is>
          <t>NOVOLOG FLEXPEN 100UNIT/ML INJECTION</t>
        </is>
      </c>
      <c r="E1228" s="36" t="n">
        <v>15</v>
      </c>
      <c r="F1228" s="54" t="n">
        <v>6</v>
      </c>
      <c r="G1228" s="54" t="n">
        <v>0.4</v>
      </c>
      <c r="H1228" s="55" t="n">
        <v>54</v>
      </c>
      <c r="I1228" s="55" t="n">
        <v>47.03</v>
      </c>
      <c r="J1228" s="55" t="n">
        <v>2.14</v>
      </c>
      <c r="K1228" s="55" t="n">
        <v>4.9</v>
      </c>
      <c r="L1228" s="55" t="n">
        <v>54.07</v>
      </c>
      <c r="M1228" s="55" t="n">
        <v>0.07000000000000001</v>
      </c>
      <c r="N1228" s="36" t="inlineStr">
        <is>
          <t>004336</t>
        </is>
      </c>
      <c r="O1228" s="36" t="inlineStr">
        <is>
          <t>CAREMARK</t>
        </is>
      </c>
      <c r="P1228" s="36" t="inlineStr">
        <is>
          <t>MEDDADV</t>
        </is>
      </c>
      <c r="Q1228" s="36" t="inlineStr">
        <is>
          <t>RX8585</t>
        </is>
      </c>
    </row>
    <row r="1229">
      <c r="A1229" s="36" t="inlineStr">
        <is>
          <t>141516</t>
        </is>
      </c>
      <c r="B1229" s="52" t="n">
        <v>46055</v>
      </c>
      <c r="C1229" s="36" t="inlineStr">
        <is>
          <t>00169633910</t>
        </is>
      </c>
      <c r="D1229" s="53" t="inlineStr">
        <is>
          <t>NOVOLOG FLEXPEN 100UNIT/ML INJECTION</t>
        </is>
      </c>
      <c r="E1229" s="36" t="n">
        <v>15</v>
      </c>
      <c r="F1229" s="54" t="n">
        <v>3</v>
      </c>
      <c r="G1229" s="54" t="n">
        <v>0.2</v>
      </c>
      <c r="H1229" s="55" t="n">
        <v>27</v>
      </c>
      <c r="I1229" s="55" t="n">
        <v>26.35</v>
      </c>
      <c r="J1229" s="55" t="n">
        <v>1.07</v>
      </c>
      <c r="K1229" s="55" t="n">
        <v>0</v>
      </c>
      <c r="L1229" s="55" t="n">
        <v>27.42</v>
      </c>
      <c r="M1229" s="55" t="n">
        <v>0.42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131111</t>
        </is>
      </c>
      <c r="B1230" s="52" t="n">
        <v>46002</v>
      </c>
      <c r="C1230" s="36" t="inlineStr">
        <is>
          <t>00169633910</t>
        </is>
      </c>
      <c r="D1230" s="53" t="inlineStr">
        <is>
          <t>NOVOLOG FLEXPEN 100UNIT/ML INJECTION</t>
        </is>
      </c>
      <c r="E1230" s="36" t="n">
        <v>15</v>
      </c>
      <c r="F1230" s="54" t="n">
        <v>6</v>
      </c>
      <c r="G1230" s="54" t="n">
        <v>0.4</v>
      </c>
      <c r="H1230" s="55" t="n">
        <v>53.6</v>
      </c>
      <c r="I1230" s="55" t="n">
        <v>53.01</v>
      </c>
      <c r="J1230" s="55" t="n">
        <v>0</v>
      </c>
      <c r="K1230" s="55" t="n">
        <v>0</v>
      </c>
      <c r="L1230" s="55" t="n">
        <v>53.01</v>
      </c>
      <c r="M1230" s="55" t="n">
        <v>-0.59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RX8585</t>
        </is>
      </c>
    </row>
    <row r="1231">
      <c r="A1231" s="36" t="inlineStr">
        <is>
          <t>137923</t>
        </is>
      </c>
      <c r="B1231" s="52" t="n">
        <v>46029</v>
      </c>
      <c r="C1231" s="36" t="inlineStr">
        <is>
          <t>00169633910</t>
        </is>
      </c>
      <c r="D1231" s="53" t="inlineStr">
        <is>
          <t>NOVOLOG FLEXPEN 100UNIT/ML INJECTION</t>
        </is>
      </c>
      <c r="E1231" s="36" t="n">
        <v>15</v>
      </c>
      <c r="F1231" s="54" t="n">
        <v>9</v>
      </c>
      <c r="G1231" s="54" t="n">
        <v>0.6</v>
      </c>
      <c r="H1231" s="55" t="n">
        <v>81</v>
      </c>
      <c r="I1231" s="55" t="n">
        <v>73.27</v>
      </c>
      <c r="J1231" s="55" t="n">
        <v>3.22</v>
      </c>
      <c r="K1231" s="55" t="n">
        <v>4.9</v>
      </c>
      <c r="L1231" s="55" t="n">
        <v>81.39</v>
      </c>
      <c r="M1231" s="55" t="n">
        <v>0.39</v>
      </c>
      <c r="N1231" s="36" t="inlineStr">
        <is>
          <t>610502</t>
        </is>
      </c>
      <c r="O1231" s="36" t="inlineStr">
        <is>
          <t>CAREMARK</t>
        </is>
      </c>
      <c r="P1231" s="36" t="inlineStr">
        <is>
          <t>MEDDAET</t>
        </is>
      </c>
      <c r="Q1231" s="36" t="inlineStr">
        <is>
          <t>RXAETD</t>
        </is>
      </c>
    </row>
    <row r="1232">
      <c r="A1232" s="36" t="inlineStr">
        <is>
          <t>131111</t>
        </is>
      </c>
      <c r="B1232" s="52" t="n">
        <v>46030</v>
      </c>
      <c r="C1232" s="36" t="inlineStr">
        <is>
          <t>00169633910</t>
        </is>
      </c>
      <c r="D1232" s="53" t="inlineStr">
        <is>
          <t>NOVOLOG FLEXPEN 100UNIT/ML INJECTION</t>
        </is>
      </c>
      <c r="E1232" s="36" t="n">
        <v>15</v>
      </c>
      <c r="F1232" s="54" t="n">
        <v>6</v>
      </c>
      <c r="G1232" s="54" t="n">
        <v>0.4</v>
      </c>
      <c r="H1232" s="55" t="n">
        <v>54</v>
      </c>
      <c r="I1232" s="55" t="n">
        <v>47.03</v>
      </c>
      <c r="J1232" s="55" t="n">
        <v>2.14</v>
      </c>
      <c r="K1232" s="55" t="n">
        <v>4.9</v>
      </c>
      <c r="L1232" s="55" t="n">
        <v>54.07</v>
      </c>
      <c r="M1232" s="55" t="n">
        <v>0.07000000000000001</v>
      </c>
      <c r="N1232" s="36" t="inlineStr">
        <is>
          <t>004336</t>
        </is>
      </c>
      <c r="O1232" s="36" t="inlineStr">
        <is>
          <t>CAREMARK</t>
        </is>
      </c>
      <c r="P1232" s="36" t="inlineStr">
        <is>
          <t>MEDDADV</t>
        </is>
      </c>
      <c r="Q1232" s="36" t="inlineStr">
        <is>
          <t>RX8585</t>
        </is>
      </c>
    </row>
    <row r="1233">
      <c r="A1233" s="36" t="inlineStr">
        <is>
          <t>132804</t>
        </is>
      </c>
      <c r="B1233" s="52" t="n">
        <v>46015</v>
      </c>
      <c r="C1233" s="36" t="inlineStr">
        <is>
          <t>00169633910</t>
        </is>
      </c>
      <c r="D1233" s="53" t="inlineStr">
        <is>
          <t>NOVOLOG FLEXPEN 100UNIT/ML INJECTION</t>
        </is>
      </c>
      <c r="E1233" s="36" t="n">
        <v>15</v>
      </c>
      <c r="F1233" s="54" t="n">
        <v>3</v>
      </c>
      <c r="G1233" s="54" t="n">
        <v>0.2</v>
      </c>
      <c r="H1233" s="55" t="n">
        <v>26.8</v>
      </c>
      <c r="I1233" s="55" t="n">
        <v>26.11</v>
      </c>
      <c r="J1233" s="55" t="n">
        <v>0</v>
      </c>
      <c r="K1233" s="55" t="n">
        <v>0</v>
      </c>
      <c r="L1233" s="55" t="n">
        <v>26.11</v>
      </c>
      <c r="M1233" s="55" t="n">
        <v>-0.6899999999999999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RX1110</t>
        </is>
      </c>
    </row>
    <row r="1234">
      <c r="A1234" s="36" t="inlineStr">
        <is>
          <t>135626</t>
        </is>
      </c>
      <c r="B1234" s="52" t="n">
        <v>46009</v>
      </c>
      <c r="C1234" s="36" t="inlineStr">
        <is>
          <t>00169633910</t>
        </is>
      </c>
      <c r="D1234" s="53" t="inlineStr">
        <is>
          <t>NOVOLOG FLEXPEN 100UNIT/ML INJECTION</t>
        </is>
      </c>
      <c r="E1234" s="36" t="n">
        <v>15</v>
      </c>
      <c r="F1234" s="54" t="n">
        <v>9</v>
      </c>
      <c r="G1234" s="54" t="n">
        <v>0.6</v>
      </c>
      <c r="H1234" s="55" t="n">
        <v>80.40000000000001</v>
      </c>
      <c r="I1234" s="55" t="n">
        <v>78.81999999999999</v>
      </c>
      <c r="J1234" s="55" t="n">
        <v>0</v>
      </c>
      <c r="K1234" s="55" t="n">
        <v>0</v>
      </c>
      <c r="L1234" s="55" t="n">
        <v>78.81999999999999</v>
      </c>
      <c r="M1234" s="55" t="n">
        <v>-1.58</v>
      </c>
      <c r="N1234" s="36" t="inlineStr">
        <is>
          <t>004336</t>
        </is>
      </c>
      <c r="O1234" s="36" t="inlineStr">
        <is>
          <t>CAREMARK</t>
        </is>
      </c>
      <c r="P1234" s="36" t="inlineStr">
        <is>
          <t>MEDDADV</t>
        </is>
      </c>
      <c r="Q1234" s="36" t="inlineStr">
        <is>
          <t>RX1110</t>
        </is>
      </c>
    </row>
    <row r="1235">
      <c r="A1235" s="36" t="inlineStr">
        <is>
          <t>132804</t>
        </is>
      </c>
      <c r="B1235" s="52" t="n">
        <v>46043</v>
      </c>
      <c r="C1235" s="36" t="inlineStr">
        <is>
          <t>00169633910</t>
        </is>
      </c>
      <c r="D1235" s="53" t="inlineStr">
        <is>
          <t>NOVOLOG FLEXPEN 100UNIT/ML INJECTION</t>
        </is>
      </c>
      <c r="E1235" s="36" t="n">
        <v>15</v>
      </c>
      <c r="F1235" s="54" t="n">
        <v>3</v>
      </c>
      <c r="G1235" s="54" t="n">
        <v>0.2</v>
      </c>
      <c r="H1235" s="55" t="n">
        <v>27</v>
      </c>
      <c r="I1235" s="55" t="n">
        <v>21.45</v>
      </c>
      <c r="J1235" s="55" t="n">
        <v>1.07</v>
      </c>
      <c r="K1235" s="55" t="n">
        <v>4.9</v>
      </c>
      <c r="L1235" s="55" t="n">
        <v>27.42</v>
      </c>
      <c r="M1235" s="55" t="n">
        <v>0.42</v>
      </c>
      <c r="N1235" s="36" t="inlineStr">
        <is>
          <t>004336</t>
        </is>
      </c>
      <c r="O1235" s="36" t="inlineStr">
        <is>
          <t>CAREMARK</t>
        </is>
      </c>
      <c r="P1235" s="36" t="inlineStr">
        <is>
          <t>MEDDADV</t>
        </is>
      </c>
      <c r="Q1235" s="36" t="inlineStr">
        <is>
          <t>RX1110</t>
        </is>
      </c>
    </row>
    <row r="1236">
      <c r="A1236" s="36" t="inlineStr">
        <is>
          <t>138143</t>
        </is>
      </c>
      <c r="B1236" s="52" t="n">
        <v>46030</v>
      </c>
      <c r="C1236" s="36" t="inlineStr">
        <is>
          <t>00169369619</t>
        </is>
      </c>
      <c r="D1236" s="53" t="inlineStr">
        <is>
          <t>NOVOLOG MIX 70/30 FLEXPEN 100 UNIT/ML PEN-INJECTOR</t>
        </is>
      </c>
      <c r="E1236" s="36" t="n">
        <v>15</v>
      </c>
      <c r="F1236" s="54" t="n">
        <v>12</v>
      </c>
      <c r="G1236" s="54" t="n">
        <v>0.8</v>
      </c>
      <c r="H1236" s="55" t="n">
        <v>0</v>
      </c>
      <c r="I1236" s="55" t="n">
        <v>104.27</v>
      </c>
      <c r="J1236" s="55" t="n">
        <v>0</v>
      </c>
      <c r="K1236" s="55" t="n">
        <v>0</v>
      </c>
      <c r="L1236" s="55" t="n">
        <v>104.27</v>
      </c>
      <c r="M1236" s="55" t="n">
        <v>0</v>
      </c>
      <c r="N1236" s="36" t="inlineStr">
        <is>
          <t>004336</t>
        </is>
      </c>
      <c r="O1236" s="36" t="inlineStr">
        <is>
          <t>CAREMARK</t>
        </is>
      </c>
      <c r="P1236" s="36" t="inlineStr">
        <is>
          <t>MEDDADV</t>
        </is>
      </c>
      <c r="Q1236" s="36" t="inlineStr">
        <is>
          <t>RX1110</t>
        </is>
      </c>
    </row>
    <row r="1237">
      <c r="A1237" s="36" t="inlineStr">
        <is>
          <t>123389</t>
        </is>
      </c>
      <c r="B1237" s="52" t="n">
        <v>45999</v>
      </c>
      <c r="C1237" s="36" t="inlineStr">
        <is>
          <t>72618300002</t>
        </is>
      </c>
      <c r="D1237" s="53" t="inlineStr">
        <is>
          <t>NURTEC 75MG TABLET DISINTEGRATING</t>
        </is>
      </c>
      <c r="E1237" s="36" t="n">
        <v>8</v>
      </c>
      <c r="F1237" s="54" t="n">
        <v>16</v>
      </c>
      <c r="G1237" s="54" t="n">
        <v>2</v>
      </c>
      <c r="H1237" s="55" t="n">
        <v>1980</v>
      </c>
      <c r="I1237" s="55" t="n">
        <v>1940.85</v>
      </c>
      <c r="J1237" s="55" t="n">
        <v>0</v>
      </c>
      <c r="K1237" s="55" t="n">
        <v>0</v>
      </c>
      <c r="L1237" s="55" t="n">
        <v>1940.85</v>
      </c>
      <c r="M1237" s="55" t="n">
        <v>-39.15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123389</t>
        </is>
      </c>
      <c r="B1238" s="52" t="n">
        <v>46027</v>
      </c>
      <c r="C1238" s="36" t="inlineStr">
        <is>
          <t>72618300002</t>
        </is>
      </c>
      <c r="D1238" s="53" t="inlineStr">
        <is>
          <t>NURTEC 75MG TABLET DISINTEGRATING</t>
        </is>
      </c>
      <c r="E1238" s="36" t="n">
        <v>8</v>
      </c>
      <c r="F1238" s="54" t="n">
        <v>16</v>
      </c>
      <c r="G1238" s="54" t="n">
        <v>2</v>
      </c>
      <c r="H1238" s="55" t="n">
        <v>2076</v>
      </c>
      <c r="I1238" s="55" t="n">
        <v>2046.26</v>
      </c>
      <c r="J1238" s="55" t="n">
        <v>0</v>
      </c>
      <c r="K1238" s="55" t="n">
        <v>0</v>
      </c>
      <c r="L1238" s="55" t="n">
        <v>2046.26</v>
      </c>
      <c r="M1238" s="55" t="n">
        <v>-29.74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MEDDADV</t>
        </is>
      </c>
      <c r="Q1238" s="36" t="inlineStr">
        <is>
          <t>RX1110</t>
        </is>
      </c>
    </row>
    <row r="1239">
      <c r="A1239" s="36" t="inlineStr">
        <is>
          <t>144517</t>
        </is>
      </c>
      <c r="B1239" s="52" t="n">
        <v>46077</v>
      </c>
      <c r="C1239" s="36" t="inlineStr">
        <is>
          <t>72618300002</t>
        </is>
      </c>
      <c r="D1239" s="53" t="inlineStr">
        <is>
          <t>NURTEC 75MG TABLET DISINTEGRATING</t>
        </is>
      </c>
      <c r="E1239" s="36" t="n">
        <v>8</v>
      </c>
      <c r="F1239" s="54" t="n">
        <v>16</v>
      </c>
      <c r="G1239" s="54" t="n">
        <v>2</v>
      </c>
      <c r="H1239" s="55" t="n">
        <v>2092</v>
      </c>
      <c r="I1239" s="55" t="n">
        <v>2046.26</v>
      </c>
      <c r="J1239" s="55" t="n">
        <v>0</v>
      </c>
      <c r="K1239" s="55" t="n">
        <v>0</v>
      </c>
      <c r="L1239" s="55" t="n">
        <v>2046.26</v>
      </c>
      <c r="M1239" s="55" t="n">
        <v>-45.74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RX1110</t>
        </is>
      </c>
    </row>
    <row r="1240">
      <c r="A1240" s="36" t="inlineStr">
        <is>
          <t>123389</t>
        </is>
      </c>
      <c r="B1240" s="52" t="n">
        <v>46055</v>
      </c>
      <c r="C1240" s="36" t="inlineStr">
        <is>
          <t>72618300002</t>
        </is>
      </c>
      <c r="D1240" s="53" t="inlineStr">
        <is>
          <t>NURTEC 75MG TABLET DISINTEGRATING</t>
        </is>
      </c>
      <c r="E1240" s="36" t="n">
        <v>8</v>
      </c>
      <c r="F1240" s="54" t="n">
        <v>16</v>
      </c>
      <c r="G1240" s="54" t="n">
        <v>2</v>
      </c>
      <c r="H1240" s="55" t="n">
        <v>2092</v>
      </c>
      <c r="I1240" s="55" t="n">
        <v>2046.26</v>
      </c>
      <c r="J1240" s="55" t="n">
        <v>0</v>
      </c>
      <c r="K1240" s="55" t="n">
        <v>0</v>
      </c>
      <c r="L1240" s="55" t="n">
        <v>2046.26</v>
      </c>
      <c r="M1240" s="55" t="n">
        <v>-45.74</v>
      </c>
      <c r="N1240" s="36" t="inlineStr">
        <is>
          <t>004336</t>
        </is>
      </c>
      <c r="O1240" s="36" t="inlineStr">
        <is>
          <t>CAREMARK</t>
        </is>
      </c>
      <c r="P1240" s="36" t="inlineStr">
        <is>
          <t>MEDDADV</t>
        </is>
      </c>
      <c r="Q1240" s="36" t="inlineStr">
        <is>
          <t>RX1110</t>
        </is>
      </c>
    </row>
    <row r="1241">
      <c r="A1241" s="36" t="inlineStr">
        <is>
          <t>140726</t>
        </is>
      </c>
      <c r="B1241" s="52" t="n">
        <v>46049</v>
      </c>
      <c r="C1241" s="36" t="inlineStr">
        <is>
          <t>72618300002</t>
        </is>
      </c>
      <c r="D1241" s="53" t="inlineStr">
        <is>
          <t>NURTEC 75MG TABLET DISINTEGRATING</t>
        </is>
      </c>
      <c r="E1241" s="36" t="n">
        <v>8</v>
      </c>
      <c r="F1241" s="54" t="n">
        <v>16</v>
      </c>
      <c r="G1241" s="54" t="n">
        <v>2</v>
      </c>
      <c r="H1241" s="55" t="n">
        <v>2076</v>
      </c>
      <c r="I1241" s="55" t="n">
        <v>2046.26</v>
      </c>
      <c r="J1241" s="55" t="n">
        <v>0</v>
      </c>
      <c r="K1241" s="55" t="n">
        <v>0</v>
      </c>
      <c r="L1241" s="55" t="n">
        <v>2046.26</v>
      </c>
      <c r="M1241" s="55" t="n">
        <v>-29.74</v>
      </c>
      <c r="N1241" s="36" t="inlineStr">
        <is>
          <t>004336</t>
        </is>
      </c>
      <c r="O1241" s="36" t="inlineStr">
        <is>
          <t>CAREMARK</t>
        </is>
      </c>
      <c r="P1241" s="36" t="inlineStr">
        <is>
          <t>MEDDADV</t>
        </is>
      </c>
      <c r="Q1241" s="36" t="inlineStr">
        <is>
          <t>RX1110</t>
        </is>
      </c>
    </row>
    <row r="1242">
      <c r="A1242" s="36" t="inlineStr">
        <is>
          <t>129523</t>
        </is>
      </c>
      <c r="B1242" s="52" t="n">
        <v>46017</v>
      </c>
      <c r="C1242" s="36" t="inlineStr">
        <is>
          <t>53885024450</t>
        </is>
      </c>
      <c r="D1242" s="53" t="inlineStr">
        <is>
          <t>ONETOUCH ULTRA BLUE  STRIP</t>
        </is>
      </c>
      <c r="E1242" s="36" t="n">
        <v>50</v>
      </c>
      <c r="F1242" s="54" t="n">
        <v>100</v>
      </c>
      <c r="G1242" s="54" t="n">
        <v>2</v>
      </c>
      <c r="H1242" s="55" t="n">
        <v>162</v>
      </c>
      <c r="I1242" s="55" t="n">
        <v>142.73</v>
      </c>
      <c r="J1242" s="55" t="n">
        <v>0</v>
      </c>
      <c r="K1242" s="55" t="n">
        <v>5</v>
      </c>
      <c r="L1242" s="55" t="n">
        <v>147.73</v>
      </c>
      <c r="M1242" s="55" t="n">
        <v>-14.27</v>
      </c>
      <c r="N1242" s="36" t="inlineStr">
        <is>
          <t>003858</t>
        </is>
      </c>
      <c r="O1242" s="36" t="inlineStr">
        <is>
          <t>EXPRESS</t>
        </is>
      </c>
      <c r="P1242" s="36" t="inlineStr">
        <is>
          <t>A4</t>
        </is>
      </c>
      <c r="Q1242" s="36" t="inlineStr">
        <is>
          <t>PANA</t>
        </is>
      </c>
    </row>
    <row r="1243">
      <c r="A1243" s="36" t="inlineStr">
        <is>
          <t>134364</t>
        </is>
      </c>
      <c r="B1243" s="52" t="n">
        <v>46000</v>
      </c>
      <c r="C1243" s="36" t="inlineStr">
        <is>
          <t>53885024450</t>
        </is>
      </c>
      <c r="D1243" s="53" t="inlineStr">
        <is>
          <t>ONETOUCH ULTRA BLUE  STRIP</t>
        </is>
      </c>
      <c r="E1243" s="36" t="n">
        <v>50</v>
      </c>
      <c r="F1243" s="54" t="n">
        <v>100</v>
      </c>
      <c r="G1243" s="54" t="n">
        <v>2</v>
      </c>
      <c r="H1243" s="55" t="n">
        <v>162</v>
      </c>
      <c r="I1243" s="55" t="n">
        <v>152.89</v>
      </c>
      <c r="J1243" s="55" t="n">
        <v>0</v>
      </c>
      <c r="K1243" s="55" t="n">
        <v>0</v>
      </c>
      <c r="L1243" s="55" t="n">
        <v>152.89</v>
      </c>
      <c r="M1243" s="55" t="n">
        <v>-9.109999999999999</v>
      </c>
      <c r="N1243" s="36" t="inlineStr">
        <is>
          <t>610502</t>
        </is>
      </c>
      <c r="O1243" s="36" t="inlineStr">
        <is>
          <t>CAREMARK</t>
        </is>
      </c>
      <c r="P1243" s="36" t="inlineStr">
        <is>
          <t>MEDDAET</t>
        </is>
      </c>
      <c r="Q1243" s="36" t="inlineStr">
        <is>
          <t>RXAETD</t>
        </is>
      </c>
    </row>
    <row r="1244">
      <c r="A1244" s="36" t="inlineStr">
        <is>
          <t>136342</t>
        </is>
      </c>
      <c r="B1244" s="52" t="n">
        <v>46014</v>
      </c>
      <c r="C1244" s="36" t="inlineStr">
        <is>
          <t>53885024450</t>
        </is>
      </c>
      <c r="D1244" s="53" t="inlineStr">
        <is>
          <t>ONETOUCH ULTRA BLUE  STRIP</t>
        </is>
      </c>
      <c r="E1244" s="36" t="n">
        <v>50</v>
      </c>
      <c r="F1244" s="54" t="n">
        <v>100</v>
      </c>
      <c r="G1244" s="54" t="n">
        <v>2</v>
      </c>
      <c r="H1244" s="55" t="n">
        <v>162</v>
      </c>
      <c r="I1244" s="55" t="n">
        <v>149.07</v>
      </c>
      <c r="J1244" s="55" t="n">
        <v>0</v>
      </c>
      <c r="K1244" s="55" t="n">
        <v>0</v>
      </c>
      <c r="L1244" s="55" t="n">
        <v>149.07</v>
      </c>
      <c r="M1244" s="55" t="n">
        <v>-12.93</v>
      </c>
      <c r="N1244" s="36" t="inlineStr">
        <is>
          <t>020107</t>
        </is>
      </c>
      <c r="O1244" s="36" t="inlineStr">
        <is>
          <t>CAREMARK</t>
        </is>
      </c>
      <c r="P1244" s="36" t="inlineStr">
        <is>
          <t>AC</t>
        </is>
      </c>
      <c r="Q1244" s="36" t="inlineStr">
        <is>
          <t>RX8478</t>
        </is>
      </c>
    </row>
    <row r="1245">
      <c r="A1245" s="36" t="inlineStr">
        <is>
          <t>102299</t>
        </is>
      </c>
      <c r="B1245" s="52" t="n">
        <v>46010</v>
      </c>
      <c r="C1245" s="36" t="inlineStr">
        <is>
          <t>53885024450</t>
        </is>
      </c>
      <c r="D1245" s="53" t="inlineStr">
        <is>
          <t>ONETOUCH ULTRA BLUE  STRIP</t>
        </is>
      </c>
      <c r="E1245" s="36" t="n">
        <v>50</v>
      </c>
      <c r="F1245" s="54" t="n">
        <v>200</v>
      </c>
      <c r="G1245" s="54" t="n">
        <v>4</v>
      </c>
      <c r="H1245" s="55" t="n">
        <v>324</v>
      </c>
      <c r="I1245" s="55" t="n">
        <v>228.25</v>
      </c>
      <c r="J1245" s="55" t="n">
        <v>0</v>
      </c>
      <c r="K1245" s="55" t="n">
        <v>57.06</v>
      </c>
      <c r="L1245" s="55" t="n">
        <v>285.31</v>
      </c>
      <c r="M1245" s="55" t="n">
        <v>-38.69</v>
      </c>
      <c r="N1245" s="36" t="inlineStr">
        <is>
          <t>610014</t>
        </is>
      </c>
      <c r="O1245" s="36" t="inlineStr">
        <is>
          <t>EXPRESS</t>
        </is>
      </c>
      <c r="P1245" s="36" t="inlineStr">
        <is>
          <t>MEDDPRIME</t>
        </is>
      </c>
      <c r="Q1245" s="36" t="inlineStr">
        <is>
          <t>2FFA</t>
        </is>
      </c>
    </row>
    <row r="1246">
      <c r="A1246" s="36" t="inlineStr">
        <is>
          <t>107242</t>
        </is>
      </c>
      <c r="B1246" s="52" t="n">
        <v>46006</v>
      </c>
      <c r="C1246" s="36" t="inlineStr">
        <is>
          <t>53885024450</t>
        </is>
      </c>
      <c r="D1246" s="53" t="inlineStr">
        <is>
          <t>ONETOUCH ULTRA BLUE  STRIP</t>
        </is>
      </c>
      <c r="E1246" s="36" t="n">
        <v>50</v>
      </c>
      <c r="F1246" s="54" t="n">
        <v>100</v>
      </c>
      <c r="G1246" s="54" t="n">
        <v>2</v>
      </c>
      <c r="H1246" s="55" t="n">
        <v>162</v>
      </c>
      <c r="I1246" s="55" t="n">
        <v>152.89</v>
      </c>
      <c r="J1246" s="55" t="n">
        <v>0</v>
      </c>
      <c r="K1246" s="55" t="n">
        <v>0</v>
      </c>
      <c r="L1246" s="55" t="n">
        <v>152.89</v>
      </c>
      <c r="M1246" s="55" t="n">
        <v>-9.109999999999999</v>
      </c>
      <c r="N1246" s="36" t="inlineStr">
        <is>
          <t>610502</t>
        </is>
      </c>
      <c r="O1246" s="36" t="inlineStr">
        <is>
          <t>CAREMARK</t>
        </is>
      </c>
      <c r="P1246" s="36" t="inlineStr">
        <is>
          <t>MEDDAET</t>
        </is>
      </c>
      <c r="Q1246" s="36" t="inlineStr">
        <is>
          <t>RXAETD</t>
        </is>
      </c>
    </row>
    <row r="1247">
      <c r="A1247" s="36" t="inlineStr">
        <is>
          <t>109189</t>
        </is>
      </c>
      <c r="B1247" s="52" t="n">
        <v>46063</v>
      </c>
      <c r="C1247" s="36" t="inlineStr">
        <is>
          <t>53885024450</t>
        </is>
      </c>
      <c r="D1247" s="53" t="inlineStr">
        <is>
          <t>ONETOUCH ULTRA BLUE  STRIP</t>
        </is>
      </c>
      <c r="E1247" s="36" t="n">
        <v>50</v>
      </c>
      <c r="F1247" s="54" t="n">
        <v>300</v>
      </c>
      <c r="G1247" s="54" t="n">
        <v>6</v>
      </c>
      <c r="H1247" s="55" t="n">
        <v>486</v>
      </c>
      <c r="I1247" s="55" t="n">
        <v>454.58</v>
      </c>
      <c r="J1247" s="55" t="n">
        <v>0</v>
      </c>
      <c r="K1247" s="55" t="n">
        <v>0</v>
      </c>
      <c r="L1247" s="55" t="n">
        <v>454.58</v>
      </c>
      <c r="M1247" s="55" t="n">
        <v>-31.42</v>
      </c>
      <c r="N1247" s="36" t="inlineStr">
        <is>
          <t>020115</t>
        </is>
      </c>
      <c r="O1247" s="36" t="inlineStr">
        <is>
          <t>CAREMARK</t>
        </is>
      </c>
      <c r="P1247" s="36" t="inlineStr">
        <is>
          <t>IS</t>
        </is>
      </c>
      <c r="Q1247" s="36" t="inlineStr">
        <is>
          <t>WM2A</t>
        </is>
      </c>
    </row>
    <row r="1248">
      <c r="A1248" s="36" t="inlineStr">
        <is>
          <t>136253</t>
        </is>
      </c>
      <c r="B1248" s="52" t="n">
        <v>46014</v>
      </c>
      <c r="C1248" s="36" t="inlineStr">
        <is>
          <t>50881000705</t>
        </is>
      </c>
      <c r="D1248" s="53" t="inlineStr">
        <is>
          <t>OPZELURA 1.5 % EXTERNAL CREAM</t>
        </is>
      </c>
      <c r="E1248" s="36" t="n">
        <v>60</v>
      </c>
      <c r="F1248" s="54" t="n">
        <v>60</v>
      </c>
      <c r="G1248" s="54" t="n">
        <v>1</v>
      </c>
      <c r="H1248" s="55" t="n">
        <v>2016</v>
      </c>
      <c r="I1248" s="55" t="n">
        <v>1961.47</v>
      </c>
      <c r="J1248" s="55" t="n">
        <v>0</v>
      </c>
      <c r="K1248" s="55" t="n">
        <v>0</v>
      </c>
      <c r="L1248" s="55" t="n">
        <v>1961.47</v>
      </c>
      <c r="M1248" s="55" t="n">
        <v>-54.53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ADV</t>
        </is>
      </c>
      <c r="Q1248" s="36" t="inlineStr">
        <is>
          <t>RX7005</t>
        </is>
      </c>
    </row>
    <row r="1249">
      <c r="A1249" s="36" t="inlineStr">
        <is>
          <t>136253</t>
        </is>
      </c>
      <c r="B1249" s="52" t="n">
        <v>46069</v>
      </c>
      <c r="C1249" s="36" t="inlineStr">
        <is>
          <t>50881000705</t>
        </is>
      </c>
      <c r="D1249" s="53" t="inlineStr">
        <is>
          <t>OPZELURA 1.5 % EXTERNAL CREAM</t>
        </is>
      </c>
      <c r="E1249" s="36" t="n">
        <v>60</v>
      </c>
      <c r="F1249" s="54" t="n">
        <v>60</v>
      </c>
      <c r="G1249" s="54" t="n">
        <v>1</v>
      </c>
      <c r="H1249" s="55" t="n">
        <v>2061</v>
      </c>
      <c r="I1249" s="55" t="n">
        <v>2003.81</v>
      </c>
      <c r="J1249" s="55" t="n">
        <v>0</v>
      </c>
      <c r="K1249" s="55" t="n">
        <v>0</v>
      </c>
      <c r="L1249" s="55" t="n">
        <v>2003.81</v>
      </c>
      <c r="M1249" s="55" t="n">
        <v>-57.19</v>
      </c>
      <c r="N1249" s="36" t="inlineStr">
        <is>
          <t>004336</t>
        </is>
      </c>
      <c r="O1249" s="36" t="inlineStr">
        <is>
          <t>CAREMARK</t>
        </is>
      </c>
      <c r="P1249" s="36" t="inlineStr">
        <is>
          <t>ADV</t>
        </is>
      </c>
      <c r="Q1249" s="36" t="inlineStr">
        <is>
          <t>RX7005</t>
        </is>
      </c>
    </row>
    <row r="1250">
      <c r="A1250" s="36" t="inlineStr">
        <is>
          <t>136253</t>
        </is>
      </c>
      <c r="B1250" s="52" t="n">
        <v>46041</v>
      </c>
      <c r="C1250" s="36" t="inlineStr">
        <is>
          <t>50881000705</t>
        </is>
      </c>
      <c r="D1250" s="53" t="inlineStr">
        <is>
          <t>OPZELURA 1.5 % EXTERNAL CREAM</t>
        </is>
      </c>
      <c r="E1250" s="36" t="n">
        <v>60</v>
      </c>
      <c r="F1250" s="54" t="n">
        <v>60</v>
      </c>
      <c r="G1250" s="54" t="n">
        <v>1</v>
      </c>
      <c r="H1250" s="55" t="n">
        <v>2061</v>
      </c>
      <c r="I1250" s="55" t="n">
        <v>2003.81</v>
      </c>
      <c r="J1250" s="55" t="n">
        <v>0</v>
      </c>
      <c r="K1250" s="55" t="n">
        <v>0</v>
      </c>
      <c r="L1250" s="55" t="n">
        <v>2003.81</v>
      </c>
      <c r="M1250" s="55" t="n">
        <v>-57.19</v>
      </c>
      <c r="N1250" s="36" t="inlineStr">
        <is>
          <t>004336</t>
        </is>
      </c>
      <c r="O1250" s="36" t="inlineStr">
        <is>
          <t>CAREMARK</t>
        </is>
      </c>
      <c r="P1250" s="36" t="inlineStr">
        <is>
          <t>ADV</t>
        </is>
      </c>
      <c r="Q1250" s="36" t="inlineStr">
        <is>
          <t>RX7005</t>
        </is>
      </c>
    </row>
    <row r="1251">
      <c r="A1251" s="36" t="inlineStr">
        <is>
          <t>134870</t>
        </is>
      </c>
      <c r="B1251" s="52" t="n">
        <v>46051</v>
      </c>
      <c r="C1251" s="36" t="inlineStr">
        <is>
          <t>00169418113</t>
        </is>
      </c>
      <c r="D1251" s="53" t="inlineStr">
        <is>
          <t>OZEMPIC (0.25 OR 0.5 MG/DOSE) 2 MG/3ML PEN-INJECTOR</t>
        </is>
      </c>
      <c r="E1251" s="36" t="n">
        <v>3</v>
      </c>
      <c r="F1251" s="54" t="n">
        <v>3</v>
      </c>
      <c r="G1251" s="54" t="n">
        <v>1</v>
      </c>
      <c r="H1251" s="55" t="n">
        <v>992</v>
      </c>
      <c r="I1251" s="55" t="n">
        <v>1006.25</v>
      </c>
      <c r="J1251" s="55" t="n">
        <v>0</v>
      </c>
      <c r="K1251" s="55" t="n">
        <v>0</v>
      </c>
      <c r="L1251" s="55" t="n">
        <v>1006.25</v>
      </c>
      <c r="M1251" s="55" t="n">
        <v>14.25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139432</t>
        </is>
      </c>
      <c r="B1252" s="52" t="n">
        <v>46063</v>
      </c>
      <c r="C1252" s="36" t="inlineStr">
        <is>
          <t>00169418113</t>
        </is>
      </c>
      <c r="D1252" s="53" t="inlineStr">
        <is>
          <t>OZEMPIC (0.25 OR 0.5 MG/DOSE) 2 MG/3ML PEN-INJECTOR</t>
        </is>
      </c>
      <c r="E1252" s="36" t="n">
        <v>3</v>
      </c>
      <c r="F1252" s="54" t="n">
        <v>3</v>
      </c>
      <c r="G1252" s="54" t="n">
        <v>1</v>
      </c>
      <c r="H1252" s="55" t="n">
        <v>999</v>
      </c>
      <c r="I1252" s="55" t="n">
        <v>959.9</v>
      </c>
      <c r="J1252" s="55" t="n">
        <v>0</v>
      </c>
      <c r="K1252" s="55" t="n">
        <v>0</v>
      </c>
      <c r="L1252" s="55" t="n">
        <v>959.9</v>
      </c>
      <c r="M1252" s="55" t="n">
        <v>-39.1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ADV</t>
        </is>
      </c>
      <c r="Q1252" s="36" t="inlineStr">
        <is>
          <t>RX7682</t>
        </is>
      </c>
    </row>
    <row r="1253">
      <c r="A1253" s="36" t="inlineStr">
        <is>
          <t>141992</t>
        </is>
      </c>
      <c r="B1253" s="52" t="n">
        <v>46058</v>
      </c>
      <c r="C1253" s="36" t="inlineStr">
        <is>
          <t>00169418113</t>
        </is>
      </c>
      <c r="D1253" s="53" t="inlineStr">
        <is>
          <t>OZEMPIC (0.25 OR 0.5 MG/DOSE) 2 MG/3ML PEN-INJECTOR</t>
        </is>
      </c>
      <c r="E1253" s="36" t="n">
        <v>3</v>
      </c>
      <c r="F1253" s="54" t="n">
        <v>3</v>
      </c>
      <c r="G1253" s="54" t="n">
        <v>1</v>
      </c>
      <c r="H1253" s="55" t="n">
        <v>999</v>
      </c>
      <c r="I1253" s="55" t="n">
        <v>1006.25</v>
      </c>
      <c r="J1253" s="55" t="n">
        <v>0</v>
      </c>
      <c r="K1253" s="55" t="n">
        <v>0</v>
      </c>
      <c r="L1253" s="55" t="n">
        <v>1006.25</v>
      </c>
      <c r="M1253" s="55" t="n">
        <v>7.25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134982</t>
        </is>
      </c>
      <c r="B1254" s="52" t="n">
        <v>46003</v>
      </c>
      <c r="C1254" s="36" t="inlineStr">
        <is>
          <t>00169418113</t>
        </is>
      </c>
      <c r="D1254" s="53" t="inlineStr">
        <is>
          <t>OZEMPIC (0.25 OR 0.5 MG/DOSE) 2 MG/3ML PEN-INJECTOR</t>
        </is>
      </c>
      <c r="E1254" s="36" t="n">
        <v>3</v>
      </c>
      <c r="F1254" s="54" t="n">
        <v>3</v>
      </c>
      <c r="G1254" s="54" t="n">
        <v>1</v>
      </c>
      <c r="H1254" s="55" t="n">
        <v>960</v>
      </c>
      <c r="I1254" s="55" t="n">
        <v>945.42</v>
      </c>
      <c r="J1254" s="55" t="n">
        <v>0</v>
      </c>
      <c r="K1254" s="55" t="n">
        <v>0</v>
      </c>
      <c r="L1254" s="55" t="n">
        <v>945.42</v>
      </c>
      <c r="M1254" s="55" t="n">
        <v>-14.58</v>
      </c>
      <c r="N1254" s="36" t="inlineStr">
        <is>
          <t>610502</t>
        </is>
      </c>
      <c r="O1254" s="36" t="inlineStr">
        <is>
          <t>CAREMARK</t>
        </is>
      </c>
      <c r="P1254" s="36" t="inlineStr">
        <is>
          <t>MEDDAET</t>
        </is>
      </c>
      <c r="Q1254" s="36" t="inlineStr">
        <is>
          <t>RXAETD</t>
        </is>
      </c>
    </row>
    <row r="1255">
      <c r="A1255" s="36" t="inlineStr">
        <is>
          <t>124814</t>
        </is>
      </c>
      <c r="B1255" s="52" t="n">
        <v>46006</v>
      </c>
      <c r="C1255" s="36" t="inlineStr">
        <is>
          <t>00169418113</t>
        </is>
      </c>
      <c r="D1255" s="53" t="inlineStr">
        <is>
          <t>OZEMPIC (0.25 OR 0.5 MG/DOSE) 2 MG/3ML PEN-INJECTOR</t>
        </is>
      </c>
      <c r="E1255" s="36" t="n">
        <v>3</v>
      </c>
      <c r="F1255" s="54" t="n">
        <v>3</v>
      </c>
      <c r="G1255" s="54" t="n">
        <v>1</v>
      </c>
      <c r="H1255" s="55" t="n">
        <v>960</v>
      </c>
      <c r="I1255" s="55" t="n">
        <v>932.04</v>
      </c>
      <c r="J1255" s="55" t="n">
        <v>0</v>
      </c>
      <c r="K1255" s="55" t="n">
        <v>0</v>
      </c>
      <c r="L1255" s="55" t="n">
        <v>932.04</v>
      </c>
      <c r="M1255" s="55" t="n">
        <v>-27.96</v>
      </c>
      <c r="N1255" s="36" t="inlineStr">
        <is>
          <t>004336</t>
        </is>
      </c>
      <c r="O1255" s="36" t="inlineStr">
        <is>
          <t>CAREMARK</t>
        </is>
      </c>
      <c r="P1255" s="36" t="inlineStr">
        <is>
          <t>ADV</t>
        </is>
      </c>
      <c r="Q1255" s="36" t="inlineStr">
        <is>
          <t>RX1103</t>
        </is>
      </c>
    </row>
    <row r="1256">
      <c r="A1256" s="36" t="inlineStr">
        <is>
          <t>135243</t>
        </is>
      </c>
      <c r="B1256" s="52" t="n">
        <v>46007</v>
      </c>
      <c r="C1256" s="36" t="inlineStr">
        <is>
          <t>00169418113</t>
        </is>
      </c>
      <c r="D1256" s="53" t="inlineStr">
        <is>
          <t>OZEMPIC (0.25 OR 0.5 MG/DOSE) 2 MG/3ML PEN-INJECTOR</t>
        </is>
      </c>
      <c r="E1256" s="36" t="n">
        <v>3</v>
      </c>
      <c r="F1256" s="54" t="n">
        <v>9</v>
      </c>
      <c r="G1256" s="54" t="n">
        <v>3</v>
      </c>
      <c r="H1256" s="55" t="n">
        <v>2880</v>
      </c>
      <c r="I1256" s="55" t="n">
        <v>2782.92</v>
      </c>
      <c r="J1256" s="55" t="n">
        <v>0</v>
      </c>
      <c r="K1256" s="55" t="n">
        <v>0</v>
      </c>
      <c r="L1256" s="55" t="n">
        <v>2782.92</v>
      </c>
      <c r="M1256" s="55" t="n">
        <v>-97.08</v>
      </c>
      <c r="N1256" s="36" t="inlineStr">
        <is>
          <t>004336</t>
        </is>
      </c>
      <c r="O1256" s="36" t="inlineStr">
        <is>
          <t>CAREMARK</t>
        </is>
      </c>
      <c r="P1256" s="36" t="inlineStr">
        <is>
          <t>MEDDADV</t>
        </is>
      </c>
      <c r="Q1256" s="36" t="inlineStr">
        <is>
          <t>RX1110</t>
        </is>
      </c>
    </row>
    <row r="1257">
      <c r="A1257" s="36" t="inlineStr">
        <is>
          <t>133025</t>
        </is>
      </c>
      <c r="B1257" s="52" t="n">
        <v>46017</v>
      </c>
      <c r="C1257" s="36" t="inlineStr">
        <is>
          <t>00169418113</t>
        </is>
      </c>
      <c r="D1257" s="53" t="inlineStr">
        <is>
          <t>OZEMPIC (0.25 OR 0.5 MG/DOSE) 2 MG/3ML PEN-INJECTOR</t>
        </is>
      </c>
      <c r="E1257" s="36" t="n">
        <v>3</v>
      </c>
      <c r="F1257" s="54" t="n">
        <v>3</v>
      </c>
      <c r="G1257" s="54" t="n">
        <v>1</v>
      </c>
      <c r="H1257" s="55" t="n">
        <v>960</v>
      </c>
      <c r="I1257" s="55" t="n">
        <v>977.24</v>
      </c>
      <c r="J1257" s="55" t="n">
        <v>0</v>
      </c>
      <c r="K1257" s="55" t="n">
        <v>0</v>
      </c>
      <c r="L1257" s="55" t="n">
        <v>977.24</v>
      </c>
      <c r="M1257" s="55" t="n">
        <v>17.24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136724</t>
        </is>
      </c>
      <c r="B1258" s="52" t="n">
        <v>46064</v>
      </c>
      <c r="C1258" s="36" t="inlineStr">
        <is>
          <t>00169418113</t>
        </is>
      </c>
      <c r="D1258" s="53" t="inlineStr">
        <is>
          <t>OZEMPIC (0.25 OR 0.5 MG/DOSE) 2 MG/3ML PEN-INJECTOR</t>
        </is>
      </c>
      <c r="E1258" s="36" t="n">
        <v>3</v>
      </c>
      <c r="F1258" s="54" t="n">
        <v>3</v>
      </c>
      <c r="G1258" s="54" t="n">
        <v>1</v>
      </c>
      <c r="H1258" s="55" t="n">
        <v>999</v>
      </c>
      <c r="I1258" s="55" t="n">
        <v>972.64</v>
      </c>
      <c r="J1258" s="55" t="n">
        <v>0</v>
      </c>
      <c r="K1258" s="55" t="n">
        <v>4.9</v>
      </c>
      <c r="L1258" s="55" t="n">
        <v>977.54</v>
      </c>
      <c r="M1258" s="55" t="n">
        <v>-21.46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141972</t>
        </is>
      </c>
      <c r="B1259" s="52" t="n">
        <v>46058</v>
      </c>
      <c r="C1259" s="36" t="inlineStr">
        <is>
          <t>00169418113</t>
        </is>
      </c>
      <c r="D1259" s="53" t="inlineStr">
        <is>
          <t>OZEMPIC (0.25 OR 0.5 MG/DOSE) 2 MG/3ML PEN-INJECTOR</t>
        </is>
      </c>
      <c r="E1259" s="36" t="n">
        <v>3</v>
      </c>
      <c r="F1259" s="54" t="n">
        <v>6</v>
      </c>
      <c r="G1259" s="54" t="n">
        <v>2</v>
      </c>
      <c r="H1259" s="55" t="n">
        <v>1998</v>
      </c>
      <c r="I1259" s="55" t="n">
        <v>1918.26</v>
      </c>
      <c r="J1259" s="55" t="n">
        <v>0</v>
      </c>
      <c r="K1259" s="55" t="n">
        <v>4.9</v>
      </c>
      <c r="L1259" s="55" t="n">
        <v>1923.16</v>
      </c>
      <c r="M1259" s="55" t="n">
        <v>-74.84</v>
      </c>
      <c r="N1259" s="36" t="inlineStr">
        <is>
          <t>004336</t>
        </is>
      </c>
      <c r="O1259" s="36" t="inlineStr">
        <is>
          <t>CAREMARK</t>
        </is>
      </c>
      <c r="P1259" s="36" t="inlineStr">
        <is>
          <t>MEDDADV</t>
        </is>
      </c>
      <c r="Q1259" s="36" t="inlineStr">
        <is>
          <t>RX1110</t>
        </is>
      </c>
    </row>
    <row r="1260">
      <c r="A1260" s="36" t="inlineStr">
        <is>
          <t>141344</t>
        </is>
      </c>
      <c r="B1260" s="52" t="n">
        <v>46052</v>
      </c>
      <c r="C1260" s="36" t="inlineStr">
        <is>
          <t>00169418113</t>
        </is>
      </c>
      <c r="D1260" s="53" t="inlineStr">
        <is>
          <t>OZEMPIC (0.25 OR 0.5 MG/DOSE) 2 MG/3ML PEN-INJECTOR</t>
        </is>
      </c>
      <c r="E1260" s="36" t="n">
        <v>3</v>
      </c>
      <c r="F1260" s="54" t="n">
        <v>3</v>
      </c>
      <c r="G1260" s="54" t="n">
        <v>1</v>
      </c>
      <c r="H1260" s="55" t="n">
        <v>992</v>
      </c>
      <c r="I1260" s="55" t="n">
        <v>974.79</v>
      </c>
      <c r="J1260" s="55" t="n">
        <v>0</v>
      </c>
      <c r="K1260" s="55" t="n">
        <v>0</v>
      </c>
      <c r="L1260" s="55" t="n">
        <v>974.79</v>
      </c>
      <c r="M1260" s="55" t="n">
        <v>-17.21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ADV</t>
        </is>
      </c>
      <c r="Q1260" s="36" t="inlineStr">
        <is>
          <t>RX1103</t>
        </is>
      </c>
    </row>
    <row r="1261">
      <c r="A1261" s="36" t="inlineStr">
        <is>
          <t>135998</t>
        </is>
      </c>
      <c r="B1261" s="52" t="n">
        <v>46013</v>
      </c>
      <c r="C1261" s="36" t="inlineStr">
        <is>
          <t>00169418113</t>
        </is>
      </c>
      <c r="D1261" s="53" t="inlineStr">
        <is>
          <t>OZEMPIC (0.25 OR 0.5 MG/DOSE) 2 MG/3ML PEN-INJECTOR</t>
        </is>
      </c>
      <c r="E1261" s="36" t="n">
        <v>3</v>
      </c>
      <c r="F1261" s="54" t="n">
        <v>3</v>
      </c>
      <c r="G1261" s="54" t="n">
        <v>1</v>
      </c>
      <c r="H1261" s="55" t="n">
        <v>960</v>
      </c>
      <c r="I1261" s="55" t="n">
        <v>940.6799999999999</v>
      </c>
      <c r="J1261" s="55" t="n">
        <v>0</v>
      </c>
      <c r="K1261" s="55" t="n">
        <v>0</v>
      </c>
      <c r="L1261" s="55" t="n">
        <v>940.6799999999999</v>
      </c>
      <c r="M1261" s="55" t="n">
        <v>-19.32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RX1110</t>
        </is>
      </c>
    </row>
    <row r="1262">
      <c r="A1262" s="36" t="inlineStr">
        <is>
          <t>139274</t>
        </is>
      </c>
      <c r="B1262" s="52" t="n">
        <v>46063</v>
      </c>
      <c r="C1262" s="36" t="inlineStr">
        <is>
          <t>00169418113</t>
        </is>
      </c>
      <c r="D1262" s="53" t="inlineStr">
        <is>
          <t>OZEMPIC (0.25 OR 0.5 MG/DOSE) 2 MG/3ML PEN-INJECTOR</t>
        </is>
      </c>
      <c r="E1262" s="36" t="n">
        <v>3</v>
      </c>
      <c r="F1262" s="54" t="n">
        <v>3</v>
      </c>
      <c r="G1262" s="54" t="n">
        <v>1</v>
      </c>
      <c r="H1262" s="55" t="n">
        <v>999</v>
      </c>
      <c r="I1262" s="55" t="n">
        <v>1006.25</v>
      </c>
      <c r="J1262" s="55" t="n">
        <v>0</v>
      </c>
      <c r="K1262" s="55" t="n">
        <v>0</v>
      </c>
      <c r="L1262" s="55" t="n">
        <v>1006.25</v>
      </c>
      <c r="M1262" s="55" t="n">
        <v>7.25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134982</t>
        </is>
      </c>
      <c r="B1263" s="52" t="n">
        <v>46053</v>
      </c>
      <c r="C1263" s="36" t="inlineStr">
        <is>
          <t>00169418113</t>
        </is>
      </c>
      <c r="D1263" s="53" t="inlineStr">
        <is>
          <t>OZEMPIC (0.25 OR 0.5 MG/DOSE) 2 MG/3ML PEN-INJECTOR</t>
        </is>
      </c>
      <c r="E1263" s="36" t="n">
        <v>3</v>
      </c>
      <c r="F1263" s="54" t="n">
        <v>3</v>
      </c>
      <c r="G1263" s="54" t="n">
        <v>1</v>
      </c>
      <c r="H1263" s="55" t="n">
        <v>992</v>
      </c>
      <c r="I1263" s="55" t="n">
        <v>968.89</v>
      </c>
      <c r="J1263" s="55" t="n">
        <v>0</v>
      </c>
      <c r="K1263" s="55" t="n">
        <v>4.9</v>
      </c>
      <c r="L1263" s="55" t="n">
        <v>973.79</v>
      </c>
      <c r="M1263" s="55" t="n">
        <v>-18.21</v>
      </c>
      <c r="N1263" s="36" t="inlineStr">
        <is>
          <t>610502</t>
        </is>
      </c>
      <c r="O1263" s="36" t="inlineStr">
        <is>
          <t>CAREMARK</t>
        </is>
      </c>
      <c r="P1263" s="36" t="inlineStr">
        <is>
          <t>MEDDAET</t>
        </is>
      </c>
      <c r="Q1263" s="36" t="inlineStr">
        <is>
          <t>RXAETD</t>
        </is>
      </c>
    </row>
    <row r="1264">
      <c r="A1264" s="36" t="inlineStr">
        <is>
          <t>124814</t>
        </is>
      </c>
      <c r="B1264" s="52" t="n">
        <v>46060</v>
      </c>
      <c r="C1264" s="36" t="inlineStr">
        <is>
          <t>00169418113</t>
        </is>
      </c>
      <c r="D1264" s="53" t="inlineStr">
        <is>
          <t>OZEMPIC (0.25 OR 0.5 MG/DOSE) 2 MG/3ML PEN-INJECTOR</t>
        </is>
      </c>
      <c r="E1264" s="36" t="n">
        <v>3</v>
      </c>
      <c r="F1264" s="54" t="n">
        <v>3</v>
      </c>
      <c r="G1264" s="54" t="n">
        <v>1</v>
      </c>
      <c r="H1264" s="55" t="n">
        <v>999</v>
      </c>
      <c r="I1264" s="55" t="n">
        <v>974.79</v>
      </c>
      <c r="J1264" s="55" t="n">
        <v>0</v>
      </c>
      <c r="K1264" s="55" t="n">
        <v>0</v>
      </c>
      <c r="L1264" s="55" t="n">
        <v>974.79</v>
      </c>
      <c r="M1264" s="55" t="n">
        <v>-24.21</v>
      </c>
      <c r="N1264" s="36" t="inlineStr">
        <is>
          <t>004336</t>
        </is>
      </c>
      <c r="O1264" s="36" t="inlineStr">
        <is>
          <t>CAREMARK</t>
        </is>
      </c>
      <c r="P1264" s="36" t="inlineStr">
        <is>
          <t>ADV</t>
        </is>
      </c>
      <c r="Q1264" s="36" t="inlineStr">
        <is>
          <t>RX1103</t>
        </is>
      </c>
    </row>
    <row r="1265">
      <c r="A1265" s="36" t="inlineStr">
        <is>
          <t>101815</t>
        </is>
      </c>
      <c r="B1265" s="52" t="n">
        <v>46003</v>
      </c>
      <c r="C1265" s="36" t="inlineStr">
        <is>
          <t>00169418113</t>
        </is>
      </c>
      <c r="D1265" s="53" t="inlineStr">
        <is>
          <t>OZEMPIC (0.25 OR 0.5 MG/DOSE) 2 MG/3ML PEN-INJECTOR</t>
        </is>
      </c>
      <c r="E1265" s="36" t="n">
        <v>3</v>
      </c>
      <c r="F1265" s="54" t="n">
        <v>9</v>
      </c>
      <c r="G1265" s="54" t="n">
        <v>3</v>
      </c>
      <c r="H1265" s="55" t="n">
        <v>2880</v>
      </c>
      <c r="I1265" s="55" t="n">
        <v>2911.56</v>
      </c>
      <c r="J1265" s="55" t="n">
        <v>0</v>
      </c>
      <c r="K1265" s="55" t="n">
        <v>0</v>
      </c>
      <c r="L1265" s="55" t="n">
        <v>2911.56</v>
      </c>
      <c r="M1265" s="55" t="n">
        <v>31.56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109274</t>
        </is>
      </c>
      <c r="B1266" s="52" t="n">
        <v>46052</v>
      </c>
      <c r="C1266" s="36" t="inlineStr">
        <is>
          <t>00169418113</t>
        </is>
      </c>
      <c r="D1266" s="53" t="inlineStr">
        <is>
          <t>OZEMPIC (0.25 OR 0.5 MG/DOSE) 2 MG/3ML PEN-INJECTOR</t>
        </is>
      </c>
      <c r="E1266" s="36" t="n">
        <v>3</v>
      </c>
      <c r="F1266" s="54" t="n">
        <v>3</v>
      </c>
      <c r="G1266" s="54" t="n">
        <v>1</v>
      </c>
      <c r="H1266" s="55" t="n">
        <v>992</v>
      </c>
      <c r="I1266" s="55" t="n">
        <v>977.54</v>
      </c>
      <c r="J1266" s="55" t="n">
        <v>0</v>
      </c>
      <c r="K1266" s="55" t="n">
        <v>0</v>
      </c>
      <c r="L1266" s="55" t="n">
        <v>977.54</v>
      </c>
      <c r="M1266" s="55" t="n">
        <v>-14.46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134870</t>
        </is>
      </c>
      <c r="B1267" s="52" t="n">
        <v>46003</v>
      </c>
      <c r="C1267" s="36" t="inlineStr">
        <is>
          <t>00169418113</t>
        </is>
      </c>
      <c r="D1267" s="53" t="inlineStr">
        <is>
          <t>OZEMPIC (0.25 OR 0.5 MG/DOSE) 2 MG/3ML PEN-INJECTOR</t>
        </is>
      </c>
      <c r="E1267" s="36" t="n">
        <v>3</v>
      </c>
      <c r="F1267" s="54" t="n">
        <v>3</v>
      </c>
      <c r="G1267" s="54" t="n">
        <v>1</v>
      </c>
      <c r="H1267" s="55" t="n">
        <v>960</v>
      </c>
      <c r="I1267" s="55" t="n">
        <v>977.3099999999999</v>
      </c>
      <c r="J1267" s="55" t="n">
        <v>0</v>
      </c>
      <c r="K1267" s="55" t="n">
        <v>0</v>
      </c>
      <c r="L1267" s="55" t="n">
        <v>977.3099999999999</v>
      </c>
      <c r="M1267" s="55" t="n">
        <v>17.31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135998</t>
        </is>
      </c>
      <c r="B1268" s="52" t="n">
        <v>46062</v>
      </c>
      <c r="C1268" s="36" t="inlineStr">
        <is>
          <t>00169418113</t>
        </is>
      </c>
      <c r="D1268" s="53" t="inlineStr">
        <is>
          <t>OZEMPIC (0.25 OR 0.5 MG/DOSE) 2 MG/3ML PEN-INJECTOR</t>
        </is>
      </c>
      <c r="E1268" s="36" t="n">
        <v>3</v>
      </c>
      <c r="F1268" s="54" t="n">
        <v>3</v>
      </c>
      <c r="G1268" s="54" t="n">
        <v>1</v>
      </c>
      <c r="H1268" s="55" t="n">
        <v>999</v>
      </c>
      <c r="I1268" s="55" t="n">
        <v>977.54</v>
      </c>
      <c r="J1268" s="55" t="n">
        <v>0</v>
      </c>
      <c r="K1268" s="55" t="n">
        <v>0</v>
      </c>
      <c r="L1268" s="55" t="n">
        <v>977.54</v>
      </c>
      <c r="M1268" s="55" t="n">
        <v>-21.46</v>
      </c>
      <c r="N1268" s="36" t="inlineStr">
        <is>
          <t>004336</t>
        </is>
      </c>
      <c r="O1268" s="36" t="inlineStr">
        <is>
          <t>CAREMARK</t>
        </is>
      </c>
      <c r="P1268" s="36" t="inlineStr">
        <is>
          <t>MEDDADV</t>
        </is>
      </c>
      <c r="Q1268" s="36" t="inlineStr">
        <is>
          <t>RX1110</t>
        </is>
      </c>
    </row>
    <row r="1269">
      <c r="A1269" s="36" t="inlineStr">
        <is>
          <t>141004</t>
        </is>
      </c>
      <c r="B1269" s="52" t="n">
        <v>46051</v>
      </c>
      <c r="C1269" s="36" t="inlineStr">
        <is>
          <t>00169418113</t>
        </is>
      </c>
      <c r="D1269" s="53" t="inlineStr">
        <is>
          <t>OZEMPIC (0.25 OR 0.5 MG/DOSE) 2 MG/3ML PEN-INJECTOR</t>
        </is>
      </c>
      <c r="E1269" s="36" t="n">
        <v>3</v>
      </c>
      <c r="F1269" s="54" t="n">
        <v>3</v>
      </c>
      <c r="G1269" s="54" t="n">
        <v>1</v>
      </c>
      <c r="H1269" s="55" t="n">
        <v>992</v>
      </c>
      <c r="I1269" s="55" t="n">
        <v>1005.25</v>
      </c>
      <c r="J1269" s="55" t="n">
        <v>0</v>
      </c>
      <c r="K1269" s="55" t="n">
        <v>1</v>
      </c>
      <c r="L1269" s="55" t="n">
        <v>1006.25</v>
      </c>
      <c r="M1269" s="55" t="n">
        <v>14.25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118476</t>
        </is>
      </c>
      <c r="B1270" s="52" t="n">
        <v>46015</v>
      </c>
      <c r="C1270" s="36" t="inlineStr">
        <is>
          <t>00169418113</t>
        </is>
      </c>
      <c r="D1270" s="53" t="inlineStr">
        <is>
          <t>OZEMPIC (0.25 OR 0.5 MG/DOSE) 2 MG/3ML PEN-INJECTOR</t>
        </is>
      </c>
      <c r="E1270" s="36" t="n">
        <v>3</v>
      </c>
      <c r="F1270" s="54" t="n">
        <v>3</v>
      </c>
      <c r="G1270" s="54" t="n">
        <v>1</v>
      </c>
      <c r="H1270" s="55" t="n">
        <v>960</v>
      </c>
      <c r="I1270" s="55" t="n">
        <v>940.6799999999999</v>
      </c>
      <c r="J1270" s="55" t="n">
        <v>0</v>
      </c>
      <c r="K1270" s="55" t="n">
        <v>0</v>
      </c>
      <c r="L1270" s="55" t="n">
        <v>940.6799999999999</v>
      </c>
      <c r="M1270" s="55" t="n">
        <v>-19.32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122734</t>
        </is>
      </c>
      <c r="B1271" s="52" t="n">
        <v>46053</v>
      </c>
      <c r="C1271" s="36" t="inlineStr">
        <is>
          <t>00169418113</t>
        </is>
      </c>
      <c r="D1271" s="53" t="inlineStr">
        <is>
          <t>OZEMPIC (0.25 OR 0.5 MG/DOSE) 2 MG/3ML PEN-INJECTOR</t>
        </is>
      </c>
      <c r="E1271" s="36" t="n">
        <v>3</v>
      </c>
      <c r="F1271" s="54" t="n">
        <v>3</v>
      </c>
      <c r="G1271" s="54" t="n">
        <v>1</v>
      </c>
      <c r="H1271" s="55" t="n">
        <v>992</v>
      </c>
      <c r="I1271" s="55" t="n">
        <v>977.54</v>
      </c>
      <c r="J1271" s="55" t="n">
        <v>0</v>
      </c>
      <c r="K1271" s="55" t="n">
        <v>0</v>
      </c>
      <c r="L1271" s="55" t="n">
        <v>977.54</v>
      </c>
      <c r="M1271" s="55" t="n">
        <v>-14.46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RX1110</t>
        </is>
      </c>
    </row>
    <row r="1272">
      <c r="A1272" s="36" t="inlineStr">
        <is>
          <t>142492</t>
        </is>
      </c>
      <c r="B1272" s="52" t="n">
        <v>46063</v>
      </c>
      <c r="C1272" s="36" t="inlineStr">
        <is>
          <t>00169418113</t>
        </is>
      </c>
      <c r="D1272" s="53" t="inlineStr">
        <is>
          <t>OZEMPIC (0.25 OR 0.5 MG/DOSE) 2 MG/3ML PEN-INJECTOR</t>
        </is>
      </c>
      <c r="E1272" s="36" t="n">
        <v>3</v>
      </c>
      <c r="F1272" s="54" t="n">
        <v>3</v>
      </c>
      <c r="G1272" s="54" t="n">
        <v>1</v>
      </c>
      <c r="H1272" s="55" t="n">
        <v>999</v>
      </c>
      <c r="I1272" s="55" t="n">
        <v>949.79</v>
      </c>
      <c r="J1272" s="55" t="n">
        <v>0</v>
      </c>
      <c r="K1272" s="55" t="n">
        <v>25</v>
      </c>
      <c r="L1272" s="55" t="n">
        <v>974.79</v>
      </c>
      <c r="M1272" s="55" t="n">
        <v>-24.21</v>
      </c>
      <c r="N1272" s="36" t="inlineStr">
        <is>
          <t>020099</t>
        </is>
      </c>
      <c r="O1272" s="36" t="inlineStr">
        <is>
          <t>CAREMARK</t>
        </is>
      </c>
      <c r="P1272" s="36" t="inlineStr">
        <is>
          <t>WG</t>
        </is>
      </c>
      <c r="Q1272" s="36" t="inlineStr">
        <is>
          <t>WLDA</t>
        </is>
      </c>
    </row>
    <row r="1273">
      <c r="A1273" s="36" t="inlineStr">
        <is>
          <t>120862</t>
        </is>
      </c>
      <c r="B1273" s="52" t="n">
        <v>46006</v>
      </c>
      <c r="C1273" s="36" t="inlineStr">
        <is>
          <t>00169418113</t>
        </is>
      </c>
      <c r="D1273" s="53" t="inlineStr">
        <is>
          <t>OZEMPIC (0.25 OR 0.5 MG/DOSE) 2 MG/3ML PEN-INJECTOR</t>
        </is>
      </c>
      <c r="E1273" s="36" t="n">
        <v>3</v>
      </c>
      <c r="F1273" s="54" t="n">
        <v>3</v>
      </c>
      <c r="G1273" s="54" t="n">
        <v>1</v>
      </c>
      <c r="H1273" s="55" t="n">
        <v>960</v>
      </c>
      <c r="I1273" s="55" t="n">
        <v>891.84</v>
      </c>
      <c r="J1273" s="55" t="n">
        <v>0</v>
      </c>
      <c r="K1273" s="55" t="n">
        <v>0</v>
      </c>
      <c r="L1273" s="55" t="n">
        <v>891.84</v>
      </c>
      <c r="M1273" s="55" t="n">
        <v>-68.16</v>
      </c>
      <c r="N1273" s="36" t="inlineStr">
        <is>
          <t>610014</t>
        </is>
      </c>
      <c r="O1273" s="36" t="inlineStr">
        <is>
          <t>EXPRESS</t>
        </is>
      </c>
      <c r="P1273" s="36" t="inlineStr">
        <is>
          <t>MEDDPRIME</t>
        </is>
      </c>
      <c r="Q1273" s="36" t="inlineStr">
        <is>
          <t>2FFA</t>
        </is>
      </c>
    </row>
    <row r="1274">
      <c r="A1274" s="36" t="inlineStr">
        <is>
          <t>124943</t>
        </is>
      </c>
      <c r="B1274" s="52" t="n">
        <v>46010</v>
      </c>
      <c r="C1274" s="36" t="inlineStr">
        <is>
          <t>00169418113</t>
        </is>
      </c>
      <c r="D1274" s="53" t="inlineStr">
        <is>
          <t>OZEMPIC (0.25 OR 0.5 MG/DOSE) 2 MG/3ML PEN-INJECTOR</t>
        </is>
      </c>
      <c r="E1274" s="36" t="n">
        <v>3</v>
      </c>
      <c r="F1274" s="54" t="n">
        <v>9</v>
      </c>
      <c r="G1274" s="54" t="n">
        <v>3</v>
      </c>
      <c r="H1274" s="55" t="n">
        <v>2880</v>
      </c>
      <c r="I1274" s="55" t="n">
        <v>2782.92</v>
      </c>
      <c r="J1274" s="55" t="n">
        <v>0</v>
      </c>
      <c r="K1274" s="55" t="n">
        <v>0</v>
      </c>
      <c r="L1274" s="55" t="n">
        <v>2782.92</v>
      </c>
      <c r="M1274" s="55" t="n">
        <v>-97.08</v>
      </c>
      <c r="N1274" s="36" t="inlineStr">
        <is>
          <t>004336</t>
        </is>
      </c>
      <c r="O1274" s="36" t="inlineStr">
        <is>
          <t>CAREMARK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141680</t>
        </is>
      </c>
      <c r="B1275" s="52" t="n">
        <v>46056</v>
      </c>
      <c r="C1275" s="36" t="inlineStr">
        <is>
          <t>00169418113</t>
        </is>
      </c>
      <c r="D1275" s="53" t="inlineStr">
        <is>
          <t>OZEMPIC (0.25 OR 0.5 MG/DOSE) 2 MG/3ML PEN-INJECTOR</t>
        </is>
      </c>
      <c r="E1275" s="36" t="n">
        <v>3</v>
      </c>
      <c r="F1275" s="54" t="n">
        <v>3</v>
      </c>
      <c r="G1275" s="54" t="n">
        <v>1</v>
      </c>
      <c r="H1275" s="55" t="n">
        <v>999</v>
      </c>
      <c r="I1275" s="55" t="n">
        <v>941.27</v>
      </c>
      <c r="J1275" s="55" t="n">
        <v>0</v>
      </c>
      <c r="K1275" s="55" t="n">
        <v>10</v>
      </c>
      <c r="L1275" s="55" t="n">
        <v>951.27</v>
      </c>
      <c r="M1275" s="55" t="n">
        <v>-47.73</v>
      </c>
      <c r="N1275" s="36" t="inlineStr">
        <is>
          <t>610014</t>
        </is>
      </c>
      <c r="O1275" s="36" t="inlineStr">
        <is>
          <t>EXPRESS</t>
        </is>
      </c>
      <c r="P1275" s="36" t="inlineStr">
        <is>
          <t>PEU</t>
        </is>
      </c>
      <c r="Q1275" s="36" t="inlineStr">
        <is>
          <t>CIGUG0002501443</t>
        </is>
      </c>
    </row>
    <row r="1276">
      <c r="A1276" s="36" t="inlineStr">
        <is>
          <t>142526</t>
        </is>
      </c>
      <c r="B1276" s="52" t="n">
        <v>46063</v>
      </c>
      <c r="C1276" s="36" t="inlineStr">
        <is>
          <t>00169418113</t>
        </is>
      </c>
      <c r="D1276" s="53" t="inlineStr">
        <is>
          <t>OZEMPIC (0.25 OR 0.5 MG/DOSE) 2 MG/3ML PEN-INJECTOR</t>
        </is>
      </c>
      <c r="E1276" s="36" t="n">
        <v>3</v>
      </c>
      <c r="F1276" s="54" t="n">
        <v>3</v>
      </c>
      <c r="G1276" s="54" t="n">
        <v>1</v>
      </c>
      <c r="H1276" s="55" t="n">
        <v>999</v>
      </c>
      <c r="I1276" s="55" t="n">
        <v>974.79</v>
      </c>
      <c r="J1276" s="55" t="n">
        <v>0</v>
      </c>
      <c r="K1276" s="55" t="n">
        <v>0</v>
      </c>
      <c r="L1276" s="55" t="n">
        <v>974.79</v>
      </c>
      <c r="M1276" s="55" t="n">
        <v>-24.21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ADV</t>
        </is>
      </c>
      <c r="Q1276" s="36" t="inlineStr">
        <is>
          <t>RX1103</t>
        </is>
      </c>
    </row>
    <row r="1277">
      <c r="A1277" s="36" t="inlineStr">
        <is>
          <t>117676</t>
        </is>
      </c>
      <c r="B1277" s="52" t="n">
        <v>46004</v>
      </c>
      <c r="C1277" s="36" t="inlineStr">
        <is>
          <t>00169418113</t>
        </is>
      </c>
      <c r="D1277" s="53" t="inlineStr">
        <is>
          <t>OZEMPIC (0.25 OR 0.5 MG/DOSE) 2 MG/3ML PEN-INJECTOR</t>
        </is>
      </c>
      <c r="E1277" s="36" t="n">
        <v>3</v>
      </c>
      <c r="F1277" s="54" t="n">
        <v>3</v>
      </c>
      <c r="G1277" s="54" t="n">
        <v>1</v>
      </c>
      <c r="H1277" s="55" t="n">
        <v>960</v>
      </c>
      <c r="I1277" s="55" t="n">
        <v>921.41</v>
      </c>
      <c r="J1277" s="55" t="n">
        <v>0</v>
      </c>
      <c r="K1277" s="55" t="n">
        <v>25</v>
      </c>
      <c r="L1277" s="55" t="n">
        <v>946.41</v>
      </c>
      <c r="M1277" s="55" t="n">
        <v>-13.59</v>
      </c>
      <c r="N1277" s="36" t="inlineStr">
        <is>
          <t>020099</t>
        </is>
      </c>
      <c r="O1277" s="36" t="inlineStr">
        <is>
          <t>CAREMARK</t>
        </is>
      </c>
      <c r="P1277" s="36" t="inlineStr">
        <is>
          <t>WG</t>
        </is>
      </c>
      <c r="Q1277" s="36" t="inlineStr">
        <is>
          <t>WLDA</t>
        </is>
      </c>
    </row>
    <row r="1278">
      <c r="A1278" s="36" t="inlineStr">
        <is>
          <t>136233</t>
        </is>
      </c>
      <c r="B1278" s="52" t="n">
        <v>46014</v>
      </c>
      <c r="C1278" s="36" t="inlineStr">
        <is>
          <t>00169418113</t>
        </is>
      </c>
      <c r="D1278" s="53" t="inlineStr">
        <is>
          <t>OZEMPIC (0.25 OR 0.5 MG/DOSE) 2 MG/3ML PEN-INJECTOR</t>
        </is>
      </c>
      <c r="E1278" s="36" t="n">
        <v>3</v>
      </c>
      <c r="F1278" s="54" t="n">
        <v>3</v>
      </c>
      <c r="G1278" s="54" t="n">
        <v>1</v>
      </c>
      <c r="H1278" s="55" t="n">
        <v>960</v>
      </c>
      <c r="I1278" s="55" t="n">
        <v>931.9400000000001</v>
      </c>
      <c r="J1278" s="55" t="n">
        <v>0</v>
      </c>
      <c r="K1278" s="55" t="n">
        <v>0</v>
      </c>
      <c r="L1278" s="55" t="n">
        <v>931.9400000000001</v>
      </c>
      <c r="M1278" s="55" t="n">
        <v>-28.06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RX7682</t>
        </is>
      </c>
    </row>
    <row r="1279">
      <c r="A1279" s="36" t="inlineStr">
        <is>
          <t>136319</t>
        </is>
      </c>
      <c r="B1279" s="52" t="n">
        <v>46014</v>
      </c>
      <c r="C1279" s="36" t="inlineStr">
        <is>
          <t>00169418113</t>
        </is>
      </c>
      <c r="D1279" s="53" t="inlineStr">
        <is>
          <t>OZEMPIC (0.25 OR 0.5 MG/DOSE) 2 MG/3ML PEN-INJECTOR</t>
        </is>
      </c>
      <c r="E1279" s="36" t="n">
        <v>3</v>
      </c>
      <c r="F1279" s="54" t="n">
        <v>3</v>
      </c>
      <c r="G1279" s="54" t="n">
        <v>1</v>
      </c>
      <c r="H1279" s="55" t="n">
        <v>960</v>
      </c>
      <c r="I1279" s="55" t="n">
        <v>931.9400000000001</v>
      </c>
      <c r="J1279" s="55" t="n">
        <v>0</v>
      </c>
      <c r="K1279" s="55" t="n">
        <v>0</v>
      </c>
      <c r="L1279" s="55" t="n">
        <v>931.9400000000001</v>
      </c>
      <c r="M1279" s="55" t="n">
        <v>-28.06</v>
      </c>
      <c r="N1279" s="36" t="inlineStr">
        <is>
          <t>020099</t>
        </is>
      </c>
      <c r="O1279" s="36" t="inlineStr">
        <is>
          <t>CAREMARK</t>
        </is>
      </c>
      <c r="P1279" s="36" t="inlineStr">
        <is>
          <t>WG</t>
        </is>
      </c>
      <c r="Q1279" s="36" t="inlineStr">
        <is>
          <t>WLDA</t>
        </is>
      </c>
    </row>
    <row r="1280">
      <c r="A1280" s="36" t="inlineStr">
        <is>
          <t>142334</t>
        </is>
      </c>
      <c r="B1280" s="52" t="n">
        <v>46062</v>
      </c>
      <c r="C1280" s="36" t="inlineStr">
        <is>
          <t>00169418113</t>
        </is>
      </c>
      <c r="D1280" s="53" t="inlineStr">
        <is>
          <t>OZEMPIC (0.25 OR 0.5 MG/DOSE) 2 MG/3ML PEN-INJECTOR</t>
        </is>
      </c>
      <c r="E1280" s="36" t="n">
        <v>3</v>
      </c>
      <c r="F1280" s="54" t="n">
        <v>3</v>
      </c>
      <c r="G1280" s="54" t="n">
        <v>1</v>
      </c>
      <c r="H1280" s="55" t="n">
        <v>999</v>
      </c>
      <c r="I1280" s="55" t="n">
        <v>903.83</v>
      </c>
      <c r="J1280" s="55" t="n">
        <v>0</v>
      </c>
      <c r="K1280" s="55" t="n">
        <v>4.9</v>
      </c>
      <c r="L1280" s="55" t="n">
        <v>908.73</v>
      </c>
      <c r="M1280" s="55" t="n">
        <v>-90.27</v>
      </c>
      <c r="N1280" s="36" t="inlineStr">
        <is>
          <t>610014</t>
        </is>
      </c>
      <c r="O1280" s="36" t="inlineStr">
        <is>
          <t>EXPRESS</t>
        </is>
      </c>
      <c r="P1280" s="36" t="inlineStr">
        <is>
          <t>MEDDPRIME</t>
        </is>
      </c>
      <c r="Q1280" s="36" t="inlineStr">
        <is>
          <t>2FFA</t>
        </is>
      </c>
    </row>
    <row r="1281">
      <c r="A1281" s="36" t="inlineStr">
        <is>
          <t>131519</t>
        </is>
      </c>
      <c r="B1281" s="52" t="n">
        <v>46021</v>
      </c>
      <c r="C1281" s="36" t="inlineStr">
        <is>
          <t>00169418113</t>
        </is>
      </c>
      <c r="D1281" s="53" t="inlineStr">
        <is>
          <t>OZEMPIC (0.25 OR 0.5 MG/DOSE) 2 MG/3ML PEN-INJECTOR</t>
        </is>
      </c>
      <c r="E1281" s="36" t="n">
        <v>3</v>
      </c>
      <c r="F1281" s="54" t="n">
        <v>3</v>
      </c>
      <c r="G1281" s="54" t="n">
        <v>1</v>
      </c>
      <c r="H1281" s="55" t="n">
        <v>960</v>
      </c>
      <c r="I1281" s="55" t="n">
        <v>940.6799999999999</v>
      </c>
      <c r="J1281" s="55" t="n">
        <v>0</v>
      </c>
      <c r="K1281" s="55" t="n">
        <v>0</v>
      </c>
      <c r="L1281" s="55" t="n">
        <v>940.6799999999999</v>
      </c>
      <c r="M1281" s="55" t="n">
        <v>-19.32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n">
        <v/>
      </c>
    </row>
    <row r="1282">
      <c r="A1282" s="36" t="inlineStr">
        <is>
          <t>143828</t>
        </is>
      </c>
      <c r="B1282" s="52" t="n">
        <v>46071</v>
      </c>
      <c r="C1282" s="36" t="inlineStr">
        <is>
          <t>00169418113</t>
        </is>
      </c>
      <c r="D1282" s="53" t="inlineStr">
        <is>
          <t>OZEMPIC (0.25 OR 0.5 MG/DOSE) 2 MG/3ML PEN-INJECTOR</t>
        </is>
      </c>
      <c r="E1282" s="36" t="n">
        <v>3</v>
      </c>
      <c r="F1282" s="54" t="n">
        <v>3</v>
      </c>
      <c r="G1282" s="54" t="n">
        <v>1</v>
      </c>
      <c r="H1282" s="55" t="n">
        <v>999</v>
      </c>
      <c r="I1282" s="55" t="n">
        <v>972.64</v>
      </c>
      <c r="J1282" s="55" t="n">
        <v>0</v>
      </c>
      <c r="K1282" s="55" t="n">
        <v>4.9</v>
      </c>
      <c r="L1282" s="55" t="n">
        <v>977.54</v>
      </c>
      <c r="M1282" s="55" t="n">
        <v>-21.46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139432</t>
        </is>
      </c>
      <c r="B1283" s="52" t="n">
        <v>46038</v>
      </c>
      <c r="C1283" s="36" t="inlineStr">
        <is>
          <t>00169418113</t>
        </is>
      </c>
      <c r="D1283" s="53" t="inlineStr">
        <is>
          <t>OZEMPIC (0.25 OR 0.5 MG/DOSE) 2 MG/3ML PEN-INJECTOR</t>
        </is>
      </c>
      <c r="E1283" s="36" t="n">
        <v>3</v>
      </c>
      <c r="F1283" s="54" t="n">
        <v>3</v>
      </c>
      <c r="G1283" s="54" t="n">
        <v>1</v>
      </c>
      <c r="H1283" s="55" t="n">
        <v>992</v>
      </c>
      <c r="I1283" s="55" t="n">
        <v>959.9</v>
      </c>
      <c r="J1283" s="55" t="n">
        <v>0</v>
      </c>
      <c r="K1283" s="55" t="n">
        <v>0</v>
      </c>
      <c r="L1283" s="55" t="n">
        <v>959.9</v>
      </c>
      <c r="M1283" s="55" t="n">
        <v>-32.1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ADV</t>
        </is>
      </c>
      <c r="Q1283" s="36" t="inlineStr">
        <is>
          <t>RX7682</t>
        </is>
      </c>
    </row>
    <row r="1284">
      <c r="A1284" s="36" t="inlineStr">
        <is>
          <t>133466</t>
        </is>
      </c>
      <c r="B1284" s="52" t="n">
        <v>45994</v>
      </c>
      <c r="C1284" s="36" t="inlineStr">
        <is>
          <t>00169418113</t>
        </is>
      </c>
      <c r="D1284" s="53" t="inlineStr">
        <is>
          <t>OZEMPIC (0.25 OR 0.5 MG/DOSE) 2 MG/3ML PEN-INJECTOR</t>
        </is>
      </c>
      <c r="E1284" s="36" t="n">
        <v>3</v>
      </c>
      <c r="F1284" s="54" t="n">
        <v>3</v>
      </c>
      <c r="G1284" s="54" t="n">
        <v>1</v>
      </c>
      <c r="H1284" s="55" t="n">
        <v>960</v>
      </c>
      <c r="I1284" s="55" t="n">
        <v>940.6799999999999</v>
      </c>
      <c r="J1284" s="55" t="n">
        <v>0</v>
      </c>
      <c r="K1284" s="55" t="n">
        <v>0</v>
      </c>
      <c r="L1284" s="55" t="n">
        <v>940.6799999999999</v>
      </c>
      <c r="M1284" s="55" t="n">
        <v>-19.32</v>
      </c>
      <c r="N1284" s="36" t="inlineStr">
        <is>
          <t>004336</t>
        </is>
      </c>
      <c r="O1284" s="36" t="inlineStr">
        <is>
          <t>CAREMARK</t>
        </is>
      </c>
      <c r="P1284" s="36" t="inlineStr">
        <is>
          <t>MEDDADV</t>
        </is>
      </c>
      <c r="Q1284" s="36" t="inlineStr">
        <is>
          <t>RX1110</t>
        </is>
      </c>
    </row>
    <row r="1285">
      <c r="A1285" s="36" t="inlineStr">
        <is>
          <t>126877</t>
        </is>
      </c>
      <c r="B1285" s="52" t="n">
        <v>46028</v>
      </c>
      <c r="C1285" s="36" t="inlineStr">
        <is>
          <t>00169418113</t>
        </is>
      </c>
      <c r="D1285" s="53" t="inlineStr">
        <is>
          <t>OZEMPIC (0.25 OR 0.5 MG/DOSE) 2 MG/3ML PEN-INJECTOR</t>
        </is>
      </c>
      <c r="E1285" s="36" t="n">
        <v>3</v>
      </c>
      <c r="F1285" s="54" t="n">
        <v>9</v>
      </c>
      <c r="G1285" s="54" t="n">
        <v>3</v>
      </c>
      <c r="H1285" s="55" t="n">
        <v>2976</v>
      </c>
      <c r="I1285" s="55" t="n">
        <v>2884.9</v>
      </c>
      <c r="J1285" s="55" t="n">
        <v>0</v>
      </c>
      <c r="K1285" s="55" t="n">
        <v>0</v>
      </c>
      <c r="L1285" s="55" t="n">
        <v>2884.9</v>
      </c>
      <c r="M1285" s="55" t="n">
        <v>-91.09999999999999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122734</t>
        </is>
      </c>
      <c r="B1286" s="52" t="n">
        <v>46028</v>
      </c>
      <c r="C1286" s="36" t="inlineStr">
        <is>
          <t>00169418113</t>
        </is>
      </c>
      <c r="D1286" s="53" t="inlineStr">
        <is>
          <t>OZEMPIC (0.25 OR 0.5 MG/DOSE) 2 MG/3ML PEN-INJECTOR</t>
        </is>
      </c>
      <c r="E1286" s="36" t="n">
        <v>3</v>
      </c>
      <c r="F1286" s="54" t="n">
        <v>3</v>
      </c>
      <c r="G1286" s="54" t="n">
        <v>1</v>
      </c>
      <c r="H1286" s="55" t="n">
        <v>992</v>
      </c>
      <c r="I1286" s="55" t="n">
        <v>977.54</v>
      </c>
      <c r="J1286" s="55" t="n">
        <v>0</v>
      </c>
      <c r="K1286" s="55" t="n">
        <v>0</v>
      </c>
      <c r="L1286" s="55" t="n">
        <v>977.54</v>
      </c>
      <c r="M1286" s="55" t="n">
        <v>-14.46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136614</t>
        </is>
      </c>
      <c r="B1287" s="52" t="n">
        <v>46017</v>
      </c>
      <c r="C1287" s="36" t="inlineStr">
        <is>
          <t>00169418113</t>
        </is>
      </c>
      <c r="D1287" s="53" t="inlineStr">
        <is>
          <t>OZEMPIC (0.25 OR 0.5 MG/DOSE) 2 MG/3ML PEN-INJECTOR</t>
        </is>
      </c>
      <c r="E1287" s="36" t="n">
        <v>3</v>
      </c>
      <c r="F1287" s="54" t="n">
        <v>3</v>
      </c>
      <c r="G1287" s="54" t="n">
        <v>1</v>
      </c>
      <c r="H1287" s="55" t="n">
        <v>960</v>
      </c>
      <c r="I1287" s="55" t="n">
        <v>977.24</v>
      </c>
      <c r="J1287" s="55" t="n">
        <v>0</v>
      </c>
      <c r="K1287" s="55" t="n">
        <v>0</v>
      </c>
      <c r="L1287" s="55" t="n">
        <v>977.24</v>
      </c>
      <c r="M1287" s="55" t="n">
        <v>17.24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133448</t>
        </is>
      </c>
      <c r="B1288" s="52" t="n">
        <v>46071</v>
      </c>
      <c r="C1288" s="36" t="inlineStr">
        <is>
          <t>00169418113</t>
        </is>
      </c>
      <c r="D1288" s="53" t="inlineStr">
        <is>
          <t>OZEMPIC (0.25 OR 0.5 MG/DOSE) 2 MG/3ML PEN-INJECTOR</t>
        </is>
      </c>
      <c r="E1288" s="36" t="n">
        <v>3</v>
      </c>
      <c r="F1288" s="54" t="n">
        <v>3</v>
      </c>
      <c r="G1288" s="54" t="n">
        <v>1</v>
      </c>
      <c r="H1288" s="55" t="n">
        <v>999</v>
      </c>
      <c r="I1288" s="55" t="n">
        <v>1006.25</v>
      </c>
      <c r="J1288" s="55" t="n">
        <v>0</v>
      </c>
      <c r="K1288" s="55" t="n">
        <v>0</v>
      </c>
      <c r="L1288" s="55" t="n">
        <v>1006.25</v>
      </c>
      <c r="M1288" s="55" t="n">
        <v>7.25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133310</t>
        </is>
      </c>
      <c r="B1289" s="52" t="n">
        <v>46071</v>
      </c>
      <c r="C1289" s="36" t="inlineStr">
        <is>
          <t>00169418113</t>
        </is>
      </c>
      <c r="D1289" s="53" t="inlineStr">
        <is>
          <t>OZEMPIC (0.25 OR 0.5 MG/DOSE) 2 MG/3ML PEN-INJECTOR</t>
        </is>
      </c>
      <c r="E1289" s="36" t="n">
        <v>3</v>
      </c>
      <c r="F1289" s="54" t="n">
        <v>3</v>
      </c>
      <c r="G1289" s="54" t="n">
        <v>1</v>
      </c>
      <c r="H1289" s="55" t="n">
        <v>999</v>
      </c>
      <c r="I1289" s="55" t="n">
        <v>974.79</v>
      </c>
      <c r="J1289" s="55" t="n">
        <v>0</v>
      </c>
      <c r="K1289" s="55" t="n">
        <v>0</v>
      </c>
      <c r="L1289" s="55" t="n">
        <v>974.79</v>
      </c>
      <c r="M1289" s="55" t="n">
        <v>-24.21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ADV</t>
        </is>
      </c>
      <c r="Q1289" s="36" t="inlineStr">
        <is>
          <t>RX1103</t>
        </is>
      </c>
    </row>
    <row r="1290">
      <c r="A1290" s="36" t="inlineStr">
        <is>
          <t>109274</t>
        </is>
      </c>
      <c r="B1290" s="52" t="n">
        <v>46027</v>
      </c>
      <c r="C1290" s="36" t="inlineStr">
        <is>
          <t>00169418113</t>
        </is>
      </c>
      <c r="D1290" s="53" t="inlineStr">
        <is>
          <t>OZEMPIC (0.25 OR 0.5 MG/DOSE) 2 MG/3ML PEN-INJECTOR</t>
        </is>
      </c>
      <c r="E1290" s="36" t="n">
        <v>3</v>
      </c>
      <c r="F1290" s="54" t="n">
        <v>3</v>
      </c>
      <c r="G1290" s="54" t="n">
        <v>1</v>
      </c>
      <c r="H1290" s="55" t="n">
        <v>992</v>
      </c>
      <c r="I1290" s="55" t="n">
        <v>977.54</v>
      </c>
      <c r="J1290" s="55" t="n">
        <v>0</v>
      </c>
      <c r="K1290" s="55" t="n">
        <v>0</v>
      </c>
      <c r="L1290" s="55" t="n">
        <v>977.54</v>
      </c>
      <c r="M1290" s="55" t="n">
        <v>-14.46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137328</t>
        </is>
      </c>
      <c r="B1291" s="52" t="n">
        <v>46024</v>
      </c>
      <c r="C1291" s="36" t="inlineStr">
        <is>
          <t>00169418113</t>
        </is>
      </c>
      <c r="D1291" s="53" t="inlineStr">
        <is>
          <t>OZEMPIC (0.25 OR 0.5 MG/DOSE) 2 MG/3ML PEN-INJECTOR</t>
        </is>
      </c>
      <c r="E1291" s="36" t="n">
        <v>3</v>
      </c>
      <c r="F1291" s="54" t="n">
        <v>3</v>
      </c>
      <c r="G1291" s="54" t="n">
        <v>1</v>
      </c>
      <c r="H1291" s="55" t="n">
        <v>992</v>
      </c>
      <c r="I1291" s="55" t="n">
        <v>959.9</v>
      </c>
      <c r="J1291" s="55" t="n">
        <v>0</v>
      </c>
      <c r="K1291" s="55" t="n">
        <v>0</v>
      </c>
      <c r="L1291" s="55" t="n">
        <v>959.9</v>
      </c>
      <c r="M1291" s="55" t="n">
        <v>-32.1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ADV</t>
        </is>
      </c>
      <c r="Q1291" s="36" t="inlineStr">
        <is>
          <t>RX23MD</t>
        </is>
      </c>
    </row>
    <row r="1292">
      <c r="A1292" s="36" t="inlineStr">
        <is>
          <t>140627</t>
        </is>
      </c>
      <c r="B1292" s="52" t="n">
        <v>46070</v>
      </c>
      <c r="C1292" s="36" t="inlineStr">
        <is>
          <t>00169418113</t>
        </is>
      </c>
      <c r="D1292" s="53" t="inlineStr">
        <is>
          <t>OZEMPIC (0.25 OR 0.5 MG/DOSE) 2 MG/3ML PEN-INJECTOR</t>
        </is>
      </c>
      <c r="E1292" s="36" t="n">
        <v>3</v>
      </c>
      <c r="F1292" s="54" t="n">
        <v>3</v>
      </c>
      <c r="G1292" s="54" t="n">
        <v>1</v>
      </c>
      <c r="H1292" s="55" t="n">
        <v>999</v>
      </c>
      <c r="I1292" s="55" t="n">
        <v>959.9</v>
      </c>
      <c r="J1292" s="55" t="n">
        <v>0</v>
      </c>
      <c r="K1292" s="55" t="n">
        <v>0</v>
      </c>
      <c r="L1292" s="55" t="n">
        <v>959.9</v>
      </c>
      <c r="M1292" s="55" t="n">
        <v>-39.1</v>
      </c>
      <c r="N1292" s="36" t="inlineStr">
        <is>
          <t>020099</t>
        </is>
      </c>
      <c r="O1292" s="36" t="inlineStr">
        <is>
          <t>CAREMARK</t>
        </is>
      </c>
      <c r="P1292" s="36" t="inlineStr">
        <is>
          <t>WG</t>
        </is>
      </c>
      <c r="Q1292" s="36" t="inlineStr">
        <is>
          <t>WLDA</t>
        </is>
      </c>
    </row>
    <row r="1293">
      <c r="A1293" s="36" t="inlineStr">
        <is>
          <t>139931</t>
        </is>
      </c>
      <c r="B1293" s="52" t="n">
        <v>46043</v>
      </c>
      <c r="C1293" s="36" t="inlineStr">
        <is>
          <t>00169418113</t>
        </is>
      </c>
      <c r="D1293" s="53" t="inlineStr">
        <is>
          <t>OZEMPIC (0.25 OR 0.5 MG/DOSE) 2 MG/3ML PEN-INJECTOR</t>
        </is>
      </c>
      <c r="E1293" s="36" t="n">
        <v>3</v>
      </c>
      <c r="F1293" s="54" t="n">
        <v>3</v>
      </c>
      <c r="G1293" s="54" t="n">
        <v>1</v>
      </c>
      <c r="H1293" s="55" t="n">
        <v>992</v>
      </c>
      <c r="I1293" s="55" t="n">
        <v>972.64</v>
      </c>
      <c r="J1293" s="55" t="n">
        <v>0</v>
      </c>
      <c r="K1293" s="55" t="n">
        <v>4.9</v>
      </c>
      <c r="L1293" s="55" t="n">
        <v>977.54</v>
      </c>
      <c r="M1293" s="55" t="n">
        <v>-14.46</v>
      </c>
      <c r="N1293" s="36" t="inlineStr">
        <is>
          <t>004336</t>
        </is>
      </c>
      <c r="O1293" s="36" t="inlineStr">
        <is>
          <t>CAREMARK</t>
        </is>
      </c>
      <c r="P1293" s="36" t="inlineStr">
        <is>
          <t>MEDDADV</t>
        </is>
      </c>
      <c r="Q1293" s="36" t="inlineStr">
        <is>
          <t>RX1110</t>
        </is>
      </c>
    </row>
    <row r="1294">
      <c r="A1294" s="36" t="inlineStr">
        <is>
          <t>140028</t>
        </is>
      </c>
      <c r="B1294" s="52" t="n">
        <v>46043</v>
      </c>
      <c r="C1294" s="36" t="inlineStr">
        <is>
          <t>00169418113</t>
        </is>
      </c>
      <c r="D1294" s="53" t="inlineStr">
        <is>
          <t>OZEMPIC (0.25 OR 0.5 MG/DOSE) 2 MG/3ML PEN-INJECTOR</t>
        </is>
      </c>
      <c r="E1294" s="36" t="n">
        <v>3</v>
      </c>
      <c r="F1294" s="54" t="n">
        <v>9</v>
      </c>
      <c r="G1294" s="54" t="n">
        <v>3</v>
      </c>
      <c r="H1294" s="55" t="n">
        <v>2976</v>
      </c>
      <c r="I1294" s="55" t="n">
        <v>2798.32</v>
      </c>
      <c r="J1294" s="55" t="n">
        <v>0</v>
      </c>
      <c r="K1294" s="55" t="n">
        <v>0</v>
      </c>
      <c r="L1294" s="55" t="n">
        <v>2798.32</v>
      </c>
      <c r="M1294" s="55" t="n">
        <v>-177.68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ADV</t>
        </is>
      </c>
      <c r="Q1294" s="36" t="inlineStr">
        <is>
          <t>RX7682</t>
        </is>
      </c>
    </row>
    <row r="1295">
      <c r="A1295" s="36" t="inlineStr">
        <is>
          <t>122360</t>
        </is>
      </c>
      <c r="B1295" s="52" t="n">
        <v>46070</v>
      </c>
      <c r="C1295" s="36" t="inlineStr">
        <is>
          <t>00169418113</t>
        </is>
      </c>
      <c r="D1295" s="53" t="inlineStr">
        <is>
          <t>OZEMPIC (0.25 OR 0.5 MG/DOSE) 2 MG/3ML PEN-INJECTOR</t>
        </is>
      </c>
      <c r="E1295" s="36" t="n">
        <v>3</v>
      </c>
      <c r="F1295" s="54" t="n">
        <v>9</v>
      </c>
      <c r="G1295" s="54" t="n">
        <v>3</v>
      </c>
      <c r="H1295" s="55" t="n">
        <v>2997</v>
      </c>
      <c r="I1295" s="55" t="n">
        <v>2884.9</v>
      </c>
      <c r="J1295" s="55" t="n">
        <v>0</v>
      </c>
      <c r="K1295" s="55" t="n">
        <v>0</v>
      </c>
      <c r="L1295" s="55" t="n">
        <v>2884.9</v>
      </c>
      <c r="M1295" s="55" t="n">
        <v>-112.1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MEDDADV</t>
        </is>
      </c>
      <c r="Q1295" s="36" t="inlineStr">
        <is>
          <t>RX1110</t>
        </is>
      </c>
    </row>
    <row r="1296">
      <c r="A1296" s="36" t="inlineStr">
        <is>
          <t>143513</t>
        </is>
      </c>
      <c r="B1296" s="52" t="n">
        <v>46069</v>
      </c>
      <c r="C1296" s="36" t="inlineStr">
        <is>
          <t>00169418113</t>
        </is>
      </c>
      <c r="D1296" s="53" t="inlineStr">
        <is>
          <t>OZEMPIC (0.25 OR 0.5 MG/DOSE) 2 MG/3ML PEN-INJECTOR</t>
        </is>
      </c>
      <c r="E1296" s="36" t="n">
        <v>3</v>
      </c>
      <c r="F1296" s="54" t="n">
        <v>3</v>
      </c>
      <c r="G1296" s="54" t="n">
        <v>1</v>
      </c>
      <c r="H1296" s="55" t="n">
        <v>999</v>
      </c>
      <c r="I1296" s="55" t="n">
        <v>974.23</v>
      </c>
      <c r="J1296" s="55" t="n">
        <v>0</v>
      </c>
      <c r="K1296" s="55" t="n">
        <v>0</v>
      </c>
      <c r="L1296" s="55" t="n">
        <v>974.23</v>
      </c>
      <c r="M1296" s="55" t="n">
        <v>-24.77</v>
      </c>
      <c r="N1296" s="36" t="inlineStr">
        <is>
          <t>015574</t>
        </is>
      </c>
      <c r="O1296" s="36" t="inlineStr">
        <is>
          <t>MEDIMP</t>
        </is>
      </c>
      <c r="P1296" s="36" t="inlineStr">
        <is>
          <t>ASPROD1</t>
        </is>
      </c>
      <c r="Q1296" s="36" t="inlineStr">
        <is>
          <t>VNS01</t>
        </is>
      </c>
    </row>
    <row r="1297">
      <c r="A1297" s="36" t="inlineStr">
        <is>
          <t>130477</t>
        </is>
      </c>
      <c r="B1297" s="52" t="n">
        <v>46022</v>
      </c>
      <c r="C1297" s="36" t="inlineStr">
        <is>
          <t>00169418113</t>
        </is>
      </c>
      <c r="D1297" s="53" t="inlineStr">
        <is>
          <t>OZEMPIC (0.25 OR 0.5 MG/DOSE) 2 MG/3ML PEN-INJECTOR</t>
        </is>
      </c>
      <c r="E1297" s="36" t="n">
        <v>3</v>
      </c>
      <c r="F1297" s="54" t="n">
        <v>3</v>
      </c>
      <c r="G1297" s="54" t="n">
        <v>1</v>
      </c>
      <c r="H1297" s="55" t="n">
        <v>960</v>
      </c>
      <c r="I1297" s="55" t="n">
        <v>882.26</v>
      </c>
      <c r="J1297" s="55" t="n">
        <v>0</v>
      </c>
      <c r="K1297" s="55" t="n">
        <v>0</v>
      </c>
      <c r="L1297" s="55" t="n">
        <v>882.26</v>
      </c>
      <c r="M1297" s="55" t="n">
        <v>-77.73999999999999</v>
      </c>
      <c r="N1297" s="36" t="inlineStr">
        <is>
          <t>400023</t>
        </is>
      </c>
      <c r="O1297" s="36" t="inlineStr">
        <is>
          <t>EXPRESS</t>
        </is>
      </c>
      <c r="P1297" s="36" t="inlineStr">
        <is>
          <t>0020050403</t>
        </is>
      </c>
      <c r="Q1297" s="36" t="inlineStr">
        <is>
          <t>KHYA</t>
        </is>
      </c>
    </row>
    <row r="1298">
      <c r="A1298" s="36" t="inlineStr">
        <is>
          <t>133448</t>
        </is>
      </c>
      <c r="B1298" s="52" t="n">
        <v>45994</v>
      </c>
      <c r="C1298" s="36" t="inlineStr">
        <is>
          <t>00169418113</t>
        </is>
      </c>
      <c r="D1298" s="53" t="inlineStr">
        <is>
          <t>OZEMPIC (0.25 OR 0.5 MG/DOSE) 2 MG/3ML PEN-INJECTOR</t>
        </is>
      </c>
      <c r="E1298" s="36" t="n">
        <v>3</v>
      </c>
      <c r="F1298" s="54" t="n">
        <v>3</v>
      </c>
      <c r="G1298" s="54" t="n">
        <v>1</v>
      </c>
      <c r="H1298" s="55" t="n">
        <v>960</v>
      </c>
      <c r="I1298" s="55" t="n">
        <v>977.3099999999999</v>
      </c>
      <c r="J1298" s="55" t="n">
        <v>0</v>
      </c>
      <c r="K1298" s="55" t="n">
        <v>0</v>
      </c>
      <c r="L1298" s="55" t="n">
        <v>977.3099999999999</v>
      </c>
      <c r="M1298" s="55" t="n">
        <v>17.31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139274</t>
        </is>
      </c>
      <c r="B1299" s="52" t="n">
        <v>46038</v>
      </c>
      <c r="C1299" s="36" t="inlineStr">
        <is>
          <t>00169418113</t>
        </is>
      </c>
      <c r="D1299" s="53" t="inlineStr">
        <is>
          <t>OZEMPIC (0.25 OR 0.5 MG/DOSE) 2 MG/3ML PEN-INJECTOR</t>
        </is>
      </c>
      <c r="E1299" s="36" t="n">
        <v>3</v>
      </c>
      <c r="F1299" s="54" t="n">
        <v>3</v>
      </c>
      <c r="G1299" s="54" t="n">
        <v>1</v>
      </c>
      <c r="H1299" s="55" t="n">
        <v>992</v>
      </c>
      <c r="I1299" s="55" t="n">
        <v>1006.25</v>
      </c>
      <c r="J1299" s="55" t="n">
        <v>0</v>
      </c>
      <c r="K1299" s="55" t="n">
        <v>0</v>
      </c>
      <c r="L1299" s="55" t="n">
        <v>1006.25</v>
      </c>
      <c r="M1299" s="55" t="n">
        <v>14.25</v>
      </c>
      <c r="N1299" s="36" t="inlineStr">
        <is>
          <t>004740</t>
        </is>
      </c>
      <c r="O1299" s="36" t="inlineStr">
        <is>
          <t>NYM</t>
        </is>
      </c>
      <c r="P1299" s="36" t="inlineStr">
        <is>
          <t>9314DA31</t>
        </is>
      </c>
      <c r="Q1299" s="36" t="n">
        <v/>
      </c>
    </row>
    <row r="1300">
      <c r="A1300" s="36" t="inlineStr">
        <is>
          <t>134870</t>
        </is>
      </c>
      <c r="B1300" s="52" t="n">
        <v>46028</v>
      </c>
      <c r="C1300" s="36" t="inlineStr">
        <is>
          <t>00169418113</t>
        </is>
      </c>
      <c r="D1300" s="53" t="inlineStr">
        <is>
          <t>OZEMPIC (0.25 OR 0.5 MG/DOSE) 2 MG/3ML PEN-INJECTOR</t>
        </is>
      </c>
      <c r="E1300" s="36" t="n">
        <v>3</v>
      </c>
      <c r="F1300" s="54" t="n">
        <v>3</v>
      </c>
      <c r="G1300" s="54" t="n">
        <v>1</v>
      </c>
      <c r="H1300" s="55" t="n">
        <v>992</v>
      </c>
      <c r="I1300" s="55" t="n">
        <v>977.24</v>
      </c>
      <c r="J1300" s="55" t="n">
        <v>0</v>
      </c>
      <c r="K1300" s="55" t="n">
        <v>0</v>
      </c>
      <c r="L1300" s="55" t="n">
        <v>977.24</v>
      </c>
      <c r="M1300" s="55" t="n">
        <v>-14.76</v>
      </c>
      <c r="N1300" s="36" t="inlineStr">
        <is>
          <t>004740</t>
        </is>
      </c>
      <c r="O1300" s="36" t="inlineStr">
        <is>
          <t>NYM</t>
        </is>
      </c>
      <c r="P1300" s="36" t="inlineStr">
        <is>
          <t>9314DA31</t>
        </is>
      </c>
      <c r="Q1300" s="36" t="n">
        <v/>
      </c>
    </row>
    <row r="1301">
      <c r="A1301" s="36" t="inlineStr">
        <is>
          <t>126256</t>
        </is>
      </c>
      <c r="B1301" s="52" t="n">
        <v>45994</v>
      </c>
      <c r="C1301" s="36" t="inlineStr">
        <is>
          <t>00169418113</t>
        </is>
      </c>
      <c r="D1301" s="53" t="inlineStr">
        <is>
          <t>OZEMPIC (0.25 OR 0.5 MG/DOSE) 2 MG/3ML PEN-INJECTOR</t>
        </is>
      </c>
      <c r="E1301" s="36" t="n">
        <v>3</v>
      </c>
      <c r="F1301" s="54" t="n">
        <v>3</v>
      </c>
      <c r="G1301" s="54" t="n">
        <v>1</v>
      </c>
      <c r="H1301" s="55" t="n">
        <v>960</v>
      </c>
      <c r="I1301" s="55" t="n">
        <v>913.5599999999999</v>
      </c>
      <c r="J1301" s="55" t="n">
        <v>0</v>
      </c>
      <c r="K1301" s="55" t="n">
        <v>10</v>
      </c>
      <c r="L1301" s="55" t="n">
        <v>923.5599999999999</v>
      </c>
      <c r="M1301" s="55" t="n">
        <v>-36.44</v>
      </c>
      <c r="N1301" s="36" t="inlineStr">
        <is>
          <t>610014</t>
        </is>
      </c>
      <c r="O1301" s="36" t="inlineStr">
        <is>
          <t>EXPRESS</t>
        </is>
      </c>
      <c r="P1301" s="36" t="inlineStr">
        <is>
          <t>PEU</t>
        </is>
      </c>
      <c r="Q1301" s="36" t="inlineStr">
        <is>
          <t>CIGUG0002501443</t>
        </is>
      </c>
    </row>
    <row r="1302">
      <c r="A1302" s="36" t="inlineStr">
        <is>
          <t>109274</t>
        </is>
      </c>
      <c r="B1302" s="52" t="n">
        <v>45992</v>
      </c>
      <c r="C1302" s="36" t="inlineStr">
        <is>
          <t>00169418113</t>
        </is>
      </c>
      <c r="D1302" s="53" t="inlineStr">
        <is>
          <t>OZEMPIC (0.25 OR 0.5 MG/DOSE) 2 MG/3ML PEN-INJECTOR</t>
        </is>
      </c>
      <c r="E1302" s="36" t="n">
        <v>3</v>
      </c>
      <c r="F1302" s="54" t="n">
        <v>3</v>
      </c>
      <c r="G1302" s="54" t="n">
        <v>1</v>
      </c>
      <c r="H1302" s="55" t="n">
        <v>960</v>
      </c>
      <c r="I1302" s="55" t="n">
        <v>940.6799999999999</v>
      </c>
      <c r="J1302" s="55" t="n">
        <v>0</v>
      </c>
      <c r="K1302" s="55" t="n">
        <v>0</v>
      </c>
      <c r="L1302" s="55" t="n">
        <v>940.6799999999999</v>
      </c>
      <c r="M1302" s="55" t="n">
        <v>-19.32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138527</t>
        </is>
      </c>
      <c r="B1303" s="52" t="n">
        <v>46034</v>
      </c>
      <c r="C1303" s="36" t="inlineStr">
        <is>
          <t>00169418113</t>
        </is>
      </c>
      <c r="D1303" s="53" t="inlineStr">
        <is>
          <t>OZEMPIC (0.25 OR 0.5 MG/DOSE) 2 MG/3ML PEN-INJECTOR</t>
        </is>
      </c>
      <c r="E1303" s="36" t="n">
        <v>3</v>
      </c>
      <c r="F1303" s="54" t="n">
        <v>3</v>
      </c>
      <c r="G1303" s="54" t="n">
        <v>1</v>
      </c>
      <c r="H1303" s="55" t="n">
        <v>992</v>
      </c>
      <c r="I1303" s="55" t="n">
        <v>949.79</v>
      </c>
      <c r="J1303" s="55" t="n">
        <v>0</v>
      </c>
      <c r="K1303" s="55" t="n">
        <v>25</v>
      </c>
      <c r="L1303" s="55" t="n">
        <v>974.79</v>
      </c>
      <c r="M1303" s="55" t="n">
        <v>-17.21</v>
      </c>
      <c r="N1303" s="36" t="inlineStr">
        <is>
          <t>020099</t>
        </is>
      </c>
      <c r="O1303" s="36" t="inlineStr">
        <is>
          <t>CAREMARK</t>
        </is>
      </c>
      <c r="P1303" s="36" t="inlineStr">
        <is>
          <t>WG</t>
        </is>
      </c>
      <c r="Q1303" s="36" t="inlineStr">
        <is>
          <t>WLDA</t>
        </is>
      </c>
    </row>
    <row r="1304">
      <c r="A1304" s="36" t="inlineStr">
        <is>
          <t>141004</t>
        </is>
      </c>
      <c r="B1304" s="52" t="n">
        <v>46077</v>
      </c>
      <c r="C1304" s="36" t="inlineStr">
        <is>
          <t>00169418113</t>
        </is>
      </c>
      <c r="D1304" s="53" t="inlineStr">
        <is>
          <t>OZEMPIC (0.25 OR 0.5 MG/DOSE) 2 MG/3ML PEN-INJECTOR</t>
        </is>
      </c>
      <c r="E1304" s="36" t="n">
        <v>3</v>
      </c>
      <c r="F1304" s="54" t="n">
        <v>3</v>
      </c>
      <c r="G1304" s="54" t="n">
        <v>1</v>
      </c>
      <c r="H1304" s="55" t="n">
        <v>999</v>
      </c>
      <c r="I1304" s="55" t="n">
        <v>1005.25</v>
      </c>
      <c r="J1304" s="55" t="n">
        <v>0</v>
      </c>
      <c r="K1304" s="55" t="n">
        <v>1</v>
      </c>
      <c r="L1304" s="55" t="n">
        <v>1006.25</v>
      </c>
      <c r="M1304" s="55" t="n">
        <v>7.25</v>
      </c>
      <c r="N1304" s="36" t="inlineStr">
        <is>
          <t>004740</t>
        </is>
      </c>
      <c r="O1304" s="36" t="inlineStr">
        <is>
          <t>NYM</t>
        </is>
      </c>
      <c r="P1304" s="36" t="inlineStr">
        <is>
          <t>9314DA31</t>
        </is>
      </c>
      <c r="Q1304" s="36" t="n">
        <v/>
      </c>
    </row>
    <row r="1305">
      <c r="A1305" s="36" t="inlineStr">
        <is>
          <t>124814</t>
        </is>
      </c>
      <c r="B1305" s="52" t="n">
        <v>46034</v>
      </c>
      <c r="C1305" s="36" t="inlineStr">
        <is>
          <t>00169418113</t>
        </is>
      </c>
      <c r="D1305" s="53" t="inlineStr">
        <is>
          <t>OZEMPIC (0.25 OR 0.5 MG/DOSE) 2 MG/3ML PEN-INJECTOR</t>
        </is>
      </c>
      <c r="E1305" s="36" t="n">
        <v>3</v>
      </c>
      <c r="F1305" s="54" t="n">
        <v>3</v>
      </c>
      <c r="G1305" s="54" t="n">
        <v>1</v>
      </c>
      <c r="H1305" s="55" t="n">
        <v>992</v>
      </c>
      <c r="I1305" s="55" t="n">
        <v>974.79</v>
      </c>
      <c r="J1305" s="55" t="n">
        <v>0</v>
      </c>
      <c r="K1305" s="55" t="n">
        <v>0</v>
      </c>
      <c r="L1305" s="55" t="n">
        <v>974.79</v>
      </c>
      <c r="M1305" s="55" t="n">
        <v>-17.21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ADV</t>
        </is>
      </c>
      <c r="Q1305" s="36" t="inlineStr">
        <is>
          <t>RX1103</t>
        </is>
      </c>
    </row>
    <row r="1306">
      <c r="A1306" s="36" t="inlineStr">
        <is>
          <t>120862</t>
        </is>
      </c>
      <c r="B1306" s="52" t="n">
        <v>46034</v>
      </c>
      <c r="C1306" s="36" t="inlineStr">
        <is>
          <t>00169418113</t>
        </is>
      </c>
      <c r="D1306" s="53" t="inlineStr">
        <is>
          <t>OZEMPIC (0.25 OR 0.5 MG/DOSE) 2 MG/3ML PEN-INJECTOR</t>
        </is>
      </c>
      <c r="E1306" s="36" t="n">
        <v>3</v>
      </c>
      <c r="F1306" s="54" t="n">
        <v>3</v>
      </c>
      <c r="G1306" s="54" t="n">
        <v>1</v>
      </c>
      <c r="H1306" s="55" t="n">
        <v>992</v>
      </c>
      <c r="I1306" s="55" t="n">
        <v>903.83</v>
      </c>
      <c r="J1306" s="55" t="n">
        <v>0</v>
      </c>
      <c r="K1306" s="55" t="n">
        <v>4.9</v>
      </c>
      <c r="L1306" s="55" t="n">
        <v>908.73</v>
      </c>
      <c r="M1306" s="55" t="n">
        <v>-83.27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134870</t>
        </is>
      </c>
      <c r="B1307" s="52" t="n">
        <v>46077</v>
      </c>
      <c r="C1307" s="36" t="inlineStr">
        <is>
          <t>00169418113</t>
        </is>
      </c>
      <c r="D1307" s="53" t="inlineStr">
        <is>
          <t>OZEMPIC (0.25 OR 0.5 MG/DOSE) 2 MG/3ML PEN-INJECTOR</t>
        </is>
      </c>
      <c r="E1307" s="36" t="n">
        <v>3</v>
      </c>
      <c r="F1307" s="54" t="n">
        <v>3</v>
      </c>
      <c r="G1307" s="54" t="n">
        <v>1</v>
      </c>
      <c r="H1307" s="55" t="n">
        <v>999</v>
      </c>
      <c r="I1307" s="55" t="n">
        <v>1006.25</v>
      </c>
      <c r="J1307" s="55" t="n">
        <v>0</v>
      </c>
      <c r="K1307" s="55" t="n">
        <v>0</v>
      </c>
      <c r="L1307" s="55" t="n">
        <v>1006.25</v>
      </c>
      <c r="M1307" s="55" t="n">
        <v>7.25</v>
      </c>
      <c r="N1307" s="36" t="inlineStr">
        <is>
          <t>004740</t>
        </is>
      </c>
      <c r="O1307" s="36" t="inlineStr">
        <is>
          <t>NYM</t>
        </is>
      </c>
      <c r="P1307" s="36" t="inlineStr">
        <is>
          <t>9314DA31</t>
        </is>
      </c>
      <c r="Q1307" s="36" t="n">
        <v/>
      </c>
    </row>
    <row r="1308">
      <c r="A1308" s="36" t="inlineStr">
        <is>
          <t>138282</t>
        </is>
      </c>
      <c r="B1308" s="52" t="n">
        <v>46031</v>
      </c>
      <c r="C1308" s="36" t="inlineStr">
        <is>
          <t>00169418113</t>
        </is>
      </c>
      <c r="D1308" s="53" t="inlineStr">
        <is>
          <t>OZEMPIC (0.25 OR 0.5 MG/DOSE) 2 MG/3ML PEN-INJECTOR</t>
        </is>
      </c>
      <c r="E1308" s="36" t="n">
        <v>3</v>
      </c>
      <c r="F1308" s="54" t="n">
        <v>3</v>
      </c>
      <c r="G1308" s="54" t="n">
        <v>1</v>
      </c>
      <c r="H1308" s="55" t="n">
        <v>992</v>
      </c>
      <c r="I1308" s="55" t="n">
        <v>977.24</v>
      </c>
      <c r="J1308" s="55" t="n">
        <v>0</v>
      </c>
      <c r="K1308" s="55" t="n">
        <v>0</v>
      </c>
      <c r="L1308" s="55" t="n">
        <v>977.24</v>
      </c>
      <c r="M1308" s="55" t="n">
        <v>-14.76</v>
      </c>
      <c r="N1308" s="36" t="inlineStr">
        <is>
          <t>004740</t>
        </is>
      </c>
      <c r="O1308" s="36" t="inlineStr">
        <is>
          <t>NYM</t>
        </is>
      </c>
      <c r="P1308" s="36" t="inlineStr">
        <is>
          <t>9314DA31</t>
        </is>
      </c>
      <c r="Q1308" s="36" t="n">
        <v/>
      </c>
    </row>
    <row r="1309">
      <c r="A1309" s="36" t="inlineStr">
        <is>
          <t>120164</t>
        </is>
      </c>
      <c r="B1309" s="52" t="n">
        <v>45999</v>
      </c>
      <c r="C1309" s="36" t="inlineStr">
        <is>
          <t>00169418113</t>
        </is>
      </c>
      <c r="D1309" s="53" t="inlineStr">
        <is>
          <t>OZEMPIC (0.25 OR 0.5 MG/DOSE) 2 MG/3ML PEN-INJECTOR</t>
        </is>
      </c>
      <c r="E1309" s="36" t="n">
        <v>3</v>
      </c>
      <c r="F1309" s="54" t="n">
        <v>3</v>
      </c>
      <c r="G1309" s="54" t="n">
        <v>1</v>
      </c>
      <c r="H1309" s="55" t="n">
        <v>960</v>
      </c>
      <c r="I1309" s="55" t="n">
        <v>932.04</v>
      </c>
      <c r="J1309" s="55" t="n">
        <v>0</v>
      </c>
      <c r="K1309" s="55" t="n">
        <v>0</v>
      </c>
      <c r="L1309" s="55" t="n">
        <v>932.04</v>
      </c>
      <c r="M1309" s="55" t="n">
        <v>-27.96</v>
      </c>
      <c r="N1309" s="36" t="inlineStr">
        <is>
          <t>004336</t>
        </is>
      </c>
      <c r="O1309" s="36" t="inlineStr">
        <is>
          <t>CAREMARK</t>
        </is>
      </c>
      <c r="P1309" s="36" t="inlineStr">
        <is>
          <t>ADV</t>
        </is>
      </c>
      <c r="Q1309" s="36" t="inlineStr">
        <is>
          <t>RX1103</t>
        </is>
      </c>
    </row>
    <row r="1310">
      <c r="A1310" s="36" t="inlineStr">
        <is>
          <t>138196</t>
        </is>
      </c>
      <c r="B1310" s="52" t="n">
        <v>46030</v>
      </c>
      <c r="C1310" s="36" t="inlineStr">
        <is>
          <t>00169418113</t>
        </is>
      </c>
      <c r="D1310" s="53" t="inlineStr">
        <is>
          <t>OZEMPIC (0.25 OR 0.5 MG/DOSE) 2 MG/3ML PEN-INJECTOR</t>
        </is>
      </c>
      <c r="E1310" s="36" t="n">
        <v>3</v>
      </c>
      <c r="F1310" s="54" t="n">
        <v>3</v>
      </c>
      <c r="G1310" s="54" t="n">
        <v>1</v>
      </c>
      <c r="H1310" s="55" t="n">
        <v>992</v>
      </c>
      <c r="I1310" s="55" t="n">
        <v>972.64</v>
      </c>
      <c r="J1310" s="55" t="n">
        <v>0</v>
      </c>
      <c r="K1310" s="55" t="n">
        <v>4.9</v>
      </c>
      <c r="L1310" s="55" t="n">
        <v>977.54</v>
      </c>
      <c r="M1310" s="55" t="n">
        <v>-14.46</v>
      </c>
      <c r="N1310" s="36" t="inlineStr">
        <is>
          <t>004336</t>
        </is>
      </c>
      <c r="O1310" s="36" t="inlineStr">
        <is>
          <t>CAREMARK</t>
        </is>
      </c>
      <c r="P1310" s="36" t="inlineStr">
        <is>
          <t>MEDDADV</t>
        </is>
      </c>
      <c r="Q1310" s="36" t="inlineStr">
        <is>
          <t>RX1110</t>
        </is>
      </c>
    </row>
    <row r="1311">
      <c r="A1311" s="36" t="inlineStr">
        <is>
          <t>144393</t>
        </is>
      </c>
      <c r="B1311" s="52" t="n">
        <v>46076</v>
      </c>
      <c r="C1311" s="36" t="inlineStr">
        <is>
          <t>00169418113</t>
        </is>
      </c>
      <c r="D1311" s="53" t="inlineStr">
        <is>
          <t>OZEMPIC (0.25 OR 0.5 MG/DOSE) 2 MG/3ML PEN-INJECTOR</t>
        </is>
      </c>
      <c r="E1311" s="36" t="n">
        <v>3</v>
      </c>
      <c r="F1311" s="54" t="n">
        <v>3</v>
      </c>
      <c r="G1311" s="54" t="n">
        <v>1</v>
      </c>
      <c r="H1311" s="55" t="n">
        <v>999</v>
      </c>
      <c r="I1311" s="55" t="n">
        <v>1006.25</v>
      </c>
      <c r="J1311" s="55" t="n">
        <v>0</v>
      </c>
      <c r="K1311" s="55" t="n">
        <v>0</v>
      </c>
      <c r="L1311" s="55" t="n">
        <v>1006.25</v>
      </c>
      <c r="M1311" s="55" t="n">
        <v>7.25</v>
      </c>
      <c r="N1311" s="36" t="inlineStr">
        <is>
          <t>004740</t>
        </is>
      </c>
      <c r="O1311" s="36" t="inlineStr">
        <is>
          <t>NYM</t>
        </is>
      </c>
      <c r="P1311" s="36" t="inlineStr">
        <is>
          <t>9314DA31</t>
        </is>
      </c>
      <c r="Q1311" s="36" t="n">
        <v/>
      </c>
    </row>
    <row r="1312">
      <c r="A1312" s="36" t="inlineStr">
        <is>
          <t>140691</t>
        </is>
      </c>
      <c r="B1312" s="52" t="n">
        <v>46076</v>
      </c>
      <c r="C1312" s="36" t="inlineStr">
        <is>
          <t>00169418113</t>
        </is>
      </c>
      <c r="D1312" s="53" t="inlineStr">
        <is>
          <t>OZEMPIC (0.25 OR 0.5 MG/DOSE) 2 MG/3ML PEN-INJECTOR</t>
        </is>
      </c>
      <c r="E1312" s="36" t="n">
        <v>3</v>
      </c>
      <c r="F1312" s="54" t="n">
        <v>3</v>
      </c>
      <c r="G1312" s="54" t="n">
        <v>1</v>
      </c>
      <c r="H1312" s="55" t="n">
        <v>999</v>
      </c>
      <c r="I1312" s="55" t="n">
        <v>959.9</v>
      </c>
      <c r="J1312" s="55" t="n">
        <v>0</v>
      </c>
      <c r="K1312" s="55" t="n">
        <v>0</v>
      </c>
      <c r="L1312" s="55" t="n">
        <v>959.9</v>
      </c>
      <c r="M1312" s="55" t="n">
        <v>-39.1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ADV</t>
        </is>
      </c>
      <c r="Q1312" s="36" t="inlineStr">
        <is>
          <t>RX23MD</t>
        </is>
      </c>
    </row>
    <row r="1313">
      <c r="A1313" s="36" t="inlineStr">
        <is>
          <t>133310</t>
        </is>
      </c>
      <c r="B1313" s="52" t="n">
        <v>45993</v>
      </c>
      <c r="C1313" s="36" t="inlineStr">
        <is>
          <t>00169418113</t>
        </is>
      </c>
      <c r="D1313" s="53" t="inlineStr">
        <is>
          <t>OZEMPIC (0.25 OR 0.5 MG/DOSE) 2 MG/3ML PEN-INJECTOR</t>
        </is>
      </c>
      <c r="E1313" s="36" t="n">
        <v>3</v>
      </c>
      <c r="F1313" s="54" t="n">
        <v>3</v>
      </c>
      <c r="G1313" s="54" t="n">
        <v>1</v>
      </c>
      <c r="H1313" s="55" t="n">
        <v>960</v>
      </c>
      <c r="I1313" s="55" t="n">
        <v>932.04</v>
      </c>
      <c r="J1313" s="55" t="n">
        <v>0</v>
      </c>
      <c r="K1313" s="55" t="n">
        <v>0</v>
      </c>
      <c r="L1313" s="55" t="n">
        <v>932.04</v>
      </c>
      <c r="M1313" s="55" t="n">
        <v>-27.96</v>
      </c>
      <c r="N1313" s="36" t="inlineStr">
        <is>
          <t>004336</t>
        </is>
      </c>
      <c r="O1313" s="36" t="inlineStr">
        <is>
          <t>CAREMARK</t>
        </is>
      </c>
      <c r="P1313" s="36" t="inlineStr">
        <is>
          <t>ADV</t>
        </is>
      </c>
      <c r="Q1313" s="36" t="inlineStr">
        <is>
          <t>RX1103</t>
        </is>
      </c>
    </row>
    <row r="1314">
      <c r="A1314" s="36" t="inlineStr">
        <is>
          <t>135998</t>
        </is>
      </c>
      <c r="B1314" s="52" t="n">
        <v>46037</v>
      </c>
      <c r="C1314" s="36" t="inlineStr">
        <is>
          <t>00169418113</t>
        </is>
      </c>
      <c r="D1314" s="53" t="inlineStr">
        <is>
          <t>OZEMPIC (0.25 OR 0.5 MG/DOSE) 2 MG/3ML PEN-INJECTOR</t>
        </is>
      </c>
      <c r="E1314" s="36" t="n">
        <v>3</v>
      </c>
      <c r="F1314" s="54" t="n">
        <v>3</v>
      </c>
      <c r="G1314" s="54" t="n">
        <v>1</v>
      </c>
      <c r="H1314" s="55" t="n">
        <v>992</v>
      </c>
      <c r="I1314" s="55" t="n">
        <v>977.54</v>
      </c>
      <c r="J1314" s="55" t="n">
        <v>0</v>
      </c>
      <c r="K1314" s="55" t="n">
        <v>0</v>
      </c>
      <c r="L1314" s="55" t="n">
        <v>977.54</v>
      </c>
      <c r="M1314" s="55" t="n">
        <v>-14.46</v>
      </c>
      <c r="N1314" s="36" t="inlineStr">
        <is>
          <t>004336</t>
        </is>
      </c>
      <c r="O1314" s="36" t="inlineStr">
        <is>
          <t>CAREMARK</t>
        </is>
      </c>
      <c r="P1314" s="36" t="inlineStr">
        <is>
          <t>MEDDADV</t>
        </is>
      </c>
      <c r="Q1314" s="36" t="inlineStr">
        <is>
          <t>RX1110</t>
        </is>
      </c>
    </row>
    <row r="1315">
      <c r="A1315" s="36" t="inlineStr">
        <is>
          <t>122734</t>
        </is>
      </c>
      <c r="B1315" s="52" t="n">
        <v>45994</v>
      </c>
      <c r="C1315" s="36" t="inlineStr">
        <is>
          <t>00169418113</t>
        </is>
      </c>
      <c r="D1315" s="53" t="inlineStr">
        <is>
          <t>OZEMPIC (0.25 OR 0.5 MG/DOSE) 2 MG/3ML PEN-INJECTOR</t>
        </is>
      </c>
      <c r="E1315" s="36" t="n">
        <v>3</v>
      </c>
      <c r="F1315" s="54" t="n">
        <v>3</v>
      </c>
      <c r="G1315" s="54" t="n">
        <v>1</v>
      </c>
      <c r="H1315" s="55" t="n">
        <v>960</v>
      </c>
      <c r="I1315" s="55" t="n">
        <v>940.6799999999999</v>
      </c>
      <c r="J1315" s="55" t="n">
        <v>0</v>
      </c>
      <c r="K1315" s="55" t="n">
        <v>0</v>
      </c>
      <c r="L1315" s="55" t="n">
        <v>940.6799999999999</v>
      </c>
      <c r="M1315" s="55" t="n">
        <v>-19.32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137858</t>
        </is>
      </c>
      <c r="B1316" s="52" t="n">
        <v>46028</v>
      </c>
      <c r="C1316" s="36" t="inlineStr">
        <is>
          <t>00169418113</t>
        </is>
      </c>
      <c r="D1316" s="53" t="inlineStr">
        <is>
          <t>OZEMPIC (0.25 OR 0.5 MG/DOSE) 2 MG/3ML PEN-INJECTOR</t>
        </is>
      </c>
      <c r="E1316" s="36" t="n">
        <v>3</v>
      </c>
      <c r="F1316" s="54" t="n">
        <v>3</v>
      </c>
      <c r="G1316" s="54" t="n">
        <v>1</v>
      </c>
      <c r="H1316" s="55" t="n">
        <v>992</v>
      </c>
      <c r="I1316" s="55" t="n">
        <v>976.24</v>
      </c>
      <c r="J1316" s="55" t="n">
        <v>0</v>
      </c>
      <c r="K1316" s="55" t="n">
        <v>1</v>
      </c>
      <c r="L1316" s="55" t="n">
        <v>977.24</v>
      </c>
      <c r="M1316" s="55" t="n">
        <v>-14.76</v>
      </c>
      <c r="N1316" s="36" t="inlineStr">
        <is>
          <t>004740</t>
        </is>
      </c>
      <c r="O1316" s="36" t="inlineStr">
        <is>
          <t>NYM</t>
        </is>
      </c>
      <c r="P1316" s="36" t="inlineStr">
        <is>
          <t>9314DA31</t>
        </is>
      </c>
      <c r="Q1316" s="36" t="n">
        <v/>
      </c>
    </row>
    <row r="1317">
      <c r="A1317" s="36" t="inlineStr">
        <is>
          <t>134982</t>
        </is>
      </c>
      <c r="B1317" s="52" t="n">
        <v>46028</v>
      </c>
      <c r="C1317" s="36" t="inlineStr">
        <is>
          <t>00169418113</t>
        </is>
      </c>
      <c r="D1317" s="53" t="inlineStr">
        <is>
          <t>OZEMPIC (0.25 OR 0.5 MG/DOSE) 2 MG/3ML PEN-INJECTOR</t>
        </is>
      </c>
      <c r="E1317" s="36" t="n">
        <v>3</v>
      </c>
      <c r="F1317" s="54" t="n">
        <v>3</v>
      </c>
      <c r="G1317" s="54" t="n">
        <v>1</v>
      </c>
      <c r="H1317" s="55" t="n">
        <v>992</v>
      </c>
      <c r="I1317" s="55" t="n">
        <v>968.89</v>
      </c>
      <c r="J1317" s="55" t="n">
        <v>0</v>
      </c>
      <c r="K1317" s="55" t="n">
        <v>4.9</v>
      </c>
      <c r="L1317" s="55" t="n">
        <v>973.79</v>
      </c>
      <c r="M1317" s="55" t="n">
        <v>-18.21</v>
      </c>
      <c r="N1317" s="36" t="inlineStr">
        <is>
          <t>610502</t>
        </is>
      </c>
      <c r="O1317" s="36" t="inlineStr">
        <is>
          <t>CAREMARK</t>
        </is>
      </c>
      <c r="P1317" s="36" t="inlineStr">
        <is>
          <t>MEDDAET</t>
        </is>
      </c>
      <c r="Q1317" s="36" t="inlineStr">
        <is>
          <t>RXAETD</t>
        </is>
      </c>
    </row>
    <row r="1318">
      <c r="A1318" s="36" t="inlineStr">
        <is>
          <t>109274</t>
        </is>
      </c>
      <c r="B1318" s="52" t="n">
        <v>46077</v>
      </c>
      <c r="C1318" s="36" t="inlineStr">
        <is>
          <t>00169418113</t>
        </is>
      </c>
      <c r="D1318" s="53" t="inlineStr">
        <is>
          <t>OZEMPIC (0.25 OR 0.5 MG/DOSE) 2 MG/3ML PEN-INJECTOR</t>
        </is>
      </c>
      <c r="E1318" s="36" t="n">
        <v>3</v>
      </c>
      <c r="F1318" s="54" t="n">
        <v>3</v>
      </c>
      <c r="G1318" s="54" t="n">
        <v>1</v>
      </c>
      <c r="H1318" s="55" t="n">
        <v>999</v>
      </c>
      <c r="I1318" s="55" t="n">
        <v>977.54</v>
      </c>
      <c r="J1318" s="55" t="n">
        <v>0</v>
      </c>
      <c r="K1318" s="55" t="n">
        <v>0</v>
      </c>
      <c r="L1318" s="55" t="n">
        <v>977.54</v>
      </c>
      <c r="M1318" s="55" t="n">
        <v>-21.46</v>
      </c>
      <c r="N1318" s="36" t="inlineStr">
        <is>
          <t>004336</t>
        </is>
      </c>
      <c r="O1318" s="36" t="inlineStr">
        <is>
          <t>CAREMARK</t>
        </is>
      </c>
      <c r="P1318" s="36" t="inlineStr">
        <is>
          <t>MEDDADV</t>
        </is>
      </c>
      <c r="Q1318" s="36" t="inlineStr">
        <is>
          <t>RX1110</t>
        </is>
      </c>
    </row>
    <row r="1319">
      <c r="A1319" s="36" t="inlineStr">
        <is>
          <t>143429</t>
        </is>
      </c>
      <c r="B1319" s="52" t="n">
        <v>46069</v>
      </c>
      <c r="C1319" s="36" t="inlineStr">
        <is>
          <t>00169418113</t>
        </is>
      </c>
      <c r="D1319" s="53" t="inlineStr">
        <is>
          <t>OZEMPIC (0.25 OR 0.5 MG/DOSE) 2 MG/3ML PEN-INJECTOR</t>
        </is>
      </c>
      <c r="E1319" s="36" t="n">
        <v>3</v>
      </c>
      <c r="F1319" s="54" t="n">
        <v>3</v>
      </c>
      <c r="G1319" s="54" t="n">
        <v>1</v>
      </c>
      <c r="H1319" s="55" t="n">
        <v>999</v>
      </c>
      <c r="I1319" s="55" t="n">
        <v>972.64</v>
      </c>
      <c r="J1319" s="55" t="n">
        <v>0</v>
      </c>
      <c r="K1319" s="55" t="n">
        <v>4.9</v>
      </c>
      <c r="L1319" s="55" t="n">
        <v>977.54</v>
      </c>
      <c r="M1319" s="55" t="n">
        <v>-21.46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135245</t>
        </is>
      </c>
      <c r="B1320" s="52" t="n">
        <v>46007</v>
      </c>
      <c r="C1320" s="36" t="inlineStr">
        <is>
          <t>00169418113</t>
        </is>
      </c>
      <c r="D1320" s="53" t="inlineStr">
        <is>
          <t>OZEMPIC (0.25 OR 0.5 MG/DOSE) 2 MG/3ML PEN-INJECTOR</t>
        </is>
      </c>
      <c r="E1320" s="36" t="n">
        <v>3</v>
      </c>
      <c r="F1320" s="54" t="n">
        <v>9</v>
      </c>
      <c r="G1320" s="54" t="n">
        <v>3</v>
      </c>
      <c r="H1320" s="55" t="n">
        <v>2880</v>
      </c>
      <c r="I1320" s="55" t="n">
        <v>2782.92</v>
      </c>
      <c r="J1320" s="55" t="n">
        <v>0</v>
      </c>
      <c r="K1320" s="55" t="n">
        <v>0</v>
      </c>
      <c r="L1320" s="55" t="n">
        <v>2782.92</v>
      </c>
      <c r="M1320" s="55" t="n">
        <v>-97.08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143364</t>
        </is>
      </c>
      <c r="B1321" s="52" t="n">
        <v>46067</v>
      </c>
      <c r="C1321" s="36" t="inlineStr">
        <is>
          <t>00169418113</t>
        </is>
      </c>
      <c r="D1321" s="53" t="inlineStr">
        <is>
          <t>OZEMPIC (0.25 OR 0.5 MG/DOSE) 2 MG/3ML PEN-INJECTOR</t>
        </is>
      </c>
      <c r="E1321" s="36" t="n">
        <v>3</v>
      </c>
      <c r="F1321" s="54" t="n">
        <v>3</v>
      </c>
      <c r="G1321" s="54" t="n">
        <v>1</v>
      </c>
      <c r="H1321" s="55" t="n">
        <v>999</v>
      </c>
      <c r="I1321" s="55" t="n">
        <v>903.73</v>
      </c>
      <c r="J1321" s="55" t="n">
        <v>0</v>
      </c>
      <c r="K1321" s="55" t="n">
        <v>5</v>
      </c>
      <c r="L1321" s="55" t="n">
        <v>908.73</v>
      </c>
      <c r="M1321" s="55" t="n">
        <v>-90.27</v>
      </c>
      <c r="N1321" s="36" t="inlineStr">
        <is>
          <t>610455</t>
        </is>
      </c>
      <c r="O1321" s="36" t="inlineStr">
        <is>
          <t>PRIMECAPRX</t>
        </is>
      </c>
      <c r="P1321" s="36" t="inlineStr">
        <is>
          <t>NY4000</t>
        </is>
      </c>
      <c r="Q1321" s="36" t="inlineStr">
        <is>
          <t>MAPD</t>
        </is>
      </c>
    </row>
    <row r="1322">
      <c r="A1322" s="36" t="inlineStr">
        <is>
          <t>140627</t>
        </is>
      </c>
      <c r="B1322" s="52" t="n">
        <v>46049</v>
      </c>
      <c r="C1322" s="36" t="inlineStr">
        <is>
          <t>00169418113</t>
        </is>
      </c>
      <c r="D1322" s="53" t="inlineStr">
        <is>
          <t>OZEMPIC (0.25 OR 0.5 MG/DOSE) 2 MG/3ML PEN-INJECTOR</t>
        </is>
      </c>
      <c r="E1322" s="36" t="n">
        <v>3</v>
      </c>
      <c r="F1322" s="54" t="n">
        <v>3</v>
      </c>
      <c r="G1322" s="54" t="n">
        <v>1</v>
      </c>
      <c r="H1322" s="55" t="n">
        <v>992</v>
      </c>
      <c r="I1322" s="55" t="n">
        <v>959.9</v>
      </c>
      <c r="J1322" s="55" t="n">
        <v>0</v>
      </c>
      <c r="K1322" s="55" t="n">
        <v>0</v>
      </c>
      <c r="L1322" s="55" t="n">
        <v>959.9</v>
      </c>
      <c r="M1322" s="55" t="n">
        <v>-32.1</v>
      </c>
      <c r="N1322" s="36" t="inlineStr">
        <is>
          <t>020099</t>
        </is>
      </c>
      <c r="O1322" s="36" t="inlineStr">
        <is>
          <t>CAREMARK</t>
        </is>
      </c>
      <c r="P1322" s="36" t="inlineStr">
        <is>
          <t>WG</t>
        </is>
      </c>
      <c r="Q1322" s="36" t="inlineStr">
        <is>
          <t>WLDA</t>
        </is>
      </c>
    </row>
    <row r="1323">
      <c r="A1323" s="36" t="inlineStr">
        <is>
          <t>140624</t>
        </is>
      </c>
      <c r="B1323" s="52" t="n">
        <v>46049</v>
      </c>
      <c r="C1323" s="36" t="inlineStr">
        <is>
          <t>00169418113</t>
        </is>
      </c>
      <c r="D1323" s="53" t="inlineStr">
        <is>
          <t>OZEMPIC (0.25 OR 0.5 MG/DOSE) 2 MG/3ML PEN-INJECTOR</t>
        </is>
      </c>
      <c r="E1323" s="36" t="n">
        <v>3</v>
      </c>
      <c r="F1323" s="54" t="n">
        <v>3</v>
      </c>
      <c r="G1323" s="54" t="n">
        <v>1</v>
      </c>
      <c r="H1323" s="55" t="n">
        <v>992</v>
      </c>
      <c r="I1323" s="55" t="n">
        <v>1006.25</v>
      </c>
      <c r="J1323" s="55" t="n">
        <v>0</v>
      </c>
      <c r="K1323" s="55" t="n">
        <v>0</v>
      </c>
      <c r="L1323" s="55" t="n">
        <v>1006.25</v>
      </c>
      <c r="M1323" s="55" t="n">
        <v>14.25</v>
      </c>
      <c r="N1323" s="36" t="inlineStr">
        <is>
          <t>004740</t>
        </is>
      </c>
      <c r="O1323" s="36" t="inlineStr">
        <is>
          <t>NYM</t>
        </is>
      </c>
      <c r="P1323" s="36" t="inlineStr">
        <is>
          <t>9314DA31</t>
        </is>
      </c>
      <c r="Q1323" s="36" t="n">
        <v/>
      </c>
    </row>
    <row r="1324">
      <c r="A1324" s="36" t="inlineStr">
        <is>
          <t>126256</t>
        </is>
      </c>
      <c r="B1324" s="52" t="n">
        <v>46021</v>
      </c>
      <c r="C1324" s="36" t="inlineStr">
        <is>
          <t>00169418113</t>
        </is>
      </c>
      <c r="D1324" s="53" t="inlineStr">
        <is>
          <t>OZEMPIC (0.25 OR 0.5 MG/DOSE) 2 MG/3ML PEN-INJECTOR</t>
        </is>
      </c>
      <c r="E1324" s="36" t="n">
        <v>3</v>
      </c>
      <c r="F1324" s="54" t="n">
        <v>3</v>
      </c>
      <c r="G1324" s="54" t="n">
        <v>1</v>
      </c>
      <c r="H1324" s="55" t="n">
        <v>960</v>
      </c>
      <c r="I1324" s="55" t="n">
        <v>913.5599999999999</v>
      </c>
      <c r="J1324" s="55" t="n">
        <v>0</v>
      </c>
      <c r="K1324" s="55" t="n">
        <v>10</v>
      </c>
      <c r="L1324" s="55" t="n">
        <v>923.5599999999999</v>
      </c>
      <c r="M1324" s="55" t="n">
        <v>-36.44</v>
      </c>
      <c r="N1324" s="36" t="inlineStr">
        <is>
          <t>610014</t>
        </is>
      </c>
      <c r="O1324" s="36" t="inlineStr">
        <is>
          <t>EXPRESS</t>
        </is>
      </c>
      <c r="P1324" s="36" t="inlineStr">
        <is>
          <t>PEU</t>
        </is>
      </c>
      <c r="Q1324" s="36" t="inlineStr">
        <is>
          <t>CIGUG0002501443</t>
        </is>
      </c>
    </row>
    <row r="1325">
      <c r="A1325" s="36" t="inlineStr">
        <is>
          <t>140691</t>
        </is>
      </c>
      <c r="B1325" s="52" t="n">
        <v>46049</v>
      </c>
      <c r="C1325" s="36" t="inlineStr">
        <is>
          <t>00169418113</t>
        </is>
      </c>
      <c r="D1325" s="53" t="inlineStr">
        <is>
          <t>OZEMPIC (0.25 OR 0.5 MG/DOSE) 2 MG/3ML PEN-INJECTOR</t>
        </is>
      </c>
      <c r="E1325" s="36" t="n">
        <v>3</v>
      </c>
      <c r="F1325" s="54" t="n">
        <v>3</v>
      </c>
      <c r="G1325" s="54" t="n">
        <v>1</v>
      </c>
      <c r="H1325" s="55" t="n">
        <v>992</v>
      </c>
      <c r="I1325" s="55" t="n">
        <v>959.9</v>
      </c>
      <c r="J1325" s="55" t="n">
        <v>0</v>
      </c>
      <c r="K1325" s="55" t="n">
        <v>0</v>
      </c>
      <c r="L1325" s="55" t="n">
        <v>959.9</v>
      </c>
      <c r="M1325" s="55" t="n">
        <v>-32.1</v>
      </c>
      <c r="N1325" s="36" t="inlineStr">
        <is>
          <t>004336</t>
        </is>
      </c>
      <c r="O1325" s="36" t="inlineStr">
        <is>
          <t>CAREMARK</t>
        </is>
      </c>
      <c r="P1325" s="36" t="inlineStr">
        <is>
          <t>ADV</t>
        </is>
      </c>
      <c r="Q1325" s="36" t="inlineStr">
        <is>
          <t>RX23MD</t>
        </is>
      </c>
    </row>
    <row r="1326">
      <c r="A1326" s="36" t="inlineStr">
        <is>
          <t>133310</t>
        </is>
      </c>
      <c r="B1326" s="52" t="n">
        <v>46021</v>
      </c>
      <c r="C1326" s="36" t="inlineStr">
        <is>
          <t>00169418113</t>
        </is>
      </c>
      <c r="D1326" s="53" t="inlineStr">
        <is>
          <t>OZEMPIC (0.25 OR 0.5 MG/DOSE) 2 MG/3ML PEN-INJECTOR</t>
        </is>
      </c>
      <c r="E1326" s="36" t="n">
        <v>3</v>
      </c>
      <c r="F1326" s="54" t="n">
        <v>3</v>
      </c>
      <c r="G1326" s="54" t="n">
        <v>1</v>
      </c>
      <c r="H1326" s="55" t="n">
        <v>960</v>
      </c>
      <c r="I1326" s="55" t="n">
        <v>932.04</v>
      </c>
      <c r="J1326" s="55" t="n">
        <v>0</v>
      </c>
      <c r="K1326" s="55" t="n">
        <v>0</v>
      </c>
      <c r="L1326" s="55" t="n">
        <v>932.04</v>
      </c>
      <c r="M1326" s="55" t="n">
        <v>-27.96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ADV</t>
        </is>
      </c>
      <c r="Q1326" s="36" t="inlineStr">
        <is>
          <t>RX1103</t>
        </is>
      </c>
    </row>
    <row r="1327">
      <c r="A1327" s="36" t="inlineStr">
        <is>
          <t>129930</t>
        </is>
      </c>
      <c r="B1327" s="52" t="n">
        <v>46048</v>
      </c>
      <c r="C1327" s="36" t="inlineStr">
        <is>
          <t>00169418113</t>
        </is>
      </c>
      <c r="D1327" s="53" t="inlineStr">
        <is>
          <t>OZEMPIC (0.25 OR 0.5 MG/DOSE) 2 MG/3ML PEN-INJECTOR</t>
        </is>
      </c>
      <c r="E1327" s="36" t="n">
        <v>3</v>
      </c>
      <c r="F1327" s="54" t="n">
        <v>9</v>
      </c>
      <c r="G1327" s="54" t="n">
        <v>3</v>
      </c>
      <c r="H1327" s="55" t="n">
        <v>2976</v>
      </c>
      <c r="I1327" s="55" t="n">
        <v>2880</v>
      </c>
      <c r="J1327" s="55" t="n">
        <v>0</v>
      </c>
      <c r="K1327" s="55" t="n">
        <v>4.9</v>
      </c>
      <c r="L1327" s="55" t="n">
        <v>2884.9</v>
      </c>
      <c r="M1327" s="55" t="n">
        <v>-91.09999999999999</v>
      </c>
      <c r="N1327" s="36" t="inlineStr">
        <is>
          <t>004336</t>
        </is>
      </c>
      <c r="O1327" s="36" t="inlineStr">
        <is>
          <t>CAREMARK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129982</t>
        </is>
      </c>
      <c r="B1328" s="52" t="n">
        <v>46048</v>
      </c>
      <c r="C1328" s="36" t="inlineStr">
        <is>
          <t>00169418113</t>
        </is>
      </c>
      <c r="D1328" s="53" t="inlineStr">
        <is>
          <t>OZEMPIC (0.25 OR 0.5 MG/DOSE) 2 MG/3ML PEN-INJECTOR</t>
        </is>
      </c>
      <c r="E1328" s="36" t="n">
        <v>3</v>
      </c>
      <c r="F1328" s="54" t="n">
        <v>9</v>
      </c>
      <c r="G1328" s="54" t="n">
        <v>3</v>
      </c>
      <c r="H1328" s="55" t="n">
        <v>2976</v>
      </c>
      <c r="I1328" s="55" t="n">
        <v>2884.9</v>
      </c>
      <c r="J1328" s="55" t="n">
        <v>0</v>
      </c>
      <c r="K1328" s="55" t="n">
        <v>0</v>
      </c>
      <c r="L1328" s="55" t="n">
        <v>2884.9</v>
      </c>
      <c r="M1328" s="55" t="n">
        <v>-91.09999999999999</v>
      </c>
      <c r="N1328" s="36" t="inlineStr">
        <is>
          <t>004336</t>
        </is>
      </c>
      <c r="O1328" s="36" t="inlineStr">
        <is>
          <t>CAREMARK</t>
        </is>
      </c>
      <c r="P1328" s="36" t="inlineStr">
        <is>
          <t>MEDDADV</t>
        </is>
      </c>
      <c r="Q1328" s="36" t="inlineStr">
        <is>
          <t>RX1110</t>
        </is>
      </c>
    </row>
    <row r="1329">
      <c r="A1329" s="36" t="inlineStr">
        <is>
          <t>133310</t>
        </is>
      </c>
      <c r="B1329" s="52" t="n">
        <v>46046</v>
      </c>
      <c r="C1329" s="36" t="inlineStr">
        <is>
          <t>00169418113</t>
        </is>
      </c>
      <c r="D1329" s="53" t="inlineStr">
        <is>
          <t>OZEMPIC (0.25 OR 0.5 MG/DOSE) 2 MG/3ML PEN-INJECTOR</t>
        </is>
      </c>
      <c r="E1329" s="36" t="n">
        <v>3</v>
      </c>
      <c r="F1329" s="54" t="n">
        <v>3</v>
      </c>
      <c r="G1329" s="54" t="n">
        <v>1</v>
      </c>
      <c r="H1329" s="55" t="n">
        <v>992</v>
      </c>
      <c r="I1329" s="55" t="n">
        <v>974.79</v>
      </c>
      <c r="J1329" s="55" t="n">
        <v>0</v>
      </c>
      <c r="K1329" s="55" t="n">
        <v>0</v>
      </c>
      <c r="L1329" s="55" t="n">
        <v>974.79</v>
      </c>
      <c r="M1329" s="55" t="n">
        <v>-17.21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ADV</t>
        </is>
      </c>
      <c r="Q1329" s="36" t="inlineStr">
        <is>
          <t>RX1103</t>
        </is>
      </c>
    </row>
    <row r="1330">
      <c r="A1330" s="36" t="inlineStr">
        <is>
          <t>130477</t>
        </is>
      </c>
      <c r="B1330" s="52" t="n">
        <v>45999</v>
      </c>
      <c r="C1330" s="36" t="inlineStr">
        <is>
          <t>00169418113</t>
        </is>
      </c>
      <c r="D1330" s="53" t="inlineStr">
        <is>
          <t>OZEMPIC (0.25 OR 0.5 MG/DOSE) 2 MG/3ML PEN-INJECTOR</t>
        </is>
      </c>
      <c r="E1330" s="36" t="n">
        <v>3</v>
      </c>
      <c r="F1330" s="54" t="n">
        <v>3</v>
      </c>
      <c r="G1330" s="54" t="n">
        <v>1</v>
      </c>
      <c r="H1330" s="55" t="n">
        <v>960</v>
      </c>
      <c r="I1330" s="55" t="n">
        <v>882.26</v>
      </c>
      <c r="J1330" s="55" t="n">
        <v>0</v>
      </c>
      <c r="K1330" s="55" t="n">
        <v>0</v>
      </c>
      <c r="L1330" s="55" t="n">
        <v>882.26</v>
      </c>
      <c r="M1330" s="55" t="n">
        <v>-77.73999999999999</v>
      </c>
      <c r="N1330" s="36" t="inlineStr">
        <is>
          <t>400023</t>
        </is>
      </c>
      <c r="O1330" s="36" t="inlineStr">
        <is>
          <t>EXPRESS</t>
        </is>
      </c>
      <c r="P1330" s="36" t="inlineStr">
        <is>
          <t>0020050403</t>
        </is>
      </c>
      <c r="Q1330" s="36" t="inlineStr">
        <is>
          <t>KHYA</t>
        </is>
      </c>
    </row>
    <row r="1331">
      <c r="A1331" s="36" t="inlineStr">
        <is>
          <t>136724</t>
        </is>
      </c>
      <c r="B1331" s="52" t="n">
        <v>46020</v>
      </c>
      <c r="C1331" s="36" t="inlineStr">
        <is>
          <t>00169418113</t>
        </is>
      </c>
      <c r="D1331" s="53" t="inlineStr">
        <is>
          <t>OZEMPIC (0.25 OR 0.5 MG/DOSE) 2 MG/3ML PEN-INJECTOR</t>
        </is>
      </c>
      <c r="E1331" s="36" t="n">
        <v>3</v>
      </c>
      <c r="F1331" s="54" t="n">
        <v>3</v>
      </c>
      <c r="G1331" s="54" t="n">
        <v>1</v>
      </c>
      <c r="H1331" s="55" t="n">
        <v>960</v>
      </c>
      <c r="I1331" s="55" t="n">
        <v>940.6799999999999</v>
      </c>
      <c r="J1331" s="55" t="n">
        <v>0</v>
      </c>
      <c r="K1331" s="55" t="n">
        <v>0</v>
      </c>
      <c r="L1331" s="55" t="n">
        <v>940.6799999999999</v>
      </c>
      <c r="M1331" s="55" t="n">
        <v>-19.32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133448</t>
        </is>
      </c>
      <c r="B1332" s="52" t="n">
        <v>46020</v>
      </c>
      <c r="C1332" s="36" t="inlineStr">
        <is>
          <t>00169418113</t>
        </is>
      </c>
      <c r="D1332" s="53" t="inlineStr">
        <is>
          <t>OZEMPIC (0.25 OR 0.5 MG/DOSE) 2 MG/3ML PEN-INJECTOR</t>
        </is>
      </c>
      <c r="E1332" s="36" t="n">
        <v>3</v>
      </c>
      <c r="F1332" s="54" t="n">
        <v>3</v>
      </c>
      <c r="G1332" s="54" t="n">
        <v>1</v>
      </c>
      <c r="H1332" s="55" t="n">
        <v>960</v>
      </c>
      <c r="I1332" s="55" t="n">
        <v>977.24</v>
      </c>
      <c r="J1332" s="55" t="n">
        <v>0</v>
      </c>
      <c r="K1332" s="55" t="n">
        <v>0</v>
      </c>
      <c r="L1332" s="55" t="n">
        <v>977.24</v>
      </c>
      <c r="M1332" s="55" t="n">
        <v>17.24</v>
      </c>
      <c r="N1332" s="36" t="inlineStr">
        <is>
          <t>004740</t>
        </is>
      </c>
      <c r="O1332" s="36" t="inlineStr">
        <is>
          <t>NYM</t>
        </is>
      </c>
      <c r="P1332" s="36" t="inlineStr">
        <is>
          <t>9314DA31</t>
        </is>
      </c>
      <c r="Q1332" s="36" t="n">
        <v/>
      </c>
    </row>
    <row r="1333">
      <c r="A1333" s="36" t="inlineStr">
        <is>
          <t>143192</t>
        </is>
      </c>
      <c r="B1333" s="52" t="n">
        <v>46065</v>
      </c>
      <c r="C1333" s="36" t="inlineStr">
        <is>
          <t>00169418113</t>
        </is>
      </c>
      <c r="D1333" s="53" t="inlineStr">
        <is>
          <t>OZEMPIC (0.25 OR 0.5 MG/DOSE) 2 MG/3ML PEN-INJECTOR</t>
        </is>
      </c>
      <c r="E1333" s="36" t="n">
        <v>3</v>
      </c>
      <c r="F1333" s="54" t="n">
        <v>3</v>
      </c>
      <c r="G1333" s="54" t="n">
        <v>1</v>
      </c>
      <c r="H1333" s="55" t="n">
        <v>999</v>
      </c>
      <c r="I1333" s="55" t="n">
        <v>1006.25</v>
      </c>
      <c r="J1333" s="55" t="n">
        <v>0</v>
      </c>
      <c r="K1333" s="55" t="n">
        <v>0</v>
      </c>
      <c r="L1333" s="55" t="n">
        <v>1006.25</v>
      </c>
      <c r="M1333" s="55" t="n">
        <v>7.25</v>
      </c>
      <c r="N1333" s="36" t="inlineStr">
        <is>
          <t>004740</t>
        </is>
      </c>
      <c r="O1333" s="36" t="inlineStr">
        <is>
          <t>NYM</t>
        </is>
      </c>
      <c r="P1333" s="36" t="inlineStr">
        <is>
          <t>9314DA31</t>
        </is>
      </c>
      <c r="Q1333" s="36" t="n">
        <v/>
      </c>
    </row>
    <row r="1334">
      <c r="A1334" s="36" t="inlineStr">
        <is>
          <t>133448</t>
        </is>
      </c>
      <c r="B1334" s="52" t="n">
        <v>46046</v>
      </c>
      <c r="C1334" s="36" t="inlineStr">
        <is>
          <t>00169418113</t>
        </is>
      </c>
      <c r="D1334" s="53" t="inlineStr">
        <is>
          <t>OZEMPIC (0.25 OR 0.5 MG/DOSE) 2 MG/3ML PEN-INJECTOR</t>
        </is>
      </c>
      <c r="E1334" s="36" t="n">
        <v>3</v>
      </c>
      <c r="F1334" s="54" t="n">
        <v>3</v>
      </c>
      <c r="G1334" s="54" t="n">
        <v>1</v>
      </c>
      <c r="H1334" s="55" t="n">
        <v>992</v>
      </c>
      <c r="I1334" s="55" t="n">
        <v>1006.25</v>
      </c>
      <c r="J1334" s="55" t="n">
        <v>0</v>
      </c>
      <c r="K1334" s="55" t="n">
        <v>0</v>
      </c>
      <c r="L1334" s="55" t="n">
        <v>1006.25</v>
      </c>
      <c r="M1334" s="55" t="n">
        <v>14.25</v>
      </c>
      <c r="N1334" s="36" t="inlineStr">
        <is>
          <t>004740</t>
        </is>
      </c>
      <c r="O1334" s="36" t="inlineStr">
        <is>
          <t>NYM</t>
        </is>
      </c>
      <c r="P1334" s="36" t="inlineStr">
        <is>
          <t>9314DA31</t>
        </is>
      </c>
      <c r="Q1334" s="36" t="n">
        <v/>
      </c>
    </row>
    <row r="1335">
      <c r="A1335" s="36" t="inlineStr">
        <is>
          <t>105258</t>
        </is>
      </c>
      <c r="B1335" s="52" t="n">
        <v>46029</v>
      </c>
      <c r="C1335" s="36" t="inlineStr">
        <is>
          <t>00169413013</t>
        </is>
      </c>
      <c r="D1335" s="53" t="inlineStr">
        <is>
          <t>OZEMPIC (1 MG/DOSE) 4MG/3ML INJECTION</t>
        </is>
      </c>
      <c r="E1335" s="36" t="n">
        <v>3</v>
      </c>
      <c r="F1335" s="54" t="n">
        <v>9</v>
      </c>
      <c r="G1335" s="54" t="n">
        <v>3</v>
      </c>
      <c r="H1335" s="55" t="n">
        <v>2976</v>
      </c>
      <c r="I1335" s="55" t="n">
        <v>2880</v>
      </c>
      <c r="J1335" s="55" t="n">
        <v>0</v>
      </c>
      <c r="K1335" s="55" t="n">
        <v>4.9</v>
      </c>
      <c r="L1335" s="55" t="n">
        <v>2884.9</v>
      </c>
      <c r="M1335" s="55" t="n">
        <v>-91.09999999999999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MEDDADV</t>
        </is>
      </c>
      <c r="Q1335" s="36" t="inlineStr">
        <is>
          <t>RX1110</t>
        </is>
      </c>
    </row>
    <row r="1336">
      <c r="A1336" s="36" t="inlineStr">
        <is>
          <t>132732</t>
        </is>
      </c>
      <c r="B1336" s="52" t="n">
        <v>46036</v>
      </c>
      <c r="C1336" s="36" t="inlineStr">
        <is>
          <t>00169413013</t>
        </is>
      </c>
      <c r="D1336" s="53" t="inlineStr">
        <is>
          <t>OZEMPIC (1 MG/DOSE) 4MG/3ML INJECTION</t>
        </is>
      </c>
      <c r="E1336" s="36" t="n">
        <v>3</v>
      </c>
      <c r="F1336" s="54" t="n">
        <v>3</v>
      </c>
      <c r="G1336" s="54" t="n">
        <v>1</v>
      </c>
      <c r="H1336" s="55" t="n">
        <v>992</v>
      </c>
      <c r="I1336" s="55" t="n">
        <v>975.84</v>
      </c>
      <c r="J1336" s="55" t="n">
        <v>0</v>
      </c>
      <c r="K1336" s="55" t="n">
        <v>0</v>
      </c>
      <c r="L1336" s="55" t="n">
        <v>975.84</v>
      </c>
      <c r="M1336" s="55" t="n">
        <v>-16.16</v>
      </c>
      <c r="N1336" s="36" t="inlineStr">
        <is>
          <t>020115</t>
        </is>
      </c>
      <c r="O1336" s="36" t="inlineStr">
        <is>
          <t>CAREMARK</t>
        </is>
      </c>
      <c r="P1336" s="36" t="inlineStr">
        <is>
          <t>IS</t>
        </is>
      </c>
      <c r="Q1336" s="36" t="inlineStr">
        <is>
          <t>WM2A</t>
        </is>
      </c>
    </row>
    <row r="1337">
      <c r="A1337" s="36" t="inlineStr">
        <is>
          <t>120083</t>
        </is>
      </c>
      <c r="B1337" s="52" t="n">
        <v>46055</v>
      </c>
      <c r="C1337" s="36" t="inlineStr">
        <is>
          <t>00169413013</t>
        </is>
      </c>
      <c r="D1337" s="53" t="inlineStr">
        <is>
          <t>OZEMPIC (1 MG/DOSE) 4MG/3ML INJECTION</t>
        </is>
      </c>
      <c r="E1337" s="36" t="n">
        <v>3</v>
      </c>
      <c r="F1337" s="54" t="n">
        <v>9</v>
      </c>
      <c r="G1337" s="54" t="n">
        <v>3</v>
      </c>
      <c r="H1337" s="55" t="n">
        <v>2997</v>
      </c>
      <c r="I1337" s="55" t="n">
        <v>2998.12</v>
      </c>
      <c r="J1337" s="55" t="n">
        <v>0</v>
      </c>
      <c r="K1337" s="55" t="n">
        <v>0</v>
      </c>
      <c r="L1337" s="55" t="n">
        <v>2998.12</v>
      </c>
      <c r="M1337" s="55" t="n">
        <v>1.12</v>
      </c>
      <c r="N1337" s="36" t="inlineStr">
        <is>
          <t>004740</t>
        </is>
      </c>
      <c r="O1337" s="36" t="inlineStr">
        <is>
          <t>NYM</t>
        </is>
      </c>
      <c r="P1337" s="36" t="inlineStr">
        <is>
          <t>9314DA31</t>
        </is>
      </c>
      <c r="Q1337" s="36" t="n">
        <v/>
      </c>
    </row>
    <row r="1338">
      <c r="A1338" s="36" t="inlineStr">
        <is>
          <t>138483</t>
        </is>
      </c>
      <c r="B1338" s="52" t="n">
        <v>46059</v>
      </c>
      <c r="C1338" s="36" t="inlineStr">
        <is>
          <t>00169413013</t>
        </is>
      </c>
      <c r="D1338" s="53" t="inlineStr">
        <is>
          <t>OZEMPIC (1 MG/DOSE) 4MG/3ML INJECTION</t>
        </is>
      </c>
      <c r="E1338" s="36" t="n">
        <v>3</v>
      </c>
      <c r="F1338" s="54" t="n">
        <v>3</v>
      </c>
      <c r="G1338" s="54" t="n">
        <v>1</v>
      </c>
      <c r="H1338" s="55" t="n">
        <v>999</v>
      </c>
      <c r="I1338" s="55" t="n">
        <v>977.54</v>
      </c>
      <c r="J1338" s="55" t="n">
        <v>0</v>
      </c>
      <c r="K1338" s="55" t="n">
        <v>0</v>
      </c>
      <c r="L1338" s="55" t="n">
        <v>977.54</v>
      </c>
      <c r="M1338" s="55" t="n">
        <v>-21.46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135125</t>
        </is>
      </c>
      <c r="B1339" s="52" t="n">
        <v>46006</v>
      </c>
      <c r="C1339" s="36" t="inlineStr">
        <is>
          <t>00169413013</t>
        </is>
      </c>
      <c r="D1339" s="53" t="inlineStr">
        <is>
          <t>OZEMPIC (1 MG/DOSE) 4MG/3ML INJECTION</t>
        </is>
      </c>
      <c r="E1339" s="36" t="n">
        <v>3</v>
      </c>
      <c r="F1339" s="54" t="n">
        <v>9</v>
      </c>
      <c r="G1339" s="54" t="n">
        <v>3</v>
      </c>
      <c r="H1339" s="55" t="n">
        <v>2880</v>
      </c>
      <c r="I1339" s="55" t="n">
        <v>2754.19</v>
      </c>
      <c r="J1339" s="55" t="n">
        <v>0</v>
      </c>
      <c r="K1339" s="55" t="n">
        <v>0</v>
      </c>
      <c r="L1339" s="55" t="n">
        <v>2754.19</v>
      </c>
      <c r="M1339" s="55" t="n">
        <v>-125.81</v>
      </c>
      <c r="N1339" s="36" t="inlineStr">
        <is>
          <t>004336</t>
        </is>
      </c>
      <c r="O1339" s="36" t="inlineStr">
        <is>
          <t>CAREMARK</t>
        </is>
      </c>
      <c r="P1339" s="36" t="inlineStr">
        <is>
          <t>MEDDADV</t>
        </is>
      </c>
      <c r="Q1339" s="36" t="inlineStr">
        <is>
          <t>RX8585</t>
        </is>
      </c>
    </row>
    <row r="1340">
      <c r="A1340" s="36" t="inlineStr">
        <is>
          <t>124128</t>
        </is>
      </c>
      <c r="B1340" s="52" t="n">
        <v>46055</v>
      </c>
      <c r="C1340" s="36" t="inlineStr">
        <is>
          <t>00169413013</t>
        </is>
      </c>
      <c r="D1340" s="53" t="inlineStr">
        <is>
          <t>OZEMPIC (1 MG/DOSE) 4MG/3ML INJECTION</t>
        </is>
      </c>
      <c r="E1340" s="36" t="n">
        <v>3</v>
      </c>
      <c r="F1340" s="54" t="n">
        <v>3</v>
      </c>
      <c r="G1340" s="54" t="n">
        <v>1</v>
      </c>
      <c r="H1340" s="55" t="n">
        <v>999</v>
      </c>
      <c r="I1340" s="55" t="n">
        <v>977.54</v>
      </c>
      <c r="J1340" s="55" t="n">
        <v>0</v>
      </c>
      <c r="K1340" s="55" t="n">
        <v>0</v>
      </c>
      <c r="L1340" s="55" t="n">
        <v>977.54</v>
      </c>
      <c r="M1340" s="55" t="n">
        <v>-21.46</v>
      </c>
      <c r="N1340" s="36" t="inlineStr">
        <is>
          <t>004336</t>
        </is>
      </c>
      <c r="O1340" s="36" t="inlineStr">
        <is>
          <t>CAREMARK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124025</t>
        </is>
      </c>
      <c r="B1341" s="52" t="n">
        <v>46006</v>
      </c>
      <c r="C1341" s="36" t="inlineStr">
        <is>
          <t>00169413013</t>
        </is>
      </c>
      <c r="D1341" s="53" t="inlineStr">
        <is>
          <t>OZEMPIC (1 MG/DOSE) 4MG/3ML INJECTION</t>
        </is>
      </c>
      <c r="E1341" s="36" t="n">
        <v>3</v>
      </c>
      <c r="F1341" s="54" t="n">
        <v>3</v>
      </c>
      <c r="G1341" s="54" t="n">
        <v>1</v>
      </c>
      <c r="H1341" s="55" t="n">
        <v>960</v>
      </c>
      <c r="I1341" s="55" t="n">
        <v>940.6799999999999</v>
      </c>
      <c r="J1341" s="55" t="n">
        <v>0</v>
      </c>
      <c r="K1341" s="55" t="n">
        <v>0</v>
      </c>
      <c r="L1341" s="55" t="n">
        <v>940.6799999999999</v>
      </c>
      <c r="M1341" s="55" t="n">
        <v>-19.32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134418</t>
        </is>
      </c>
      <c r="B1342" s="52" t="n">
        <v>46000</v>
      </c>
      <c r="C1342" s="36" t="inlineStr">
        <is>
          <t>00169413013</t>
        </is>
      </c>
      <c r="D1342" s="53" t="inlineStr">
        <is>
          <t>OZEMPIC (1 MG/DOSE) 4MG/3ML INJECTION</t>
        </is>
      </c>
      <c r="E1342" s="36" t="n">
        <v>3</v>
      </c>
      <c r="F1342" s="54" t="n">
        <v>9</v>
      </c>
      <c r="G1342" s="54" t="n">
        <v>3</v>
      </c>
      <c r="H1342" s="55" t="n">
        <v>2880</v>
      </c>
      <c r="I1342" s="55" t="n">
        <v>2911.19</v>
      </c>
      <c r="J1342" s="55" t="n">
        <v>0</v>
      </c>
      <c r="K1342" s="55" t="n">
        <v>0</v>
      </c>
      <c r="L1342" s="55" t="n">
        <v>2911.19</v>
      </c>
      <c r="M1342" s="55" t="n">
        <v>31.19</v>
      </c>
      <c r="N1342" s="36" t="inlineStr">
        <is>
          <t>004740</t>
        </is>
      </c>
      <c r="O1342" s="36" t="inlineStr">
        <is>
          <t>NYM</t>
        </is>
      </c>
      <c r="P1342" s="36" t="inlineStr">
        <is>
          <t>9314DA31</t>
        </is>
      </c>
      <c r="Q1342" s="36" t="n">
        <v/>
      </c>
    </row>
    <row r="1343">
      <c r="A1343" s="36" t="inlineStr">
        <is>
          <t>114537</t>
        </is>
      </c>
      <c r="B1343" s="52" t="n">
        <v>46017</v>
      </c>
      <c r="C1343" s="36" t="inlineStr">
        <is>
          <t>00169413013</t>
        </is>
      </c>
      <c r="D1343" s="53" t="inlineStr">
        <is>
          <t>OZEMPIC (1 MG/DOSE) 4MG/3ML INJECTION</t>
        </is>
      </c>
      <c r="E1343" s="36" t="n">
        <v>3</v>
      </c>
      <c r="F1343" s="54" t="n">
        <v>3</v>
      </c>
      <c r="G1343" s="54" t="n">
        <v>1</v>
      </c>
      <c r="H1343" s="55" t="n">
        <v>960</v>
      </c>
      <c r="I1343" s="55" t="n">
        <v>932.04</v>
      </c>
      <c r="J1343" s="55" t="n">
        <v>0</v>
      </c>
      <c r="K1343" s="55" t="n">
        <v>0</v>
      </c>
      <c r="L1343" s="55" t="n">
        <v>932.04</v>
      </c>
      <c r="M1343" s="55" t="n">
        <v>-27.96</v>
      </c>
      <c r="N1343" s="36" t="inlineStr">
        <is>
          <t>004336</t>
        </is>
      </c>
      <c r="O1343" s="36" t="inlineStr">
        <is>
          <t>CAREMARK</t>
        </is>
      </c>
      <c r="P1343" s="36" t="inlineStr">
        <is>
          <t>ADV</t>
        </is>
      </c>
      <c r="Q1343" s="36" t="inlineStr">
        <is>
          <t>RX1108</t>
        </is>
      </c>
    </row>
    <row r="1344">
      <c r="A1344" s="36" t="inlineStr">
        <is>
          <t>130639</t>
        </is>
      </c>
      <c r="B1344" s="52" t="n">
        <v>45996</v>
      </c>
      <c r="C1344" s="36" t="inlineStr">
        <is>
          <t>00169413013</t>
        </is>
      </c>
      <c r="D1344" s="53" t="inlineStr">
        <is>
          <t>OZEMPIC (1 MG/DOSE) 4MG/3ML INJECTION</t>
        </is>
      </c>
      <c r="E1344" s="36" t="n">
        <v>3</v>
      </c>
      <c r="F1344" s="54" t="n">
        <v>3</v>
      </c>
      <c r="G1344" s="54" t="n">
        <v>1</v>
      </c>
      <c r="H1344" s="55" t="n">
        <v>960</v>
      </c>
      <c r="I1344" s="55" t="n">
        <v>940.6799999999999</v>
      </c>
      <c r="J1344" s="55" t="n">
        <v>0</v>
      </c>
      <c r="K1344" s="55" t="n">
        <v>0</v>
      </c>
      <c r="L1344" s="55" t="n">
        <v>940.6799999999999</v>
      </c>
      <c r="M1344" s="55" t="n">
        <v>-19.32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RX1110</t>
        </is>
      </c>
    </row>
    <row r="1345">
      <c r="A1345" s="36" t="inlineStr">
        <is>
          <t>137408</t>
        </is>
      </c>
      <c r="B1345" s="52" t="n">
        <v>46027</v>
      </c>
      <c r="C1345" s="36" t="inlineStr">
        <is>
          <t>00169413013</t>
        </is>
      </c>
      <c r="D1345" s="53" t="inlineStr">
        <is>
          <t>OZEMPIC (1 MG/DOSE) 4MG/3ML INJECTION</t>
        </is>
      </c>
      <c r="E1345" s="36" t="n">
        <v>3</v>
      </c>
      <c r="F1345" s="54" t="n">
        <v>3</v>
      </c>
      <c r="G1345" s="54" t="n">
        <v>1</v>
      </c>
      <c r="H1345" s="55" t="n">
        <v>992</v>
      </c>
      <c r="I1345" s="55" t="n">
        <v>977.15</v>
      </c>
      <c r="J1345" s="55" t="n">
        <v>0</v>
      </c>
      <c r="K1345" s="55" t="n">
        <v>0</v>
      </c>
      <c r="L1345" s="55" t="n">
        <v>977.15</v>
      </c>
      <c r="M1345" s="55" t="n">
        <v>-14.85</v>
      </c>
      <c r="N1345" s="36" t="inlineStr">
        <is>
          <t>004740</t>
        </is>
      </c>
      <c r="O1345" s="36" t="inlineStr">
        <is>
          <t>NYM</t>
        </is>
      </c>
      <c r="P1345" s="36" t="inlineStr">
        <is>
          <t>9314DA31</t>
        </is>
      </c>
      <c r="Q1345" s="36" t="n">
        <v/>
      </c>
    </row>
    <row r="1346">
      <c r="A1346" s="36" t="inlineStr">
        <is>
          <t>137516</t>
        </is>
      </c>
      <c r="B1346" s="52" t="n">
        <v>46027</v>
      </c>
      <c r="C1346" s="36" t="inlineStr">
        <is>
          <t>00169413013</t>
        </is>
      </c>
      <c r="D1346" s="53" t="inlineStr">
        <is>
          <t>OZEMPIC (1 MG/DOSE) 4MG/3ML INJECTION</t>
        </is>
      </c>
      <c r="E1346" s="36" t="n">
        <v>3</v>
      </c>
      <c r="F1346" s="54" t="n">
        <v>3</v>
      </c>
      <c r="G1346" s="54" t="n">
        <v>1</v>
      </c>
      <c r="H1346" s="55" t="n">
        <v>992</v>
      </c>
      <c r="I1346" s="55" t="n">
        <v>974.79</v>
      </c>
      <c r="J1346" s="55" t="n">
        <v>0</v>
      </c>
      <c r="K1346" s="55" t="n">
        <v>0</v>
      </c>
      <c r="L1346" s="55" t="n">
        <v>974.79</v>
      </c>
      <c r="M1346" s="55" t="n">
        <v>-17.21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ADV</t>
        </is>
      </c>
      <c r="Q1346" s="36" t="inlineStr">
        <is>
          <t>RX1103</t>
        </is>
      </c>
    </row>
    <row r="1347">
      <c r="A1347" s="36" t="inlineStr">
        <is>
          <t>144035</t>
        </is>
      </c>
      <c r="B1347" s="52" t="n">
        <v>46072</v>
      </c>
      <c r="C1347" s="36" t="inlineStr">
        <is>
          <t>00169413013</t>
        </is>
      </c>
      <c r="D1347" s="53" t="inlineStr">
        <is>
          <t>OZEMPIC (1 MG/DOSE) 4MG/3ML INJECTION</t>
        </is>
      </c>
      <c r="E1347" s="36" t="n">
        <v>3</v>
      </c>
      <c r="F1347" s="54" t="n">
        <v>3</v>
      </c>
      <c r="G1347" s="54" t="n">
        <v>1</v>
      </c>
      <c r="H1347" s="55" t="n">
        <v>999</v>
      </c>
      <c r="I1347" s="55" t="n">
        <v>977.54</v>
      </c>
      <c r="J1347" s="55" t="n">
        <v>0</v>
      </c>
      <c r="K1347" s="55" t="n">
        <v>0</v>
      </c>
      <c r="L1347" s="55" t="n">
        <v>977.54</v>
      </c>
      <c r="M1347" s="55" t="n">
        <v>-21.46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119014</t>
        </is>
      </c>
      <c r="B1348" s="52" t="n">
        <v>46028</v>
      </c>
      <c r="C1348" s="36" t="inlineStr">
        <is>
          <t>00169413013</t>
        </is>
      </c>
      <c r="D1348" s="53" t="inlineStr">
        <is>
          <t>OZEMPIC (1 MG/DOSE) 4MG/3ML INJECTION</t>
        </is>
      </c>
      <c r="E1348" s="36" t="n">
        <v>3</v>
      </c>
      <c r="F1348" s="54" t="n">
        <v>9</v>
      </c>
      <c r="G1348" s="54" t="n">
        <v>3</v>
      </c>
      <c r="H1348" s="55" t="n">
        <v>2976</v>
      </c>
      <c r="I1348" s="55" t="n">
        <v>2911.09</v>
      </c>
      <c r="J1348" s="55" t="n">
        <v>0</v>
      </c>
      <c r="K1348" s="55" t="n">
        <v>0</v>
      </c>
      <c r="L1348" s="55" t="n">
        <v>2911.09</v>
      </c>
      <c r="M1348" s="55" t="n">
        <v>-64.91</v>
      </c>
      <c r="N1348" s="36" t="inlineStr">
        <is>
          <t>004740</t>
        </is>
      </c>
      <c r="O1348" s="36" t="inlineStr">
        <is>
          <t>NYM</t>
        </is>
      </c>
      <c r="P1348" s="36" t="inlineStr">
        <is>
          <t>9314DA31</t>
        </is>
      </c>
      <c r="Q1348" s="36" t="n">
        <v/>
      </c>
    </row>
    <row r="1349">
      <c r="A1349" s="36" t="inlineStr">
        <is>
          <t>142317</t>
        </is>
      </c>
      <c r="B1349" s="52" t="n">
        <v>46062</v>
      </c>
      <c r="C1349" s="36" t="inlineStr">
        <is>
          <t>00169413013</t>
        </is>
      </c>
      <c r="D1349" s="53" t="inlineStr">
        <is>
          <t>OZEMPIC (1 MG/DOSE) 4MG/3ML INJECTION</t>
        </is>
      </c>
      <c r="E1349" s="36" t="n">
        <v>3</v>
      </c>
      <c r="F1349" s="54" t="n">
        <v>3</v>
      </c>
      <c r="G1349" s="54" t="n">
        <v>1</v>
      </c>
      <c r="H1349" s="55" t="n">
        <v>999</v>
      </c>
      <c r="I1349" s="55" t="n">
        <v>975.84</v>
      </c>
      <c r="J1349" s="55" t="n">
        <v>0</v>
      </c>
      <c r="K1349" s="55" t="n">
        <v>0</v>
      </c>
      <c r="L1349" s="55" t="n">
        <v>975.84</v>
      </c>
      <c r="M1349" s="55" t="n">
        <v>-23.16</v>
      </c>
      <c r="N1349" s="36" t="inlineStr">
        <is>
          <t>020115</t>
        </is>
      </c>
      <c r="O1349" s="36" t="inlineStr">
        <is>
          <t>CAREMARK</t>
        </is>
      </c>
      <c r="P1349" s="36" t="inlineStr">
        <is>
          <t>IS</t>
        </is>
      </c>
      <c r="Q1349" s="36" t="inlineStr">
        <is>
          <t>WM2A</t>
        </is>
      </c>
    </row>
    <row r="1350">
      <c r="A1350" s="36" t="inlineStr">
        <is>
          <t>137776</t>
        </is>
      </c>
      <c r="B1350" s="52" t="n">
        <v>46030</v>
      </c>
      <c r="C1350" s="36" t="inlineStr">
        <is>
          <t>00169413013</t>
        </is>
      </c>
      <c r="D1350" s="53" t="inlineStr">
        <is>
          <t>OZEMPIC (1 MG/DOSE) 4MG/3ML INJECTION</t>
        </is>
      </c>
      <c r="E1350" s="36" t="n">
        <v>3</v>
      </c>
      <c r="F1350" s="54" t="n">
        <v>3</v>
      </c>
      <c r="G1350" s="54" t="n">
        <v>1</v>
      </c>
      <c r="H1350" s="55" t="n">
        <v>992</v>
      </c>
      <c r="I1350" s="55" t="n">
        <v>974.79</v>
      </c>
      <c r="J1350" s="55" t="n">
        <v>0</v>
      </c>
      <c r="K1350" s="55" t="n">
        <v>0</v>
      </c>
      <c r="L1350" s="55" t="n">
        <v>974.79</v>
      </c>
      <c r="M1350" s="55" t="n">
        <v>-17.21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ADV</t>
        </is>
      </c>
      <c r="Q1350" s="36" t="inlineStr">
        <is>
          <t>RX1103</t>
        </is>
      </c>
    </row>
    <row r="1351">
      <c r="A1351" s="36" t="inlineStr">
        <is>
          <t>141844</t>
        </is>
      </c>
      <c r="B1351" s="52" t="n">
        <v>46057</v>
      </c>
      <c r="C1351" s="36" t="inlineStr">
        <is>
          <t>00169413013</t>
        </is>
      </c>
      <c r="D1351" s="53" t="inlineStr">
        <is>
          <t>OZEMPIC (1 MG/DOSE) 4MG/3ML INJECTION</t>
        </is>
      </c>
      <c r="E1351" s="36" t="n">
        <v>3</v>
      </c>
      <c r="F1351" s="54" t="n">
        <v>3</v>
      </c>
      <c r="G1351" s="54" t="n">
        <v>1</v>
      </c>
      <c r="H1351" s="55" t="n">
        <v>999</v>
      </c>
      <c r="I1351" s="55" t="n">
        <v>974.79</v>
      </c>
      <c r="J1351" s="55" t="n">
        <v>0</v>
      </c>
      <c r="K1351" s="55" t="n">
        <v>0</v>
      </c>
      <c r="L1351" s="55" t="n">
        <v>974.79</v>
      </c>
      <c r="M1351" s="55" t="n">
        <v>-24.21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ADV</t>
        </is>
      </c>
      <c r="Q1351" s="36" t="inlineStr">
        <is>
          <t>RX1103</t>
        </is>
      </c>
    </row>
    <row r="1352">
      <c r="A1352" s="36" t="inlineStr">
        <is>
          <t>128008</t>
        </is>
      </c>
      <c r="B1352" s="52" t="n">
        <v>46006</v>
      </c>
      <c r="C1352" s="36" t="inlineStr">
        <is>
          <t>00169413013</t>
        </is>
      </c>
      <c r="D1352" s="53" t="inlineStr">
        <is>
          <t>OZEMPIC (1 MG/DOSE) 4MG/3ML INJECTION</t>
        </is>
      </c>
      <c r="E1352" s="36" t="n">
        <v>3</v>
      </c>
      <c r="F1352" s="54" t="n">
        <v>3</v>
      </c>
      <c r="G1352" s="54" t="n">
        <v>1</v>
      </c>
      <c r="H1352" s="55" t="n">
        <v>960</v>
      </c>
      <c r="I1352" s="55" t="n">
        <v>932.04</v>
      </c>
      <c r="J1352" s="55" t="n">
        <v>0</v>
      </c>
      <c r="K1352" s="55" t="n">
        <v>0</v>
      </c>
      <c r="L1352" s="55" t="n">
        <v>932.04</v>
      </c>
      <c r="M1352" s="55" t="n">
        <v>-27.96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ADV</t>
        </is>
      </c>
      <c r="Q1352" s="36" t="inlineStr">
        <is>
          <t>RX1103</t>
        </is>
      </c>
    </row>
    <row r="1353">
      <c r="A1353" s="36" t="inlineStr">
        <is>
          <t>128391</t>
        </is>
      </c>
      <c r="B1353" s="52" t="n">
        <v>46035</v>
      </c>
      <c r="C1353" s="36" t="inlineStr">
        <is>
          <t>00169413013</t>
        </is>
      </c>
      <c r="D1353" s="53" t="inlineStr">
        <is>
          <t>OZEMPIC (1 MG/DOSE) 4MG/3ML INJECTION</t>
        </is>
      </c>
      <c r="E1353" s="36" t="n">
        <v>3</v>
      </c>
      <c r="F1353" s="54" t="n">
        <v>3</v>
      </c>
      <c r="G1353" s="54" t="n">
        <v>1</v>
      </c>
      <c r="H1353" s="55" t="n">
        <v>992</v>
      </c>
      <c r="I1353" s="55" t="n">
        <v>964.89</v>
      </c>
      <c r="J1353" s="55" t="n">
        <v>0</v>
      </c>
      <c r="K1353" s="55" t="n">
        <v>12.65</v>
      </c>
      <c r="L1353" s="55" t="n">
        <v>977.54</v>
      </c>
      <c r="M1353" s="55" t="n">
        <v>-14.46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142239</t>
        </is>
      </c>
      <c r="B1354" s="52" t="n">
        <v>46059</v>
      </c>
      <c r="C1354" s="36" t="inlineStr">
        <is>
          <t>00169413013</t>
        </is>
      </c>
      <c r="D1354" s="53" t="inlineStr">
        <is>
          <t>OZEMPIC (1 MG/DOSE) 4MG/3ML INJECTION</t>
        </is>
      </c>
      <c r="E1354" s="36" t="n">
        <v>3</v>
      </c>
      <c r="F1354" s="54" t="n">
        <v>3</v>
      </c>
      <c r="G1354" s="54" t="n">
        <v>1</v>
      </c>
      <c r="H1354" s="55" t="n">
        <v>999</v>
      </c>
      <c r="I1354" s="55" t="n">
        <v>974.79</v>
      </c>
      <c r="J1354" s="55" t="n">
        <v>0</v>
      </c>
      <c r="K1354" s="55" t="n">
        <v>0</v>
      </c>
      <c r="L1354" s="55" t="n">
        <v>974.79</v>
      </c>
      <c r="M1354" s="55" t="n">
        <v>-24.21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ADV</t>
        </is>
      </c>
      <c r="Q1354" s="36" t="inlineStr">
        <is>
          <t>RX1103</t>
        </is>
      </c>
    </row>
    <row r="1355">
      <c r="A1355" s="36" t="inlineStr">
        <is>
          <t>138304</t>
        </is>
      </c>
      <c r="B1355" s="52" t="n">
        <v>46031</v>
      </c>
      <c r="C1355" s="36" t="inlineStr">
        <is>
          <t>00169413013</t>
        </is>
      </c>
      <c r="D1355" s="53" t="inlineStr">
        <is>
          <t>OZEMPIC (1 MG/DOSE) 4MG/3ML INJECTION</t>
        </is>
      </c>
      <c r="E1355" s="36" t="n">
        <v>3</v>
      </c>
      <c r="F1355" s="54" t="n">
        <v>9</v>
      </c>
      <c r="G1355" s="54" t="n">
        <v>3</v>
      </c>
      <c r="H1355" s="55" t="n">
        <v>2976</v>
      </c>
      <c r="I1355" s="55" t="n">
        <v>2755.78</v>
      </c>
      <c r="J1355" s="55" t="n">
        <v>0</v>
      </c>
      <c r="K1355" s="55" t="n">
        <v>0</v>
      </c>
      <c r="L1355" s="55" t="n">
        <v>2755.78</v>
      </c>
      <c r="M1355" s="55" t="n">
        <v>-220.22</v>
      </c>
      <c r="N1355" s="36" t="inlineStr">
        <is>
          <t>015574</t>
        </is>
      </c>
      <c r="O1355" s="36" t="inlineStr">
        <is>
          <t>MEDIMP</t>
        </is>
      </c>
      <c r="P1355" s="36" t="inlineStr">
        <is>
          <t>ASPROD1</t>
        </is>
      </c>
      <c r="Q1355" s="36" t="n">
        <v/>
      </c>
    </row>
    <row r="1356">
      <c r="A1356" s="36" t="inlineStr">
        <is>
          <t>140490</t>
        </is>
      </c>
      <c r="B1356" s="52" t="n">
        <v>46048</v>
      </c>
      <c r="C1356" s="36" t="inlineStr">
        <is>
          <t>00169413013</t>
        </is>
      </c>
      <c r="D1356" s="53" t="inlineStr">
        <is>
          <t>OZEMPIC (1 MG/DOSE) 4MG/3ML INJECTION</t>
        </is>
      </c>
      <c r="E1356" s="36" t="n">
        <v>3</v>
      </c>
      <c r="F1356" s="54" t="n">
        <v>9</v>
      </c>
      <c r="G1356" s="54" t="n">
        <v>3</v>
      </c>
      <c r="H1356" s="55" t="n">
        <v>2976</v>
      </c>
      <c r="I1356" s="55" t="n">
        <v>2755.78</v>
      </c>
      <c r="J1356" s="55" t="n">
        <v>0</v>
      </c>
      <c r="K1356" s="55" t="n">
        <v>0</v>
      </c>
      <c r="L1356" s="55" t="n">
        <v>2755.78</v>
      </c>
      <c r="M1356" s="55" t="n">
        <v>-220.22</v>
      </c>
      <c r="N1356" s="36" t="inlineStr">
        <is>
          <t>015574</t>
        </is>
      </c>
      <c r="O1356" s="36" t="inlineStr">
        <is>
          <t>MEDIMP</t>
        </is>
      </c>
      <c r="P1356" s="36" t="inlineStr">
        <is>
          <t>ASPROD1</t>
        </is>
      </c>
      <c r="Q1356" s="36" t="inlineStr">
        <is>
          <t>VNS01</t>
        </is>
      </c>
    </row>
    <row r="1357">
      <c r="A1357" s="36" t="inlineStr">
        <is>
          <t>132732</t>
        </is>
      </c>
      <c r="B1357" s="52" t="n">
        <v>46011</v>
      </c>
      <c r="C1357" s="36" t="inlineStr">
        <is>
          <t>00169413013</t>
        </is>
      </c>
      <c r="D1357" s="53" t="inlineStr">
        <is>
          <t>OZEMPIC (1 MG/DOSE) 4MG/3ML INJECTION</t>
        </is>
      </c>
      <c r="E1357" s="36" t="n">
        <v>3</v>
      </c>
      <c r="F1357" s="54" t="n">
        <v>3</v>
      </c>
      <c r="G1357" s="54" t="n">
        <v>1</v>
      </c>
      <c r="H1357" s="55" t="n">
        <v>960</v>
      </c>
      <c r="I1357" s="55" t="n">
        <v>958.79</v>
      </c>
      <c r="J1357" s="55" t="n">
        <v>0</v>
      </c>
      <c r="K1357" s="55" t="n">
        <v>0</v>
      </c>
      <c r="L1357" s="55" t="n">
        <v>958.79</v>
      </c>
      <c r="M1357" s="55" t="n">
        <v>-1.21</v>
      </c>
      <c r="N1357" s="36" t="inlineStr">
        <is>
          <t>020115</t>
        </is>
      </c>
      <c r="O1357" s="36" t="inlineStr">
        <is>
          <t>CAREMARK</t>
        </is>
      </c>
      <c r="P1357" s="36" t="inlineStr">
        <is>
          <t>IS</t>
        </is>
      </c>
      <c r="Q1357" s="36" t="inlineStr">
        <is>
          <t>WM2A</t>
        </is>
      </c>
    </row>
    <row r="1358">
      <c r="A1358" s="36" t="inlineStr">
        <is>
          <t>137653</t>
        </is>
      </c>
      <c r="B1358" s="52" t="n">
        <v>46027</v>
      </c>
      <c r="C1358" s="36" t="inlineStr">
        <is>
          <t>00169413013</t>
        </is>
      </c>
      <c r="D1358" s="53" t="inlineStr">
        <is>
          <t>OZEMPIC (1 MG/DOSE) 4MG/3ML INJECTION</t>
        </is>
      </c>
      <c r="E1358" s="36" t="n">
        <v>3</v>
      </c>
      <c r="F1358" s="54" t="n">
        <v>9</v>
      </c>
      <c r="G1358" s="54" t="n">
        <v>3</v>
      </c>
      <c r="H1358" s="55" t="n">
        <v>2976</v>
      </c>
      <c r="I1358" s="55" t="n">
        <v>2880</v>
      </c>
      <c r="J1358" s="55" t="n">
        <v>0</v>
      </c>
      <c r="K1358" s="55" t="n">
        <v>4.9</v>
      </c>
      <c r="L1358" s="55" t="n">
        <v>2884.9</v>
      </c>
      <c r="M1358" s="55" t="n">
        <v>-91.09999999999999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124128</t>
        </is>
      </c>
      <c r="B1359" s="52" t="n">
        <v>46028</v>
      </c>
      <c r="C1359" s="36" t="inlineStr">
        <is>
          <t>00169413013</t>
        </is>
      </c>
      <c r="D1359" s="53" t="inlineStr">
        <is>
          <t>OZEMPIC (1 MG/DOSE) 4MG/3ML INJECTION</t>
        </is>
      </c>
      <c r="E1359" s="36" t="n">
        <v>3</v>
      </c>
      <c r="F1359" s="54" t="n">
        <v>3</v>
      </c>
      <c r="G1359" s="54" t="n">
        <v>1</v>
      </c>
      <c r="H1359" s="55" t="n">
        <v>992</v>
      </c>
      <c r="I1359" s="55" t="n">
        <v>977.54</v>
      </c>
      <c r="J1359" s="55" t="n">
        <v>0</v>
      </c>
      <c r="K1359" s="55" t="n">
        <v>0</v>
      </c>
      <c r="L1359" s="55" t="n">
        <v>977.54</v>
      </c>
      <c r="M1359" s="55" t="n">
        <v>-14.46</v>
      </c>
      <c r="N1359" s="36" t="inlineStr">
        <is>
          <t>004336</t>
        </is>
      </c>
      <c r="O1359" s="36" t="inlineStr">
        <is>
          <t>CAREMARK</t>
        </is>
      </c>
      <c r="P1359" s="36" t="inlineStr">
        <is>
          <t>MEDDADV</t>
        </is>
      </c>
      <c r="Q1359" s="36" t="inlineStr">
        <is>
          <t>RX1110</t>
        </is>
      </c>
    </row>
    <row r="1360">
      <c r="A1360" s="36" t="inlineStr">
        <is>
          <t>124320</t>
        </is>
      </c>
      <c r="B1360" s="52" t="n">
        <v>46006</v>
      </c>
      <c r="C1360" s="36" t="inlineStr">
        <is>
          <t>00169413013</t>
        </is>
      </c>
      <c r="D1360" s="53" t="inlineStr">
        <is>
          <t>OZEMPIC (1 MG/DOSE) 4MG/3ML INJECTION</t>
        </is>
      </c>
      <c r="E1360" s="36" t="n">
        <v>3</v>
      </c>
      <c r="F1360" s="54" t="n">
        <v>3</v>
      </c>
      <c r="G1360" s="54" t="n">
        <v>1</v>
      </c>
      <c r="H1360" s="55" t="n">
        <v>960</v>
      </c>
      <c r="I1360" s="55" t="n">
        <v>932.04</v>
      </c>
      <c r="J1360" s="55" t="n">
        <v>0</v>
      </c>
      <c r="K1360" s="55" t="n">
        <v>0</v>
      </c>
      <c r="L1360" s="55" t="n">
        <v>932.04</v>
      </c>
      <c r="M1360" s="55" t="n">
        <v>-27.96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143486</t>
        </is>
      </c>
      <c r="B1361" s="52" t="n">
        <v>46069</v>
      </c>
      <c r="C1361" s="36" t="inlineStr">
        <is>
          <t>00169413013</t>
        </is>
      </c>
      <c r="D1361" s="53" t="inlineStr">
        <is>
          <t>OZEMPIC (1 MG/DOSE) 4MG/3ML INJECTION</t>
        </is>
      </c>
      <c r="E1361" s="36" t="n">
        <v>3</v>
      </c>
      <c r="F1361" s="54" t="n">
        <v>9</v>
      </c>
      <c r="G1361" s="54" t="n">
        <v>3</v>
      </c>
      <c r="H1361" s="55" t="n">
        <v>2997</v>
      </c>
      <c r="I1361" s="55" t="n">
        <v>2880</v>
      </c>
      <c r="J1361" s="55" t="n">
        <v>0</v>
      </c>
      <c r="K1361" s="55" t="n">
        <v>4.9</v>
      </c>
      <c r="L1361" s="55" t="n">
        <v>2884.9</v>
      </c>
      <c r="M1361" s="55" t="n">
        <v>-112.1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137020</t>
        </is>
      </c>
      <c r="B1362" s="52" t="n">
        <v>46046</v>
      </c>
      <c r="C1362" s="36" t="inlineStr">
        <is>
          <t>00169413013</t>
        </is>
      </c>
      <c r="D1362" s="53" t="inlineStr">
        <is>
          <t>OZEMPIC (1 MG/DOSE) 4MG/3ML INJECTION</t>
        </is>
      </c>
      <c r="E1362" s="36" t="n">
        <v>3</v>
      </c>
      <c r="F1362" s="54" t="n">
        <v>3</v>
      </c>
      <c r="G1362" s="54" t="n">
        <v>1</v>
      </c>
      <c r="H1362" s="55" t="n">
        <v>992</v>
      </c>
      <c r="I1362" s="55" t="n">
        <v>977.54</v>
      </c>
      <c r="J1362" s="55" t="n">
        <v>0</v>
      </c>
      <c r="K1362" s="55" t="n">
        <v>0</v>
      </c>
      <c r="L1362" s="55" t="n">
        <v>977.54</v>
      </c>
      <c r="M1362" s="55" t="n">
        <v>-14.46</v>
      </c>
      <c r="N1362" s="36" t="inlineStr">
        <is>
          <t>004336</t>
        </is>
      </c>
      <c r="O1362" s="36" t="inlineStr">
        <is>
          <t>CAREMARK</t>
        </is>
      </c>
      <c r="P1362" s="36" t="inlineStr">
        <is>
          <t>MEDDADV</t>
        </is>
      </c>
      <c r="Q1362" s="36" t="inlineStr">
        <is>
          <t>RX1110</t>
        </is>
      </c>
    </row>
    <row r="1363">
      <c r="A1363" s="36" t="inlineStr">
        <is>
          <t>141180</t>
        </is>
      </c>
      <c r="B1363" s="52" t="n">
        <v>46052</v>
      </c>
      <c r="C1363" s="36" t="inlineStr">
        <is>
          <t>00169413013</t>
        </is>
      </c>
      <c r="D1363" s="53" t="inlineStr">
        <is>
          <t>OZEMPIC (1 MG/DOSE) 4MG/3ML INJECTION</t>
        </is>
      </c>
      <c r="E1363" s="36" t="n">
        <v>3</v>
      </c>
      <c r="F1363" s="54" t="n">
        <v>3</v>
      </c>
      <c r="G1363" s="54" t="n">
        <v>1</v>
      </c>
      <c r="H1363" s="55" t="n">
        <v>992</v>
      </c>
      <c r="I1363" s="55" t="n">
        <v>974.79</v>
      </c>
      <c r="J1363" s="55" t="n">
        <v>0</v>
      </c>
      <c r="K1363" s="55" t="n">
        <v>0</v>
      </c>
      <c r="L1363" s="55" t="n">
        <v>974.79</v>
      </c>
      <c r="M1363" s="55" t="n">
        <v>-17.21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ADV</t>
        </is>
      </c>
      <c r="Q1363" s="36" t="inlineStr">
        <is>
          <t>RX1103</t>
        </is>
      </c>
    </row>
    <row r="1364">
      <c r="A1364" s="36" t="inlineStr">
        <is>
          <t>116098</t>
        </is>
      </c>
      <c r="B1364" s="52" t="n">
        <v>45999</v>
      </c>
      <c r="C1364" s="36" t="inlineStr">
        <is>
          <t>00169413013</t>
        </is>
      </c>
      <c r="D1364" s="53" t="inlineStr">
        <is>
          <t>OZEMPIC (1 MG/DOSE) 4MG/3ML INJECTION</t>
        </is>
      </c>
      <c r="E1364" s="36" t="n">
        <v>3</v>
      </c>
      <c r="F1364" s="54" t="n">
        <v>3</v>
      </c>
      <c r="G1364" s="54" t="n">
        <v>1</v>
      </c>
      <c r="H1364" s="55" t="n">
        <v>960</v>
      </c>
      <c r="I1364" s="55" t="n">
        <v>977.1799999999999</v>
      </c>
      <c r="J1364" s="55" t="n">
        <v>0</v>
      </c>
      <c r="K1364" s="55" t="n">
        <v>0</v>
      </c>
      <c r="L1364" s="55" t="n">
        <v>977.1799999999999</v>
      </c>
      <c r="M1364" s="55" t="n">
        <v>17.18</v>
      </c>
      <c r="N1364" s="36" t="inlineStr">
        <is>
          <t>004740</t>
        </is>
      </c>
      <c r="O1364" s="36" t="inlineStr">
        <is>
          <t>NYM</t>
        </is>
      </c>
      <c r="P1364" s="36" t="inlineStr">
        <is>
          <t>9314DA31</t>
        </is>
      </c>
      <c r="Q1364" s="36" t="n">
        <v/>
      </c>
    </row>
    <row r="1365">
      <c r="A1365" s="36" t="inlineStr">
        <is>
          <t>141282</t>
        </is>
      </c>
      <c r="B1365" s="52" t="n">
        <v>46052</v>
      </c>
      <c r="C1365" s="36" t="inlineStr">
        <is>
          <t>00169413013</t>
        </is>
      </c>
      <c r="D1365" s="53" t="inlineStr">
        <is>
          <t>OZEMPIC (1 MG/DOSE) 4MG/3ML INJECTION</t>
        </is>
      </c>
      <c r="E1365" s="36" t="n">
        <v>3</v>
      </c>
      <c r="F1365" s="54" t="n">
        <v>3</v>
      </c>
      <c r="G1365" s="54" t="n">
        <v>1</v>
      </c>
      <c r="H1365" s="55" t="n">
        <v>992</v>
      </c>
      <c r="I1365" s="55" t="n">
        <v>974.79</v>
      </c>
      <c r="J1365" s="55" t="n">
        <v>0</v>
      </c>
      <c r="K1365" s="55" t="n">
        <v>0</v>
      </c>
      <c r="L1365" s="55" t="n">
        <v>974.79</v>
      </c>
      <c r="M1365" s="55" t="n">
        <v>-17.21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ADV</t>
        </is>
      </c>
      <c r="Q1365" s="36" t="inlineStr">
        <is>
          <t>RX1108</t>
        </is>
      </c>
    </row>
    <row r="1366">
      <c r="A1366" s="36" t="inlineStr">
        <is>
          <t>123373</t>
        </is>
      </c>
      <c r="B1366" s="52" t="n">
        <v>45997</v>
      </c>
      <c r="C1366" s="36" t="inlineStr">
        <is>
          <t>00169413013</t>
        </is>
      </c>
      <c r="D1366" s="53" t="inlineStr">
        <is>
          <t>OZEMPIC (1 MG/DOSE) 4MG/3ML INJECTION</t>
        </is>
      </c>
      <c r="E1366" s="36" t="n">
        <v>3</v>
      </c>
      <c r="F1366" s="54" t="n">
        <v>9</v>
      </c>
      <c r="G1366" s="54" t="n">
        <v>3</v>
      </c>
      <c r="H1366" s="55" t="n">
        <v>2880</v>
      </c>
      <c r="I1366" s="55" t="n">
        <v>2910.19</v>
      </c>
      <c r="J1366" s="55" t="n">
        <v>0</v>
      </c>
      <c r="K1366" s="55" t="n">
        <v>1</v>
      </c>
      <c r="L1366" s="55" t="n">
        <v>2911.19</v>
      </c>
      <c r="M1366" s="55" t="n">
        <v>31.19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137408</t>
        </is>
      </c>
      <c r="B1367" s="52" t="n">
        <v>46052</v>
      </c>
      <c r="C1367" s="36" t="inlineStr">
        <is>
          <t>00169413013</t>
        </is>
      </c>
      <c r="D1367" s="53" t="inlineStr">
        <is>
          <t>OZEMPIC (1 MG/DOSE) 4MG/3ML INJECTION</t>
        </is>
      </c>
      <c r="E1367" s="36" t="n">
        <v>3</v>
      </c>
      <c r="F1367" s="54" t="n">
        <v>3</v>
      </c>
      <c r="G1367" s="54" t="n">
        <v>1</v>
      </c>
      <c r="H1367" s="55" t="n">
        <v>992</v>
      </c>
      <c r="I1367" s="55" t="n">
        <v>1006.16</v>
      </c>
      <c r="J1367" s="55" t="n">
        <v>0</v>
      </c>
      <c r="K1367" s="55" t="n">
        <v>0</v>
      </c>
      <c r="L1367" s="55" t="n">
        <v>1006.16</v>
      </c>
      <c r="M1367" s="55" t="n">
        <v>14.16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137020</t>
        </is>
      </c>
      <c r="B1368" s="52" t="n">
        <v>46021</v>
      </c>
      <c r="C1368" s="36" t="inlineStr">
        <is>
          <t>00169413013</t>
        </is>
      </c>
      <c r="D1368" s="53" t="inlineStr">
        <is>
          <t>OZEMPIC (1 MG/DOSE) 4MG/3ML INJECTION</t>
        </is>
      </c>
      <c r="E1368" s="36" t="n">
        <v>3</v>
      </c>
      <c r="F1368" s="54" t="n">
        <v>3</v>
      </c>
      <c r="G1368" s="54" t="n">
        <v>1</v>
      </c>
      <c r="H1368" s="55" t="n">
        <v>960</v>
      </c>
      <c r="I1368" s="55" t="n">
        <v>940.6799999999999</v>
      </c>
      <c r="J1368" s="55" t="n">
        <v>0</v>
      </c>
      <c r="K1368" s="55" t="n">
        <v>0</v>
      </c>
      <c r="L1368" s="55" t="n">
        <v>940.6799999999999</v>
      </c>
      <c r="M1368" s="55" t="n">
        <v>-19.32</v>
      </c>
      <c r="N1368" s="36" t="inlineStr">
        <is>
          <t>004336</t>
        </is>
      </c>
      <c r="O1368" s="36" t="inlineStr">
        <is>
          <t>CAREMARK</t>
        </is>
      </c>
      <c r="P1368" s="36" t="inlineStr">
        <is>
          <t>MEDDADV</t>
        </is>
      </c>
      <c r="Q1368" s="36" t="inlineStr">
        <is>
          <t>RX1110</t>
        </is>
      </c>
    </row>
    <row r="1369">
      <c r="A1369" s="36" t="inlineStr">
        <is>
          <t>128008</t>
        </is>
      </c>
      <c r="B1369" s="52" t="n">
        <v>46034</v>
      </c>
      <c r="C1369" s="36" t="inlineStr">
        <is>
          <t>00169413013</t>
        </is>
      </c>
      <c r="D1369" s="53" t="inlineStr">
        <is>
          <t>OZEMPIC (1 MG/DOSE) 4MG/3ML INJECTION</t>
        </is>
      </c>
      <c r="E1369" s="36" t="n">
        <v>3</v>
      </c>
      <c r="F1369" s="54" t="n">
        <v>3</v>
      </c>
      <c r="G1369" s="54" t="n">
        <v>1</v>
      </c>
      <c r="H1369" s="55" t="n">
        <v>992</v>
      </c>
      <c r="I1369" s="55" t="n">
        <v>974.79</v>
      </c>
      <c r="J1369" s="55" t="n">
        <v>0</v>
      </c>
      <c r="K1369" s="55" t="n">
        <v>0</v>
      </c>
      <c r="L1369" s="55" t="n">
        <v>974.79</v>
      </c>
      <c r="M1369" s="55" t="n">
        <v>-17.21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ADV</t>
        </is>
      </c>
      <c r="Q1369" s="36" t="inlineStr">
        <is>
          <t>RX1103</t>
        </is>
      </c>
    </row>
    <row r="1370">
      <c r="A1370" s="36" t="inlineStr">
        <is>
          <t>138304</t>
        </is>
      </c>
      <c r="B1370" s="52" t="n">
        <v>46065</v>
      </c>
      <c r="C1370" s="36" t="inlineStr">
        <is>
          <t>00169413013</t>
        </is>
      </c>
      <c r="D1370" s="53" t="inlineStr">
        <is>
          <t>OZEMPIC (1 MG/DOSE) 4MG/3ML INJECTION</t>
        </is>
      </c>
      <c r="E1370" s="36" t="n">
        <v>3</v>
      </c>
      <c r="F1370" s="54" t="n">
        <v>9</v>
      </c>
      <c r="G1370" s="54" t="n">
        <v>3</v>
      </c>
      <c r="H1370" s="55" t="n">
        <v>2997</v>
      </c>
      <c r="I1370" s="55" t="n">
        <v>2884.9</v>
      </c>
      <c r="J1370" s="55" t="n">
        <v>0</v>
      </c>
      <c r="K1370" s="55" t="n">
        <v>0</v>
      </c>
      <c r="L1370" s="55" t="n">
        <v>2884.9</v>
      </c>
      <c r="M1370" s="55" t="n">
        <v>-112.1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100872</t>
        </is>
      </c>
      <c r="B1371" s="52" t="n">
        <v>46052</v>
      </c>
      <c r="C1371" s="36" t="inlineStr">
        <is>
          <t>00169413013</t>
        </is>
      </c>
      <c r="D1371" s="53" t="inlineStr">
        <is>
          <t>OZEMPIC (1 MG/DOSE) 4MG/3ML INJECTION</t>
        </is>
      </c>
      <c r="E1371" s="36" t="n">
        <v>3</v>
      </c>
      <c r="F1371" s="54" t="n">
        <v>3</v>
      </c>
      <c r="G1371" s="54" t="n">
        <v>1</v>
      </c>
      <c r="H1371" s="55" t="n">
        <v>992</v>
      </c>
      <c r="I1371" s="55" t="n">
        <v>877.29</v>
      </c>
      <c r="J1371" s="55" t="n">
        <v>0</v>
      </c>
      <c r="K1371" s="55" t="n">
        <v>49.97</v>
      </c>
      <c r="L1371" s="55" t="n">
        <v>927.26</v>
      </c>
      <c r="M1371" s="55" t="n">
        <v>-64.73999999999999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ADV</t>
        </is>
      </c>
      <c r="Q1371" s="36" t="inlineStr">
        <is>
          <t>RX3175</t>
        </is>
      </c>
    </row>
    <row r="1372">
      <c r="A1372" s="36" t="inlineStr">
        <is>
          <t>142489</t>
        </is>
      </c>
      <c r="B1372" s="52" t="n">
        <v>46063</v>
      </c>
      <c r="C1372" s="36" t="inlineStr">
        <is>
          <t>00169413013</t>
        </is>
      </c>
      <c r="D1372" s="53" t="inlineStr">
        <is>
          <t>OZEMPIC (1 MG/DOSE) 4MG/3ML INJECTION</t>
        </is>
      </c>
      <c r="E1372" s="36" t="n">
        <v>3</v>
      </c>
      <c r="F1372" s="54" t="n">
        <v>3</v>
      </c>
      <c r="G1372" s="54" t="n">
        <v>1</v>
      </c>
      <c r="H1372" s="55" t="n">
        <v>999</v>
      </c>
      <c r="I1372" s="55" t="n">
        <v>964.89</v>
      </c>
      <c r="J1372" s="55" t="n">
        <v>0</v>
      </c>
      <c r="K1372" s="55" t="n">
        <v>12.65</v>
      </c>
      <c r="L1372" s="55" t="n">
        <v>977.54</v>
      </c>
      <c r="M1372" s="55" t="n">
        <v>-21.46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124128</t>
        </is>
      </c>
      <c r="B1373" s="52" t="n">
        <v>45999</v>
      </c>
      <c r="C1373" s="36" t="inlineStr">
        <is>
          <t>00169413013</t>
        </is>
      </c>
      <c r="D1373" s="53" t="inlineStr">
        <is>
          <t>OZEMPIC (1 MG/DOSE) 4MG/3ML INJECTION</t>
        </is>
      </c>
      <c r="E1373" s="36" t="n">
        <v>3</v>
      </c>
      <c r="F1373" s="54" t="n">
        <v>3</v>
      </c>
      <c r="G1373" s="54" t="n">
        <v>1</v>
      </c>
      <c r="H1373" s="55" t="n">
        <v>960</v>
      </c>
      <c r="I1373" s="55" t="n">
        <v>940.6799999999999</v>
      </c>
      <c r="J1373" s="55" t="n">
        <v>0</v>
      </c>
      <c r="K1373" s="55" t="n">
        <v>0</v>
      </c>
      <c r="L1373" s="55" t="n">
        <v>940.6799999999999</v>
      </c>
      <c r="M1373" s="55" t="n">
        <v>-19.32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138483</t>
        </is>
      </c>
      <c r="B1374" s="52" t="n">
        <v>46034</v>
      </c>
      <c r="C1374" s="36" t="inlineStr">
        <is>
          <t>00169413013</t>
        </is>
      </c>
      <c r="D1374" s="53" t="inlineStr">
        <is>
          <t>OZEMPIC (1 MG/DOSE) 4MG/3ML INJECTION</t>
        </is>
      </c>
      <c r="E1374" s="36" t="n">
        <v>3</v>
      </c>
      <c r="F1374" s="54" t="n">
        <v>3</v>
      </c>
      <c r="G1374" s="54" t="n">
        <v>1</v>
      </c>
      <c r="H1374" s="55" t="n">
        <v>992</v>
      </c>
      <c r="I1374" s="55" t="n">
        <v>977.54</v>
      </c>
      <c r="J1374" s="55" t="n">
        <v>0</v>
      </c>
      <c r="K1374" s="55" t="n">
        <v>0</v>
      </c>
      <c r="L1374" s="55" t="n">
        <v>977.54</v>
      </c>
      <c r="M1374" s="55" t="n">
        <v>-14.46</v>
      </c>
      <c r="N1374" s="36" t="inlineStr">
        <is>
          <t>004336</t>
        </is>
      </c>
      <c r="O1374" s="36" t="inlineStr">
        <is>
          <t>CAREMARK</t>
        </is>
      </c>
      <c r="P1374" s="36" t="inlineStr">
        <is>
          <t>MEDDADV</t>
        </is>
      </c>
      <c r="Q1374" s="36" t="inlineStr">
        <is>
          <t>RX1110</t>
        </is>
      </c>
    </row>
    <row r="1375">
      <c r="A1375" s="36" t="inlineStr">
        <is>
          <t>128391</t>
        </is>
      </c>
      <c r="B1375" s="52" t="n">
        <v>46007</v>
      </c>
      <c r="C1375" s="36" t="inlineStr">
        <is>
          <t>00169413013</t>
        </is>
      </c>
      <c r="D1375" s="53" t="inlineStr">
        <is>
          <t>OZEMPIC (1 MG/DOSE) 4MG/3ML INJECTION</t>
        </is>
      </c>
      <c r="E1375" s="36" t="n">
        <v>3</v>
      </c>
      <c r="F1375" s="54" t="n">
        <v>3</v>
      </c>
      <c r="G1375" s="54" t="n">
        <v>1</v>
      </c>
      <c r="H1375" s="55" t="n">
        <v>960</v>
      </c>
      <c r="I1375" s="55" t="n">
        <v>940.6799999999999</v>
      </c>
      <c r="J1375" s="55" t="n">
        <v>0</v>
      </c>
      <c r="K1375" s="55" t="n">
        <v>0</v>
      </c>
      <c r="L1375" s="55" t="n">
        <v>940.6799999999999</v>
      </c>
      <c r="M1375" s="55" t="n">
        <v>-19.32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112642</t>
        </is>
      </c>
      <c r="B1376" s="52" t="n">
        <v>46022</v>
      </c>
      <c r="C1376" s="36" t="inlineStr">
        <is>
          <t>00169477212</t>
        </is>
      </c>
      <c r="D1376" s="53" t="inlineStr">
        <is>
          <t>OZEMPIC (2 MG/DOSE) 8 MG/3ML PEN-INJECTOR</t>
        </is>
      </c>
      <c r="E1376" s="36" t="n">
        <v>3</v>
      </c>
      <c r="F1376" s="54" t="n">
        <v>3</v>
      </c>
      <c r="G1376" s="54" t="n">
        <v>1</v>
      </c>
      <c r="H1376" s="55" t="n">
        <v>960</v>
      </c>
      <c r="I1376" s="55" t="n">
        <v>888.77</v>
      </c>
      <c r="J1376" s="55" t="n">
        <v>0</v>
      </c>
      <c r="K1376" s="55" t="n">
        <v>30</v>
      </c>
      <c r="L1376" s="55" t="n">
        <v>918.77</v>
      </c>
      <c r="M1376" s="55" t="n">
        <v>-41.23</v>
      </c>
      <c r="N1376" s="36" t="inlineStr">
        <is>
          <t>003858</t>
        </is>
      </c>
      <c r="O1376" s="36" t="inlineStr">
        <is>
          <t>EXPRESS</t>
        </is>
      </c>
      <c r="P1376" s="36" t="inlineStr">
        <is>
          <t>A4</t>
        </is>
      </c>
      <c r="Q1376" s="36" t="inlineStr">
        <is>
          <t>2GJA</t>
        </is>
      </c>
    </row>
    <row r="1377">
      <c r="A1377" s="36" t="inlineStr">
        <is>
          <t>140591</t>
        </is>
      </c>
      <c r="B1377" s="52" t="n">
        <v>46076</v>
      </c>
      <c r="C1377" s="36" t="inlineStr">
        <is>
          <t>00169477212</t>
        </is>
      </c>
      <c r="D1377" s="53" t="inlineStr">
        <is>
          <t>OZEMPIC (2 MG/DOSE) 8 MG/3ML PEN-INJECTOR</t>
        </is>
      </c>
      <c r="E1377" s="36" t="n">
        <v>3</v>
      </c>
      <c r="F1377" s="54" t="n">
        <v>3</v>
      </c>
      <c r="G1377" s="54" t="n">
        <v>1</v>
      </c>
      <c r="H1377" s="55" t="n">
        <v>999</v>
      </c>
      <c r="I1377" s="55" t="n">
        <v>921.27</v>
      </c>
      <c r="J1377" s="55" t="n">
        <v>0</v>
      </c>
      <c r="K1377" s="55" t="n">
        <v>30</v>
      </c>
      <c r="L1377" s="55" t="n">
        <v>951.27</v>
      </c>
      <c r="M1377" s="55" t="n">
        <v>-47.73</v>
      </c>
      <c r="N1377" s="36" t="inlineStr">
        <is>
          <t>003858</t>
        </is>
      </c>
      <c r="O1377" s="36" t="inlineStr">
        <is>
          <t>EXPRESS</t>
        </is>
      </c>
      <c r="P1377" s="36" t="inlineStr">
        <is>
          <t>A4</t>
        </is>
      </c>
      <c r="Q1377" s="36" t="inlineStr">
        <is>
          <t>2GJA</t>
        </is>
      </c>
    </row>
    <row r="1378">
      <c r="A1378" s="36" t="inlineStr">
        <is>
          <t>112642</t>
        </is>
      </c>
      <c r="B1378" s="52" t="n">
        <v>45999</v>
      </c>
      <c r="C1378" s="36" t="inlineStr">
        <is>
          <t>00169477212</t>
        </is>
      </c>
      <c r="D1378" s="53" t="inlineStr">
        <is>
          <t>OZEMPIC (2 MG/DOSE) 8 MG/3ML PEN-INJECTOR</t>
        </is>
      </c>
      <c r="E1378" s="36" t="n">
        <v>3</v>
      </c>
      <c r="F1378" s="54" t="n">
        <v>3</v>
      </c>
      <c r="G1378" s="54" t="n">
        <v>1</v>
      </c>
      <c r="H1378" s="55" t="n">
        <v>960</v>
      </c>
      <c r="I1378" s="55" t="n">
        <v>888.77</v>
      </c>
      <c r="J1378" s="55" t="n">
        <v>0</v>
      </c>
      <c r="K1378" s="55" t="n">
        <v>24.99</v>
      </c>
      <c r="L1378" s="55" t="n">
        <v>913.76</v>
      </c>
      <c r="M1378" s="55" t="n">
        <v>-46.24</v>
      </c>
      <c r="N1378" s="36" t="inlineStr">
        <is>
          <t>003858</t>
        </is>
      </c>
      <c r="O1378" s="36" t="inlineStr">
        <is>
          <t>EXPRESS</t>
        </is>
      </c>
      <c r="P1378" s="36" t="inlineStr">
        <is>
          <t>A4</t>
        </is>
      </c>
      <c r="Q1378" s="36" t="inlineStr">
        <is>
          <t>2GJA</t>
        </is>
      </c>
    </row>
    <row r="1379">
      <c r="A1379" s="36" t="inlineStr">
        <is>
          <t>135018</t>
        </is>
      </c>
      <c r="B1379" s="52" t="n">
        <v>46034</v>
      </c>
      <c r="C1379" s="36" t="inlineStr">
        <is>
          <t>00169477212</t>
        </is>
      </c>
      <c r="D1379" s="53" t="inlineStr">
        <is>
          <t>OZEMPIC (2 MG/DOSE) 8 MG/3ML PEN-INJECTOR</t>
        </is>
      </c>
      <c r="E1379" s="36" t="n">
        <v>3</v>
      </c>
      <c r="F1379" s="54" t="n">
        <v>3</v>
      </c>
      <c r="G1379" s="54" t="n">
        <v>1</v>
      </c>
      <c r="H1379" s="55" t="n">
        <v>992</v>
      </c>
      <c r="I1379" s="55" t="n">
        <v>977.04</v>
      </c>
      <c r="J1379" s="55" t="n">
        <v>0</v>
      </c>
      <c r="K1379" s="55" t="n">
        <v>0</v>
      </c>
      <c r="L1379" s="55" t="n">
        <v>977.04</v>
      </c>
      <c r="M1379" s="55" t="n">
        <v>-14.96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134003</t>
        </is>
      </c>
      <c r="B1380" s="52" t="n">
        <v>46077</v>
      </c>
      <c r="C1380" s="36" t="inlineStr">
        <is>
          <t>00169477212</t>
        </is>
      </c>
      <c r="D1380" s="53" t="inlineStr">
        <is>
          <t>OZEMPIC (2 MG/DOSE) 8 MG/3ML PEN-INJECTOR</t>
        </is>
      </c>
      <c r="E1380" s="36" t="n">
        <v>3</v>
      </c>
      <c r="F1380" s="54" t="n">
        <v>9</v>
      </c>
      <c r="G1380" s="54" t="n">
        <v>3</v>
      </c>
      <c r="H1380" s="55" t="n">
        <v>2997</v>
      </c>
      <c r="I1380" s="55" t="n">
        <v>2884.9</v>
      </c>
      <c r="J1380" s="55" t="n">
        <v>0</v>
      </c>
      <c r="K1380" s="55" t="n">
        <v>0</v>
      </c>
      <c r="L1380" s="55" t="n">
        <v>2884.9</v>
      </c>
      <c r="M1380" s="55" t="n">
        <v>-112.1</v>
      </c>
      <c r="N1380" s="36" t="inlineStr">
        <is>
          <t>004336</t>
        </is>
      </c>
      <c r="O1380" s="36" t="inlineStr">
        <is>
          <t>CAREMARK</t>
        </is>
      </c>
      <c r="P1380" s="36" t="inlineStr">
        <is>
          <t>MEDDADV</t>
        </is>
      </c>
      <c r="Q1380" s="36" t="inlineStr">
        <is>
          <t>RX1110</t>
        </is>
      </c>
    </row>
    <row r="1381">
      <c r="A1381" s="36" t="inlineStr">
        <is>
          <t>123715</t>
        </is>
      </c>
      <c r="B1381" s="52" t="n">
        <v>46045</v>
      </c>
      <c r="C1381" s="36" t="inlineStr">
        <is>
          <t>00169477212</t>
        </is>
      </c>
      <c r="D1381" s="53" t="inlineStr">
        <is>
          <t>OZEMPIC (2 MG/DOSE) 8 MG/3ML PEN-INJECTOR</t>
        </is>
      </c>
      <c r="E1381" s="36" t="n">
        <v>3</v>
      </c>
      <c r="F1381" s="54" t="n">
        <v>3</v>
      </c>
      <c r="G1381" s="54" t="n">
        <v>1</v>
      </c>
      <c r="H1381" s="55" t="n">
        <v>992</v>
      </c>
      <c r="I1381" s="55" t="n">
        <v>936.27</v>
      </c>
      <c r="J1381" s="55" t="n">
        <v>0</v>
      </c>
      <c r="K1381" s="55" t="n">
        <v>15</v>
      </c>
      <c r="L1381" s="55" t="n">
        <v>951.27</v>
      </c>
      <c r="M1381" s="55" t="n">
        <v>-40.73</v>
      </c>
      <c r="N1381" s="36" t="inlineStr">
        <is>
          <t>003858</t>
        </is>
      </c>
      <c r="O1381" s="36" t="inlineStr">
        <is>
          <t>EXPRESS</t>
        </is>
      </c>
      <c r="P1381" s="36" t="inlineStr">
        <is>
          <t>A4</t>
        </is>
      </c>
      <c r="Q1381" s="36" t="inlineStr">
        <is>
          <t>2GKA</t>
        </is>
      </c>
    </row>
    <row r="1382">
      <c r="A1382" s="36" t="inlineStr">
        <is>
          <t>142840</t>
        </is>
      </c>
      <c r="B1382" s="52" t="n">
        <v>46064</v>
      </c>
      <c r="C1382" s="36" t="inlineStr">
        <is>
          <t>00169477212</t>
        </is>
      </c>
      <c r="D1382" s="53" t="inlineStr">
        <is>
          <t>OZEMPIC (2 MG/DOSE) 8 MG/3ML PEN-INJECTOR</t>
        </is>
      </c>
      <c r="E1382" s="36" t="n">
        <v>3</v>
      </c>
      <c r="F1382" s="54" t="n">
        <v>3</v>
      </c>
      <c r="G1382" s="54" t="n">
        <v>1</v>
      </c>
      <c r="H1382" s="55" t="n">
        <v>999</v>
      </c>
      <c r="I1382" s="55" t="n">
        <v>1006.05</v>
      </c>
      <c r="J1382" s="55" t="n">
        <v>0</v>
      </c>
      <c r="K1382" s="55" t="n">
        <v>0</v>
      </c>
      <c r="L1382" s="55" t="n">
        <v>1006.05</v>
      </c>
      <c r="M1382" s="55" t="n">
        <v>7.05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133903</t>
        </is>
      </c>
      <c r="B1383" s="52" t="n">
        <v>46077</v>
      </c>
      <c r="C1383" s="36" t="inlineStr">
        <is>
          <t>00169477212</t>
        </is>
      </c>
      <c r="D1383" s="53" t="inlineStr">
        <is>
          <t>OZEMPIC (2 MG/DOSE) 8 MG/3ML PEN-INJECTOR</t>
        </is>
      </c>
      <c r="E1383" s="36" t="n">
        <v>3</v>
      </c>
      <c r="F1383" s="54" t="n">
        <v>9</v>
      </c>
      <c r="G1383" s="54" t="n">
        <v>3</v>
      </c>
      <c r="H1383" s="55" t="n">
        <v>2997</v>
      </c>
      <c r="I1383" s="55" t="n">
        <v>2880</v>
      </c>
      <c r="J1383" s="55" t="n">
        <v>0</v>
      </c>
      <c r="K1383" s="55" t="n">
        <v>4.9</v>
      </c>
      <c r="L1383" s="55" t="n">
        <v>2884.9</v>
      </c>
      <c r="M1383" s="55" t="n">
        <v>-112.1</v>
      </c>
      <c r="N1383" s="36" t="inlineStr">
        <is>
          <t>004336</t>
        </is>
      </c>
      <c r="O1383" s="36" t="inlineStr">
        <is>
          <t>CAREMARK</t>
        </is>
      </c>
      <c r="P1383" s="36" t="inlineStr">
        <is>
          <t>MEDDADV</t>
        </is>
      </c>
      <c r="Q1383" s="36" t="inlineStr">
        <is>
          <t>RX1110</t>
        </is>
      </c>
    </row>
    <row r="1384">
      <c r="A1384" s="36" t="inlineStr">
        <is>
          <t>140591</t>
        </is>
      </c>
      <c r="B1384" s="52" t="n">
        <v>46049</v>
      </c>
      <c r="C1384" s="36" t="inlineStr">
        <is>
          <t>00169477212</t>
        </is>
      </c>
      <c r="D1384" s="53" t="inlineStr">
        <is>
          <t>OZEMPIC (2 MG/DOSE) 8 MG/3ML PEN-INJECTOR</t>
        </is>
      </c>
      <c r="E1384" s="36" t="n">
        <v>3</v>
      </c>
      <c r="F1384" s="54" t="n">
        <v>3</v>
      </c>
      <c r="G1384" s="54" t="n">
        <v>1</v>
      </c>
      <c r="H1384" s="55" t="n">
        <v>992</v>
      </c>
      <c r="I1384" s="55" t="n">
        <v>921.27</v>
      </c>
      <c r="J1384" s="55" t="n">
        <v>0</v>
      </c>
      <c r="K1384" s="55" t="n">
        <v>30</v>
      </c>
      <c r="L1384" s="55" t="n">
        <v>951.27</v>
      </c>
      <c r="M1384" s="55" t="n">
        <v>-40.73</v>
      </c>
      <c r="N1384" s="36" t="inlineStr">
        <is>
          <t>003858</t>
        </is>
      </c>
      <c r="O1384" s="36" t="inlineStr">
        <is>
          <t>EXPRESS</t>
        </is>
      </c>
      <c r="P1384" s="36" t="inlineStr">
        <is>
          <t>A4</t>
        </is>
      </c>
      <c r="Q1384" s="36" t="inlineStr">
        <is>
          <t>2GJA</t>
        </is>
      </c>
    </row>
    <row r="1385">
      <c r="A1385" s="36" t="inlineStr">
        <is>
          <t>119244</t>
        </is>
      </c>
      <c r="B1385" s="52" t="n">
        <v>45993</v>
      </c>
      <c r="C1385" s="36" t="inlineStr">
        <is>
          <t>00169477212</t>
        </is>
      </c>
      <c r="D1385" s="53" t="inlineStr">
        <is>
          <t>OZEMPIC (2 MG/DOSE) 8 MG/3ML PEN-INJECTOR</t>
        </is>
      </c>
      <c r="E1385" s="36" t="n">
        <v>3</v>
      </c>
      <c r="F1385" s="54" t="n">
        <v>3</v>
      </c>
      <c r="G1385" s="54" t="n">
        <v>1</v>
      </c>
      <c r="H1385" s="55" t="n">
        <v>960</v>
      </c>
      <c r="I1385" s="55" t="n">
        <v>891.84</v>
      </c>
      <c r="J1385" s="55" t="n">
        <v>0</v>
      </c>
      <c r="K1385" s="55" t="n">
        <v>0</v>
      </c>
      <c r="L1385" s="55" t="n">
        <v>891.84</v>
      </c>
      <c r="M1385" s="55" t="n">
        <v>-68.16</v>
      </c>
      <c r="N1385" s="36" t="inlineStr">
        <is>
          <t>610014</t>
        </is>
      </c>
      <c r="O1385" s="36" t="inlineStr">
        <is>
          <t>EXPRESS</t>
        </is>
      </c>
      <c r="P1385" s="36" t="inlineStr">
        <is>
          <t>MEDDPRIME</t>
        </is>
      </c>
      <c r="Q1385" s="36" t="inlineStr">
        <is>
          <t>2FFA</t>
        </is>
      </c>
    </row>
    <row r="1386">
      <c r="A1386" s="36" t="inlineStr">
        <is>
          <t>135073</t>
        </is>
      </c>
      <c r="B1386" s="52" t="n">
        <v>46034</v>
      </c>
      <c r="C1386" s="36" t="inlineStr">
        <is>
          <t>00169477212</t>
        </is>
      </c>
      <c r="D1386" s="53" t="inlineStr">
        <is>
          <t>OZEMPIC (2 MG/DOSE) 8 MG/3ML PEN-INJECTOR</t>
        </is>
      </c>
      <c r="E1386" s="36" t="n">
        <v>3</v>
      </c>
      <c r="F1386" s="54" t="n">
        <v>3</v>
      </c>
      <c r="G1386" s="54" t="n">
        <v>1</v>
      </c>
      <c r="H1386" s="55" t="n">
        <v>992</v>
      </c>
      <c r="I1386" s="55" t="n">
        <v>977.54</v>
      </c>
      <c r="J1386" s="55" t="n">
        <v>0</v>
      </c>
      <c r="K1386" s="55" t="n">
        <v>0</v>
      </c>
      <c r="L1386" s="55" t="n">
        <v>977.54</v>
      </c>
      <c r="M1386" s="55" t="n">
        <v>-14.46</v>
      </c>
      <c r="N1386" s="36" t="inlineStr">
        <is>
          <t>004336</t>
        </is>
      </c>
      <c r="O1386" s="36" t="inlineStr">
        <is>
          <t>CAREMARK</t>
        </is>
      </c>
      <c r="P1386" s="36" t="inlineStr">
        <is>
          <t>MEDDADV</t>
        </is>
      </c>
      <c r="Q1386" s="36" t="inlineStr">
        <is>
          <t>RX1110</t>
        </is>
      </c>
    </row>
    <row r="1387">
      <c r="A1387" s="36" t="inlineStr">
        <is>
          <t>109516</t>
        </is>
      </c>
      <c r="B1387" s="52" t="n">
        <v>46052</v>
      </c>
      <c r="C1387" s="36" t="inlineStr">
        <is>
          <t>00169477212</t>
        </is>
      </c>
      <c r="D1387" s="53" t="inlineStr">
        <is>
          <t>OZEMPIC (2 MG/DOSE) 8 MG/3ML PEN-INJECTOR</t>
        </is>
      </c>
      <c r="E1387" s="36" t="n">
        <v>3</v>
      </c>
      <c r="F1387" s="54" t="n">
        <v>9</v>
      </c>
      <c r="G1387" s="54" t="n">
        <v>3</v>
      </c>
      <c r="H1387" s="55" t="n">
        <v>2976</v>
      </c>
      <c r="I1387" s="55" t="n">
        <v>2884.9</v>
      </c>
      <c r="J1387" s="55" t="n">
        <v>0</v>
      </c>
      <c r="K1387" s="55" t="n">
        <v>0</v>
      </c>
      <c r="L1387" s="55" t="n">
        <v>2884.9</v>
      </c>
      <c r="M1387" s="55" t="n">
        <v>-91.09999999999999</v>
      </c>
      <c r="N1387" s="36" t="inlineStr">
        <is>
          <t>004336</t>
        </is>
      </c>
      <c r="O1387" s="36" t="inlineStr">
        <is>
          <t>CAREMARK</t>
        </is>
      </c>
      <c r="P1387" s="36" t="inlineStr">
        <is>
          <t>MEDDADV</t>
        </is>
      </c>
      <c r="Q1387" s="36" t="inlineStr">
        <is>
          <t>RX1110</t>
        </is>
      </c>
    </row>
    <row r="1388">
      <c r="A1388" s="36" t="inlineStr">
        <is>
          <t>136732</t>
        </is>
      </c>
      <c r="B1388" s="52" t="n">
        <v>46020</v>
      </c>
      <c r="C1388" s="36" t="inlineStr">
        <is>
          <t>00169477212</t>
        </is>
      </c>
      <c r="D1388" s="53" t="inlineStr">
        <is>
          <t>OZEMPIC (2 MG/DOSE) 8 MG/3ML PEN-INJECTOR</t>
        </is>
      </c>
      <c r="E1388" s="36" t="n">
        <v>3</v>
      </c>
      <c r="F1388" s="54" t="n">
        <v>9</v>
      </c>
      <c r="G1388" s="54" t="n">
        <v>3</v>
      </c>
      <c r="H1388" s="55" t="n">
        <v>2880</v>
      </c>
      <c r="I1388" s="55" t="n">
        <v>2675.52</v>
      </c>
      <c r="J1388" s="55" t="n">
        <v>0</v>
      </c>
      <c r="K1388" s="55" t="n">
        <v>0</v>
      </c>
      <c r="L1388" s="55" t="n">
        <v>2675.52</v>
      </c>
      <c r="M1388" s="55" t="n">
        <v>-204.48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2FFA</t>
        </is>
      </c>
    </row>
    <row r="1389">
      <c r="A1389" s="36" t="inlineStr">
        <is>
          <t>135073</t>
        </is>
      </c>
      <c r="B1389" s="52" t="n">
        <v>46062</v>
      </c>
      <c r="C1389" s="36" t="inlineStr">
        <is>
          <t>00169477212</t>
        </is>
      </c>
      <c r="D1389" s="53" t="inlineStr">
        <is>
          <t>OZEMPIC (2 MG/DOSE) 8 MG/3ML PEN-INJECTOR</t>
        </is>
      </c>
      <c r="E1389" s="36" t="n">
        <v>3</v>
      </c>
      <c r="F1389" s="54" t="n">
        <v>3</v>
      </c>
      <c r="G1389" s="54" t="n">
        <v>1</v>
      </c>
      <c r="H1389" s="55" t="n">
        <v>999</v>
      </c>
      <c r="I1389" s="55" t="n">
        <v>977.54</v>
      </c>
      <c r="J1389" s="55" t="n">
        <v>0</v>
      </c>
      <c r="K1389" s="55" t="n">
        <v>0</v>
      </c>
      <c r="L1389" s="55" t="n">
        <v>977.54</v>
      </c>
      <c r="M1389" s="55" t="n">
        <v>-21.46</v>
      </c>
      <c r="N1389" s="36" t="inlineStr">
        <is>
          <t>004336</t>
        </is>
      </c>
      <c r="O1389" s="36" t="inlineStr">
        <is>
          <t>CAREMARK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139580</t>
        </is>
      </c>
      <c r="B1390" s="52" t="n">
        <v>46066</v>
      </c>
      <c r="C1390" s="36" t="inlineStr">
        <is>
          <t>00169477212</t>
        </is>
      </c>
      <c r="D1390" s="53" t="inlineStr">
        <is>
          <t>OZEMPIC (2 MG/DOSE) 8 MG/3ML PEN-INJECTOR</t>
        </is>
      </c>
      <c r="E1390" s="36" t="n">
        <v>3</v>
      </c>
      <c r="F1390" s="54" t="n">
        <v>3</v>
      </c>
      <c r="G1390" s="54" t="n">
        <v>1</v>
      </c>
      <c r="H1390" s="55" t="n">
        <v>999</v>
      </c>
      <c r="I1390" s="55" t="n">
        <v>1006.05</v>
      </c>
      <c r="J1390" s="55" t="n">
        <v>0</v>
      </c>
      <c r="K1390" s="55" t="n">
        <v>0</v>
      </c>
      <c r="L1390" s="55" t="n">
        <v>1006.05</v>
      </c>
      <c r="M1390" s="55" t="n">
        <v>7.05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128716</t>
        </is>
      </c>
      <c r="B1391" s="52" t="n">
        <v>46045</v>
      </c>
      <c r="C1391" s="36" t="inlineStr">
        <is>
          <t>00169477212</t>
        </is>
      </c>
      <c r="D1391" s="53" t="inlineStr">
        <is>
          <t>OZEMPIC (2 MG/DOSE) 8 MG/3ML PEN-INJECTOR</t>
        </is>
      </c>
      <c r="E1391" s="36" t="n">
        <v>3</v>
      </c>
      <c r="F1391" s="54" t="n">
        <v>9</v>
      </c>
      <c r="G1391" s="54" t="n">
        <v>3</v>
      </c>
      <c r="H1391" s="55" t="n">
        <v>2976</v>
      </c>
      <c r="I1391" s="55" t="n">
        <v>2997.79</v>
      </c>
      <c r="J1391" s="55" t="n">
        <v>0</v>
      </c>
      <c r="K1391" s="55" t="n">
        <v>0</v>
      </c>
      <c r="L1391" s="55" t="n">
        <v>2997.79</v>
      </c>
      <c r="M1391" s="55" t="n">
        <v>21.79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130511</t>
        </is>
      </c>
      <c r="B1392" s="52" t="n">
        <v>45999</v>
      </c>
      <c r="C1392" s="36" t="inlineStr">
        <is>
          <t>00169477212</t>
        </is>
      </c>
      <c r="D1392" s="53" t="inlineStr">
        <is>
          <t>OZEMPIC (2 MG/DOSE) 8 MG/3ML PEN-INJECTOR</t>
        </is>
      </c>
      <c r="E1392" s="36" t="n">
        <v>3</v>
      </c>
      <c r="F1392" s="54" t="n">
        <v>3</v>
      </c>
      <c r="G1392" s="54" t="n">
        <v>1</v>
      </c>
      <c r="H1392" s="55" t="n">
        <v>960</v>
      </c>
      <c r="I1392" s="55" t="n">
        <v>940.6799999999999</v>
      </c>
      <c r="J1392" s="55" t="n">
        <v>0</v>
      </c>
      <c r="K1392" s="55" t="n">
        <v>0</v>
      </c>
      <c r="L1392" s="55" t="n">
        <v>940.6799999999999</v>
      </c>
      <c r="M1392" s="55" t="n">
        <v>-19.32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MEDDADV</t>
        </is>
      </c>
      <c r="Q1392" s="36" t="inlineStr">
        <is>
          <t>RX1110</t>
        </is>
      </c>
    </row>
    <row r="1393">
      <c r="A1393" s="36" t="inlineStr">
        <is>
          <t>135073</t>
        </is>
      </c>
      <c r="B1393" s="52" t="n">
        <v>46006</v>
      </c>
      <c r="C1393" s="36" t="inlineStr">
        <is>
          <t>00169477212</t>
        </is>
      </c>
      <c r="D1393" s="53" t="inlineStr">
        <is>
          <t>OZEMPIC (2 MG/DOSE) 8 MG/3ML PEN-INJECTOR</t>
        </is>
      </c>
      <c r="E1393" s="36" t="n">
        <v>3</v>
      </c>
      <c r="F1393" s="54" t="n">
        <v>3</v>
      </c>
      <c r="G1393" s="54" t="n">
        <v>1</v>
      </c>
      <c r="H1393" s="55" t="n">
        <v>960</v>
      </c>
      <c r="I1393" s="55" t="n">
        <v>940.6799999999999</v>
      </c>
      <c r="J1393" s="55" t="n">
        <v>0</v>
      </c>
      <c r="K1393" s="55" t="n">
        <v>0</v>
      </c>
      <c r="L1393" s="55" t="n">
        <v>940.6799999999999</v>
      </c>
      <c r="M1393" s="55" t="n">
        <v>-19.32</v>
      </c>
      <c r="N1393" s="36" t="inlineStr">
        <is>
          <t>004336</t>
        </is>
      </c>
      <c r="O1393" s="36" t="inlineStr">
        <is>
          <t>CAREMARK</t>
        </is>
      </c>
      <c r="P1393" s="36" t="inlineStr">
        <is>
          <t>MEDDADV</t>
        </is>
      </c>
      <c r="Q1393" s="36" t="inlineStr">
        <is>
          <t>RX1110</t>
        </is>
      </c>
    </row>
    <row r="1394">
      <c r="A1394" s="36" t="inlineStr">
        <is>
          <t>134003</t>
        </is>
      </c>
      <c r="B1394" s="52" t="n">
        <v>45996</v>
      </c>
      <c r="C1394" s="36" t="inlineStr">
        <is>
          <t>00169477212</t>
        </is>
      </c>
      <c r="D1394" s="53" t="inlineStr">
        <is>
          <t>OZEMPIC (2 MG/DOSE) 8 MG/3ML PEN-INJECTOR</t>
        </is>
      </c>
      <c r="E1394" s="36" t="n">
        <v>3</v>
      </c>
      <c r="F1394" s="54" t="n">
        <v>9</v>
      </c>
      <c r="G1394" s="54" t="n">
        <v>3</v>
      </c>
      <c r="H1394" s="55" t="n">
        <v>2880</v>
      </c>
      <c r="I1394" s="55" t="n">
        <v>2782.92</v>
      </c>
      <c r="J1394" s="55" t="n">
        <v>0</v>
      </c>
      <c r="K1394" s="55" t="n">
        <v>0</v>
      </c>
      <c r="L1394" s="55" t="n">
        <v>2782.92</v>
      </c>
      <c r="M1394" s="55" t="n">
        <v>-97.08</v>
      </c>
      <c r="N1394" s="36" t="inlineStr">
        <is>
          <t>004336</t>
        </is>
      </c>
      <c r="O1394" s="36" t="inlineStr">
        <is>
          <t>CAREMARK</t>
        </is>
      </c>
      <c r="P1394" s="36" t="inlineStr">
        <is>
          <t>MEDDADV</t>
        </is>
      </c>
      <c r="Q1394" s="36" t="inlineStr">
        <is>
          <t>RX1110</t>
        </is>
      </c>
    </row>
    <row r="1395">
      <c r="A1395" s="36" t="inlineStr">
        <is>
          <t>123715</t>
        </is>
      </c>
      <c r="B1395" s="52" t="n">
        <v>46071</v>
      </c>
      <c r="C1395" s="36" t="inlineStr">
        <is>
          <t>00169477212</t>
        </is>
      </c>
      <c r="D1395" s="53" t="inlineStr">
        <is>
          <t>OZEMPIC (2 MG/DOSE) 8 MG/3ML PEN-INJECTOR</t>
        </is>
      </c>
      <c r="E1395" s="36" t="n">
        <v>3</v>
      </c>
      <c r="F1395" s="54" t="n">
        <v>3</v>
      </c>
      <c r="G1395" s="54" t="n">
        <v>1</v>
      </c>
      <c r="H1395" s="55" t="n">
        <v>999</v>
      </c>
      <c r="I1395" s="55" t="n">
        <v>936.27</v>
      </c>
      <c r="J1395" s="55" t="n">
        <v>0</v>
      </c>
      <c r="K1395" s="55" t="n">
        <v>15</v>
      </c>
      <c r="L1395" s="55" t="n">
        <v>951.27</v>
      </c>
      <c r="M1395" s="55" t="n">
        <v>-47.73</v>
      </c>
      <c r="N1395" s="36" t="inlineStr">
        <is>
          <t>003858</t>
        </is>
      </c>
      <c r="O1395" s="36" t="inlineStr">
        <is>
          <t>EXPRESS</t>
        </is>
      </c>
      <c r="P1395" s="36" t="inlineStr">
        <is>
          <t>A4</t>
        </is>
      </c>
      <c r="Q1395" s="36" t="inlineStr">
        <is>
          <t>2GKA</t>
        </is>
      </c>
    </row>
    <row r="1396">
      <c r="A1396" s="36" t="inlineStr">
        <is>
          <t>129233</t>
        </is>
      </c>
      <c r="B1396" s="52" t="n">
        <v>46013</v>
      </c>
      <c r="C1396" s="36" t="inlineStr">
        <is>
          <t>00169477212</t>
        </is>
      </c>
      <c r="D1396" s="53" t="inlineStr">
        <is>
          <t>OZEMPIC (2 MG/DOSE) 8 MG/3ML PEN-INJECTOR</t>
        </is>
      </c>
      <c r="E1396" s="36" t="n">
        <v>3</v>
      </c>
      <c r="F1396" s="54" t="n">
        <v>3</v>
      </c>
      <c r="G1396" s="54" t="n">
        <v>1</v>
      </c>
      <c r="H1396" s="55" t="n">
        <v>960</v>
      </c>
      <c r="I1396" s="55" t="n">
        <v>977.08</v>
      </c>
      <c r="J1396" s="55" t="n">
        <v>0</v>
      </c>
      <c r="K1396" s="55" t="n">
        <v>0</v>
      </c>
      <c r="L1396" s="55" t="n">
        <v>977.08</v>
      </c>
      <c r="M1396" s="55" t="n">
        <v>17.08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135018</t>
        </is>
      </c>
      <c r="B1397" s="52" t="n">
        <v>46059</v>
      </c>
      <c r="C1397" s="36" t="inlineStr">
        <is>
          <t>00169477212</t>
        </is>
      </c>
      <c r="D1397" s="53" t="inlineStr">
        <is>
          <t>OZEMPIC (2 MG/DOSE) 8 MG/3ML PEN-INJECTOR</t>
        </is>
      </c>
      <c r="E1397" s="36" t="n">
        <v>3</v>
      </c>
      <c r="F1397" s="54" t="n">
        <v>3</v>
      </c>
      <c r="G1397" s="54" t="n">
        <v>1</v>
      </c>
      <c r="H1397" s="55" t="n">
        <v>999</v>
      </c>
      <c r="I1397" s="55" t="n">
        <v>1006.05</v>
      </c>
      <c r="J1397" s="55" t="n">
        <v>0</v>
      </c>
      <c r="K1397" s="55" t="n">
        <v>0</v>
      </c>
      <c r="L1397" s="55" t="n">
        <v>1006.05</v>
      </c>
      <c r="M1397" s="55" t="n">
        <v>7.05</v>
      </c>
      <c r="N1397" s="36" t="inlineStr">
        <is>
          <t>004740</t>
        </is>
      </c>
      <c r="O1397" s="36" t="inlineStr">
        <is>
          <t>NYM</t>
        </is>
      </c>
      <c r="P1397" s="36" t="inlineStr">
        <is>
          <t>9314DA31</t>
        </is>
      </c>
      <c r="Q1397" s="36" t="n">
        <v/>
      </c>
    </row>
    <row r="1398">
      <c r="A1398" s="36" t="inlineStr">
        <is>
          <t>135063</t>
        </is>
      </c>
      <c r="B1398" s="52" t="n">
        <v>46006</v>
      </c>
      <c r="C1398" s="36" t="inlineStr">
        <is>
          <t>00169477212</t>
        </is>
      </c>
      <c r="D1398" s="53" t="inlineStr">
        <is>
          <t>OZEMPIC (2 MG/DOSE) 8 MG/3ML PEN-INJECTOR</t>
        </is>
      </c>
      <c r="E1398" s="36" t="n">
        <v>3</v>
      </c>
      <c r="F1398" s="54" t="n">
        <v>9</v>
      </c>
      <c r="G1398" s="54" t="n">
        <v>3</v>
      </c>
      <c r="H1398" s="55" t="n">
        <v>2880</v>
      </c>
      <c r="I1398" s="55" t="n">
        <v>2782.92</v>
      </c>
      <c r="J1398" s="55" t="n">
        <v>0</v>
      </c>
      <c r="K1398" s="55" t="n">
        <v>0</v>
      </c>
      <c r="L1398" s="55" t="n">
        <v>2782.92</v>
      </c>
      <c r="M1398" s="55" t="n">
        <v>-97.08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MEDDADV</t>
        </is>
      </c>
      <c r="Q1398" s="36" t="inlineStr">
        <is>
          <t>RX1110</t>
        </is>
      </c>
    </row>
    <row r="1399">
      <c r="A1399" s="36" t="inlineStr">
        <is>
          <t>138630</t>
        </is>
      </c>
      <c r="B1399" s="52" t="n">
        <v>46034</v>
      </c>
      <c r="C1399" s="36" t="inlineStr">
        <is>
          <t>00169477212</t>
        </is>
      </c>
      <c r="D1399" s="53" t="inlineStr">
        <is>
          <t>OZEMPIC (2 MG/DOSE) 8 MG/3ML PEN-INJECTOR</t>
        </is>
      </c>
      <c r="E1399" s="36" t="n">
        <v>3</v>
      </c>
      <c r="F1399" s="54" t="n">
        <v>9</v>
      </c>
      <c r="G1399" s="54" t="n">
        <v>3</v>
      </c>
      <c r="H1399" s="55" t="n">
        <v>2976</v>
      </c>
      <c r="I1399" s="55" t="n">
        <v>2909.77</v>
      </c>
      <c r="J1399" s="55" t="n">
        <v>0</v>
      </c>
      <c r="K1399" s="55" t="n">
        <v>1</v>
      </c>
      <c r="L1399" s="55" t="n">
        <v>2910.77</v>
      </c>
      <c r="M1399" s="55" t="n">
        <v>-65.23</v>
      </c>
      <c r="N1399" s="36" t="inlineStr">
        <is>
          <t>004740</t>
        </is>
      </c>
      <c r="O1399" s="36" t="inlineStr">
        <is>
          <t>NYM</t>
        </is>
      </c>
      <c r="P1399" s="36" t="inlineStr">
        <is>
          <t>9314DA31</t>
        </is>
      </c>
      <c r="Q1399" s="36" t="n">
        <v/>
      </c>
    </row>
    <row r="1400">
      <c r="A1400" s="36" t="inlineStr">
        <is>
          <t>123715</t>
        </is>
      </c>
      <c r="B1400" s="52" t="n">
        <v>46015</v>
      </c>
      <c r="C1400" s="36" t="inlineStr">
        <is>
          <t>00169477212</t>
        </is>
      </c>
      <c r="D1400" s="53" t="inlineStr">
        <is>
          <t>OZEMPIC (2 MG/DOSE) 8 MG/3ML PEN-INJECTOR</t>
        </is>
      </c>
      <c r="E1400" s="36" t="n">
        <v>3</v>
      </c>
      <c r="F1400" s="54" t="n">
        <v>3</v>
      </c>
      <c r="G1400" s="54" t="n">
        <v>1</v>
      </c>
      <c r="H1400" s="55" t="n">
        <v>960</v>
      </c>
      <c r="I1400" s="55" t="n">
        <v>903.77</v>
      </c>
      <c r="J1400" s="55" t="n">
        <v>0</v>
      </c>
      <c r="K1400" s="55" t="n">
        <v>15</v>
      </c>
      <c r="L1400" s="55" t="n">
        <v>918.77</v>
      </c>
      <c r="M1400" s="55" t="n">
        <v>-41.23</v>
      </c>
      <c r="N1400" s="36" t="inlineStr">
        <is>
          <t>003858</t>
        </is>
      </c>
      <c r="O1400" s="36" t="inlineStr">
        <is>
          <t>EXPRESS</t>
        </is>
      </c>
      <c r="P1400" s="36" t="inlineStr">
        <is>
          <t>A4</t>
        </is>
      </c>
      <c r="Q1400" s="36" t="inlineStr">
        <is>
          <t>2GKA</t>
        </is>
      </c>
    </row>
    <row r="1401">
      <c r="A1401" s="36" t="inlineStr">
        <is>
          <t>139580</t>
        </is>
      </c>
      <c r="B1401" s="52" t="n">
        <v>46041</v>
      </c>
      <c r="C1401" s="36" t="inlineStr">
        <is>
          <t>00169477212</t>
        </is>
      </c>
      <c r="D1401" s="53" t="inlineStr">
        <is>
          <t>OZEMPIC (2 MG/DOSE) 8 MG/3ML PEN-INJECTOR</t>
        </is>
      </c>
      <c r="E1401" s="36" t="n">
        <v>3</v>
      </c>
      <c r="F1401" s="54" t="n">
        <v>3</v>
      </c>
      <c r="G1401" s="54" t="n">
        <v>1</v>
      </c>
      <c r="H1401" s="55" t="n">
        <v>992</v>
      </c>
      <c r="I1401" s="55" t="n">
        <v>1006.05</v>
      </c>
      <c r="J1401" s="55" t="n">
        <v>0</v>
      </c>
      <c r="K1401" s="55" t="n">
        <v>0</v>
      </c>
      <c r="L1401" s="55" t="n">
        <v>1006.05</v>
      </c>
      <c r="M1401" s="55" t="n">
        <v>14.05</v>
      </c>
      <c r="N1401" s="36" t="inlineStr">
        <is>
          <t>004740</t>
        </is>
      </c>
      <c r="O1401" s="36" t="inlineStr">
        <is>
          <t>NYM</t>
        </is>
      </c>
      <c r="P1401" s="36" t="inlineStr">
        <is>
          <t>9314DA31</t>
        </is>
      </c>
      <c r="Q1401" s="36" t="n">
        <v/>
      </c>
    </row>
    <row r="1402">
      <c r="A1402" s="36" t="inlineStr">
        <is>
          <t>133903</t>
        </is>
      </c>
      <c r="B1402" s="52" t="n">
        <v>45996</v>
      </c>
      <c r="C1402" s="36" t="inlineStr">
        <is>
          <t>00169477212</t>
        </is>
      </c>
      <c r="D1402" s="53" t="inlineStr">
        <is>
          <t>OZEMPIC (2 MG/DOSE) 8 MG/3ML PEN-INJECTOR</t>
        </is>
      </c>
      <c r="E1402" s="36" t="n">
        <v>3</v>
      </c>
      <c r="F1402" s="54" t="n">
        <v>9</v>
      </c>
      <c r="G1402" s="54" t="n">
        <v>3</v>
      </c>
      <c r="H1402" s="55" t="n">
        <v>2880</v>
      </c>
      <c r="I1402" s="55" t="n">
        <v>2782.92</v>
      </c>
      <c r="J1402" s="55" t="n">
        <v>0</v>
      </c>
      <c r="K1402" s="55" t="n">
        <v>0</v>
      </c>
      <c r="L1402" s="55" t="n">
        <v>2782.92</v>
      </c>
      <c r="M1402" s="55" t="n">
        <v>-97.08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135018</t>
        </is>
      </c>
      <c r="B1403" s="52" t="n">
        <v>46006</v>
      </c>
      <c r="C1403" s="36" t="inlineStr">
        <is>
          <t>00169477212</t>
        </is>
      </c>
      <c r="D1403" s="53" t="inlineStr">
        <is>
          <t>OZEMPIC (2 MG/DOSE) 8 MG/3ML PEN-INJECTOR</t>
        </is>
      </c>
      <c r="E1403" s="36" t="n">
        <v>3</v>
      </c>
      <c r="F1403" s="54" t="n">
        <v>3</v>
      </c>
      <c r="G1403" s="54" t="n">
        <v>1</v>
      </c>
      <c r="H1403" s="55" t="n">
        <v>960</v>
      </c>
      <c r="I1403" s="55" t="n">
        <v>977.08</v>
      </c>
      <c r="J1403" s="55" t="n">
        <v>0</v>
      </c>
      <c r="K1403" s="55" t="n">
        <v>0</v>
      </c>
      <c r="L1403" s="55" t="n">
        <v>977.08</v>
      </c>
      <c r="M1403" s="55" t="n">
        <v>17.08</v>
      </c>
      <c r="N1403" s="36" t="inlineStr">
        <is>
          <t>004740</t>
        </is>
      </c>
      <c r="O1403" s="36" t="inlineStr">
        <is>
          <t>NYM</t>
        </is>
      </c>
      <c r="P1403" s="36" t="inlineStr">
        <is>
          <t>9314DA31</t>
        </is>
      </c>
      <c r="Q1403" s="36" t="n">
        <v/>
      </c>
    </row>
    <row r="1404">
      <c r="A1404" s="36" t="inlineStr">
        <is>
          <t>121326</t>
        </is>
      </c>
      <c r="B1404" s="52" t="n">
        <v>45995</v>
      </c>
      <c r="C1404" s="36" t="inlineStr">
        <is>
          <t>00169477212</t>
        </is>
      </c>
      <c r="D1404" s="53" t="inlineStr">
        <is>
          <t>OZEMPIC (2 MG/DOSE) 8 MG/3ML PEN-INJECTOR</t>
        </is>
      </c>
      <c r="E1404" s="36" t="n">
        <v>3</v>
      </c>
      <c r="F1404" s="54" t="n">
        <v>3</v>
      </c>
      <c r="G1404" s="54" t="n">
        <v>1</v>
      </c>
      <c r="H1404" s="55" t="n">
        <v>960</v>
      </c>
      <c r="I1404" s="55" t="n">
        <v>896.41</v>
      </c>
      <c r="J1404" s="55" t="n">
        <v>0</v>
      </c>
      <c r="K1404" s="55" t="n">
        <v>24.99</v>
      </c>
      <c r="L1404" s="55" t="n">
        <v>921.4</v>
      </c>
      <c r="M1404" s="55" t="n">
        <v>-38.6</v>
      </c>
      <c r="N1404" s="36" t="inlineStr">
        <is>
          <t>004336</t>
        </is>
      </c>
      <c r="O1404" s="36" t="inlineStr">
        <is>
          <t>CAREMARK</t>
        </is>
      </c>
      <c r="P1404" s="36" t="inlineStr">
        <is>
          <t>ADV</t>
        </is>
      </c>
      <c r="Q1404" s="36" t="inlineStr">
        <is>
          <t>RX3175</t>
        </is>
      </c>
    </row>
    <row r="1405">
      <c r="A1405" s="36" t="inlineStr">
        <is>
          <t>140439</t>
        </is>
      </c>
      <c r="B1405" s="52" t="n">
        <v>46048</v>
      </c>
      <c r="C1405" s="36" t="inlineStr">
        <is>
          <t>60505451803</t>
        </is>
      </c>
      <c r="D1405" s="53" t="inlineStr">
        <is>
          <t>PAXIL 20 MG ORAL TABLET</t>
        </is>
      </c>
      <c r="E1405" s="36" t="n">
        <v>30</v>
      </c>
      <c r="F1405" s="54" t="n">
        <v>60</v>
      </c>
      <c r="G1405" s="54" t="n">
        <v>2</v>
      </c>
      <c r="H1405" s="55" t="n">
        <v>652</v>
      </c>
      <c r="I1405" s="55" t="n">
        <v>642.47</v>
      </c>
      <c r="J1405" s="55" t="n">
        <v>0</v>
      </c>
      <c r="K1405" s="55" t="n">
        <v>0</v>
      </c>
      <c r="L1405" s="55" t="n">
        <v>642.47</v>
      </c>
      <c r="M1405" s="55" t="n">
        <v>-9.529999999999999</v>
      </c>
      <c r="N1405" s="36" t="inlineStr">
        <is>
          <t>004336</t>
        </is>
      </c>
      <c r="O1405" s="36" t="inlineStr">
        <is>
          <t>CAREMARK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140439</t>
        </is>
      </c>
      <c r="B1406" s="52" t="n">
        <v>46076</v>
      </c>
      <c r="C1406" s="36" t="inlineStr">
        <is>
          <t>60505451803</t>
        </is>
      </c>
      <c r="D1406" s="53" t="inlineStr">
        <is>
          <t>PAXIL 20 MG ORAL TABLET</t>
        </is>
      </c>
      <c r="E1406" s="36" t="n">
        <v>30</v>
      </c>
      <c r="F1406" s="54" t="n">
        <v>60</v>
      </c>
      <c r="G1406" s="54" t="n">
        <v>2</v>
      </c>
      <c r="H1406" s="55" t="n">
        <v>652</v>
      </c>
      <c r="I1406" s="55" t="n">
        <v>642.47</v>
      </c>
      <c r="J1406" s="55" t="n">
        <v>0</v>
      </c>
      <c r="K1406" s="55" t="n">
        <v>0</v>
      </c>
      <c r="L1406" s="55" t="n">
        <v>642.47</v>
      </c>
      <c r="M1406" s="55" t="n">
        <v>-9.529999999999999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128916</t>
        </is>
      </c>
      <c r="B1407" s="52" t="n">
        <v>46013</v>
      </c>
      <c r="C1407" s="36" t="inlineStr">
        <is>
          <t>60505451803</t>
        </is>
      </c>
      <c r="D1407" s="53" t="inlineStr">
        <is>
          <t>PAXIL 20 MG ORAL TABLET</t>
        </is>
      </c>
      <c r="E1407" s="36" t="n">
        <v>30</v>
      </c>
      <c r="F1407" s="54" t="n">
        <v>60</v>
      </c>
      <c r="G1407" s="54" t="n">
        <v>2</v>
      </c>
      <c r="H1407" s="55" t="n">
        <v>650</v>
      </c>
      <c r="I1407" s="55" t="n">
        <v>636.8</v>
      </c>
      <c r="J1407" s="55" t="n">
        <v>0</v>
      </c>
      <c r="K1407" s="55" t="n">
        <v>0</v>
      </c>
      <c r="L1407" s="55" t="n">
        <v>636.8</v>
      </c>
      <c r="M1407" s="55" t="n">
        <v>-13.2</v>
      </c>
      <c r="N1407" s="36" t="inlineStr">
        <is>
          <t>004336</t>
        </is>
      </c>
      <c r="O1407" s="36" t="inlineStr">
        <is>
          <t>CAREMARK</t>
        </is>
      </c>
      <c r="P1407" s="36" t="inlineStr">
        <is>
          <t>MEDDADV</t>
        </is>
      </c>
      <c r="Q1407" s="36" t="inlineStr">
        <is>
          <t>RX1110</t>
        </is>
      </c>
    </row>
    <row r="1408">
      <c r="A1408" s="36" t="inlineStr">
        <is>
          <t>137049</t>
        </is>
      </c>
      <c r="B1408" s="52" t="n">
        <v>46021</v>
      </c>
      <c r="C1408" s="36" t="inlineStr">
        <is>
          <t>00069504530</t>
        </is>
      </c>
      <c r="D1408" s="53" t="inlineStr">
        <is>
          <t>PAXLOVID (300/100) 20 X 150 MG &amp; 10 X 100MG TABLET THERAPY PACK</t>
        </is>
      </c>
      <c r="E1408" s="36" t="n">
        <v>30</v>
      </c>
      <c r="F1408" s="54" t="n">
        <v>30</v>
      </c>
      <c r="G1408" s="54" t="n">
        <v>1</v>
      </c>
      <c r="H1408" s="55" t="n">
        <v>1440</v>
      </c>
      <c r="I1408" s="55" t="n">
        <v>1382.79</v>
      </c>
      <c r="J1408" s="55" t="n">
        <v>0</v>
      </c>
      <c r="K1408" s="55" t="n">
        <v>0</v>
      </c>
      <c r="L1408" s="55" t="n">
        <v>1382.79</v>
      </c>
      <c r="M1408" s="55" t="n">
        <v>-57.21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ADV</t>
        </is>
      </c>
      <c r="Q1408" s="36" t="inlineStr">
        <is>
          <t>RX1103</t>
        </is>
      </c>
    </row>
    <row r="1409">
      <c r="A1409" s="36" t="inlineStr">
        <is>
          <t>137804</t>
        </is>
      </c>
      <c r="B1409" s="52" t="n">
        <v>46028</v>
      </c>
      <c r="C1409" s="36" t="inlineStr">
        <is>
          <t>54092018981</t>
        </is>
      </c>
      <c r="D1409" s="53" t="inlineStr">
        <is>
          <t>PENTASA 250 MG ORAL CAPSULE EXTENDED RELEASE</t>
        </is>
      </c>
      <c r="E1409" s="36" t="n">
        <v>240</v>
      </c>
      <c r="F1409" s="54" t="n">
        <v>30</v>
      </c>
      <c r="G1409" s="54" t="n">
        <v>0.12</v>
      </c>
      <c r="H1409" s="55" t="n">
        <v>0</v>
      </c>
      <c r="I1409" s="55" t="n">
        <v>97.40000000000001</v>
      </c>
      <c r="J1409" s="55" t="n">
        <v>0</v>
      </c>
      <c r="K1409" s="55" t="n">
        <v>0</v>
      </c>
      <c r="L1409" s="55" t="n">
        <v>97.40000000000001</v>
      </c>
      <c r="M1409" s="55" t="n">
        <v>0</v>
      </c>
      <c r="N1409" s="36" t="inlineStr">
        <is>
          <t>004740</t>
        </is>
      </c>
      <c r="O1409" s="36" t="inlineStr">
        <is>
          <t>NYM</t>
        </is>
      </c>
      <c r="P1409" s="36" t="inlineStr">
        <is>
          <t>9314DA31</t>
        </is>
      </c>
      <c r="Q1409" s="36" t="n">
        <v/>
      </c>
    </row>
    <row r="1410">
      <c r="A1410" s="36" t="inlineStr">
        <is>
          <t>133965</t>
        </is>
      </c>
      <c r="B1410" s="52" t="n">
        <v>45996</v>
      </c>
      <c r="C1410" s="36" t="inlineStr">
        <is>
          <t>54092018981</t>
        </is>
      </c>
      <c r="D1410" s="53" t="inlineStr">
        <is>
          <t>PENTASA 250 MG ORAL CAPSULE EXTENDED RELEASE</t>
        </is>
      </c>
      <c r="E1410" s="36" t="n">
        <v>240</v>
      </c>
      <c r="F1410" s="54" t="n">
        <v>30</v>
      </c>
      <c r="G1410" s="54" t="n">
        <v>0.12</v>
      </c>
      <c r="H1410" s="55" t="n">
        <v>0</v>
      </c>
      <c r="I1410" s="55" t="n">
        <v>97.52</v>
      </c>
      <c r="J1410" s="55" t="n">
        <v>0</v>
      </c>
      <c r="K1410" s="55" t="n">
        <v>0</v>
      </c>
      <c r="L1410" s="55" t="n">
        <v>97.52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141949</t>
        </is>
      </c>
      <c r="B1411" s="52" t="n">
        <v>46058</v>
      </c>
      <c r="C1411" s="36" t="inlineStr">
        <is>
          <t>54092018981</t>
        </is>
      </c>
      <c r="D1411" s="53" t="inlineStr">
        <is>
          <t>PENTASA 250 MG ORAL CAPSULE EXTENDED RELEASE</t>
        </is>
      </c>
      <c r="E1411" s="36" t="n">
        <v>240</v>
      </c>
      <c r="F1411" s="54" t="n">
        <v>30</v>
      </c>
      <c r="G1411" s="54" t="n">
        <v>0.12</v>
      </c>
      <c r="H1411" s="55" t="n">
        <v>0</v>
      </c>
      <c r="I1411" s="55" t="n">
        <v>97.41</v>
      </c>
      <c r="J1411" s="55" t="n">
        <v>0</v>
      </c>
      <c r="K1411" s="55" t="n">
        <v>0</v>
      </c>
      <c r="L1411" s="55" t="n">
        <v>97.41</v>
      </c>
      <c r="M1411" s="55" t="n">
        <v>0</v>
      </c>
      <c r="N1411" s="36" t="inlineStr">
        <is>
          <t>004740</t>
        </is>
      </c>
      <c r="O1411" s="36" t="inlineStr">
        <is>
          <t>NYM</t>
        </is>
      </c>
      <c r="P1411" s="36" t="inlineStr">
        <is>
          <t>9314DA31</t>
        </is>
      </c>
      <c r="Q1411" s="36" t="n">
        <v/>
      </c>
    </row>
    <row r="1412">
      <c r="A1412" s="36" t="inlineStr">
        <is>
          <t>139738</t>
        </is>
      </c>
      <c r="B1412" s="52" t="n">
        <v>46041</v>
      </c>
      <c r="C1412" s="36" t="inlineStr">
        <is>
          <t>00574062105</t>
        </is>
      </c>
      <c r="D1412" s="53" t="inlineStr">
        <is>
          <t>PODOFILOX 0.5 % EXTERNAL GEL</t>
        </is>
      </c>
      <c r="E1412" s="36" t="n">
        <v>3.5</v>
      </c>
      <c r="F1412" s="54" t="n">
        <v>3.5</v>
      </c>
      <c r="G1412" s="54" t="n">
        <v>1</v>
      </c>
      <c r="H1412" s="55" t="n">
        <v>0</v>
      </c>
      <c r="I1412" s="55" t="n">
        <v>469.56</v>
      </c>
      <c r="J1412" s="55" t="n">
        <v>0</v>
      </c>
      <c r="K1412" s="55" t="n">
        <v>10</v>
      </c>
      <c r="L1412" s="55" t="n">
        <v>479.56</v>
      </c>
      <c r="M1412" s="55" t="n">
        <v>0</v>
      </c>
      <c r="N1412" s="36" t="inlineStr">
        <is>
          <t>610011</t>
        </is>
      </c>
      <c r="O1412" s="36" t="inlineStr">
        <is>
          <t>OPTUM</t>
        </is>
      </c>
      <c r="P1412" s="36" t="inlineStr">
        <is>
          <t>IRX</t>
        </is>
      </c>
      <c r="Q1412" s="36" t="inlineStr">
        <is>
          <t>32BJRX</t>
        </is>
      </c>
    </row>
    <row r="1413">
      <c r="A1413" s="36" t="inlineStr">
        <is>
          <t>124380</t>
        </is>
      </c>
      <c r="B1413" s="52" t="n">
        <v>46027</v>
      </c>
      <c r="C1413" s="36" t="inlineStr">
        <is>
          <t>00046087221</t>
        </is>
      </c>
      <c r="D1413" s="53" t="inlineStr">
        <is>
          <t>PREMARIN 0.625 MG/GM VAGINAL CREAM</t>
        </is>
      </c>
      <c r="E1413" s="36" t="n">
        <v>30</v>
      </c>
      <c r="F1413" s="54" t="n">
        <v>30</v>
      </c>
      <c r="G1413" s="54" t="n">
        <v>1</v>
      </c>
      <c r="H1413" s="55" t="n">
        <v>444</v>
      </c>
      <c r="I1413" s="55" t="n">
        <v>418.58</v>
      </c>
      <c r="J1413" s="55" t="n">
        <v>0</v>
      </c>
      <c r="K1413" s="55" t="n">
        <v>0</v>
      </c>
      <c r="L1413" s="55" t="n">
        <v>418.58</v>
      </c>
      <c r="M1413" s="55" t="n">
        <v>-25.42</v>
      </c>
      <c r="N1413" s="36" t="inlineStr">
        <is>
          <t>610014</t>
        </is>
      </c>
      <c r="O1413" s="36" t="inlineStr">
        <is>
          <t>EXPRESS</t>
        </is>
      </c>
      <c r="P1413" s="36" t="inlineStr">
        <is>
          <t>MEDDPRIME</t>
        </is>
      </c>
      <c r="Q1413" s="36" t="inlineStr">
        <is>
          <t>2FFA</t>
        </is>
      </c>
    </row>
    <row r="1414">
      <c r="A1414" s="36" t="inlineStr">
        <is>
          <t>124380</t>
        </is>
      </c>
      <c r="B1414" s="52" t="n">
        <v>45999</v>
      </c>
      <c r="C1414" s="36" t="inlineStr">
        <is>
          <t>00046087221</t>
        </is>
      </c>
      <c r="D1414" s="53" t="inlineStr">
        <is>
          <t>PREMARIN 0.625 MG/GM VAGINAL CREAM</t>
        </is>
      </c>
      <c r="E1414" s="36" t="n">
        <v>30</v>
      </c>
      <c r="F1414" s="54" t="n">
        <v>30</v>
      </c>
      <c r="G1414" s="54" t="n">
        <v>1</v>
      </c>
      <c r="H1414" s="55" t="n">
        <v>444</v>
      </c>
      <c r="I1414" s="55" t="n">
        <v>462.8</v>
      </c>
      <c r="J1414" s="55" t="n">
        <v>0</v>
      </c>
      <c r="K1414" s="55" t="n">
        <v>0</v>
      </c>
      <c r="L1414" s="55" t="n">
        <v>462.8</v>
      </c>
      <c r="M1414" s="55" t="n">
        <v>18.8</v>
      </c>
      <c r="N1414" s="36" t="inlineStr">
        <is>
          <t>610097</t>
        </is>
      </c>
      <c r="O1414" s="36" t="inlineStr">
        <is>
          <t>OPTUM</t>
        </is>
      </c>
      <c r="P1414" s="36" t="inlineStr">
        <is>
          <t>9999</t>
        </is>
      </c>
      <c r="Q1414" s="36" t="n">
        <v/>
      </c>
    </row>
    <row r="1415">
      <c r="A1415" s="36" t="inlineStr">
        <is>
          <t>141276</t>
        </is>
      </c>
      <c r="B1415" s="52" t="n">
        <v>46052</v>
      </c>
      <c r="C1415" s="36" t="inlineStr">
        <is>
          <t>00046087221</t>
        </is>
      </c>
      <c r="D1415" s="53" t="inlineStr">
        <is>
          <t>PREMARIN 0.625 MG/GM VAGINAL CREAM</t>
        </is>
      </c>
      <c r="E1415" s="36" t="n">
        <v>30</v>
      </c>
      <c r="F1415" s="54" t="n">
        <v>30</v>
      </c>
      <c r="G1415" s="54" t="n">
        <v>1</v>
      </c>
      <c r="H1415" s="55" t="n">
        <v>444</v>
      </c>
      <c r="I1415" s="55" t="n">
        <v>463.15</v>
      </c>
      <c r="J1415" s="55" t="n">
        <v>0</v>
      </c>
      <c r="K1415" s="55" t="n">
        <v>0</v>
      </c>
      <c r="L1415" s="55" t="n">
        <v>463.15</v>
      </c>
      <c r="M1415" s="55" t="n">
        <v>19.15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124380</t>
        </is>
      </c>
      <c r="B1416" s="52" t="n">
        <v>46055</v>
      </c>
      <c r="C1416" s="36" t="inlineStr">
        <is>
          <t>00046087221</t>
        </is>
      </c>
      <c r="D1416" s="53" t="inlineStr">
        <is>
          <t>PREMARIN 0.625 MG/GM VAGINAL CREAM</t>
        </is>
      </c>
      <c r="E1416" s="36" t="n">
        <v>30</v>
      </c>
      <c r="F1416" s="54" t="n">
        <v>30</v>
      </c>
      <c r="G1416" s="54" t="n">
        <v>1</v>
      </c>
      <c r="H1416" s="55" t="n">
        <v>460</v>
      </c>
      <c r="I1416" s="55" t="n">
        <v>418.58</v>
      </c>
      <c r="J1416" s="55" t="n">
        <v>0</v>
      </c>
      <c r="K1416" s="55" t="n">
        <v>0</v>
      </c>
      <c r="L1416" s="55" t="n">
        <v>418.58</v>
      </c>
      <c r="M1416" s="55" t="n">
        <v>-41.42</v>
      </c>
      <c r="N1416" s="36" t="inlineStr">
        <is>
          <t>610014</t>
        </is>
      </c>
      <c r="O1416" s="36" t="inlineStr">
        <is>
          <t>EXPRESS</t>
        </is>
      </c>
      <c r="P1416" s="36" t="inlineStr">
        <is>
          <t>MEDDPRIME</t>
        </is>
      </c>
      <c r="Q1416" s="36" t="inlineStr">
        <is>
          <t>2FFA</t>
        </is>
      </c>
    </row>
    <row r="1417">
      <c r="A1417" s="36" t="inlineStr">
        <is>
          <t>134876</t>
        </is>
      </c>
      <c r="B1417" s="52" t="n">
        <v>46003</v>
      </c>
      <c r="C1417" s="36" t="inlineStr">
        <is>
          <t>00005200002</t>
        </is>
      </c>
      <c r="D1417" s="53" t="inlineStr">
        <is>
          <t>PREVNAR 20 0.5 ML INTRAMUSCULAR SUSPENSION PREFILLED SYRINGE</t>
        </is>
      </c>
      <c r="E1417" s="36" t="n">
        <v>0.5</v>
      </c>
      <c r="F1417" s="54" t="n">
        <v>0.5</v>
      </c>
      <c r="G1417" s="54" t="n">
        <v>1</v>
      </c>
      <c r="H1417" s="55" t="n">
        <v>0</v>
      </c>
      <c r="I1417" s="55" t="n">
        <v>284.46</v>
      </c>
      <c r="J1417" s="55" t="n">
        <v>0</v>
      </c>
      <c r="K1417" s="55" t="n">
        <v>0</v>
      </c>
      <c r="L1417" s="55" t="n">
        <v>284.46</v>
      </c>
      <c r="M1417" s="55" t="n">
        <v>0</v>
      </c>
      <c r="N1417" s="36" t="inlineStr">
        <is>
          <t>004336</t>
        </is>
      </c>
      <c r="O1417" s="36" t="inlineStr">
        <is>
          <t>CAREMARK</t>
        </is>
      </c>
      <c r="P1417" s="36" t="inlineStr">
        <is>
          <t>ADV</t>
        </is>
      </c>
      <c r="Q1417" s="36" t="inlineStr">
        <is>
          <t>RX23MD</t>
        </is>
      </c>
    </row>
    <row r="1418">
      <c r="A1418" s="36" t="inlineStr">
        <is>
          <t>142640</t>
        </is>
      </c>
      <c r="B1418" s="52" t="n">
        <v>46063</v>
      </c>
      <c r="C1418" s="36" t="inlineStr">
        <is>
          <t>00005200010</t>
        </is>
      </c>
      <c r="D1418" s="53" t="inlineStr">
        <is>
          <t>PREVNAR 20 0.5 ML PREFILLED SYRINGE</t>
        </is>
      </c>
      <c r="E1418" s="36" t="n">
        <v>5</v>
      </c>
      <c r="F1418" s="54" t="n">
        <v>0.5</v>
      </c>
      <c r="G1418" s="54" t="n">
        <v>0.1</v>
      </c>
      <c r="H1418" s="55" t="n">
        <v>0</v>
      </c>
      <c r="I1418" s="55" t="n">
        <v>304.41</v>
      </c>
      <c r="J1418" s="55" t="n">
        <v>0</v>
      </c>
      <c r="K1418" s="55" t="n">
        <v>0</v>
      </c>
      <c r="L1418" s="55" t="n">
        <v>304.41</v>
      </c>
      <c r="M1418" s="55" t="n">
        <v>0</v>
      </c>
      <c r="N1418" s="36" t="inlineStr">
        <is>
          <t>004336</t>
        </is>
      </c>
      <c r="O1418" s="36" t="inlineStr">
        <is>
          <t>CAREMARK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139171</t>
        </is>
      </c>
      <c r="B1419" s="52" t="n">
        <v>46037</v>
      </c>
      <c r="C1419" s="36" t="inlineStr">
        <is>
          <t>00005200010</t>
        </is>
      </c>
      <c r="D1419" s="53" t="inlineStr">
        <is>
          <t>PREVNAR 20 0.5 ML PREFILLED SYRINGE</t>
        </is>
      </c>
      <c r="E1419" s="36" t="n">
        <v>5</v>
      </c>
      <c r="F1419" s="54" t="n">
        <v>0.5</v>
      </c>
      <c r="G1419" s="54" t="n">
        <v>0.1</v>
      </c>
      <c r="H1419" s="55" t="n">
        <v>0</v>
      </c>
      <c r="I1419" s="55" t="n">
        <v>284.41</v>
      </c>
      <c r="J1419" s="55" t="n">
        <v>0</v>
      </c>
      <c r="K1419" s="55" t="n">
        <v>0</v>
      </c>
      <c r="L1419" s="55" t="n">
        <v>284.41</v>
      </c>
      <c r="M1419" s="55" t="n">
        <v>0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135627</t>
        </is>
      </c>
      <c r="B1420" s="52" t="n">
        <v>46009</v>
      </c>
      <c r="C1420" s="36" t="inlineStr">
        <is>
          <t>00005200010</t>
        </is>
      </c>
      <c r="D1420" s="53" t="inlineStr">
        <is>
          <t>PREVNAR 20 0.5 ML PREFILLED SYRINGE</t>
        </is>
      </c>
      <c r="E1420" s="36" t="n">
        <v>5</v>
      </c>
      <c r="F1420" s="54" t="n">
        <v>0.5</v>
      </c>
      <c r="G1420" s="54" t="n">
        <v>0.1</v>
      </c>
      <c r="H1420" s="55" t="n">
        <v>0</v>
      </c>
      <c r="I1420" s="55" t="n">
        <v>258.64</v>
      </c>
      <c r="J1420" s="55" t="n">
        <v>0</v>
      </c>
      <c r="K1420" s="55" t="n">
        <v>0</v>
      </c>
      <c r="L1420" s="55" t="n">
        <v>258.64</v>
      </c>
      <c r="M1420" s="55" t="n">
        <v>0</v>
      </c>
      <c r="N1420" s="36" t="inlineStr">
        <is>
          <t>004336</t>
        </is>
      </c>
      <c r="O1420" s="36" t="inlineStr">
        <is>
          <t>CAREMARK</t>
        </is>
      </c>
      <c r="P1420" s="36" t="inlineStr">
        <is>
          <t>MEDDADV</t>
        </is>
      </c>
      <c r="Q1420" s="36" t="inlineStr">
        <is>
          <t>RX1110</t>
        </is>
      </c>
    </row>
    <row r="1421">
      <c r="A1421" s="36" t="inlineStr">
        <is>
          <t>142601</t>
        </is>
      </c>
      <c r="B1421" s="52" t="n">
        <v>46063</v>
      </c>
      <c r="C1421" s="36" t="inlineStr">
        <is>
          <t>00005200010</t>
        </is>
      </c>
      <c r="D1421" s="53" t="inlineStr">
        <is>
          <t>PREVNAR 20 0.5 ML PREFILLED SYRINGE</t>
        </is>
      </c>
      <c r="E1421" s="36" t="n">
        <v>5</v>
      </c>
      <c r="F1421" s="54" t="n">
        <v>0.5</v>
      </c>
      <c r="G1421" s="54" t="n">
        <v>0.1</v>
      </c>
      <c r="H1421" s="55" t="n">
        <v>0</v>
      </c>
      <c r="I1421" s="55" t="n">
        <v>284.54</v>
      </c>
      <c r="J1421" s="55" t="n">
        <v>0</v>
      </c>
      <c r="K1421" s="55" t="n">
        <v>0</v>
      </c>
      <c r="L1421" s="55" t="n">
        <v>284.54</v>
      </c>
      <c r="M1421" s="55" t="n">
        <v>0</v>
      </c>
      <c r="N1421" s="36" t="inlineStr">
        <is>
          <t>610014</t>
        </is>
      </c>
      <c r="O1421" s="36" t="inlineStr">
        <is>
          <t>EXPRESS</t>
        </is>
      </c>
      <c r="P1421" s="36" t="inlineStr">
        <is>
          <t>MEDDPRIME</t>
        </is>
      </c>
      <c r="Q1421" s="36" t="inlineStr">
        <is>
          <t>2FFA</t>
        </is>
      </c>
    </row>
    <row r="1422">
      <c r="A1422" s="36" t="inlineStr">
        <is>
          <t>136975</t>
        </is>
      </c>
      <c r="B1422" s="52" t="n">
        <v>46021</v>
      </c>
      <c r="C1422" s="36" t="inlineStr">
        <is>
          <t>00005200010</t>
        </is>
      </c>
      <c r="D1422" s="53" t="inlineStr">
        <is>
          <t>PREVNAR 20 0.5 ML PREFILLED SYRINGE</t>
        </is>
      </c>
      <c r="E1422" s="36" t="n">
        <v>5</v>
      </c>
      <c r="F1422" s="54" t="n">
        <v>0.5</v>
      </c>
      <c r="G1422" s="54" t="n">
        <v>0.1</v>
      </c>
      <c r="H1422" s="55" t="n">
        <v>0</v>
      </c>
      <c r="I1422" s="55" t="n">
        <v>258.64</v>
      </c>
      <c r="J1422" s="55" t="n">
        <v>0</v>
      </c>
      <c r="K1422" s="55" t="n">
        <v>0</v>
      </c>
      <c r="L1422" s="55" t="n">
        <v>258.64</v>
      </c>
      <c r="M1422" s="55" t="n">
        <v>0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113367</t>
        </is>
      </c>
      <c r="B1423" s="52" t="n">
        <v>46027</v>
      </c>
      <c r="C1423" s="36" t="inlineStr">
        <is>
          <t>59676031001</t>
        </is>
      </c>
      <c r="D1423" s="53" t="inlineStr">
        <is>
          <t>PROCRIT 10000 UNIT/ML INJECTION SOLUTION</t>
        </is>
      </c>
      <c r="E1423" s="36" t="n">
        <v>6</v>
      </c>
      <c r="F1423" s="54" t="n">
        <v>3</v>
      </c>
      <c r="G1423" s="54" t="n">
        <v>0.5</v>
      </c>
      <c r="H1423" s="55" t="n">
        <v>0</v>
      </c>
      <c r="I1423" s="55" t="n">
        <v>750.1</v>
      </c>
      <c r="J1423" s="55" t="n">
        <v>0</v>
      </c>
      <c r="K1423" s="55" t="n">
        <v>0</v>
      </c>
      <c r="L1423" s="55" t="n">
        <v>750.1</v>
      </c>
      <c r="M1423" s="55" t="n">
        <v>0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116701</t>
        </is>
      </c>
      <c r="B1424" s="52" t="n">
        <v>46049</v>
      </c>
      <c r="C1424" s="36" t="inlineStr">
        <is>
          <t>55513071021</t>
        </is>
      </c>
      <c r="D1424" s="53" t="inlineStr">
        <is>
          <t>PROLIA 60 MG/ML SUBCUTANEOUS SOLUTION PREFILLED SYRINGE</t>
        </is>
      </c>
      <c r="E1424" s="36" t="n">
        <v>1</v>
      </c>
      <c r="F1424" s="54" t="n">
        <v>1</v>
      </c>
      <c r="G1424" s="54" t="n">
        <v>1</v>
      </c>
      <c r="H1424" s="55" t="n">
        <v>0</v>
      </c>
      <c r="I1424" s="55" t="n">
        <v>1807.72</v>
      </c>
      <c r="J1424" s="55" t="n">
        <v>0</v>
      </c>
      <c r="K1424" s="55" t="n">
        <v>0</v>
      </c>
      <c r="L1424" s="55" t="n">
        <v>1807.72</v>
      </c>
      <c r="M1424" s="55" t="n">
        <v>0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134117</t>
        </is>
      </c>
      <c r="B1425" s="52" t="n">
        <v>45999</v>
      </c>
      <c r="C1425" s="36" t="inlineStr">
        <is>
          <t>17772013130</t>
        </is>
      </c>
      <c r="D1425" s="53" t="inlineStr">
        <is>
          <t>QELBREE 100MG CAPSULE ER</t>
        </is>
      </c>
      <c r="E1425" s="36" t="n">
        <v>30</v>
      </c>
      <c r="F1425" s="54" t="n">
        <v>30</v>
      </c>
      <c r="G1425" s="54" t="n">
        <v>1</v>
      </c>
      <c r="H1425" s="55" t="n">
        <v>364</v>
      </c>
      <c r="I1425" s="55" t="n">
        <v>352.65</v>
      </c>
      <c r="J1425" s="55" t="n">
        <v>0</v>
      </c>
      <c r="K1425" s="55" t="n">
        <v>0</v>
      </c>
      <c r="L1425" s="55" t="n">
        <v>352.65</v>
      </c>
      <c r="M1425" s="55" t="n">
        <v>-11.35</v>
      </c>
      <c r="N1425" s="36" t="inlineStr">
        <is>
          <t>020099</t>
        </is>
      </c>
      <c r="O1425" s="36" t="inlineStr">
        <is>
          <t>CAREMARK</t>
        </is>
      </c>
      <c r="P1425" s="36" t="inlineStr">
        <is>
          <t>WG</t>
        </is>
      </c>
      <c r="Q1425" s="36" t="inlineStr">
        <is>
          <t>WLAA</t>
        </is>
      </c>
    </row>
    <row r="1426">
      <c r="A1426" s="36" t="inlineStr">
        <is>
          <t>134072</t>
        </is>
      </c>
      <c r="B1426" s="52" t="n">
        <v>45997</v>
      </c>
      <c r="C1426" s="36" t="inlineStr">
        <is>
          <t>17772013230</t>
        </is>
      </c>
      <c r="D1426" s="53" t="inlineStr">
        <is>
          <t>QELBREE 150MG CAPSULE ER</t>
        </is>
      </c>
      <c r="E1426" s="36" t="n">
        <v>30</v>
      </c>
      <c r="F1426" s="54" t="n">
        <v>30</v>
      </c>
      <c r="G1426" s="54" t="n">
        <v>1</v>
      </c>
      <c r="H1426" s="55" t="n">
        <v>363</v>
      </c>
      <c r="I1426" s="55" t="n">
        <v>370.77</v>
      </c>
      <c r="J1426" s="55" t="n">
        <v>0</v>
      </c>
      <c r="K1426" s="55" t="n">
        <v>0</v>
      </c>
      <c r="L1426" s="55" t="n">
        <v>370.77</v>
      </c>
      <c r="M1426" s="55" t="n">
        <v>7.77</v>
      </c>
      <c r="N1426" s="36" t="inlineStr">
        <is>
          <t>004740</t>
        </is>
      </c>
      <c r="O1426" s="36" t="inlineStr">
        <is>
          <t>NYM</t>
        </is>
      </c>
      <c r="P1426" s="36" t="inlineStr">
        <is>
          <t>9314DA31</t>
        </is>
      </c>
      <c r="Q1426" s="36" t="n">
        <v/>
      </c>
    </row>
    <row r="1427">
      <c r="A1427" s="36" t="inlineStr">
        <is>
          <t>144515</t>
        </is>
      </c>
      <c r="B1427" s="52" t="n">
        <v>46077</v>
      </c>
      <c r="C1427" s="36" t="inlineStr">
        <is>
          <t>00074709630</t>
        </is>
      </c>
      <c r="D1427" s="53" t="inlineStr">
        <is>
          <t>QULIPTA 30 MG ORAL TABLET</t>
        </is>
      </c>
      <c r="E1427" s="36" t="n">
        <v>30</v>
      </c>
      <c r="F1427" s="54" t="n">
        <v>30</v>
      </c>
      <c r="G1427" s="54" t="n">
        <v>1</v>
      </c>
      <c r="H1427" s="55" t="n">
        <v>0</v>
      </c>
      <c r="I1427" s="55" t="n">
        <v>1125.31</v>
      </c>
      <c r="J1427" s="55" t="n">
        <v>0</v>
      </c>
      <c r="K1427" s="55" t="n">
        <v>0</v>
      </c>
      <c r="L1427" s="55" t="n">
        <v>1125.31</v>
      </c>
      <c r="M1427" s="55" t="n">
        <v>0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ADV</t>
        </is>
      </c>
      <c r="Q1427" s="36" t="inlineStr">
        <is>
          <t>RX24AV</t>
        </is>
      </c>
    </row>
    <row r="1428">
      <c r="A1428" s="36" t="inlineStr">
        <is>
          <t>140745</t>
        </is>
      </c>
      <c r="B1428" s="52" t="n">
        <v>46049</v>
      </c>
      <c r="C1428" s="36" t="inlineStr">
        <is>
          <t>00074709630</t>
        </is>
      </c>
      <c r="D1428" s="53" t="inlineStr">
        <is>
          <t>QULIPTA 30 MG ORAL TABLET</t>
        </is>
      </c>
      <c r="E1428" s="36" t="n">
        <v>30</v>
      </c>
      <c r="F1428" s="54" t="n">
        <v>30</v>
      </c>
      <c r="G1428" s="54" t="n">
        <v>1</v>
      </c>
      <c r="H1428" s="55" t="n">
        <v>0</v>
      </c>
      <c r="I1428" s="55" t="n">
        <v>1119.31</v>
      </c>
      <c r="J1428" s="55" t="n">
        <v>0</v>
      </c>
      <c r="K1428" s="55" t="n">
        <v>0</v>
      </c>
      <c r="L1428" s="55" t="n">
        <v>1119.31</v>
      </c>
      <c r="M1428" s="55" t="n">
        <v>0</v>
      </c>
      <c r="N1428" s="36" t="inlineStr">
        <is>
          <t>004336</t>
        </is>
      </c>
      <c r="O1428" s="36" t="inlineStr">
        <is>
          <t>CAREMARK</t>
        </is>
      </c>
      <c r="P1428" s="36" t="inlineStr">
        <is>
          <t>ADV</t>
        </is>
      </c>
      <c r="Q1428" s="36" t="inlineStr">
        <is>
          <t>RX24AV</t>
        </is>
      </c>
    </row>
    <row r="1429">
      <c r="A1429" s="36" t="inlineStr">
        <is>
          <t>123735</t>
        </is>
      </c>
      <c r="B1429" s="52" t="n">
        <v>46002</v>
      </c>
      <c r="C1429" s="36" t="inlineStr">
        <is>
          <t>59310030240</t>
        </is>
      </c>
      <c r="D1429" s="53" t="inlineStr">
        <is>
          <t>QVAR REDIHALER 40MCG/ACT AEROSOL</t>
        </is>
      </c>
      <c r="E1429" s="36" t="n">
        <v>10.6</v>
      </c>
      <c r="F1429" s="54" t="n">
        <v>10.6</v>
      </c>
      <c r="G1429" s="54" t="n">
        <v>1</v>
      </c>
      <c r="H1429" s="55" t="n">
        <v>0</v>
      </c>
      <c r="I1429" s="55" t="n">
        <v>219.81</v>
      </c>
      <c r="J1429" s="55" t="n">
        <v>0</v>
      </c>
      <c r="K1429" s="55" t="n">
        <v>0</v>
      </c>
      <c r="L1429" s="55" t="n">
        <v>219.81</v>
      </c>
      <c r="M1429" s="55" t="n">
        <v>0</v>
      </c>
      <c r="N1429" s="36" t="inlineStr">
        <is>
          <t>004740</t>
        </is>
      </c>
      <c r="O1429" s="36" t="inlineStr">
        <is>
          <t>NYM</t>
        </is>
      </c>
      <c r="P1429" s="36" t="inlineStr">
        <is>
          <t>9314DA31</t>
        </is>
      </c>
      <c r="Q1429" s="36" t="n">
        <v/>
      </c>
    </row>
    <row r="1430">
      <c r="A1430" s="36" t="inlineStr">
        <is>
          <t>123735</t>
        </is>
      </c>
      <c r="B1430" s="52" t="n">
        <v>46030</v>
      </c>
      <c r="C1430" s="36" t="inlineStr">
        <is>
          <t>59310030240</t>
        </is>
      </c>
      <c r="D1430" s="53" t="inlineStr">
        <is>
          <t>QVAR REDIHALER 40MCG/ACT AEROSOL</t>
        </is>
      </c>
      <c r="E1430" s="36" t="n">
        <v>10.6</v>
      </c>
      <c r="F1430" s="54" t="n">
        <v>10.6</v>
      </c>
      <c r="G1430" s="54" t="n">
        <v>1</v>
      </c>
      <c r="H1430" s="55" t="n">
        <v>0</v>
      </c>
      <c r="I1430" s="55" t="n">
        <v>219.83</v>
      </c>
      <c r="J1430" s="55" t="n">
        <v>0</v>
      </c>
      <c r="K1430" s="55" t="n">
        <v>0</v>
      </c>
      <c r="L1430" s="55" t="n">
        <v>219.83</v>
      </c>
      <c r="M1430" s="55" t="n">
        <v>0</v>
      </c>
      <c r="N1430" s="36" t="inlineStr">
        <is>
          <t>004740</t>
        </is>
      </c>
      <c r="O1430" s="36" t="inlineStr">
        <is>
          <t>NYM</t>
        </is>
      </c>
      <c r="P1430" s="36" t="inlineStr">
        <is>
          <t>9314DA31</t>
        </is>
      </c>
      <c r="Q1430" s="36" t="n">
        <v/>
      </c>
    </row>
    <row r="1431">
      <c r="A1431" s="36" t="inlineStr">
        <is>
          <t>124035</t>
        </is>
      </c>
      <c r="B1431" s="52" t="n">
        <v>46063</v>
      </c>
      <c r="C1431" s="36" t="inlineStr">
        <is>
          <t>59310030240</t>
        </is>
      </c>
      <c r="D1431" s="53" t="inlineStr">
        <is>
          <t>QVAR REDIHALER 40MCG/ACT AEROSOL</t>
        </is>
      </c>
      <c r="E1431" s="36" t="n">
        <v>10.6</v>
      </c>
      <c r="F1431" s="54" t="n">
        <v>10.6</v>
      </c>
      <c r="G1431" s="54" t="n">
        <v>1</v>
      </c>
      <c r="H1431" s="55" t="n">
        <v>0</v>
      </c>
      <c r="I1431" s="55" t="n">
        <v>164.77</v>
      </c>
      <c r="J1431" s="55" t="n">
        <v>0</v>
      </c>
      <c r="K1431" s="55" t="n">
        <v>45</v>
      </c>
      <c r="L1431" s="55" t="n">
        <v>209.77</v>
      </c>
      <c r="M1431" s="55" t="n">
        <v>0</v>
      </c>
      <c r="N1431" s="36" t="inlineStr">
        <is>
          <t>017010</t>
        </is>
      </c>
      <c r="O1431" s="36" t="inlineStr">
        <is>
          <t>EXPRESS</t>
        </is>
      </c>
      <c r="P1431" s="36" t="inlineStr">
        <is>
          <t>0215COMM</t>
        </is>
      </c>
      <c r="Q1431" s="36" t="inlineStr">
        <is>
          <t>CIGUG0000637726</t>
        </is>
      </c>
    </row>
    <row r="1432">
      <c r="A1432" s="36" t="inlineStr">
        <is>
          <t>124035</t>
        </is>
      </c>
      <c r="B1432" s="52" t="n">
        <v>46034</v>
      </c>
      <c r="C1432" s="36" t="inlineStr">
        <is>
          <t>59310030240</t>
        </is>
      </c>
      <c r="D1432" s="53" t="inlineStr">
        <is>
          <t>QVAR REDIHALER 40MCG/ACT AEROSOL</t>
        </is>
      </c>
      <c r="E1432" s="36" t="n">
        <v>10.6</v>
      </c>
      <c r="F1432" s="54" t="n">
        <v>10.6</v>
      </c>
      <c r="G1432" s="54" t="n">
        <v>1</v>
      </c>
      <c r="H1432" s="55" t="n">
        <v>0</v>
      </c>
      <c r="I1432" s="55" t="n">
        <v>64.77</v>
      </c>
      <c r="J1432" s="55" t="n">
        <v>0</v>
      </c>
      <c r="K1432" s="55" t="n">
        <v>145</v>
      </c>
      <c r="L1432" s="55" t="n">
        <v>209.77</v>
      </c>
      <c r="M1432" s="55" t="n">
        <v>0</v>
      </c>
      <c r="N1432" s="36" t="inlineStr">
        <is>
          <t>017010</t>
        </is>
      </c>
      <c r="O1432" s="36" t="inlineStr">
        <is>
          <t>EXPRESS</t>
        </is>
      </c>
      <c r="P1432" s="36" t="inlineStr">
        <is>
          <t>0215COMM</t>
        </is>
      </c>
      <c r="Q1432" s="36" t="inlineStr">
        <is>
          <t>CIGUG0000637726</t>
        </is>
      </c>
    </row>
    <row r="1433">
      <c r="A1433" s="36" t="inlineStr">
        <is>
          <t>123735</t>
        </is>
      </c>
      <c r="B1433" s="52" t="n">
        <v>46058</v>
      </c>
      <c r="C1433" s="36" t="inlineStr">
        <is>
          <t>59310030240</t>
        </is>
      </c>
      <c r="D1433" s="53" t="inlineStr">
        <is>
          <t>QVAR REDIHALER 40MCG/ACT AEROSOL</t>
        </is>
      </c>
      <c r="E1433" s="36" t="n">
        <v>10.6</v>
      </c>
      <c r="F1433" s="54" t="n">
        <v>10.6</v>
      </c>
      <c r="G1433" s="54" t="n">
        <v>1</v>
      </c>
      <c r="H1433" s="55" t="n">
        <v>0</v>
      </c>
      <c r="I1433" s="55" t="n">
        <v>228.22</v>
      </c>
      <c r="J1433" s="55" t="n">
        <v>0</v>
      </c>
      <c r="K1433" s="55" t="n">
        <v>0</v>
      </c>
      <c r="L1433" s="55" t="n">
        <v>228.22</v>
      </c>
      <c r="M1433" s="55" t="n">
        <v>0</v>
      </c>
      <c r="N1433" s="36" t="inlineStr">
        <is>
          <t>004740</t>
        </is>
      </c>
      <c r="O1433" s="36" t="inlineStr">
        <is>
          <t>NYM</t>
        </is>
      </c>
      <c r="P1433" s="36" t="inlineStr">
        <is>
          <t>9314DA31</t>
        </is>
      </c>
      <c r="Q1433" s="36" t="n">
        <v/>
      </c>
    </row>
    <row r="1434">
      <c r="A1434" s="36" t="inlineStr">
        <is>
          <t>124035</t>
        </is>
      </c>
      <c r="B1434" s="52" t="n">
        <v>46006</v>
      </c>
      <c r="C1434" s="36" t="inlineStr">
        <is>
          <t>59310030240</t>
        </is>
      </c>
      <c r="D1434" s="53" t="inlineStr">
        <is>
          <t>QVAR REDIHALER 40MCG/ACT AEROSOL</t>
        </is>
      </c>
      <c r="E1434" s="36" t="n">
        <v>10.6</v>
      </c>
      <c r="F1434" s="54" t="n">
        <v>10.6</v>
      </c>
      <c r="G1434" s="54" t="n">
        <v>1</v>
      </c>
      <c r="H1434" s="55" t="n">
        <v>0</v>
      </c>
      <c r="I1434" s="55" t="n">
        <v>201.7</v>
      </c>
      <c r="J1434" s="55" t="n">
        <v>0</v>
      </c>
      <c r="K1434" s="55" t="n">
        <v>0</v>
      </c>
      <c r="L1434" s="55" t="n">
        <v>201.7</v>
      </c>
      <c r="M1434" s="55" t="n">
        <v>0</v>
      </c>
      <c r="N1434" s="36" t="inlineStr">
        <is>
          <t>017010</t>
        </is>
      </c>
      <c r="O1434" s="36" t="inlineStr">
        <is>
          <t>EXPRESS</t>
        </is>
      </c>
      <c r="P1434" s="36" t="inlineStr">
        <is>
          <t>0215COMM</t>
        </is>
      </c>
      <c r="Q1434" s="36" t="inlineStr">
        <is>
          <t>CIGUG0000637726</t>
        </is>
      </c>
    </row>
    <row r="1435">
      <c r="A1435" s="36" t="inlineStr">
        <is>
          <t>139951</t>
        </is>
      </c>
      <c r="B1435" s="52" t="n">
        <v>46069</v>
      </c>
      <c r="C1435" s="36" t="inlineStr">
        <is>
          <t>59137053004</t>
        </is>
      </c>
      <c r="D1435" s="53" t="inlineStr">
        <is>
          <t>RASUVO 20MG/0.4ML INJECTION</t>
        </is>
      </c>
      <c r="E1435" s="36" t="n">
        <v>1.6</v>
      </c>
      <c r="F1435" s="54" t="n">
        <v>1.6</v>
      </c>
      <c r="G1435" s="54" t="n">
        <v>1</v>
      </c>
      <c r="H1435" s="55" t="n">
        <v>566</v>
      </c>
      <c r="I1435" s="55" t="n">
        <v>552.64</v>
      </c>
      <c r="J1435" s="55" t="n">
        <v>0</v>
      </c>
      <c r="K1435" s="55" t="n">
        <v>0</v>
      </c>
      <c r="L1435" s="55" t="n">
        <v>552.64</v>
      </c>
      <c r="M1435" s="55" t="n">
        <v>-13.36</v>
      </c>
      <c r="N1435" s="36" t="inlineStr">
        <is>
          <t>004336</t>
        </is>
      </c>
      <c r="O1435" s="36" t="inlineStr">
        <is>
          <t>CAREMARK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139951</t>
        </is>
      </c>
      <c r="B1436" s="52" t="n">
        <v>46043</v>
      </c>
      <c r="C1436" s="36" t="inlineStr">
        <is>
          <t>59137053004</t>
        </is>
      </c>
      <c r="D1436" s="53" t="inlineStr">
        <is>
          <t>RASUVO 20MG/0.4ML INJECTION</t>
        </is>
      </c>
      <c r="E1436" s="36" t="n">
        <v>1.6</v>
      </c>
      <c r="F1436" s="54" t="n">
        <v>1.6</v>
      </c>
      <c r="G1436" s="54" t="n">
        <v>1</v>
      </c>
      <c r="H1436" s="55" t="n">
        <v>566</v>
      </c>
      <c r="I1436" s="55" t="n">
        <v>552.64</v>
      </c>
      <c r="J1436" s="55" t="n">
        <v>0</v>
      </c>
      <c r="K1436" s="55" t="n">
        <v>0</v>
      </c>
      <c r="L1436" s="55" t="n">
        <v>552.64</v>
      </c>
      <c r="M1436" s="55" t="n">
        <v>-13.36</v>
      </c>
      <c r="N1436" s="36" t="inlineStr">
        <is>
          <t>004336</t>
        </is>
      </c>
      <c r="O1436" s="36" t="inlineStr">
        <is>
          <t>CAREMARK</t>
        </is>
      </c>
      <c r="P1436" s="36" t="inlineStr">
        <is>
          <t>MEDDADV</t>
        </is>
      </c>
      <c r="Q1436" s="36" t="inlineStr">
        <is>
          <t>RX1110</t>
        </is>
      </c>
    </row>
    <row r="1437">
      <c r="A1437" s="36" t="inlineStr">
        <is>
          <t>129673</t>
        </is>
      </c>
      <c r="B1437" s="52" t="n">
        <v>46015</v>
      </c>
      <c r="C1437" s="36" t="inlineStr">
        <is>
          <t>59137053004</t>
        </is>
      </c>
      <c r="D1437" s="53" t="inlineStr">
        <is>
          <t>RASUVO 20MG/0.4ML INJECTION</t>
        </is>
      </c>
      <c r="E1437" s="36" t="n">
        <v>1.6</v>
      </c>
      <c r="F1437" s="54" t="n">
        <v>1.6</v>
      </c>
      <c r="G1437" s="54" t="n">
        <v>1</v>
      </c>
      <c r="H1437" s="55" t="n">
        <v>566</v>
      </c>
      <c r="I1437" s="55" t="n">
        <v>547.76</v>
      </c>
      <c r="J1437" s="55" t="n">
        <v>0</v>
      </c>
      <c r="K1437" s="55" t="n">
        <v>0</v>
      </c>
      <c r="L1437" s="55" t="n">
        <v>547.76</v>
      </c>
      <c r="M1437" s="55" t="n">
        <v>-18.24</v>
      </c>
      <c r="N1437" s="36" t="inlineStr">
        <is>
          <t>004336</t>
        </is>
      </c>
      <c r="O1437" s="36" t="inlineStr">
        <is>
          <t>CAREMARK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132150</t>
        </is>
      </c>
      <c r="B1438" s="52" t="n">
        <v>46036</v>
      </c>
      <c r="C1438" s="36" t="inlineStr">
        <is>
          <t>72511039302</t>
        </is>
      </c>
      <c r="D1438" s="53" t="inlineStr">
        <is>
          <t>REPATHA SURECLICK 140 MG/ML SUBCUTANEOUS SOLUTION AUTO-INJECTOR</t>
        </is>
      </c>
      <c r="E1438" s="36" t="n">
        <v>2</v>
      </c>
      <c r="F1438" s="54" t="n">
        <v>2</v>
      </c>
      <c r="G1438" s="54" t="n">
        <v>1</v>
      </c>
      <c r="H1438" s="55" t="n">
        <v>564</v>
      </c>
      <c r="I1438" s="55" t="n">
        <v>534.23</v>
      </c>
      <c r="J1438" s="55" t="n">
        <v>0</v>
      </c>
      <c r="K1438" s="55" t="n">
        <v>20</v>
      </c>
      <c r="L1438" s="55" t="n">
        <v>554.23</v>
      </c>
      <c r="M1438" s="55" t="n">
        <v>-9.77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ADV</t>
        </is>
      </c>
      <c r="Q1438" s="36" t="inlineStr">
        <is>
          <t>RX0839</t>
        </is>
      </c>
    </row>
    <row r="1439">
      <c r="A1439" s="36" t="inlineStr">
        <is>
          <t>137386</t>
        </is>
      </c>
      <c r="B1439" s="52" t="n">
        <v>46025</v>
      </c>
      <c r="C1439" s="36" t="inlineStr">
        <is>
          <t>72511039302</t>
        </is>
      </c>
      <c r="D1439" s="53" t="inlineStr">
        <is>
          <t>REPATHA SURECLICK 140 MG/ML SUBCUTANEOUS SOLUTION AUTO-INJECTOR</t>
        </is>
      </c>
      <c r="E1439" s="36" t="n">
        <v>2</v>
      </c>
      <c r="F1439" s="54" t="n">
        <v>2</v>
      </c>
      <c r="G1439" s="54" t="n">
        <v>1</v>
      </c>
      <c r="H1439" s="55" t="n">
        <v>564</v>
      </c>
      <c r="I1439" s="55" t="n">
        <v>539.84</v>
      </c>
      <c r="J1439" s="55" t="n">
        <v>0</v>
      </c>
      <c r="K1439" s="55" t="n">
        <v>4.9</v>
      </c>
      <c r="L1439" s="55" t="n">
        <v>544.74</v>
      </c>
      <c r="M1439" s="55" t="n">
        <v>-19.26</v>
      </c>
      <c r="N1439" s="36" t="inlineStr">
        <is>
          <t>004336</t>
        </is>
      </c>
      <c r="O1439" s="36" t="inlineStr">
        <is>
          <t>CAREMARK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137386</t>
        </is>
      </c>
      <c r="B1440" s="52" t="n">
        <v>46055</v>
      </c>
      <c r="C1440" s="36" t="inlineStr">
        <is>
          <t>72511039302</t>
        </is>
      </c>
      <c r="D1440" s="53" t="inlineStr">
        <is>
          <t>REPATHA SURECLICK 140 MG/ML SUBCUTANEOUS SOLUTION AUTO-INJECTOR</t>
        </is>
      </c>
      <c r="E1440" s="36" t="n">
        <v>2</v>
      </c>
      <c r="F1440" s="54" t="n">
        <v>2</v>
      </c>
      <c r="G1440" s="54" t="n">
        <v>1</v>
      </c>
      <c r="H1440" s="55" t="n">
        <v>564</v>
      </c>
      <c r="I1440" s="55" t="n">
        <v>550.75</v>
      </c>
      <c r="J1440" s="55" t="n">
        <v>0</v>
      </c>
      <c r="K1440" s="55" t="n">
        <v>4.9</v>
      </c>
      <c r="L1440" s="55" t="n">
        <v>555.65</v>
      </c>
      <c r="M1440" s="55" t="n">
        <v>-8.35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139453</t>
        </is>
      </c>
      <c r="B1441" s="52" t="n">
        <v>46038</v>
      </c>
      <c r="C1441" s="36" t="inlineStr">
        <is>
          <t>72511039302</t>
        </is>
      </c>
      <c r="D1441" s="53" t="inlineStr">
        <is>
          <t>REPATHA SURECLICK 140 MG/ML SUBCUTANEOUS SOLUTION AUTO-INJECTOR</t>
        </is>
      </c>
      <c r="E1441" s="36" t="n">
        <v>2</v>
      </c>
      <c r="F1441" s="54" t="n">
        <v>6</v>
      </c>
      <c r="G1441" s="54" t="n">
        <v>3</v>
      </c>
      <c r="H1441" s="55" t="n">
        <v>1692</v>
      </c>
      <c r="I1441" s="55" t="n">
        <v>1639.98</v>
      </c>
      <c r="J1441" s="55" t="n">
        <v>0</v>
      </c>
      <c r="K1441" s="55" t="n">
        <v>0</v>
      </c>
      <c r="L1441" s="55" t="n">
        <v>1639.98</v>
      </c>
      <c r="M1441" s="55" t="n">
        <v>-52.02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138880</t>
        </is>
      </c>
      <c r="B1442" s="52" t="n">
        <v>46062</v>
      </c>
      <c r="C1442" s="36" t="inlineStr">
        <is>
          <t>72511039302</t>
        </is>
      </c>
      <c r="D1442" s="53" t="inlineStr">
        <is>
          <t>REPATHA SURECLICK 140 MG/ML SUBCUTANEOUS SOLUTION AUTO-INJECTOR</t>
        </is>
      </c>
      <c r="E1442" s="36" t="n">
        <v>2</v>
      </c>
      <c r="F1442" s="54" t="n">
        <v>2</v>
      </c>
      <c r="G1442" s="54" t="n">
        <v>1</v>
      </c>
      <c r="H1442" s="55" t="n">
        <v>564</v>
      </c>
      <c r="I1442" s="55" t="n">
        <v>528.04</v>
      </c>
      <c r="J1442" s="55" t="n">
        <v>0</v>
      </c>
      <c r="K1442" s="55" t="n">
        <v>30</v>
      </c>
      <c r="L1442" s="55" t="n">
        <v>558.04</v>
      </c>
      <c r="M1442" s="55" t="n">
        <v>-5.96</v>
      </c>
      <c r="N1442" s="36" t="inlineStr">
        <is>
          <t>610011</t>
        </is>
      </c>
      <c r="O1442" s="36" t="inlineStr">
        <is>
          <t>OPTUM</t>
        </is>
      </c>
      <c r="P1442" s="36" t="inlineStr">
        <is>
          <t>IRX</t>
        </is>
      </c>
      <c r="Q1442" s="36" t="inlineStr">
        <is>
          <t>32BJRX</t>
        </is>
      </c>
    </row>
    <row r="1443">
      <c r="A1443" s="36" t="inlineStr">
        <is>
          <t>95535</t>
        </is>
      </c>
      <c r="B1443" s="52" t="n">
        <v>46022</v>
      </c>
      <c r="C1443" s="36" t="inlineStr">
        <is>
          <t>72511039302</t>
        </is>
      </c>
      <c r="D1443" s="53" t="inlineStr">
        <is>
          <t>REPATHA SURECLICK 140 MG/ML SUBCUTANEOUS SOLUTION AUTO-INJECTOR</t>
        </is>
      </c>
      <c r="E1443" s="36" t="n">
        <v>2</v>
      </c>
      <c r="F1443" s="54" t="n">
        <v>6</v>
      </c>
      <c r="G1443" s="54" t="n">
        <v>3</v>
      </c>
      <c r="H1443" s="55" t="n">
        <v>1653</v>
      </c>
      <c r="I1443" s="55" t="n">
        <v>1581</v>
      </c>
      <c r="J1443" s="55" t="n">
        <v>0</v>
      </c>
      <c r="K1443" s="55" t="n">
        <v>0</v>
      </c>
      <c r="L1443" s="55" t="n">
        <v>1581</v>
      </c>
      <c r="M1443" s="55" t="n">
        <v>-72</v>
      </c>
      <c r="N1443" s="36" t="inlineStr">
        <is>
          <t>004336</t>
        </is>
      </c>
      <c r="O1443" s="36" t="inlineStr">
        <is>
          <t>CAREMARK</t>
        </is>
      </c>
      <c r="P1443" s="36" t="inlineStr">
        <is>
          <t>MEDDADV</t>
        </is>
      </c>
      <c r="Q1443" s="36" t="inlineStr">
        <is>
          <t>RX8585</t>
        </is>
      </c>
    </row>
    <row r="1444">
      <c r="A1444" s="36" t="inlineStr">
        <is>
          <t>132150</t>
        </is>
      </c>
      <c r="B1444" s="52" t="n">
        <v>46010</v>
      </c>
      <c r="C1444" s="36" t="inlineStr">
        <is>
          <t>72511039302</t>
        </is>
      </c>
      <c r="D1444" s="53" t="inlineStr">
        <is>
          <t>REPATHA SURECLICK 140 MG/ML SUBCUTANEOUS SOLUTION AUTO-INJECTOR</t>
        </is>
      </c>
      <c r="E1444" s="36" t="n">
        <v>2</v>
      </c>
      <c r="F1444" s="54" t="n">
        <v>2</v>
      </c>
      <c r="G1444" s="54" t="n">
        <v>1</v>
      </c>
      <c r="H1444" s="55" t="n">
        <v>551</v>
      </c>
      <c r="I1444" s="55" t="n">
        <v>523.36</v>
      </c>
      <c r="J1444" s="55" t="n">
        <v>0</v>
      </c>
      <c r="K1444" s="55" t="n">
        <v>20</v>
      </c>
      <c r="L1444" s="55" t="n">
        <v>543.36</v>
      </c>
      <c r="M1444" s="55" t="n">
        <v>-7.64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ADV</t>
        </is>
      </c>
      <c r="Q1444" s="36" t="inlineStr">
        <is>
          <t>RX0839</t>
        </is>
      </c>
    </row>
    <row r="1445">
      <c r="A1445" s="36" t="inlineStr">
        <is>
          <t>132150</t>
        </is>
      </c>
      <c r="B1445" s="52" t="n">
        <v>46062</v>
      </c>
      <c r="C1445" s="36" t="inlineStr">
        <is>
          <t>72511039302</t>
        </is>
      </c>
      <c r="D1445" s="53" t="inlineStr">
        <is>
          <t>REPATHA SURECLICK 140 MG/ML SUBCUTANEOUS SOLUTION AUTO-INJECTOR</t>
        </is>
      </c>
      <c r="E1445" s="36" t="n">
        <v>2</v>
      </c>
      <c r="F1445" s="54" t="n">
        <v>2</v>
      </c>
      <c r="G1445" s="54" t="n">
        <v>1</v>
      </c>
      <c r="H1445" s="55" t="n">
        <v>564</v>
      </c>
      <c r="I1445" s="55" t="n">
        <v>534.23</v>
      </c>
      <c r="J1445" s="55" t="n">
        <v>0</v>
      </c>
      <c r="K1445" s="55" t="n">
        <v>20</v>
      </c>
      <c r="L1445" s="55" t="n">
        <v>554.23</v>
      </c>
      <c r="M1445" s="55" t="n">
        <v>-9.77</v>
      </c>
      <c r="N1445" s="36" t="inlineStr">
        <is>
          <t>004336</t>
        </is>
      </c>
      <c r="O1445" s="36" t="inlineStr">
        <is>
          <t>CAREMARK</t>
        </is>
      </c>
      <c r="P1445" s="36" t="inlineStr">
        <is>
          <t>ADV</t>
        </is>
      </c>
      <c r="Q1445" s="36" t="inlineStr">
        <is>
          <t>RX0839</t>
        </is>
      </c>
    </row>
    <row r="1446">
      <c r="A1446" s="36" t="inlineStr">
        <is>
          <t>138880</t>
        </is>
      </c>
      <c r="B1446" s="52" t="n">
        <v>46035</v>
      </c>
      <c r="C1446" s="36" t="inlineStr">
        <is>
          <t>72511039302</t>
        </is>
      </c>
      <c r="D1446" s="53" t="inlineStr">
        <is>
          <t>REPATHA SURECLICK 140 MG/ML SUBCUTANEOUS SOLUTION AUTO-INJECTOR</t>
        </is>
      </c>
      <c r="E1446" s="36" t="n">
        <v>2</v>
      </c>
      <c r="F1446" s="54" t="n">
        <v>2</v>
      </c>
      <c r="G1446" s="54" t="n">
        <v>1</v>
      </c>
      <c r="H1446" s="55" t="n">
        <v>564</v>
      </c>
      <c r="I1446" s="55" t="n">
        <v>528.04</v>
      </c>
      <c r="J1446" s="55" t="n">
        <v>0</v>
      </c>
      <c r="K1446" s="55" t="n">
        <v>30</v>
      </c>
      <c r="L1446" s="55" t="n">
        <v>558.04</v>
      </c>
      <c r="M1446" s="55" t="n">
        <v>-5.96</v>
      </c>
      <c r="N1446" s="36" t="inlineStr">
        <is>
          <t>610011</t>
        </is>
      </c>
      <c r="O1446" s="36" t="inlineStr">
        <is>
          <t>OPTUM</t>
        </is>
      </c>
      <c r="P1446" s="36" t="inlineStr">
        <is>
          <t>IRX</t>
        </is>
      </c>
      <c r="Q1446" s="36" t="inlineStr">
        <is>
          <t>32BJRX</t>
        </is>
      </c>
    </row>
    <row r="1447">
      <c r="A1447" s="36" t="inlineStr">
        <is>
          <t>108933</t>
        </is>
      </c>
      <c r="B1447" s="52" t="n">
        <v>46062</v>
      </c>
      <c r="C1447" s="36" t="inlineStr">
        <is>
          <t>00023916360</t>
        </is>
      </c>
      <c r="D1447" s="53" t="inlineStr">
        <is>
          <t xml:space="preserve">RESTASIS 0.05% EMULSION </t>
        </is>
      </c>
      <c r="E1447" s="36" t="n">
        <v>60</v>
      </c>
      <c r="F1447" s="54" t="n">
        <v>180</v>
      </c>
      <c r="G1447" s="54" t="n">
        <v>3</v>
      </c>
      <c r="H1447" s="55" t="n">
        <v>1884</v>
      </c>
      <c r="I1447" s="55" t="n">
        <v>1811</v>
      </c>
      <c r="J1447" s="55" t="n">
        <v>0</v>
      </c>
      <c r="K1447" s="55" t="n">
        <v>1.6</v>
      </c>
      <c r="L1447" s="55" t="n">
        <v>1812.6</v>
      </c>
      <c r="M1447" s="55" t="n">
        <v>-71.40000000000001</v>
      </c>
      <c r="N1447" s="36" t="inlineStr">
        <is>
          <t>004336</t>
        </is>
      </c>
      <c r="O1447" s="36" t="inlineStr">
        <is>
          <t>CAREMARK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127850</t>
        </is>
      </c>
      <c r="B1448" s="52" t="n">
        <v>46006</v>
      </c>
      <c r="C1448" s="36" t="inlineStr">
        <is>
          <t>00023916360</t>
        </is>
      </c>
      <c r="D1448" s="53" t="inlineStr">
        <is>
          <t xml:space="preserve">RESTASIS 0.05% EMULSION </t>
        </is>
      </c>
      <c r="E1448" s="36" t="n">
        <v>60</v>
      </c>
      <c r="F1448" s="54" t="n">
        <v>60</v>
      </c>
      <c r="G1448" s="54" t="n">
        <v>1</v>
      </c>
      <c r="H1448" s="55" t="n">
        <v>621</v>
      </c>
      <c r="I1448" s="55" t="n">
        <v>609.4299999999999</v>
      </c>
      <c r="J1448" s="55" t="n">
        <v>0</v>
      </c>
      <c r="K1448" s="55" t="n">
        <v>15</v>
      </c>
      <c r="L1448" s="55" t="n">
        <v>624.4299999999999</v>
      </c>
      <c r="M1448" s="55" t="n">
        <v>3.43</v>
      </c>
      <c r="N1448" s="36" t="inlineStr">
        <is>
          <t>610011</t>
        </is>
      </c>
      <c r="O1448" s="36" t="inlineStr">
        <is>
          <t>OPTUM</t>
        </is>
      </c>
      <c r="P1448" s="36" t="inlineStr">
        <is>
          <t>IRX</t>
        </is>
      </c>
      <c r="Q1448" s="36" t="inlineStr">
        <is>
          <t>UCBF</t>
        </is>
      </c>
    </row>
    <row r="1449">
      <c r="A1449" s="36" t="inlineStr">
        <is>
          <t>127392</t>
        </is>
      </c>
      <c r="B1449" s="52" t="n">
        <v>46002</v>
      </c>
      <c r="C1449" s="36" t="inlineStr">
        <is>
          <t>00023916360</t>
        </is>
      </c>
      <c r="D1449" s="53" t="inlineStr">
        <is>
          <t xml:space="preserve">RESTASIS 0.05% EMULSION </t>
        </is>
      </c>
      <c r="E1449" s="36" t="n">
        <v>60</v>
      </c>
      <c r="F1449" s="54" t="n">
        <v>60</v>
      </c>
      <c r="G1449" s="54" t="n">
        <v>1</v>
      </c>
      <c r="H1449" s="55" t="n">
        <v>621</v>
      </c>
      <c r="I1449" s="55" t="n">
        <v>629.66</v>
      </c>
      <c r="J1449" s="55" t="n">
        <v>0</v>
      </c>
      <c r="K1449" s="55" t="n">
        <v>0</v>
      </c>
      <c r="L1449" s="55" t="n">
        <v>629.66</v>
      </c>
      <c r="M1449" s="55" t="n">
        <v>8.66</v>
      </c>
      <c r="N1449" s="36" t="inlineStr">
        <is>
          <t>004740</t>
        </is>
      </c>
      <c r="O1449" s="36" t="inlineStr">
        <is>
          <t>NYM</t>
        </is>
      </c>
      <c r="P1449" s="36" t="inlineStr">
        <is>
          <t>9314DA31</t>
        </is>
      </c>
      <c r="Q1449" s="36" t="n">
        <v/>
      </c>
    </row>
    <row r="1450">
      <c r="A1450" s="36" t="inlineStr">
        <is>
          <t>142587</t>
        </is>
      </c>
      <c r="B1450" s="52" t="n">
        <v>46063</v>
      </c>
      <c r="C1450" s="36" t="inlineStr">
        <is>
          <t>00023916360</t>
        </is>
      </c>
      <c r="D1450" s="53" t="inlineStr">
        <is>
          <t xml:space="preserve">RESTASIS 0.05% EMULSION </t>
        </is>
      </c>
      <c r="E1450" s="36" t="n">
        <v>60</v>
      </c>
      <c r="F1450" s="54" t="n">
        <v>180</v>
      </c>
      <c r="G1450" s="54" t="n">
        <v>3</v>
      </c>
      <c r="H1450" s="55" t="n">
        <v>1884</v>
      </c>
      <c r="I1450" s="55" t="n">
        <v>1812.6</v>
      </c>
      <c r="J1450" s="55" t="n">
        <v>0</v>
      </c>
      <c r="K1450" s="55" t="n">
        <v>0</v>
      </c>
      <c r="L1450" s="55" t="n">
        <v>1812.6</v>
      </c>
      <c r="M1450" s="55" t="n">
        <v>-71.40000000000001</v>
      </c>
      <c r="N1450" s="36" t="inlineStr">
        <is>
          <t>004336</t>
        </is>
      </c>
      <c r="O1450" s="36" t="inlineStr">
        <is>
          <t>CAREMARK</t>
        </is>
      </c>
      <c r="P1450" s="36" t="inlineStr">
        <is>
          <t>MEDDADV</t>
        </is>
      </c>
      <c r="Q1450" s="36" t="inlineStr">
        <is>
          <t>RX1110</t>
        </is>
      </c>
    </row>
    <row r="1451">
      <c r="A1451" s="36" t="inlineStr">
        <is>
          <t>101331</t>
        </is>
      </c>
      <c r="B1451" s="52" t="n">
        <v>45999</v>
      </c>
      <c r="C1451" s="36" t="inlineStr">
        <is>
          <t>00023916360</t>
        </is>
      </c>
      <c r="D1451" s="53" t="inlineStr">
        <is>
          <t xml:space="preserve">RESTASIS 0.05% EMULSION </t>
        </is>
      </c>
      <c r="E1451" s="36" t="n">
        <v>60</v>
      </c>
      <c r="F1451" s="54" t="n">
        <v>180</v>
      </c>
      <c r="G1451" s="54" t="n">
        <v>3</v>
      </c>
      <c r="H1451" s="55" t="n">
        <v>1863</v>
      </c>
      <c r="I1451" s="55" t="n">
        <v>1868.61</v>
      </c>
      <c r="J1451" s="55" t="n">
        <v>0</v>
      </c>
      <c r="K1451" s="55" t="n">
        <v>0</v>
      </c>
      <c r="L1451" s="55" t="n">
        <v>1868.61</v>
      </c>
      <c r="M1451" s="55" t="n">
        <v>5.61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134008</t>
        </is>
      </c>
      <c r="B1452" s="52" t="n">
        <v>45996</v>
      </c>
      <c r="C1452" s="36" t="inlineStr">
        <is>
          <t>00023916360</t>
        </is>
      </c>
      <c r="D1452" s="53" t="inlineStr">
        <is>
          <t xml:space="preserve">RESTASIS 0.05% EMULSION </t>
        </is>
      </c>
      <c r="E1452" s="36" t="n">
        <v>60</v>
      </c>
      <c r="F1452" s="54" t="n">
        <v>180</v>
      </c>
      <c r="G1452" s="54" t="n">
        <v>3</v>
      </c>
      <c r="H1452" s="55" t="n">
        <v>1863</v>
      </c>
      <c r="I1452" s="55" t="n">
        <v>1800.98</v>
      </c>
      <c r="J1452" s="55" t="n">
        <v>0</v>
      </c>
      <c r="K1452" s="55" t="n">
        <v>0</v>
      </c>
      <c r="L1452" s="55" t="n">
        <v>1800.98</v>
      </c>
      <c r="M1452" s="55" t="n">
        <v>-62.02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136761</t>
        </is>
      </c>
      <c r="B1453" s="52" t="n">
        <v>46076</v>
      </c>
      <c r="C1453" s="36" t="inlineStr">
        <is>
          <t>00023916360</t>
        </is>
      </c>
      <c r="D1453" s="53" t="inlineStr">
        <is>
          <t xml:space="preserve">RESTASIS 0.05% EMULSION </t>
        </is>
      </c>
      <c r="E1453" s="36" t="n">
        <v>60</v>
      </c>
      <c r="F1453" s="54" t="n">
        <v>60</v>
      </c>
      <c r="G1453" s="54" t="n">
        <v>1</v>
      </c>
      <c r="H1453" s="55" t="n">
        <v>628</v>
      </c>
      <c r="I1453" s="55" t="n">
        <v>614.14</v>
      </c>
      <c r="J1453" s="55" t="n">
        <v>0</v>
      </c>
      <c r="K1453" s="55" t="n">
        <v>0</v>
      </c>
      <c r="L1453" s="55" t="n">
        <v>614.14</v>
      </c>
      <c r="M1453" s="55" t="n">
        <v>-13.86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132558</t>
        </is>
      </c>
      <c r="B1454" s="52" t="n">
        <v>46070</v>
      </c>
      <c r="C1454" s="36" t="inlineStr">
        <is>
          <t>00023916360</t>
        </is>
      </c>
      <c r="D1454" s="53" t="inlineStr">
        <is>
          <t xml:space="preserve">RESTASIS 0.05% EMULSION </t>
        </is>
      </c>
      <c r="E1454" s="36" t="n">
        <v>60</v>
      </c>
      <c r="F1454" s="54" t="n">
        <v>60</v>
      </c>
      <c r="G1454" s="54" t="n">
        <v>1</v>
      </c>
      <c r="H1454" s="55" t="n">
        <v>628</v>
      </c>
      <c r="I1454" s="55" t="n">
        <v>612.54</v>
      </c>
      <c r="J1454" s="55" t="n">
        <v>0</v>
      </c>
      <c r="K1454" s="55" t="n">
        <v>1.6</v>
      </c>
      <c r="L1454" s="55" t="n">
        <v>614.14</v>
      </c>
      <c r="M1454" s="55" t="n">
        <v>-13.86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139772</t>
        </is>
      </c>
      <c r="B1455" s="52" t="n">
        <v>46070</v>
      </c>
      <c r="C1455" s="36" t="inlineStr">
        <is>
          <t>00023916360</t>
        </is>
      </c>
      <c r="D1455" s="53" t="inlineStr">
        <is>
          <t xml:space="preserve">RESTASIS 0.05% EMULSION </t>
        </is>
      </c>
      <c r="E1455" s="36" t="n">
        <v>60</v>
      </c>
      <c r="F1455" s="54" t="n">
        <v>60</v>
      </c>
      <c r="G1455" s="54" t="n">
        <v>1</v>
      </c>
      <c r="H1455" s="55" t="n">
        <v>628</v>
      </c>
      <c r="I1455" s="55" t="n">
        <v>612.54</v>
      </c>
      <c r="J1455" s="55" t="n">
        <v>0</v>
      </c>
      <c r="K1455" s="55" t="n">
        <v>1.6</v>
      </c>
      <c r="L1455" s="55" t="n">
        <v>614.14</v>
      </c>
      <c r="M1455" s="55" t="n">
        <v>-13.86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125828</t>
        </is>
      </c>
      <c r="B1456" s="52" t="n">
        <v>45992</v>
      </c>
      <c r="C1456" s="36" t="inlineStr">
        <is>
          <t>00023916360</t>
        </is>
      </c>
      <c r="D1456" s="53" t="inlineStr">
        <is>
          <t xml:space="preserve">RESTASIS 0.05% EMULSION </t>
        </is>
      </c>
      <c r="E1456" s="36" t="n">
        <v>60</v>
      </c>
      <c r="F1456" s="54" t="n">
        <v>60</v>
      </c>
      <c r="G1456" s="54" t="n">
        <v>1</v>
      </c>
      <c r="H1456" s="55" t="n">
        <v>621</v>
      </c>
      <c r="I1456" s="55" t="n">
        <v>608.72</v>
      </c>
      <c r="J1456" s="55" t="n">
        <v>0</v>
      </c>
      <c r="K1456" s="55" t="n">
        <v>0</v>
      </c>
      <c r="L1456" s="55" t="n">
        <v>608.72</v>
      </c>
      <c r="M1456" s="55" t="n">
        <v>-12.28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133268</t>
        </is>
      </c>
      <c r="B1457" s="52" t="n">
        <v>45993</v>
      </c>
      <c r="C1457" s="36" t="inlineStr">
        <is>
          <t>00023916360</t>
        </is>
      </c>
      <c r="D1457" s="53" t="inlineStr">
        <is>
          <t xml:space="preserve">RESTASIS 0.05% EMULSION </t>
        </is>
      </c>
      <c r="E1457" s="36" t="n">
        <v>60</v>
      </c>
      <c r="F1457" s="54" t="n">
        <v>60</v>
      </c>
      <c r="G1457" s="54" t="n">
        <v>1</v>
      </c>
      <c r="H1457" s="55" t="n">
        <v>621</v>
      </c>
      <c r="I1457" s="55" t="n">
        <v>614.92</v>
      </c>
      <c r="J1457" s="55" t="n">
        <v>0</v>
      </c>
      <c r="K1457" s="55" t="n">
        <v>0</v>
      </c>
      <c r="L1457" s="55" t="n">
        <v>614.92</v>
      </c>
      <c r="M1457" s="55" t="n">
        <v>-6.08</v>
      </c>
      <c r="N1457" s="36" t="inlineStr">
        <is>
          <t>004336</t>
        </is>
      </c>
      <c r="O1457" s="36" t="inlineStr">
        <is>
          <t>CAREMARK</t>
        </is>
      </c>
      <c r="P1457" s="36" t="inlineStr">
        <is>
          <t>MEDDADV</t>
        </is>
      </c>
      <c r="Q1457" s="36" t="inlineStr">
        <is>
          <t>RX8585</t>
        </is>
      </c>
    </row>
    <row r="1458">
      <c r="A1458" s="36" t="inlineStr">
        <is>
          <t>127850</t>
        </is>
      </c>
      <c r="B1458" s="52" t="n">
        <v>46062</v>
      </c>
      <c r="C1458" s="36" t="inlineStr">
        <is>
          <t>00023916360</t>
        </is>
      </c>
      <c r="D1458" s="53" t="inlineStr">
        <is>
          <t xml:space="preserve">RESTASIS 0.05% EMULSION </t>
        </is>
      </c>
      <c r="E1458" s="36" t="n">
        <v>60</v>
      </c>
      <c r="F1458" s="54" t="n">
        <v>60</v>
      </c>
      <c r="G1458" s="54" t="n">
        <v>1</v>
      </c>
      <c r="H1458" s="55" t="n">
        <v>628</v>
      </c>
      <c r="I1458" s="55" t="n">
        <v>609.4299999999999</v>
      </c>
      <c r="J1458" s="55" t="n">
        <v>0</v>
      </c>
      <c r="K1458" s="55" t="n">
        <v>15</v>
      </c>
      <c r="L1458" s="55" t="n">
        <v>624.4299999999999</v>
      </c>
      <c r="M1458" s="55" t="n">
        <v>-3.57</v>
      </c>
      <c r="N1458" s="36" t="inlineStr">
        <is>
          <t>610011</t>
        </is>
      </c>
      <c r="O1458" s="36" t="inlineStr">
        <is>
          <t>OPTUM</t>
        </is>
      </c>
      <c r="P1458" s="36" t="inlineStr">
        <is>
          <t>IRX</t>
        </is>
      </c>
      <c r="Q1458" s="36" t="inlineStr">
        <is>
          <t>UCBF</t>
        </is>
      </c>
    </row>
    <row r="1459">
      <c r="A1459" s="36" t="inlineStr">
        <is>
          <t>101813</t>
        </is>
      </c>
      <c r="B1459" s="52" t="n">
        <v>46003</v>
      </c>
      <c r="C1459" s="36" t="inlineStr">
        <is>
          <t>00023916360</t>
        </is>
      </c>
      <c r="D1459" s="53" t="inlineStr">
        <is>
          <t xml:space="preserve">RESTASIS 0.05% EMULSION </t>
        </is>
      </c>
      <c r="E1459" s="36" t="n">
        <v>60</v>
      </c>
      <c r="F1459" s="54" t="n">
        <v>180</v>
      </c>
      <c r="G1459" s="54" t="n">
        <v>3</v>
      </c>
      <c r="H1459" s="55" t="n">
        <v>1863</v>
      </c>
      <c r="I1459" s="55" t="n">
        <v>1800.98</v>
      </c>
      <c r="J1459" s="55" t="n">
        <v>0</v>
      </c>
      <c r="K1459" s="55" t="n">
        <v>0</v>
      </c>
      <c r="L1459" s="55" t="n">
        <v>1800.98</v>
      </c>
      <c r="M1459" s="55" t="n">
        <v>-62.02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RX1110</t>
        </is>
      </c>
    </row>
    <row r="1460">
      <c r="A1460" s="36" t="inlineStr">
        <is>
          <t>142641</t>
        </is>
      </c>
      <c r="B1460" s="52" t="n">
        <v>46064</v>
      </c>
      <c r="C1460" s="36" t="inlineStr">
        <is>
          <t>00023916360</t>
        </is>
      </c>
      <c r="D1460" s="53" t="inlineStr">
        <is>
          <t xml:space="preserve">RESTASIS 0.05% EMULSION </t>
        </is>
      </c>
      <c r="E1460" s="36" t="n">
        <v>60</v>
      </c>
      <c r="F1460" s="54" t="n">
        <v>60</v>
      </c>
      <c r="G1460" s="54" t="n">
        <v>1</v>
      </c>
      <c r="H1460" s="55" t="n">
        <v>628</v>
      </c>
      <c r="I1460" s="55" t="n">
        <v>587.73</v>
      </c>
      <c r="J1460" s="55" t="n">
        <v>0</v>
      </c>
      <c r="K1460" s="55" t="n">
        <v>10</v>
      </c>
      <c r="L1460" s="55" t="n">
        <v>597.73</v>
      </c>
      <c r="M1460" s="55" t="n">
        <v>-30.27</v>
      </c>
      <c r="N1460" s="36" t="inlineStr">
        <is>
          <t>610014</t>
        </is>
      </c>
      <c r="O1460" s="36" t="inlineStr">
        <is>
          <t>EXPRESS</t>
        </is>
      </c>
      <c r="P1460" s="36" t="n">
        <v/>
      </c>
      <c r="Q1460" s="36" t="inlineStr">
        <is>
          <t>LOCAL74</t>
        </is>
      </c>
    </row>
    <row r="1461">
      <c r="A1461" s="36" t="inlineStr">
        <is>
          <t>138591</t>
        </is>
      </c>
      <c r="B1461" s="52" t="n">
        <v>46062</v>
      </c>
      <c r="C1461" s="36" t="inlineStr">
        <is>
          <t>00023916360</t>
        </is>
      </c>
      <c r="D1461" s="53" t="inlineStr">
        <is>
          <t xml:space="preserve">RESTASIS 0.05% EMULSION </t>
        </is>
      </c>
      <c r="E1461" s="36" t="n">
        <v>60</v>
      </c>
      <c r="F1461" s="54" t="n">
        <v>60</v>
      </c>
      <c r="G1461" s="54" t="n">
        <v>1</v>
      </c>
      <c r="H1461" s="55" t="n">
        <v>628</v>
      </c>
      <c r="I1461" s="55" t="n">
        <v>408.36</v>
      </c>
      <c r="J1461" s="55" t="n">
        <v>0</v>
      </c>
      <c r="K1461" s="55" t="n">
        <v>215.42</v>
      </c>
      <c r="L1461" s="55" t="n">
        <v>623.78</v>
      </c>
      <c r="M1461" s="55" t="n">
        <v>-4.22</v>
      </c>
      <c r="N1461" s="36" t="inlineStr">
        <is>
          <t>610279</t>
        </is>
      </c>
      <c r="O1461" s="36" t="inlineStr">
        <is>
          <t>OPTUM</t>
        </is>
      </c>
      <c r="P1461" s="36" t="inlineStr">
        <is>
          <t>9999</t>
        </is>
      </c>
      <c r="Q1461" s="36" t="inlineStr">
        <is>
          <t>UNITEDRX</t>
        </is>
      </c>
    </row>
    <row r="1462">
      <c r="A1462" s="36" t="inlineStr">
        <is>
          <t>127919</t>
        </is>
      </c>
      <c r="B1462" s="52" t="n">
        <v>46062</v>
      </c>
      <c r="C1462" s="36" t="inlineStr">
        <is>
          <t>00023916360</t>
        </is>
      </c>
      <c r="D1462" s="53" t="inlineStr">
        <is>
          <t xml:space="preserve">RESTASIS 0.05% EMULSION </t>
        </is>
      </c>
      <c r="E1462" s="36" t="n">
        <v>60</v>
      </c>
      <c r="F1462" s="54" t="n">
        <v>60</v>
      </c>
      <c r="G1462" s="54" t="n">
        <v>1</v>
      </c>
      <c r="H1462" s="55" t="n">
        <v>628</v>
      </c>
      <c r="I1462" s="55" t="n">
        <v>614.14</v>
      </c>
      <c r="J1462" s="55" t="n">
        <v>0</v>
      </c>
      <c r="K1462" s="55" t="n">
        <v>0</v>
      </c>
      <c r="L1462" s="55" t="n">
        <v>614.14</v>
      </c>
      <c r="M1462" s="55" t="n">
        <v>-13.86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RX1110</t>
        </is>
      </c>
    </row>
    <row r="1463">
      <c r="A1463" s="36" t="inlineStr">
        <is>
          <t>135518</t>
        </is>
      </c>
      <c r="B1463" s="52" t="n">
        <v>46065</v>
      </c>
      <c r="C1463" s="36" t="inlineStr">
        <is>
          <t>00023916360</t>
        </is>
      </c>
      <c r="D1463" s="53" t="inlineStr">
        <is>
          <t xml:space="preserve">RESTASIS 0.05% EMULSION </t>
        </is>
      </c>
      <c r="E1463" s="36" t="n">
        <v>60</v>
      </c>
      <c r="F1463" s="54" t="n">
        <v>60</v>
      </c>
      <c r="G1463" s="54" t="n">
        <v>1</v>
      </c>
      <c r="H1463" s="55" t="n">
        <v>628</v>
      </c>
      <c r="I1463" s="55" t="n">
        <v>614.14</v>
      </c>
      <c r="J1463" s="55" t="n">
        <v>0</v>
      </c>
      <c r="K1463" s="55" t="n">
        <v>0</v>
      </c>
      <c r="L1463" s="55" t="n">
        <v>614.14</v>
      </c>
      <c r="M1463" s="55" t="n">
        <v>-13.86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119745</t>
        </is>
      </c>
      <c r="B1464" s="52" t="n">
        <v>46000</v>
      </c>
      <c r="C1464" s="36" t="inlineStr">
        <is>
          <t>00023916360</t>
        </is>
      </c>
      <c r="D1464" s="53" t="inlineStr">
        <is>
          <t xml:space="preserve">RESTASIS 0.05% EMULSION </t>
        </is>
      </c>
      <c r="E1464" s="36" t="n">
        <v>60</v>
      </c>
      <c r="F1464" s="54" t="n">
        <v>60</v>
      </c>
      <c r="G1464" s="54" t="n">
        <v>1</v>
      </c>
      <c r="H1464" s="55" t="n">
        <v>621</v>
      </c>
      <c r="I1464" s="55" t="n">
        <v>629.66</v>
      </c>
      <c r="J1464" s="55" t="n">
        <v>0</v>
      </c>
      <c r="K1464" s="55" t="n">
        <v>0</v>
      </c>
      <c r="L1464" s="55" t="n">
        <v>629.66</v>
      </c>
      <c r="M1464" s="55" t="n">
        <v>8.66</v>
      </c>
      <c r="N1464" s="36" t="inlineStr">
        <is>
          <t>004740</t>
        </is>
      </c>
      <c r="O1464" s="36" t="inlineStr">
        <is>
          <t>NYM</t>
        </is>
      </c>
      <c r="P1464" s="36" t="inlineStr">
        <is>
          <t>9314DA31</t>
        </is>
      </c>
      <c r="Q1464" s="36" t="n">
        <v/>
      </c>
    </row>
    <row r="1465">
      <c r="A1465" s="36" t="inlineStr">
        <is>
          <t>93844</t>
        </is>
      </c>
      <c r="B1465" s="52" t="n">
        <v>45993</v>
      </c>
      <c r="C1465" s="36" t="inlineStr">
        <is>
          <t>00023916360</t>
        </is>
      </c>
      <c r="D1465" s="53" t="inlineStr">
        <is>
          <t xml:space="preserve">RESTASIS 0.05% EMULSION </t>
        </is>
      </c>
      <c r="E1465" s="36" t="n">
        <v>60</v>
      </c>
      <c r="F1465" s="54" t="n">
        <v>60</v>
      </c>
      <c r="G1465" s="54" t="n">
        <v>1</v>
      </c>
      <c r="H1465" s="55" t="n">
        <v>621</v>
      </c>
      <c r="I1465" s="55" t="n">
        <v>608.72</v>
      </c>
      <c r="J1465" s="55" t="n">
        <v>0</v>
      </c>
      <c r="K1465" s="55" t="n">
        <v>0</v>
      </c>
      <c r="L1465" s="55" t="n">
        <v>608.72</v>
      </c>
      <c r="M1465" s="55" t="n">
        <v>-12.28</v>
      </c>
      <c r="N1465" s="36" t="inlineStr">
        <is>
          <t>004336</t>
        </is>
      </c>
      <c r="O1465" s="36" t="inlineStr">
        <is>
          <t>CAREMARK</t>
        </is>
      </c>
      <c r="P1465" s="36" t="inlineStr">
        <is>
          <t>MEDDADV</t>
        </is>
      </c>
      <c r="Q1465" s="36" t="inlineStr">
        <is>
          <t>RX1110</t>
        </is>
      </c>
    </row>
    <row r="1466">
      <c r="A1466" s="36" t="inlineStr">
        <is>
          <t>139929</t>
        </is>
      </c>
      <c r="B1466" s="52" t="n">
        <v>46071</v>
      </c>
      <c r="C1466" s="36" t="inlineStr">
        <is>
          <t>00023916360</t>
        </is>
      </c>
      <c r="D1466" s="53" t="inlineStr">
        <is>
          <t xml:space="preserve">RESTASIS 0.05% EMULSION </t>
        </is>
      </c>
      <c r="E1466" s="36" t="n">
        <v>60</v>
      </c>
      <c r="F1466" s="54" t="n">
        <v>60</v>
      </c>
      <c r="G1466" s="54" t="n">
        <v>1</v>
      </c>
      <c r="H1466" s="55" t="n">
        <v>628</v>
      </c>
      <c r="I1466" s="55" t="n">
        <v>614.14</v>
      </c>
      <c r="J1466" s="55" t="n">
        <v>0</v>
      </c>
      <c r="K1466" s="55" t="n">
        <v>0</v>
      </c>
      <c r="L1466" s="55" t="n">
        <v>614.14</v>
      </c>
      <c r="M1466" s="55" t="n">
        <v>-13.86</v>
      </c>
      <c r="N1466" s="36" t="inlineStr">
        <is>
          <t>004336</t>
        </is>
      </c>
      <c r="O1466" s="36" t="inlineStr">
        <is>
          <t>CAREMARK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127919</t>
        </is>
      </c>
      <c r="B1467" s="52" t="n">
        <v>46006</v>
      </c>
      <c r="C1467" s="36" t="inlineStr">
        <is>
          <t>00023916360</t>
        </is>
      </c>
      <c r="D1467" s="53" t="inlineStr">
        <is>
          <t xml:space="preserve">RESTASIS 0.05% EMULSION </t>
        </is>
      </c>
      <c r="E1467" s="36" t="n">
        <v>60</v>
      </c>
      <c r="F1467" s="54" t="n">
        <v>60</v>
      </c>
      <c r="G1467" s="54" t="n">
        <v>1</v>
      </c>
      <c r="H1467" s="55" t="n">
        <v>621</v>
      </c>
      <c r="I1467" s="55" t="n">
        <v>608.72</v>
      </c>
      <c r="J1467" s="55" t="n">
        <v>0</v>
      </c>
      <c r="K1467" s="55" t="n">
        <v>0</v>
      </c>
      <c r="L1467" s="55" t="n">
        <v>608.72</v>
      </c>
      <c r="M1467" s="55" t="n">
        <v>-12.28</v>
      </c>
      <c r="N1467" s="36" t="inlineStr">
        <is>
          <t>004336</t>
        </is>
      </c>
      <c r="O1467" s="36" t="inlineStr">
        <is>
          <t>CAREMARK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123803</t>
        </is>
      </c>
      <c r="B1468" s="52" t="n">
        <v>46001</v>
      </c>
      <c r="C1468" s="36" t="inlineStr">
        <is>
          <t>00023916360</t>
        </is>
      </c>
      <c r="D1468" s="53" t="inlineStr">
        <is>
          <t xml:space="preserve">RESTASIS 0.05% EMULSION </t>
        </is>
      </c>
      <c r="E1468" s="36" t="n">
        <v>60</v>
      </c>
      <c r="F1468" s="54" t="n">
        <v>180</v>
      </c>
      <c r="G1468" s="54" t="n">
        <v>3</v>
      </c>
      <c r="H1468" s="55" t="n">
        <v>1863</v>
      </c>
      <c r="I1468" s="55" t="n">
        <v>1800.98</v>
      </c>
      <c r="J1468" s="55" t="n">
        <v>0</v>
      </c>
      <c r="K1468" s="55" t="n">
        <v>0</v>
      </c>
      <c r="L1468" s="55" t="n">
        <v>1800.98</v>
      </c>
      <c r="M1468" s="55" t="n">
        <v>-62.02</v>
      </c>
      <c r="N1468" s="36" t="inlineStr">
        <is>
          <t>004336</t>
        </is>
      </c>
      <c r="O1468" s="36" t="inlineStr">
        <is>
          <t>CAREMARK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136922</t>
        </is>
      </c>
      <c r="B1469" s="52" t="n">
        <v>46077</v>
      </c>
      <c r="C1469" s="36" t="inlineStr">
        <is>
          <t>00023916360</t>
        </is>
      </c>
      <c r="D1469" s="53" t="inlineStr">
        <is>
          <t xml:space="preserve">RESTASIS 0.05% EMULSION </t>
        </is>
      </c>
      <c r="E1469" s="36" t="n">
        <v>60</v>
      </c>
      <c r="F1469" s="54" t="n">
        <v>60</v>
      </c>
      <c r="G1469" s="54" t="n">
        <v>1</v>
      </c>
      <c r="H1469" s="55" t="n">
        <v>628</v>
      </c>
      <c r="I1469" s="55" t="n">
        <v>612.54</v>
      </c>
      <c r="J1469" s="55" t="n">
        <v>0</v>
      </c>
      <c r="K1469" s="55" t="n">
        <v>1.6</v>
      </c>
      <c r="L1469" s="55" t="n">
        <v>614.14</v>
      </c>
      <c r="M1469" s="55" t="n">
        <v>-13.86</v>
      </c>
      <c r="N1469" s="36" t="inlineStr">
        <is>
          <t>004336</t>
        </is>
      </c>
      <c r="O1469" s="36" t="inlineStr">
        <is>
          <t>CAREMARK</t>
        </is>
      </c>
      <c r="P1469" s="36" t="inlineStr">
        <is>
          <t>MEDDADV</t>
        </is>
      </c>
      <c r="Q1469" s="36" t="inlineStr">
        <is>
          <t>RX1110</t>
        </is>
      </c>
    </row>
    <row r="1470">
      <c r="A1470" s="36" t="inlineStr">
        <is>
          <t>133268</t>
        </is>
      </c>
      <c r="B1470" s="52" t="n">
        <v>46077</v>
      </c>
      <c r="C1470" s="36" t="inlineStr">
        <is>
          <t>00023916360</t>
        </is>
      </c>
      <c r="D1470" s="53" t="inlineStr">
        <is>
          <t xml:space="preserve">RESTASIS 0.05% EMULSION </t>
        </is>
      </c>
      <c r="E1470" s="36" t="n">
        <v>60</v>
      </c>
      <c r="F1470" s="54" t="n">
        <v>60</v>
      </c>
      <c r="G1470" s="54" t="n">
        <v>1</v>
      </c>
      <c r="H1470" s="55" t="n">
        <v>628</v>
      </c>
      <c r="I1470" s="55" t="n">
        <v>602.52</v>
      </c>
      <c r="J1470" s="55" t="n">
        <v>0</v>
      </c>
      <c r="K1470" s="55" t="n">
        <v>0</v>
      </c>
      <c r="L1470" s="55" t="n">
        <v>602.52</v>
      </c>
      <c r="M1470" s="55" t="n">
        <v>-25.48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RX8585</t>
        </is>
      </c>
    </row>
    <row r="1471">
      <c r="A1471" s="36" t="inlineStr">
        <is>
          <t>143062</t>
        </is>
      </c>
      <c r="B1471" s="52" t="n">
        <v>46065</v>
      </c>
      <c r="C1471" s="36" t="inlineStr">
        <is>
          <t>00023916360</t>
        </is>
      </c>
      <c r="D1471" s="53" t="inlineStr">
        <is>
          <t xml:space="preserve">RESTASIS 0.05% EMULSION </t>
        </is>
      </c>
      <c r="E1471" s="36" t="n">
        <v>60</v>
      </c>
      <c r="F1471" s="54" t="n">
        <v>180</v>
      </c>
      <c r="G1471" s="54" t="n">
        <v>3</v>
      </c>
      <c r="H1471" s="55" t="n">
        <v>1884</v>
      </c>
      <c r="I1471" s="55" t="n">
        <v>1812.6</v>
      </c>
      <c r="J1471" s="55" t="n">
        <v>0</v>
      </c>
      <c r="K1471" s="55" t="n">
        <v>0</v>
      </c>
      <c r="L1471" s="55" t="n">
        <v>1812.6</v>
      </c>
      <c r="M1471" s="55" t="n">
        <v>-71.40000000000001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133449</t>
        </is>
      </c>
      <c r="B1472" s="52" t="n">
        <v>45994</v>
      </c>
      <c r="C1472" s="36" t="inlineStr">
        <is>
          <t>00023916360</t>
        </is>
      </c>
      <c r="D1472" s="53" t="inlineStr">
        <is>
          <t xml:space="preserve">RESTASIS 0.05% EMULSION </t>
        </is>
      </c>
      <c r="E1472" s="36" t="n">
        <v>60</v>
      </c>
      <c r="F1472" s="54" t="n">
        <v>180</v>
      </c>
      <c r="G1472" s="54" t="n">
        <v>3</v>
      </c>
      <c r="H1472" s="55" t="n">
        <v>1863</v>
      </c>
      <c r="I1472" s="55" t="n">
        <v>1800.98</v>
      </c>
      <c r="J1472" s="55" t="n">
        <v>0</v>
      </c>
      <c r="K1472" s="55" t="n">
        <v>0</v>
      </c>
      <c r="L1472" s="55" t="n">
        <v>1800.98</v>
      </c>
      <c r="M1472" s="55" t="n">
        <v>-62.02</v>
      </c>
      <c r="N1472" s="36" t="inlineStr">
        <is>
          <t>004336</t>
        </is>
      </c>
      <c r="O1472" s="36" t="inlineStr">
        <is>
          <t>CAREMARK</t>
        </is>
      </c>
      <c r="P1472" s="36" t="inlineStr">
        <is>
          <t>MEDDADV</t>
        </is>
      </c>
      <c r="Q1472" s="36" t="inlineStr">
        <is>
          <t>RX1110</t>
        </is>
      </c>
    </row>
    <row r="1473">
      <c r="A1473" s="36" t="inlineStr">
        <is>
          <t>140304</t>
        </is>
      </c>
      <c r="B1473" s="52" t="n">
        <v>46073</v>
      </c>
      <c r="C1473" s="36" t="inlineStr">
        <is>
          <t>00023916360</t>
        </is>
      </c>
      <c r="D1473" s="53" t="inlineStr">
        <is>
          <t xml:space="preserve">RESTASIS 0.05% EMULSION </t>
        </is>
      </c>
      <c r="E1473" s="36" t="n">
        <v>60</v>
      </c>
      <c r="F1473" s="54" t="n">
        <v>60</v>
      </c>
      <c r="G1473" s="54" t="n">
        <v>1</v>
      </c>
      <c r="H1473" s="55" t="n">
        <v>628</v>
      </c>
      <c r="I1473" s="55" t="n">
        <v>612.54</v>
      </c>
      <c r="J1473" s="55" t="n">
        <v>0</v>
      </c>
      <c r="K1473" s="55" t="n">
        <v>1.6</v>
      </c>
      <c r="L1473" s="55" t="n">
        <v>614.14</v>
      </c>
      <c r="M1473" s="55" t="n">
        <v>-13.86</v>
      </c>
      <c r="N1473" s="36" t="inlineStr">
        <is>
          <t>004336</t>
        </is>
      </c>
      <c r="O1473" s="36" t="inlineStr">
        <is>
          <t>CAREMARK</t>
        </is>
      </c>
      <c r="P1473" s="36" t="inlineStr">
        <is>
          <t>MEDDADV</t>
        </is>
      </c>
      <c r="Q1473" s="36" t="inlineStr">
        <is>
          <t>RX1110</t>
        </is>
      </c>
    </row>
    <row r="1474">
      <c r="A1474" s="36" t="inlineStr">
        <is>
          <t>113389</t>
        </is>
      </c>
      <c r="B1474" s="52" t="n">
        <v>46003</v>
      </c>
      <c r="C1474" s="36" t="inlineStr">
        <is>
          <t>00023916360</t>
        </is>
      </c>
      <c r="D1474" s="53" t="inlineStr">
        <is>
          <t xml:space="preserve">RESTASIS 0.05% EMULSION </t>
        </is>
      </c>
      <c r="E1474" s="36" t="n">
        <v>60</v>
      </c>
      <c r="F1474" s="54" t="n">
        <v>60</v>
      </c>
      <c r="G1474" s="54" t="n">
        <v>1</v>
      </c>
      <c r="H1474" s="55" t="n">
        <v>621</v>
      </c>
      <c r="I1474" s="55" t="n">
        <v>614.92</v>
      </c>
      <c r="J1474" s="55" t="n">
        <v>0</v>
      </c>
      <c r="K1474" s="55" t="n">
        <v>0</v>
      </c>
      <c r="L1474" s="55" t="n">
        <v>614.92</v>
      </c>
      <c r="M1474" s="55" t="n">
        <v>-6.08</v>
      </c>
      <c r="N1474" s="36" t="inlineStr">
        <is>
          <t>004336</t>
        </is>
      </c>
      <c r="O1474" s="36" t="inlineStr">
        <is>
          <t>CAREMARK</t>
        </is>
      </c>
      <c r="P1474" s="36" t="inlineStr">
        <is>
          <t>MEDDADV</t>
        </is>
      </c>
      <c r="Q1474" s="36" t="inlineStr">
        <is>
          <t>RX8585</t>
        </is>
      </c>
    </row>
    <row r="1475">
      <c r="A1475" s="36" t="inlineStr">
        <is>
          <t>143939</t>
        </is>
      </c>
      <c r="B1475" s="52" t="n">
        <v>46072</v>
      </c>
      <c r="C1475" s="36" t="inlineStr">
        <is>
          <t>00023916360</t>
        </is>
      </c>
      <c r="D1475" s="53" t="inlineStr">
        <is>
          <t xml:space="preserve">RESTASIS 0.05% EMULSION </t>
        </is>
      </c>
      <c r="E1475" s="36" t="n">
        <v>60</v>
      </c>
      <c r="F1475" s="54" t="n">
        <v>180</v>
      </c>
      <c r="G1475" s="54" t="n">
        <v>3</v>
      </c>
      <c r="H1475" s="55" t="n">
        <v>1884</v>
      </c>
      <c r="I1475" s="55" t="n">
        <v>1812.6</v>
      </c>
      <c r="J1475" s="55" t="n">
        <v>0</v>
      </c>
      <c r="K1475" s="55" t="n">
        <v>0</v>
      </c>
      <c r="L1475" s="55" t="n">
        <v>1812.6</v>
      </c>
      <c r="M1475" s="55" t="n">
        <v>-71.40000000000001</v>
      </c>
      <c r="N1475" s="36" t="inlineStr">
        <is>
          <t>004336</t>
        </is>
      </c>
      <c r="O1475" s="36" t="inlineStr">
        <is>
          <t>CAREMARK</t>
        </is>
      </c>
      <c r="P1475" s="36" t="inlineStr">
        <is>
          <t>MEDDADV</t>
        </is>
      </c>
      <c r="Q1475" s="36" t="inlineStr">
        <is>
          <t>RX1110</t>
        </is>
      </c>
    </row>
    <row r="1476">
      <c r="A1476" s="36" t="inlineStr">
        <is>
          <t>127392</t>
        </is>
      </c>
      <c r="B1476" s="52" t="n">
        <v>46056</v>
      </c>
      <c r="C1476" s="36" t="inlineStr">
        <is>
          <t>00023916360</t>
        </is>
      </c>
      <c r="D1476" s="53" t="inlineStr">
        <is>
          <t xml:space="preserve">RESTASIS 0.05% EMULSION </t>
        </is>
      </c>
      <c r="E1476" s="36" t="n">
        <v>60</v>
      </c>
      <c r="F1476" s="54" t="n">
        <v>60</v>
      </c>
      <c r="G1476" s="54" t="n">
        <v>1</v>
      </c>
      <c r="H1476" s="55" t="n">
        <v>628</v>
      </c>
      <c r="I1476" s="55" t="n">
        <v>629.65</v>
      </c>
      <c r="J1476" s="55" t="n">
        <v>0</v>
      </c>
      <c r="K1476" s="55" t="n">
        <v>0</v>
      </c>
      <c r="L1476" s="55" t="n">
        <v>629.65</v>
      </c>
      <c r="M1476" s="55" t="n">
        <v>1.65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118425</t>
        </is>
      </c>
      <c r="B1477" s="52" t="n">
        <v>46051</v>
      </c>
      <c r="C1477" s="36" t="inlineStr">
        <is>
          <t>00023916360</t>
        </is>
      </c>
      <c r="D1477" s="53" t="inlineStr">
        <is>
          <t xml:space="preserve">RESTASIS 0.05% EMULSION </t>
        </is>
      </c>
      <c r="E1477" s="36" t="n">
        <v>60</v>
      </c>
      <c r="F1477" s="54" t="n">
        <v>180</v>
      </c>
      <c r="G1477" s="54" t="n">
        <v>3</v>
      </c>
      <c r="H1477" s="55" t="n">
        <v>1863</v>
      </c>
      <c r="I1477" s="55" t="n">
        <v>1811</v>
      </c>
      <c r="J1477" s="55" t="n">
        <v>0</v>
      </c>
      <c r="K1477" s="55" t="n">
        <v>1.6</v>
      </c>
      <c r="L1477" s="55" t="n">
        <v>1812.6</v>
      </c>
      <c r="M1477" s="55" t="n">
        <v>-50.4</v>
      </c>
      <c r="N1477" s="36" t="inlineStr">
        <is>
          <t>004336</t>
        </is>
      </c>
      <c r="O1477" s="36" t="inlineStr">
        <is>
          <t>CAREMARK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129781</t>
        </is>
      </c>
      <c r="B1478" s="52" t="n">
        <v>46051</v>
      </c>
      <c r="C1478" s="36" t="inlineStr">
        <is>
          <t>00023916360</t>
        </is>
      </c>
      <c r="D1478" s="53" t="inlineStr">
        <is>
          <t xml:space="preserve">RESTASIS 0.05% EMULSION </t>
        </is>
      </c>
      <c r="E1478" s="36" t="n">
        <v>60</v>
      </c>
      <c r="F1478" s="54" t="n">
        <v>180</v>
      </c>
      <c r="G1478" s="54" t="n">
        <v>3</v>
      </c>
      <c r="H1478" s="55" t="n">
        <v>1863</v>
      </c>
      <c r="I1478" s="55" t="n">
        <v>1812.6</v>
      </c>
      <c r="J1478" s="55" t="n">
        <v>0</v>
      </c>
      <c r="K1478" s="55" t="n">
        <v>0</v>
      </c>
      <c r="L1478" s="55" t="n">
        <v>1812.6</v>
      </c>
      <c r="M1478" s="55" t="n">
        <v>-50.4</v>
      </c>
      <c r="N1478" s="36" t="inlineStr">
        <is>
          <t>004336</t>
        </is>
      </c>
      <c r="O1478" s="36" t="inlineStr">
        <is>
          <t>CAREMARK</t>
        </is>
      </c>
      <c r="P1478" s="36" t="inlineStr">
        <is>
          <t>MEDDADV</t>
        </is>
      </c>
      <c r="Q1478" s="36" t="inlineStr">
        <is>
          <t>RX1110</t>
        </is>
      </c>
    </row>
    <row r="1479">
      <c r="A1479" s="36" t="inlineStr">
        <is>
          <t>107642</t>
        </is>
      </c>
      <c r="B1479" s="52" t="n">
        <v>46052</v>
      </c>
      <c r="C1479" s="36" t="inlineStr">
        <is>
          <t>00023916360</t>
        </is>
      </c>
      <c r="D1479" s="53" t="inlineStr">
        <is>
          <t xml:space="preserve">RESTASIS 0.05% EMULSION </t>
        </is>
      </c>
      <c r="E1479" s="36" t="n">
        <v>60</v>
      </c>
      <c r="F1479" s="54" t="n">
        <v>180</v>
      </c>
      <c r="G1479" s="54" t="n">
        <v>3</v>
      </c>
      <c r="H1479" s="55" t="n">
        <v>1863</v>
      </c>
      <c r="I1479" s="55" t="n">
        <v>1812.6</v>
      </c>
      <c r="J1479" s="55" t="n">
        <v>0</v>
      </c>
      <c r="K1479" s="55" t="n">
        <v>0</v>
      </c>
      <c r="L1479" s="55" t="n">
        <v>1812.6</v>
      </c>
      <c r="M1479" s="55" t="n">
        <v>-50.4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RX1110</t>
        </is>
      </c>
    </row>
    <row r="1480">
      <c r="A1480" s="36" t="inlineStr">
        <is>
          <t>97237</t>
        </is>
      </c>
      <c r="B1480" s="52" t="n">
        <v>46015</v>
      </c>
      <c r="C1480" s="36" t="inlineStr">
        <is>
          <t>00023916360</t>
        </is>
      </c>
      <c r="D1480" s="53" t="inlineStr">
        <is>
          <t xml:space="preserve">RESTASIS 0.05% EMULSION </t>
        </is>
      </c>
      <c r="E1480" s="36" t="n">
        <v>60</v>
      </c>
      <c r="F1480" s="54" t="n">
        <v>60</v>
      </c>
      <c r="G1480" s="54" t="n">
        <v>1</v>
      </c>
      <c r="H1480" s="55" t="n">
        <v>621</v>
      </c>
      <c r="I1480" s="55" t="n">
        <v>608.72</v>
      </c>
      <c r="J1480" s="55" t="n">
        <v>0</v>
      </c>
      <c r="K1480" s="55" t="n">
        <v>0</v>
      </c>
      <c r="L1480" s="55" t="n">
        <v>608.72</v>
      </c>
      <c r="M1480" s="55" t="n">
        <v>-12.28</v>
      </c>
      <c r="N1480" s="36" t="inlineStr">
        <is>
          <t>004336</t>
        </is>
      </c>
      <c r="O1480" s="36" t="inlineStr">
        <is>
          <t>CAREMARK</t>
        </is>
      </c>
      <c r="P1480" s="36" t="inlineStr">
        <is>
          <t>MEDDADV</t>
        </is>
      </c>
      <c r="Q1480" s="36" t="inlineStr">
        <is>
          <t>RX1110</t>
        </is>
      </c>
    </row>
    <row r="1481">
      <c r="A1481" s="36" t="inlineStr">
        <is>
          <t>139174</t>
        </is>
      </c>
      <c r="B1481" s="52" t="n">
        <v>46037</v>
      </c>
      <c r="C1481" s="36" t="inlineStr">
        <is>
          <t>00023916360</t>
        </is>
      </c>
      <c r="D1481" s="53" t="inlineStr">
        <is>
          <t xml:space="preserve">RESTASIS 0.05% EMULSION </t>
        </is>
      </c>
      <c r="E1481" s="36" t="n">
        <v>60</v>
      </c>
      <c r="F1481" s="54" t="n">
        <v>180</v>
      </c>
      <c r="G1481" s="54" t="n">
        <v>3</v>
      </c>
      <c r="H1481" s="55" t="n">
        <v>1863</v>
      </c>
      <c r="I1481" s="55" t="n">
        <v>1812.6</v>
      </c>
      <c r="J1481" s="55" t="n">
        <v>0</v>
      </c>
      <c r="K1481" s="55" t="n">
        <v>0</v>
      </c>
      <c r="L1481" s="55" t="n">
        <v>1812.6</v>
      </c>
      <c r="M1481" s="55" t="n">
        <v>-50.4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RX1110</t>
        </is>
      </c>
    </row>
    <row r="1482">
      <c r="A1482" s="36" t="inlineStr">
        <is>
          <t>132558</t>
        </is>
      </c>
      <c r="B1482" s="52" t="n">
        <v>46014</v>
      </c>
      <c r="C1482" s="36" t="inlineStr">
        <is>
          <t>00023916360</t>
        </is>
      </c>
      <c r="D1482" s="53" t="inlineStr">
        <is>
          <t xml:space="preserve">RESTASIS 0.05% EMULSION </t>
        </is>
      </c>
      <c r="E1482" s="36" t="n">
        <v>60</v>
      </c>
      <c r="F1482" s="54" t="n">
        <v>60</v>
      </c>
      <c r="G1482" s="54" t="n">
        <v>1</v>
      </c>
      <c r="H1482" s="55" t="n">
        <v>621</v>
      </c>
      <c r="I1482" s="55" t="n">
        <v>608.72</v>
      </c>
      <c r="J1482" s="55" t="n">
        <v>0</v>
      </c>
      <c r="K1482" s="55" t="n">
        <v>0</v>
      </c>
      <c r="L1482" s="55" t="n">
        <v>608.72</v>
      </c>
      <c r="M1482" s="55" t="n">
        <v>-12.28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115737</t>
        </is>
      </c>
      <c r="B1483" s="52" t="n">
        <v>46029</v>
      </c>
      <c r="C1483" s="36" t="inlineStr">
        <is>
          <t>00023916360</t>
        </is>
      </c>
      <c r="D1483" s="53" t="inlineStr">
        <is>
          <t xml:space="preserve">RESTASIS 0.05% EMULSION </t>
        </is>
      </c>
      <c r="E1483" s="36" t="n">
        <v>60</v>
      </c>
      <c r="F1483" s="54" t="n">
        <v>180</v>
      </c>
      <c r="G1483" s="54" t="n">
        <v>3</v>
      </c>
      <c r="H1483" s="55" t="n">
        <v>1863</v>
      </c>
      <c r="I1483" s="55" t="n">
        <v>1867.65</v>
      </c>
      <c r="J1483" s="55" t="n">
        <v>0</v>
      </c>
      <c r="K1483" s="55" t="n">
        <v>1</v>
      </c>
      <c r="L1483" s="55" t="n">
        <v>1868.65</v>
      </c>
      <c r="M1483" s="55" t="n">
        <v>5.65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107239</t>
        </is>
      </c>
      <c r="B1484" s="52" t="n">
        <v>46055</v>
      </c>
      <c r="C1484" s="36" t="inlineStr">
        <is>
          <t>00023916360</t>
        </is>
      </c>
      <c r="D1484" s="53" t="inlineStr">
        <is>
          <t xml:space="preserve">RESTASIS 0.05% EMULSION </t>
        </is>
      </c>
      <c r="E1484" s="36" t="n">
        <v>60</v>
      </c>
      <c r="F1484" s="54" t="n">
        <v>180</v>
      </c>
      <c r="G1484" s="54" t="n">
        <v>3</v>
      </c>
      <c r="H1484" s="55" t="n">
        <v>1884</v>
      </c>
      <c r="I1484" s="55" t="n">
        <v>1868.58</v>
      </c>
      <c r="J1484" s="55" t="n">
        <v>0</v>
      </c>
      <c r="K1484" s="55" t="n">
        <v>0</v>
      </c>
      <c r="L1484" s="55" t="n">
        <v>1868.58</v>
      </c>
      <c r="M1484" s="55" t="n">
        <v>-15.42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119745</t>
        </is>
      </c>
      <c r="B1485" s="52" t="n">
        <v>46028</v>
      </c>
      <c r="C1485" s="36" t="inlineStr">
        <is>
          <t>00023916360</t>
        </is>
      </c>
      <c r="D1485" s="53" t="inlineStr">
        <is>
          <t xml:space="preserve">RESTASIS 0.05% EMULSION </t>
        </is>
      </c>
      <c r="E1485" s="36" t="n">
        <v>60</v>
      </c>
      <c r="F1485" s="54" t="n">
        <v>60</v>
      </c>
      <c r="G1485" s="54" t="n">
        <v>1</v>
      </c>
      <c r="H1485" s="55" t="n">
        <v>621</v>
      </c>
      <c r="I1485" s="55" t="n">
        <v>629.67</v>
      </c>
      <c r="J1485" s="55" t="n">
        <v>0</v>
      </c>
      <c r="K1485" s="55" t="n">
        <v>0</v>
      </c>
      <c r="L1485" s="55" t="n">
        <v>629.67</v>
      </c>
      <c r="M1485" s="55" t="n">
        <v>8.67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108058</t>
        </is>
      </c>
      <c r="B1486" s="52" t="n">
        <v>46055</v>
      </c>
      <c r="C1486" s="36" t="inlineStr">
        <is>
          <t>00023916360</t>
        </is>
      </c>
      <c r="D1486" s="53" t="inlineStr">
        <is>
          <t xml:space="preserve">RESTASIS 0.05% EMULSION </t>
        </is>
      </c>
      <c r="E1486" s="36" t="n">
        <v>60</v>
      </c>
      <c r="F1486" s="54" t="n">
        <v>180</v>
      </c>
      <c r="G1486" s="54" t="n">
        <v>3</v>
      </c>
      <c r="H1486" s="55" t="n">
        <v>1884</v>
      </c>
      <c r="I1486" s="55" t="n">
        <v>402.37</v>
      </c>
      <c r="J1486" s="55" t="n">
        <v>0</v>
      </c>
      <c r="K1486" s="55" t="n">
        <v>18</v>
      </c>
      <c r="L1486" s="55" t="n">
        <v>420.37</v>
      </c>
      <c r="M1486" s="55" t="n">
        <v>-1463.63</v>
      </c>
      <c r="N1486" s="36" t="inlineStr">
        <is>
          <t>004336</t>
        </is>
      </c>
      <c r="O1486" s="36" t="inlineStr">
        <is>
          <t>CAREMARK</t>
        </is>
      </c>
      <c r="P1486" s="36" t="inlineStr">
        <is>
          <t>ADV</t>
        </is>
      </c>
      <c r="Q1486" s="36" t="inlineStr">
        <is>
          <t>RX1103</t>
        </is>
      </c>
    </row>
    <row r="1487">
      <c r="A1487" s="36" t="inlineStr">
        <is>
          <t>130263</t>
        </is>
      </c>
      <c r="B1487" s="52" t="n">
        <v>46055</v>
      </c>
      <c r="C1487" s="36" t="inlineStr">
        <is>
          <t>00023916360</t>
        </is>
      </c>
      <c r="D1487" s="53" t="inlineStr">
        <is>
          <t xml:space="preserve">RESTASIS 0.05% EMULSION </t>
        </is>
      </c>
      <c r="E1487" s="36" t="n">
        <v>60</v>
      </c>
      <c r="F1487" s="54" t="n">
        <v>180</v>
      </c>
      <c r="G1487" s="54" t="n">
        <v>3</v>
      </c>
      <c r="H1487" s="55" t="n">
        <v>1884</v>
      </c>
      <c r="I1487" s="55" t="n">
        <v>1868.58</v>
      </c>
      <c r="J1487" s="55" t="n">
        <v>0</v>
      </c>
      <c r="K1487" s="55" t="n">
        <v>0</v>
      </c>
      <c r="L1487" s="55" t="n">
        <v>1868.58</v>
      </c>
      <c r="M1487" s="55" t="n">
        <v>-15.42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127392</t>
        </is>
      </c>
      <c r="B1488" s="52" t="n">
        <v>46029</v>
      </c>
      <c r="C1488" s="36" t="inlineStr">
        <is>
          <t>00023916360</t>
        </is>
      </c>
      <c r="D1488" s="53" t="inlineStr">
        <is>
          <t xml:space="preserve">RESTASIS 0.05% EMULSION </t>
        </is>
      </c>
      <c r="E1488" s="36" t="n">
        <v>60</v>
      </c>
      <c r="F1488" s="54" t="n">
        <v>60</v>
      </c>
      <c r="G1488" s="54" t="n">
        <v>1</v>
      </c>
      <c r="H1488" s="55" t="n">
        <v>621</v>
      </c>
      <c r="I1488" s="55" t="n">
        <v>629.67</v>
      </c>
      <c r="J1488" s="55" t="n">
        <v>0</v>
      </c>
      <c r="K1488" s="55" t="n">
        <v>0</v>
      </c>
      <c r="L1488" s="55" t="n">
        <v>629.67</v>
      </c>
      <c r="M1488" s="55" t="n">
        <v>8.67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137906</t>
        </is>
      </c>
      <c r="B1489" s="52" t="n">
        <v>46029</v>
      </c>
      <c r="C1489" s="36" t="inlineStr">
        <is>
          <t>00023916360</t>
        </is>
      </c>
      <c r="D1489" s="53" t="inlineStr">
        <is>
          <t xml:space="preserve">RESTASIS 0.05% EMULSION </t>
        </is>
      </c>
      <c r="E1489" s="36" t="n">
        <v>60</v>
      </c>
      <c r="F1489" s="54" t="n">
        <v>180</v>
      </c>
      <c r="G1489" s="54" t="n">
        <v>3</v>
      </c>
      <c r="H1489" s="55" t="n">
        <v>1863</v>
      </c>
      <c r="I1489" s="55" t="n">
        <v>1811</v>
      </c>
      <c r="J1489" s="55" t="n">
        <v>0</v>
      </c>
      <c r="K1489" s="55" t="n">
        <v>1.6</v>
      </c>
      <c r="L1489" s="55" t="n">
        <v>1812.6</v>
      </c>
      <c r="M1489" s="55" t="n">
        <v>-50.4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RX1110</t>
        </is>
      </c>
    </row>
    <row r="1490">
      <c r="A1490" s="36" t="inlineStr">
        <is>
          <t>141528</t>
        </is>
      </c>
      <c r="B1490" s="52" t="n">
        <v>46055</v>
      </c>
      <c r="C1490" s="36" t="inlineStr">
        <is>
          <t>00023916360</t>
        </is>
      </c>
      <c r="D1490" s="53" t="inlineStr">
        <is>
          <t xml:space="preserve">RESTASIS 0.05% EMULSION </t>
        </is>
      </c>
      <c r="E1490" s="36" t="n">
        <v>60</v>
      </c>
      <c r="F1490" s="54" t="n">
        <v>60</v>
      </c>
      <c r="G1490" s="54" t="n">
        <v>1</v>
      </c>
      <c r="H1490" s="55" t="n">
        <v>628</v>
      </c>
      <c r="I1490" s="55" t="n">
        <v>614.14</v>
      </c>
      <c r="J1490" s="55" t="n">
        <v>0</v>
      </c>
      <c r="K1490" s="55" t="n">
        <v>0</v>
      </c>
      <c r="L1490" s="55" t="n">
        <v>614.14</v>
      </c>
      <c r="M1490" s="55" t="n">
        <v>-13.86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RX1110</t>
        </is>
      </c>
    </row>
    <row r="1491">
      <c r="A1491" s="36" t="inlineStr">
        <is>
          <t>113943</t>
        </is>
      </c>
      <c r="B1491" s="52" t="n">
        <v>46013</v>
      </c>
      <c r="C1491" s="36" t="inlineStr">
        <is>
          <t>00023916360</t>
        </is>
      </c>
      <c r="D1491" s="53" t="inlineStr">
        <is>
          <t xml:space="preserve">RESTASIS 0.05% EMULSION </t>
        </is>
      </c>
      <c r="E1491" s="36" t="n">
        <v>60</v>
      </c>
      <c r="F1491" s="54" t="n">
        <v>180</v>
      </c>
      <c r="G1491" s="54" t="n">
        <v>3</v>
      </c>
      <c r="H1491" s="55" t="n">
        <v>1863</v>
      </c>
      <c r="I1491" s="55" t="n">
        <v>1800.98</v>
      </c>
      <c r="J1491" s="55" t="n">
        <v>0</v>
      </c>
      <c r="K1491" s="55" t="n">
        <v>0</v>
      </c>
      <c r="L1491" s="55" t="n">
        <v>1800.98</v>
      </c>
      <c r="M1491" s="55" t="n">
        <v>-62.02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114824</t>
        </is>
      </c>
      <c r="B1492" s="52" t="n">
        <v>46030</v>
      </c>
      <c r="C1492" s="36" t="inlineStr">
        <is>
          <t>00023916360</t>
        </is>
      </c>
      <c r="D1492" s="53" t="inlineStr">
        <is>
          <t xml:space="preserve">RESTASIS 0.05% EMULSION </t>
        </is>
      </c>
      <c r="E1492" s="36" t="n">
        <v>60</v>
      </c>
      <c r="F1492" s="54" t="n">
        <v>180</v>
      </c>
      <c r="G1492" s="54" t="n">
        <v>3</v>
      </c>
      <c r="H1492" s="55" t="n">
        <v>1863</v>
      </c>
      <c r="I1492" s="55" t="n">
        <v>1868.65</v>
      </c>
      <c r="J1492" s="55" t="n">
        <v>0</v>
      </c>
      <c r="K1492" s="55" t="n">
        <v>0</v>
      </c>
      <c r="L1492" s="55" t="n">
        <v>1868.65</v>
      </c>
      <c r="M1492" s="55" t="n">
        <v>5.65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96449</t>
        </is>
      </c>
      <c r="B1493" s="52" t="n">
        <v>46056</v>
      </c>
      <c r="C1493" s="36" t="inlineStr">
        <is>
          <t>00023916360</t>
        </is>
      </c>
      <c r="D1493" s="53" t="inlineStr">
        <is>
          <t xml:space="preserve">RESTASIS 0.05% EMULSION </t>
        </is>
      </c>
      <c r="E1493" s="36" t="n">
        <v>60</v>
      </c>
      <c r="F1493" s="54" t="n">
        <v>180</v>
      </c>
      <c r="G1493" s="54" t="n">
        <v>3</v>
      </c>
      <c r="H1493" s="55" t="n">
        <v>1884</v>
      </c>
      <c r="I1493" s="55" t="n">
        <v>1765.6</v>
      </c>
      <c r="J1493" s="55" t="n">
        <v>0</v>
      </c>
      <c r="K1493" s="55" t="n">
        <v>47</v>
      </c>
      <c r="L1493" s="55" t="n">
        <v>1812.6</v>
      </c>
      <c r="M1493" s="55" t="n">
        <v>-71.40000000000001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RX1110</t>
        </is>
      </c>
    </row>
    <row r="1494">
      <c r="A1494" s="36" t="inlineStr">
        <is>
          <t>135518</t>
        </is>
      </c>
      <c r="B1494" s="52" t="n">
        <v>46037</v>
      </c>
      <c r="C1494" s="36" t="inlineStr">
        <is>
          <t>00023916360</t>
        </is>
      </c>
      <c r="D1494" s="53" t="inlineStr">
        <is>
          <t xml:space="preserve">RESTASIS 0.05% EMULSION </t>
        </is>
      </c>
      <c r="E1494" s="36" t="n">
        <v>60</v>
      </c>
      <c r="F1494" s="54" t="n">
        <v>60</v>
      </c>
      <c r="G1494" s="54" t="n">
        <v>1</v>
      </c>
      <c r="H1494" s="55" t="n">
        <v>621</v>
      </c>
      <c r="I1494" s="55" t="n">
        <v>614.14</v>
      </c>
      <c r="J1494" s="55" t="n">
        <v>0</v>
      </c>
      <c r="K1494" s="55" t="n">
        <v>0</v>
      </c>
      <c r="L1494" s="55" t="n">
        <v>614.14</v>
      </c>
      <c r="M1494" s="55" t="n">
        <v>-6.86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119745</t>
        </is>
      </c>
      <c r="B1495" s="52" t="n">
        <v>46056</v>
      </c>
      <c r="C1495" s="36" t="inlineStr">
        <is>
          <t>00023916360</t>
        </is>
      </c>
      <c r="D1495" s="53" t="inlineStr">
        <is>
          <t xml:space="preserve">RESTASIS 0.05% EMULSION </t>
        </is>
      </c>
      <c r="E1495" s="36" t="n">
        <v>60</v>
      </c>
      <c r="F1495" s="54" t="n">
        <v>60</v>
      </c>
      <c r="G1495" s="54" t="n">
        <v>1</v>
      </c>
      <c r="H1495" s="55" t="n">
        <v>628</v>
      </c>
      <c r="I1495" s="55" t="n">
        <v>629.65</v>
      </c>
      <c r="J1495" s="55" t="n">
        <v>0</v>
      </c>
      <c r="K1495" s="55" t="n">
        <v>0</v>
      </c>
      <c r="L1495" s="55" t="n">
        <v>629.65</v>
      </c>
      <c r="M1495" s="55" t="n">
        <v>1.65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125311</t>
        </is>
      </c>
      <c r="B1496" s="52" t="n">
        <v>46020</v>
      </c>
      <c r="C1496" s="36" t="inlineStr">
        <is>
          <t>00023916360</t>
        </is>
      </c>
      <c r="D1496" s="53" t="inlineStr">
        <is>
          <t xml:space="preserve">RESTASIS 0.05% EMULSION </t>
        </is>
      </c>
      <c r="E1496" s="36" t="n">
        <v>60</v>
      </c>
      <c r="F1496" s="54" t="n">
        <v>180</v>
      </c>
      <c r="G1496" s="54" t="n">
        <v>3</v>
      </c>
      <c r="H1496" s="55" t="n">
        <v>1863</v>
      </c>
      <c r="I1496" s="55" t="n">
        <v>1800.98</v>
      </c>
      <c r="J1496" s="55" t="n">
        <v>0</v>
      </c>
      <c r="K1496" s="55" t="n">
        <v>0</v>
      </c>
      <c r="L1496" s="55" t="n">
        <v>1800.98</v>
      </c>
      <c r="M1496" s="55" t="n">
        <v>-62.02</v>
      </c>
      <c r="N1496" s="36" t="inlineStr">
        <is>
          <t>004336</t>
        </is>
      </c>
      <c r="O1496" s="36" t="inlineStr">
        <is>
          <t>CAREMARK</t>
        </is>
      </c>
      <c r="P1496" s="36" t="inlineStr">
        <is>
          <t>MEDDADV</t>
        </is>
      </c>
      <c r="Q1496" s="36" t="inlineStr">
        <is>
          <t>RX1110</t>
        </is>
      </c>
    </row>
    <row r="1497">
      <c r="A1497" s="36" t="inlineStr">
        <is>
          <t>136922</t>
        </is>
      </c>
      <c r="B1497" s="52" t="n">
        <v>46049</v>
      </c>
      <c r="C1497" s="36" t="inlineStr">
        <is>
          <t>00023916360</t>
        </is>
      </c>
      <c r="D1497" s="53" t="inlineStr">
        <is>
          <t xml:space="preserve">RESTASIS 0.05% EMULSION </t>
        </is>
      </c>
      <c r="E1497" s="36" t="n">
        <v>60</v>
      </c>
      <c r="F1497" s="54" t="n">
        <v>60</v>
      </c>
      <c r="G1497" s="54" t="n">
        <v>1</v>
      </c>
      <c r="H1497" s="55" t="n">
        <v>621</v>
      </c>
      <c r="I1497" s="55" t="n">
        <v>612.54</v>
      </c>
      <c r="J1497" s="55" t="n">
        <v>0</v>
      </c>
      <c r="K1497" s="55" t="n">
        <v>1.6</v>
      </c>
      <c r="L1497" s="55" t="n">
        <v>614.14</v>
      </c>
      <c r="M1497" s="55" t="n">
        <v>-6.86</v>
      </c>
      <c r="N1497" s="36" t="inlineStr">
        <is>
          <t>004336</t>
        </is>
      </c>
      <c r="O1497" s="36" t="inlineStr">
        <is>
          <t>CAREMARK</t>
        </is>
      </c>
      <c r="P1497" s="36" t="inlineStr">
        <is>
          <t>MEDDADV</t>
        </is>
      </c>
      <c r="Q1497" s="36" t="inlineStr">
        <is>
          <t>RX1110</t>
        </is>
      </c>
    </row>
    <row r="1498">
      <c r="A1498" s="36" t="inlineStr">
        <is>
          <t>139772</t>
        </is>
      </c>
      <c r="B1498" s="52" t="n">
        <v>46042</v>
      </c>
      <c r="C1498" s="36" t="inlineStr">
        <is>
          <t>00023916360</t>
        </is>
      </c>
      <c r="D1498" s="53" t="inlineStr">
        <is>
          <t xml:space="preserve">RESTASIS 0.05% EMULSION </t>
        </is>
      </c>
      <c r="E1498" s="36" t="n">
        <v>60</v>
      </c>
      <c r="F1498" s="54" t="n">
        <v>60</v>
      </c>
      <c r="G1498" s="54" t="n">
        <v>1</v>
      </c>
      <c r="H1498" s="55" t="n">
        <v>621</v>
      </c>
      <c r="I1498" s="55" t="n">
        <v>612.54</v>
      </c>
      <c r="J1498" s="55" t="n">
        <v>0</v>
      </c>
      <c r="K1498" s="55" t="n">
        <v>1.6</v>
      </c>
      <c r="L1498" s="55" t="n">
        <v>614.14</v>
      </c>
      <c r="M1498" s="55" t="n">
        <v>-6.86</v>
      </c>
      <c r="N1498" s="36" t="inlineStr">
        <is>
          <t>004336</t>
        </is>
      </c>
      <c r="O1498" s="36" t="inlineStr">
        <is>
          <t>CAREMARK</t>
        </is>
      </c>
      <c r="P1498" s="36" t="inlineStr">
        <is>
          <t>MEDDADV</t>
        </is>
      </c>
      <c r="Q1498" s="36" t="inlineStr">
        <is>
          <t>RX1110</t>
        </is>
      </c>
    </row>
    <row r="1499">
      <c r="A1499" s="36" t="inlineStr">
        <is>
          <t>139929</t>
        </is>
      </c>
      <c r="B1499" s="52" t="n">
        <v>46043</v>
      </c>
      <c r="C1499" s="36" t="inlineStr">
        <is>
          <t>00023916360</t>
        </is>
      </c>
      <c r="D1499" s="53" t="inlineStr">
        <is>
          <t xml:space="preserve">RESTASIS 0.05% EMULSION </t>
        </is>
      </c>
      <c r="E1499" s="36" t="n">
        <v>60</v>
      </c>
      <c r="F1499" s="54" t="n">
        <v>60</v>
      </c>
      <c r="G1499" s="54" t="n">
        <v>1</v>
      </c>
      <c r="H1499" s="55" t="n">
        <v>621</v>
      </c>
      <c r="I1499" s="55" t="n">
        <v>614.14</v>
      </c>
      <c r="J1499" s="55" t="n">
        <v>0</v>
      </c>
      <c r="K1499" s="55" t="n">
        <v>0</v>
      </c>
      <c r="L1499" s="55" t="n">
        <v>614.14</v>
      </c>
      <c r="M1499" s="55" t="n">
        <v>-6.86</v>
      </c>
      <c r="N1499" s="36" t="inlineStr">
        <is>
          <t>004336</t>
        </is>
      </c>
      <c r="O1499" s="36" t="inlineStr">
        <is>
          <t>CAREMARK</t>
        </is>
      </c>
      <c r="P1499" s="36" t="inlineStr">
        <is>
          <t>MEDDADV</t>
        </is>
      </c>
      <c r="Q1499" s="36" t="inlineStr">
        <is>
          <t>RX1110</t>
        </is>
      </c>
    </row>
    <row r="1500">
      <c r="A1500" s="36" t="inlineStr">
        <is>
          <t>126636</t>
        </is>
      </c>
      <c r="B1500" s="52" t="n">
        <v>46027</v>
      </c>
      <c r="C1500" s="36" t="inlineStr">
        <is>
          <t>00023916360</t>
        </is>
      </c>
      <c r="D1500" s="53" t="inlineStr">
        <is>
          <t xml:space="preserve">RESTASIS 0.05% EMULSION </t>
        </is>
      </c>
      <c r="E1500" s="36" t="n">
        <v>60</v>
      </c>
      <c r="F1500" s="54" t="n">
        <v>180</v>
      </c>
      <c r="G1500" s="54" t="n">
        <v>3</v>
      </c>
      <c r="H1500" s="55" t="n">
        <v>1863</v>
      </c>
      <c r="I1500" s="55" t="n">
        <v>1807.5</v>
      </c>
      <c r="J1500" s="55" t="n">
        <v>0</v>
      </c>
      <c r="K1500" s="55" t="n">
        <v>5.1</v>
      </c>
      <c r="L1500" s="55" t="n">
        <v>1812.6</v>
      </c>
      <c r="M1500" s="55" t="n">
        <v>-50.4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117378</t>
        </is>
      </c>
      <c r="B1501" s="52" t="n">
        <v>46044</v>
      </c>
      <c r="C1501" s="36" t="inlineStr">
        <is>
          <t>00023916360</t>
        </is>
      </c>
      <c r="D1501" s="53" t="inlineStr">
        <is>
          <t xml:space="preserve">RESTASIS 0.05% EMULSION </t>
        </is>
      </c>
      <c r="E1501" s="36" t="n">
        <v>60</v>
      </c>
      <c r="F1501" s="54" t="n">
        <v>180</v>
      </c>
      <c r="G1501" s="54" t="n">
        <v>3</v>
      </c>
      <c r="H1501" s="55" t="n">
        <v>1863</v>
      </c>
      <c r="I1501" s="55" t="n">
        <v>1811</v>
      </c>
      <c r="J1501" s="55" t="n">
        <v>0</v>
      </c>
      <c r="K1501" s="55" t="n">
        <v>1.6</v>
      </c>
      <c r="L1501" s="55" t="n">
        <v>1812.6</v>
      </c>
      <c r="M1501" s="55" t="n">
        <v>-50.4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126756</t>
        </is>
      </c>
      <c r="B1502" s="52" t="n">
        <v>46027</v>
      </c>
      <c r="C1502" s="36" t="inlineStr">
        <is>
          <t>00023916360</t>
        </is>
      </c>
      <c r="D1502" s="53" t="inlineStr">
        <is>
          <t xml:space="preserve">RESTASIS 0.05% EMULSION </t>
        </is>
      </c>
      <c r="E1502" s="36" t="n">
        <v>60</v>
      </c>
      <c r="F1502" s="54" t="n">
        <v>180</v>
      </c>
      <c r="G1502" s="54" t="n">
        <v>3</v>
      </c>
      <c r="H1502" s="55" t="n">
        <v>1863</v>
      </c>
      <c r="I1502" s="55" t="n">
        <v>1868.65</v>
      </c>
      <c r="J1502" s="55" t="n">
        <v>0</v>
      </c>
      <c r="K1502" s="55" t="n">
        <v>0</v>
      </c>
      <c r="L1502" s="55" t="n">
        <v>1868.65</v>
      </c>
      <c r="M1502" s="55" t="n">
        <v>5.65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132558</t>
        </is>
      </c>
      <c r="B1503" s="52" t="n">
        <v>46042</v>
      </c>
      <c r="C1503" s="36" t="inlineStr">
        <is>
          <t>00023916360</t>
        </is>
      </c>
      <c r="D1503" s="53" t="inlineStr">
        <is>
          <t xml:space="preserve">RESTASIS 0.05% EMULSION </t>
        </is>
      </c>
      <c r="E1503" s="36" t="n">
        <v>60</v>
      </c>
      <c r="F1503" s="54" t="n">
        <v>60</v>
      </c>
      <c r="G1503" s="54" t="n">
        <v>1</v>
      </c>
      <c r="H1503" s="55" t="n">
        <v>621</v>
      </c>
      <c r="I1503" s="55" t="n">
        <v>612.54</v>
      </c>
      <c r="J1503" s="55" t="n">
        <v>0</v>
      </c>
      <c r="K1503" s="55" t="n">
        <v>1.6</v>
      </c>
      <c r="L1503" s="55" t="n">
        <v>614.14</v>
      </c>
      <c r="M1503" s="55" t="n">
        <v>-6.86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129194</t>
        </is>
      </c>
      <c r="B1504" s="52" t="n">
        <v>46045</v>
      </c>
      <c r="C1504" s="36" t="inlineStr">
        <is>
          <t>00023916360</t>
        </is>
      </c>
      <c r="D1504" s="53" t="inlineStr">
        <is>
          <t xml:space="preserve">RESTASIS 0.05% EMULSION </t>
        </is>
      </c>
      <c r="E1504" s="36" t="n">
        <v>60</v>
      </c>
      <c r="F1504" s="54" t="n">
        <v>180</v>
      </c>
      <c r="G1504" s="54" t="n">
        <v>3</v>
      </c>
      <c r="H1504" s="55" t="n">
        <v>1863</v>
      </c>
      <c r="I1504" s="55" t="n">
        <v>1811</v>
      </c>
      <c r="J1504" s="55" t="n">
        <v>0</v>
      </c>
      <c r="K1504" s="55" t="n">
        <v>1.6</v>
      </c>
      <c r="L1504" s="55" t="n">
        <v>1812.6</v>
      </c>
      <c r="M1504" s="55" t="n">
        <v>-50.4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114637</t>
        </is>
      </c>
      <c r="B1505" s="52" t="n">
        <v>46028</v>
      </c>
      <c r="C1505" s="36" t="inlineStr">
        <is>
          <t>00023916360</t>
        </is>
      </c>
      <c r="D1505" s="53" t="inlineStr">
        <is>
          <t xml:space="preserve">RESTASIS 0.05% EMULSION </t>
        </is>
      </c>
      <c r="E1505" s="36" t="n">
        <v>60</v>
      </c>
      <c r="F1505" s="54" t="n">
        <v>180</v>
      </c>
      <c r="G1505" s="54" t="n">
        <v>3</v>
      </c>
      <c r="H1505" s="55" t="n">
        <v>1863</v>
      </c>
      <c r="I1505" s="55" t="n">
        <v>1812.6</v>
      </c>
      <c r="J1505" s="55" t="n">
        <v>0</v>
      </c>
      <c r="K1505" s="55" t="n">
        <v>0</v>
      </c>
      <c r="L1505" s="55" t="n">
        <v>1812.6</v>
      </c>
      <c r="M1505" s="55" t="n">
        <v>-50.4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140304</t>
        </is>
      </c>
      <c r="B1506" s="52" t="n">
        <v>46045</v>
      </c>
      <c r="C1506" s="36" t="inlineStr">
        <is>
          <t>00023916360</t>
        </is>
      </c>
      <c r="D1506" s="53" t="inlineStr">
        <is>
          <t xml:space="preserve">RESTASIS 0.05% EMULSION </t>
        </is>
      </c>
      <c r="E1506" s="36" t="n">
        <v>60</v>
      </c>
      <c r="F1506" s="54" t="n">
        <v>60</v>
      </c>
      <c r="G1506" s="54" t="n">
        <v>1</v>
      </c>
      <c r="H1506" s="55" t="n">
        <v>621</v>
      </c>
      <c r="I1506" s="55" t="n">
        <v>612.54</v>
      </c>
      <c r="J1506" s="55" t="n">
        <v>0</v>
      </c>
      <c r="K1506" s="55" t="n">
        <v>1.6</v>
      </c>
      <c r="L1506" s="55" t="n">
        <v>614.14</v>
      </c>
      <c r="M1506" s="55" t="n">
        <v>-6.86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RX1110</t>
        </is>
      </c>
    </row>
    <row r="1507">
      <c r="A1507" s="36" t="inlineStr">
        <is>
          <t>136922</t>
        </is>
      </c>
      <c r="B1507" s="52" t="n">
        <v>46021</v>
      </c>
      <c r="C1507" s="36" t="inlineStr">
        <is>
          <t>00023916360</t>
        </is>
      </c>
      <c r="D1507" s="53" t="inlineStr">
        <is>
          <t xml:space="preserve">RESTASIS 0.05% EMULSION </t>
        </is>
      </c>
      <c r="E1507" s="36" t="n">
        <v>60</v>
      </c>
      <c r="F1507" s="54" t="n">
        <v>60</v>
      </c>
      <c r="G1507" s="54" t="n">
        <v>1</v>
      </c>
      <c r="H1507" s="55" t="n">
        <v>621</v>
      </c>
      <c r="I1507" s="55" t="n">
        <v>608.72</v>
      </c>
      <c r="J1507" s="55" t="n">
        <v>0</v>
      </c>
      <c r="K1507" s="55" t="n">
        <v>0</v>
      </c>
      <c r="L1507" s="55" t="n">
        <v>608.72</v>
      </c>
      <c r="M1507" s="55" t="n">
        <v>-12.28</v>
      </c>
      <c r="N1507" s="36" t="inlineStr">
        <is>
          <t>004336</t>
        </is>
      </c>
      <c r="O1507" s="36" t="inlineStr">
        <is>
          <t>CAREMARK</t>
        </is>
      </c>
      <c r="P1507" s="36" t="inlineStr">
        <is>
          <t>MEDDADV</t>
        </is>
      </c>
      <c r="Q1507" s="36" t="inlineStr">
        <is>
          <t>RX1110</t>
        </is>
      </c>
    </row>
    <row r="1508">
      <c r="A1508" s="36" t="inlineStr">
        <is>
          <t>117506</t>
        </is>
      </c>
      <c r="B1508" s="52" t="n">
        <v>46048</v>
      </c>
      <c r="C1508" s="36" t="inlineStr">
        <is>
          <t>00023916360</t>
        </is>
      </c>
      <c r="D1508" s="53" t="inlineStr">
        <is>
          <t xml:space="preserve">RESTASIS 0.05% EMULSION </t>
        </is>
      </c>
      <c r="E1508" s="36" t="n">
        <v>60</v>
      </c>
      <c r="F1508" s="54" t="n">
        <v>180</v>
      </c>
      <c r="G1508" s="54" t="n">
        <v>3</v>
      </c>
      <c r="H1508" s="55" t="n">
        <v>1863</v>
      </c>
      <c r="I1508" s="55" t="n">
        <v>1868.65</v>
      </c>
      <c r="J1508" s="55" t="n">
        <v>0</v>
      </c>
      <c r="K1508" s="55" t="n">
        <v>0</v>
      </c>
      <c r="L1508" s="55" t="n">
        <v>1868.65</v>
      </c>
      <c r="M1508" s="55" t="n">
        <v>5.65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133268</t>
        </is>
      </c>
      <c r="B1509" s="52" t="n">
        <v>46021</v>
      </c>
      <c r="C1509" s="36" t="inlineStr">
        <is>
          <t>00023916360</t>
        </is>
      </c>
      <c r="D1509" s="53" t="inlineStr">
        <is>
          <t xml:space="preserve">RESTASIS 0.05% EMULSION </t>
        </is>
      </c>
      <c r="E1509" s="36" t="n">
        <v>60</v>
      </c>
      <c r="F1509" s="54" t="n">
        <v>60</v>
      </c>
      <c r="G1509" s="54" t="n">
        <v>1</v>
      </c>
      <c r="H1509" s="55" t="n">
        <v>621</v>
      </c>
      <c r="I1509" s="55" t="n">
        <v>614.92</v>
      </c>
      <c r="J1509" s="55" t="n">
        <v>0</v>
      </c>
      <c r="K1509" s="55" t="n">
        <v>0</v>
      </c>
      <c r="L1509" s="55" t="n">
        <v>614.92</v>
      </c>
      <c r="M1509" s="55" t="n">
        <v>-6.08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RX8585</t>
        </is>
      </c>
    </row>
    <row r="1510">
      <c r="A1510" s="36" t="inlineStr">
        <is>
          <t>136761</t>
        </is>
      </c>
      <c r="B1510" s="52" t="n">
        <v>46048</v>
      </c>
      <c r="C1510" s="36" t="inlineStr">
        <is>
          <t>00023916360</t>
        </is>
      </c>
      <c r="D1510" s="53" t="inlineStr">
        <is>
          <t xml:space="preserve">RESTASIS 0.05% EMULSION </t>
        </is>
      </c>
      <c r="E1510" s="36" t="n">
        <v>60</v>
      </c>
      <c r="F1510" s="54" t="n">
        <v>60</v>
      </c>
      <c r="G1510" s="54" t="n">
        <v>1</v>
      </c>
      <c r="H1510" s="55" t="n">
        <v>621</v>
      </c>
      <c r="I1510" s="55" t="n">
        <v>614.14</v>
      </c>
      <c r="J1510" s="55" t="n">
        <v>0</v>
      </c>
      <c r="K1510" s="55" t="n">
        <v>0</v>
      </c>
      <c r="L1510" s="55" t="n">
        <v>614.14</v>
      </c>
      <c r="M1510" s="55" t="n">
        <v>-6.86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136761</t>
        </is>
      </c>
      <c r="B1511" s="52" t="n">
        <v>46020</v>
      </c>
      <c r="C1511" s="36" t="inlineStr">
        <is>
          <t>00023916360</t>
        </is>
      </c>
      <c r="D1511" s="53" t="inlineStr">
        <is>
          <t xml:space="preserve">RESTASIS 0.05% EMULSION </t>
        </is>
      </c>
      <c r="E1511" s="36" t="n">
        <v>60</v>
      </c>
      <c r="F1511" s="54" t="n">
        <v>60</v>
      </c>
      <c r="G1511" s="54" t="n">
        <v>1</v>
      </c>
      <c r="H1511" s="55" t="n">
        <v>621</v>
      </c>
      <c r="I1511" s="55" t="n">
        <v>608.72</v>
      </c>
      <c r="J1511" s="55" t="n">
        <v>0</v>
      </c>
      <c r="K1511" s="55" t="n">
        <v>0</v>
      </c>
      <c r="L1511" s="55" t="n">
        <v>608.72</v>
      </c>
      <c r="M1511" s="55" t="n">
        <v>-12.28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133268</t>
        </is>
      </c>
      <c r="B1512" s="52" t="n">
        <v>46049</v>
      </c>
      <c r="C1512" s="36" t="inlineStr">
        <is>
          <t>00023916360</t>
        </is>
      </c>
      <c r="D1512" s="53" t="inlineStr">
        <is>
          <t xml:space="preserve">RESTASIS 0.05% EMULSION </t>
        </is>
      </c>
      <c r="E1512" s="36" t="n">
        <v>60</v>
      </c>
      <c r="F1512" s="54" t="n">
        <v>60</v>
      </c>
      <c r="G1512" s="54" t="n">
        <v>1</v>
      </c>
      <c r="H1512" s="55" t="n">
        <v>621</v>
      </c>
      <c r="I1512" s="55" t="n">
        <v>602.52</v>
      </c>
      <c r="J1512" s="55" t="n">
        <v>0</v>
      </c>
      <c r="K1512" s="55" t="n">
        <v>0</v>
      </c>
      <c r="L1512" s="55" t="n">
        <v>602.52</v>
      </c>
      <c r="M1512" s="55" t="n">
        <v>-18.48</v>
      </c>
      <c r="N1512" s="36" t="inlineStr">
        <is>
          <t>004336</t>
        </is>
      </c>
      <c r="O1512" s="36" t="inlineStr">
        <is>
          <t>CAREMARK</t>
        </is>
      </c>
      <c r="P1512" s="36" t="inlineStr">
        <is>
          <t>MEDDADV</t>
        </is>
      </c>
      <c r="Q1512" s="36" t="inlineStr">
        <is>
          <t>RX8585</t>
        </is>
      </c>
    </row>
    <row r="1513">
      <c r="A1513" s="36" t="inlineStr">
        <is>
          <t>128274</t>
        </is>
      </c>
      <c r="B1513" s="52" t="n">
        <v>46041</v>
      </c>
      <c r="C1513" s="36" t="inlineStr">
        <is>
          <t>00023916360</t>
        </is>
      </c>
      <c r="D1513" s="53" t="inlineStr">
        <is>
          <t xml:space="preserve">RESTASIS 0.05% EMULSION </t>
        </is>
      </c>
      <c r="E1513" s="36" t="n">
        <v>60</v>
      </c>
      <c r="F1513" s="54" t="n">
        <v>180</v>
      </c>
      <c r="G1513" s="54" t="n">
        <v>3</v>
      </c>
      <c r="H1513" s="55" t="n">
        <v>1863</v>
      </c>
      <c r="I1513" s="55" t="n">
        <v>1731.59</v>
      </c>
      <c r="J1513" s="55" t="n">
        <v>0</v>
      </c>
      <c r="K1513" s="55" t="n">
        <v>0</v>
      </c>
      <c r="L1513" s="55" t="n">
        <v>1731.59</v>
      </c>
      <c r="M1513" s="55" t="n">
        <v>-131.41</v>
      </c>
      <c r="N1513" s="36" t="inlineStr">
        <is>
          <t>610014</t>
        </is>
      </c>
      <c r="O1513" s="36" t="inlineStr">
        <is>
          <t>EXPRESS</t>
        </is>
      </c>
      <c r="P1513" s="36" t="inlineStr">
        <is>
          <t>MEDDPRIME</t>
        </is>
      </c>
      <c r="Q1513" s="36" t="inlineStr">
        <is>
          <t>2FFA</t>
        </is>
      </c>
    </row>
    <row r="1514">
      <c r="A1514" s="36" t="inlineStr">
        <is>
          <t>103380</t>
        </is>
      </c>
      <c r="B1514" s="52" t="n">
        <v>46022</v>
      </c>
      <c r="C1514" s="36" t="inlineStr">
        <is>
          <t>00023916360</t>
        </is>
      </c>
      <c r="D1514" s="53" t="inlineStr">
        <is>
          <t xml:space="preserve">RESTASIS 0.05% EMULSION </t>
        </is>
      </c>
      <c r="E1514" s="36" t="n">
        <v>60</v>
      </c>
      <c r="F1514" s="54" t="n">
        <v>180</v>
      </c>
      <c r="G1514" s="54" t="n">
        <v>3</v>
      </c>
      <c r="H1514" s="55" t="n">
        <v>1863</v>
      </c>
      <c r="I1514" s="55" t="n">
        <v>1800.98</v>
      </c>
      <c r="J1514" s="55" t="n">
        <v>0</v>
      </c>
      <c r="K1514" s="55" t="n">
        <v>0</v>
      </c>
      <c r="L1514" s="55" t="n">
        <v>1800.98</v>
      </c>
      <c r="M1514" s="55" t="n">
        <v>-62.02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124222</t>
        </is>
      </c>
      <c r="B1515" s="52" t="n">
        <v>46010</v>
      </c>
      <c r="C1515" s="36" t="inlineStr">
        <is>
          <t>00023916360</t>
        </is>
      </c>
      <c r="D1515" s="53" t="inlineStr">
        <is>
          <t xml:space="preserve">RESTASIS 0.05% EMULSION </t>
        </is>
      </c>
      <c r="E1515" s="36" t="n">
        <v>60</v>
      </c>
      <c r="F1515" s="54" t="n">
        <v>180</v>
      </c>
      <c r="G1515" s="54" t="n">
        <v>3</v>
      </c>
      <c r="H1515" s="55" t="n">
        <v>1863</v>
      </c>
      <c r="I1515" s="55" t="n">
        <v>1800.98</v>
      </c>
      <c r="J1515" s="55" t="n">
        <v>0</v>
      </c>
      <c r="K1515" s="55" t="n">
        <v>0</v>
      </c>
      <c r="L1515" s="55" t="n">
        <v>1800.98</v>
      </c>
      <c r="M1515" s="55" t="n">
        <v>-62.02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126408</t>
        </is>
      </c>
      <c r="B1516" s="52" t="n">
        <v>46025</v>
      </c>
      <c r="C1516" s="36" t="inlineStr">
        <is>
          <t>00023916360</t>
        </is>
      </c>
      <c r="D1516" s="53" t="inlineStr">
        <is>
          <t xml:space="preserve">RESTASIS 0.05% EMULSION </t>
        </is>
      </c>
      <c r="E1516" s="36" t="n">
        <v>60</v>
      </c>
      <c r="F1516" s="54" t="n">
        <v>180</v>
      </c>
      <c r="G1516" s="54" t="n">
        <v>3</v>
      </c>
      <c r="H1516" s="55" t="n">
        <v>1863</v>
      </c>
      <c r="I1516" s="55" t="n">
        <v>1812.6</v>
      </c>
      <c r="J1516" s="55" t="n">
        <v>0</v>
      </c>
      <c r="K1516" s="55" t="n">
        <v>0</v>
      </c>
      <c r="L1516" s="55" t="n">
        <v>1812.6</v>
      </c>
      <c r="M1516" s="55" t="n">
        <v>-50.4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138405</t>
        </is>
      </c>
      <c r="B1517" s="52" t="n">
        <v>46031</v>
      </c>
      <c r="C1517" s="36" t="inlineStr">
        <is>
          <t>00023916360</t>
        </is>
      </c>
      <c r="D1517" s="53" t="inlineStr">
        <is>
          <t xml:space="preserve">RESTASIS 0.05% EMULSION </t>
        </is>
      </c>
      <c r="E1517" s="36" t="n">
        <v>60</v>
      </c>
      <c r="F1517" s="54" t="n">
        <v>180</v>
      </c>
      <c r="G1517" s="54" t="n">
        <v>3</v>
      </c>
      <c r="H1517" s="55" t="n">
        <v>1863</v>
      </c>
      <c r="I1517" s="55" t="n">
        <v>1811</v>
      </c>
      <c r="J1517" s="55" t="n">
        <v>0</v>
      </c>
      <c r="K1517" s="55" t="n">
        <v>1.6</v>
      </c>
      <c r="L1517" s="55" t="n">
        <v>1812.6</v>
      </c>
      <c r="M1517" s="55" t="n">
        <v>-50.4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RX1110</t>
        </is>
      </c>
    </row>
    <row r="1518">
      <c r="A1518" s="36" t="inlineStr">
        <is>
          <t>127919</t>
        </is>
      </c>
      <c r="B1518" s="52" t="n">
        <v>46034</v>
      </c>
      <c r="C1518" s="36" t="inlineStr">
        <is>
          <t>00023916360</t>
        </is>
      </c>
      <c r="D1518" s="53" t="inlineStr">
        <is>
          <t xml:space="preserve">RESTASIS 0.05% EMULSION </t>
        </is>
      </c>
      <c r="E1518" s="36" t="n">
        <v>60</v>
      </c>
      <c r="F1518" s="54" t="n">
        <v>60</v>
      </c>
      <c r="G1518" s="54" t="n">
        <v>1</v>
      </c>
      <c r="H1518" s="55" t="n">
        <v>621</v>
      </c>
      <c r="I1518" s="55" t="n">
        <v>614.14</v>
      </c>
      <c r="J1518" s="55" t="n">
        <v>0</v>
      </c>
      <c r="K1518" s="55" t="n">
        <v>0</v>
      </c>
      <c r="L1518" s="55" t="n">
        <v>614.14</v>
      </c>
      <c r="M1518" s="55" t="n">
        <v>-6.86</v>
      </c>
      <c r="N1518" s="36" t="inlineStr">
        <is>
          <t>004336</t>
        </is>
      </c>
      <c r="O1518" s="36" t="inlineStr">
        <is>
          <t>CAREMARK</t>
        </is>
      </c>
      <c r="P1518" s="36" t="inlineStr">
        <is>
          <t>MEDDADV</t>
        </is>
      </c>
      <c r="Q1518" s="36" t="inlineStr">
        <is>
          <t>RX1110</t>
        </is>
      </c>
    </row>
    <row r="1519">
      <c r="A1519" s="36" t="inlineStr">
        <is>
          <t>135518</t>
        </is>
      </c>
      <c r="B1519" s="52" t="n">
        <v>46009</v>
      </c>
      <c r="C1519" s="36" t="inlineStr">
        <is>
          <t>00023916360</t>
        </is>
      </c>
      <c r="D1519" s="53" t="inlineStr">
        <is>
          <t xml:space="preserve">RESTASIS 0.05% EMULSION </t>
        </is>
      </c>
      <c r="E1519" s="36" t="n">
        <v>60</v>
      </c>
      <c r="F1519" s="54" t="n">
        <v>60</v>
      </c>
      <c r="G1519" s="54" t="n">
        <v>1</v>
      </c>
      <c r="H1519" s="55" t="n">
        <v>621</v>
      </c>
      <c r="I1519" s="55" t="n">
        <v>608.72</v>
      </c>
      <c r="J1519" s="55" t="n">
        <v>0</v>
      </c>
      <c r="K1519" s="55" t="n">
        <v>0</v>
      </c>
      <c r="L1519" s="55" t="n">
        <v>608.72</v>
      </c>
      <c r="M1519" s="55" t="n">
        <v>-12.28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138591</t>
        </is>
      </c>
      <c r="B1520" s="52" t="n">
        <v>46034</v>
      </c>
      <c r="C1520" s="36" t="inlineStr">
        <is>
          <t>00023916360</t>
        </is>
      </c>
      <c r="D1520" s="53" t="inlineStr">
        <is>
          <t xml:space="preserve">RESTASIS 0.05% EMULSION </t>
        </is>
      </c>
      <c r="E1520" s="36" t="n">
        <v>60</v>
      </c>
      <c r="F1520" s="54" t="n">
        <v>60</v>
      </c>
      <c r="G1520" s="54" t="n">
        <v>1</v>
      </c>
      <c r="H1520" s="55" t="n">
        <v>621</v>
      </c>
      <c r="I1520" s="55" t="n">
        <v>576.78</v>
      </c>
      <c r="J1520" s="55" t="n">
        <v>0</v>
      </c>
      <c r="K1520" s="55" t="n">
        <v>47</v>
      </c>
      <c r="L1520" s="55" t="n">
        <v>623.78</v>
      </c>
      <c r="M1520" s="55" t="n">
        <v>2.78</v>
      </c>
      <c r="N1520" s="36" t="inlineStr">
        <is>
          <t>610279</t>
        </is>
      </c>
      <c r="O1520" s="36" t="inlineStr">
        <is>
          <t>OPTUM</t>
        </is>
      </c>
      <c r="P1520" s="36" t="inlineStr">
        <is>
          <t>9999</t>
        </is>
      </c>
      <c r="Q1520" s="36" t="inlineStr">
        <is>
          <t>UNITEDRX</t>
        </is>
      </c>
    </row>
    <row r="1521">
      <c r="A1521" s="36" t="inlineStr">
        <is>
          <t>127850</t>
        </is>
      </c>
      <c r="B1521" s="52" t="n">
        <v>46034</v>
      </c>
      <c r="C1521" s="36" t="inlineStr">
        <is>
          <t>00023916360</t>
        </is>
      </c>
      <c r="D1521" s="53" t="inlineStr">
        <is>
          <t xml:space="preserve">RESTASIS 0.05% EMULSION </t>
        </is>
      </c>
      <c r="E1521" s="36" t="n">
        <v>60</v>
      </c>
      <c r="F1521" s="54" t="n">
        <v>60</v>
      </c>
      <c r="G1521" s="54" t="n">
        <v>1</v>
      </c>
      <c r="H1521" s="55" t="n">
        <v>621</v>
      </c>
      <c r="I1521" s="55" t="n">
        <v>609.4299999999999</v>
      </c>
      <c r="J1521" s="55" t="n">
        <v>0</v>
      </c>
      <c r="K1521" s="55" t="n">
        <v>15</v>
      </c>
      <c r="L1521" s="55" t="n">
        <v>624.4299999999999</v>
      </c>
      <c r="M1521" s="55" t="n">
        <v>3.43</v>
      </c>
      <c r="N1521" s="36" t="inlineStr">
        <is>
          <t>610011</t>
        </is>
      </c>
      <c r="O1521" s="36" t="inlineStr">
        <is>
          <t>OPTUM</t>
        </is>
      </c>
      <c r="P1521" s="36" t="inlineStr">
        <is>
          <t>IRX</t>
        </is>
      </c>
      <c r="Q1521" s="36" t="inlineStr">
        <is>
          <t>UCBF</t>
        </is>
      </c>
    </row>
    <row r="1522">
      <c r="A1522" s="36" t="inlineStr">
        <is>
          <t>102178</t>
        </is>
      </c>
      <c r="B1522" s="52" t="n">
        <v>46008</v>
      </c>
      <c r="C1522" s="36" t="inlineStr">
        <is>
          <t>00023916360</t>
        </is>
      </c>
      <c r="D1522" s="53" t="inlineStr">
        <is>
          <t xml:space="preserve">RESTASIS 0.05% EMULSION </t>
        </is>
      </c>
      <c r="E1522" s="36" t="n">
        <v>60</v>
      </c>
      <c r="F1522" s="54" t="n">
        <v>180</v>
      </c>
      <c r="G1522" s="54" t="n">
        <v>3</v>
      </c>
      <c r="H1522" s="55" t="n">
        <v>1863</v>
      </c>
      <c r="I1522" s="55" t="n">
        <v>1800.98</v>
      </c>
      <c r="J1522" s="55" t="n">
        <v>0</v>
      </c>
      <c r="K1522" s="55" t="n">
        <v>0</v>
      </c>
      <c r="L1522" s="55" t="n">
        <v>1800.98</v>
      </c>
      <c r="M1522" s="55" t="n">
        <v>-62.02</v>
      </c>
      <c r="N1522" s="36" t="inlineStr">
        <is>
          <t>004336</t>
        </is>
      </c>
      <c r="O1522" s="36" t="inlineStr">
        <is>
          <t>CAREMARK</t>
        </is>
      </c>
      <c r="P1522" s="36" t="inlineStr">
        <is>
          <t>MEDDADV</t>
        </is>
      </c>
      <c r="Q1522" s="36" t="inlineStr">
        <is>
          <t>RX1110</t>
        </is>
      </c>
    </row>
    <row r="1523">
      <c r="A1523" s="36" t="inlineStr">
        <is>
          <t>129136</t>
        </is>
      </c>
      <c r="B1523" s="52" t="n">
        <v>46070</v>
      </c>
      <c r="C1523" s="36" t="inlineStr">
        <is>
          <t>00023530105</t>
        </is>
      </c>
      <c r="D1523" s="53" t="inlineStr">
        <is>
          <t>RESTASIS MULTIDOSE 0.05 % OPHTHALMIC EMULSION</t>
        </is>
      </c>
      <c r="E1523" s="36" t="n">
        <v>5.5</v>
      </c>
      <c r="F1523" s="54" t="n">
        <v>5.5</v>
      </c>
      <c r="G1523" s="54" t="n">
        <v>1</v>
      </c>
      <c r="H1523" s="55" t="n">
        <v>621</v>
      </c>
      <c r="I1523" s="55" t="n">
        <v>609.24</v>
      </c>
      <c r="J1523" s="55" t="n">
        <v>0</v>
      </c>
      <c r="K1523" s="55" t="n">
        <v>4.9</v>
      </c>
      <c r="L1523" s="55" t="n">
        <v>614.14</v>
      </c>
      <c r="M1523" s="55" t="n">
        <v>-6.86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129136</t>
        </is>
      </c>
      <c r="B1524" s="52" t="n">
        <v>46014</v>
      </c>
      <c r="C1524" s="36" t="inlineStr">
        <is>
          <t>00023530105</t>
        </is>
      </c>
      <c r="D1524" s="53" t="inlineStr">
        <is>
          <t>RESTASIS MULTIDOSE 0.05 % OPHTHALMIC EMULSION</t>
        </is>
      </c>
      <c r="E1524" s="36" t="n">
        <v>5.5</v>
      </c>
      <c r="F1524" s="54" t="n">
        <v>5.5</v>
      </c>
      <c r="G1524" s="54" t="n">
        <v>1</v>
      </c>
      <c r="H1524" s="55" t="n">
        <v>621</v>
      </c>
      <c r="I1524" s="55" t="n">
        <v>608.72</v>
      </c>
      <c r="J1524" s="55" t="n">
        <v>0</v>
      </c>
      <c r="K1524" s="55" t="n">
        <v>0</v>
      </c>
      <c r="L1524" s="55" t="n">
        <v>608.72</v>
      </c>
      <c r="M1524" s="55" t="n">
        <v>-12.28</v>
      </c>
      <c r="N1524" s="36" t="inlineStr">
        <is>
          <t>004336</t>
        </is>
      </c>
      <c r="O1524" s="36" t="inlineStr">
        <is>
          <t>CAREMARK</t>
        </is>
      </c>
      <c r="P1524" s="36" t="inlineStr">
        <is>
          <t>MEDDADV</t>
        </is>
      </c>
      <c r="Q1524" s="36" t="inlineStr">
        <is>
          <t>RX1110</t>
        </is>
      </c>
    </row>
    <row r="1525">
      <c r="A1525" s="36" t="inlineStr">
        <is>
          <t>143242</t>
        </is>
      </c>
      <c r="B1525" s="52" t="n">
        <v>46066</v>
      </c>
      <c r="C1525" s="36" t="inlineStr">
        <is>
          <t>00023530105</t>
        </is>
      </c>
      <c r="D1525" s="53" t="inlineStr">
        <is>
          <t>RESTASIS MULTIDOSE 0.05 % OPHTHALMIC EMULSION</t>
        </is>
      </c>
      <c r="E1525" s="36" t="n">
        <v>5.5</v>
      </c>
      <c r="F1525" s="54" t="n">
        <v>5.5</v>
      </c>
      <c r="G1525" s="54" t="n">
        <v>1</v>
      </c>
      <c r="H1525" s="55" t="n">
        <v>621</v>
      </c>
      <c r="I1525" s="55" t="n">
        <v>614.14</v>
      </c>
      <c r="J1525" s="55" t="n">
        <v>0</v>
      </c>
      <c r="K1525" s="55" t="n">
        <v>0</v>
      </c>
      <c r="L1525" s="55" t="n">
        <v>614.14</v>
      </c>
      <c r="M1525" s="55" t="n">
        <v>-6.86</v>
      </c>
      <c r="N1525" s="36" t="inlineStr">
        <is>
          <t>004336</t>
        </is>
      </c>
      <c r="O1525" s="36" t="inlineStr">
        <is>
          <t>CAREMARK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129136</t>
        </is>
      </c>
      <c r="B1526" s="52" t="n">
        <v>46042</v>
      </c>
      <c r="C1526" s="36" t="inlineStr">
        <is>
          <t>00023530105</t>
        </is>
      </c>
      <c r="D1526" s="53" t="inlineStr">
        <is>
          <t>RESTASIS MULTIDOSE 0.05 % OPHTHALMIC EMULSION</t>
        </is>
      </c>
      <c r="E1526" s="36" t="n">
        <v>5.5</v>
      </c>
      <c r="F1526" s="54" t="n">
        <v>5.5</v>
      </c>
      <c r="G1526" s="54" t="n">
        <v>1</v>
      </c>
      <c r="H1526" s="55" t="n">
        <v>621</v>
      </c>
      <c r="I1526" s="55" t="n">
        <v>609.24</v>
      </c>
      <c r="J1526" s="55" t="n">
        <v>0</v>
      </c>
      <c r="K1526" s="55" t="n">
        <v>4.9</v>
      </c>
      <c r="L1526" s="55" t="n">
        <v>614.14</v>
      </c>
      <c r="M1526" s="55" t="n">
        <v>-6.86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142974</t>
        </is>
      </c>
      <c r="B1527" s="52" t="n">
        <v>46065</v>
      </c>
      <c r="C1527" s="36" t="inlineStr">
        <is>
          <t>59148003613</t>
        </is>
      </c>
      <c r="D1527" s="53" t="inlineStr">
        <is>
          <t>REXULTI 0.5 MG ORAL TABLET</t>
        </is>
      </c>
      <c r="E1527" s="36" t="n">
        <v>30</v>
      </c>
      <c r="F1527" s="54" t="n">
        <v>30</v>
      </c>
      <c r="G1527" s="54" t="n">
        <v>1</v>
      </c>
      <c r="H1527" s="55" t="n">
        <v>1513</v>
      </c>
      <c r="I1527" s="55" t="n">
        <v>1475.41</v>
      </c>
      <c r="J1527" s="55" t="n">
        <v>0</v>
      </c>
      <c r="K1527" s="55" t="n">
        <v>4.9</v>
      </c>
      <c r="L1527" s="55" t="n">
        <v>1480.31</v>
      </c>
      <c r="M1527" s="55" t="n">
        <v>-32.69</v>
      </c>
      <c r="N1527" s="36" t="inlineStr">
        <is>
          <t>004336</t>
        </is>
      </c>
      <c r="O1527" s="36" t="inlineStr">
        <is>
          <t>CAREMARK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140262</t>
        </is>
      </c>
      <c r="B1528" s="52" t="n">
        <v>46045</v>
      </c>
      <c r="C1528" s="36" t="inlineStr">
        <is>
          <t>59148003713</t>
        </is>
      </c>
      <c r="D1528" s="53" t="inlineStr">
        <is>
          <t>REXULTI 1MG TABLET</t>
        </is>
      </c>
      <c r="E1528" s="36" t="n">
        <v>30</v>
      </c>
      <c r="F1528" s="54" t="n">
        <v>30</v>
      </c>
      <c r="G1528" s="54" t="n">
        <v>1</v>
      </c>
      <c r="H1528" s="55" t="n">
        <v>1501</v>
      </c>
      <c r="I1528" s="55" t="n">
        <v>1498.75</v>
      </c>
      <c r="J1528" s="55" t="n">
        <v>0</v>
      </c>
      <c r="K1528" s="55" t="n">
        <v>0</v>
      </c>
      <c r="L1528" s="55" t="n">
        <v>1498.75</v>
      </c>
      <c r="M1528" s="55" t="n">
        <v>-2.25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140262</t>
        </is>
      </c>
      <c r="B1529" s="52" t="n">
        <v>46073</v>
      </c>
      <c r="C1529" s="36" t="inlineStr">
        <is>
          <t>59148003713</t>
        </is>
      </c>
      <c r="D1529" s="53" t="inlineStr">
        <is>
          <t>REXULTI 1MG TABLET</t>
        </is>
      </c>
      <c r="E1529" s="36" t="n">
        <v>30</v>
      </c>
      <c r="F1529" s="54" t="n">
        <v>30</v>
      </c>
      <c r="G1529" s="54" t="n">
        <v>1</v>
      </c>
      <c r="H1529" s="55" t="n">
        <v>1513</v>
      </c>
      <c r="I1529" s="55" t="n">
        <v>1498.75</v>
      </c>
      <c r="J1529" s="55" t="n">
        <v>0</v>
      </c>
      <c r="K1529" s="55" t="n">
        <v>0</v>
      </c>
      <c r="L1529" s="55" t="n">
        <v>1498.75</v>
      </c>
      <c r="M1529" s="55" t="n">
        <v>-14.25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133803</t>
        </is>
      </c>
      <c r="B1530" s="52" t="n">
        <v>45995</v>
      </c>
      <c r="C1530" s="36" t="inlineStr">
        <is>
          <t>70727049725</t>
        </is>
      </c>
      <c r="D1530" s="53" t="inlineStr">
        <is>
          <t>RHOPRESSA 0.02 % OPHTHALMIC SOLUTION</t>
        </is>
      </c>
      <c r="E1530" s="36" t="n">
        <v>2.5</v>
      </c>
      <c r="F1530" s="54" t="n">
        <v>7.5</v>
      </c>
      <c r="G1530" s="54" t="n">
        <v>3</v>
      </c>
      <c r="H1530" s="55" t="n">
        <v>0</v>
      </c>
      <c r="I1530" s="55" t="n">
        <v>945.3200000000001</v>
      </c>
      <c r="J1530" s="55" t="n">
        <v>0</v>
      </c>
      <c r="K1530" s="55" t="n">
        <v>0</v>
      </c>
      <c r="L1530" s="55" t="n">
        <v>945.3200000000001</v>
      </c>
      <c r="M1530" s="55" t="n">
        <v>0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143487</t>
        </is>
      </c>
      <c r="B1531" s="52" t="n">
        <v>46069</v>
      </c>
      <c r="C1531" s="36" t="inlineStr">
        <is>
          <t>70727049725</t>
        </is>
      </c>
      <c r="D1531" s="53" t="inlineStr">
        <is>
          <t>RHOPRESSA 0.02 % OPHTHALMIC SOLUTION</t>
        </is>
      </c>
      <c r="E1531" s="36" t="n">
        <v>2.5</v>
      </c>
      <c r="F1531" s="54" t="n">
        <v>7.5</v>
      </c>
      <c r="G1531" s="54" t="n">
        <v>3</v>
      </c>
      <c r="H1531" s="55" t="n">
        <v>0</v>
      </c>
      <c r="I1531" s="55" t="n">
        <v>982.38</v>
      </c>
      <c r="J1531" s="55" t="n">
        <v>0</v>
      </c>
      <c r="K1531" s="55" t="n">
        <v>0</v>
      </c>
      <c r="L1531" s="55" t="n">
        <v>982.38</v>
      </c>
      <c r="M1531" s="55" t="n">
        <v>0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RX1110</t>
        </is>
      </c>
    </row>
    <row r="1532">
      <c r="A1532" s="36" t="inlineStr">
        <is>
          <t>131878</t>
        </is>
      </c>
      <c r="B1532" s="52" t="n">
        <v>46052</v>
      </c>
      <c r="C1532" s="36" t="inlineStr">
        <is>
          <t>70727052925</t>
        </is>
      </c>
      <c r="D1532" s="53" t="inlineStr">
        <is>
          <t>ROCKLATAN 0.02-0.005% SOLUTION</t>
        </is>
      </c>
      <c r="E1532" s="36" t="n">
        <v>2.5</v>
      </c>
      <c r="F1532" s="54" t="n">
        <v>7.5</v>
      </c>
      <c r="G1532" s="54" t="n">
        <v>3</v>
      </c>
      <c r="H1532" s="55" t="n">
        <v>1053</v>
      </c>
      <c r="I1532" s="55" t="n">
        <v>1034.6</v>
      </c>
      <c r="J1532" s="55" t="n">
        <v>0</v>
      </c>
      <c r="K1532" s="55" t="n">
        <v>4.9</v>
      </c>
      <c r="L1532" s="55" t="n">
        <v>1039.5</v>
      </c>
      <c r="M1532" s="55" t="n">
        <v>-13.5</v>
      </c>
      <c r="N1532" s="36" t="inlineStr">
        <is>
          <t>004336</t>
        </is>
      </c>
      <c r="O1532" s="36" t="inlineStr">
        <is>
          <t>CAREMARK</t>
        </is>
      </c>
      <c r="P1532" s="36" t="inlineStr">
        <is>
          <t>MEDDADV</t>
        </is>
      </c>
      <c r="Q1532" s="36" t="inlineStr">
        <is>
          <t>RX1110</t>
        </is>
      </c>
    </row>
    <row r="1533">
      <c r="A1533" s="36" t="inlineStr">
        <is>
          <t>138607</t>
        </is>
      </c>
      <c r="B1533" s="52" t="n">
        <v>46034</v>
      </c>
      <c r="C1533" s="36" t="inlineStr">
        <is>
          <t>70727052925</t>
        </is>
      </c>
      <c r="D1533" s="53" t="inlineStr">
        <is>
          <t>ROCKLATAN 0.02-0.005% SOLUTION</t>
        </is>
      </c>
      <c r="E1533" s="36" t="n">
        <v>2.5</v>
      </c>
      <c r="F1533" s="54" t="n">
        <v>2.5</v>
      </c>
      <c r="G1533" s="54" t="n">
        <v>1</v>
      </c>
      <c r="H1533" s="55" t="n">
        <v>351</v>
      </c>
      <c r="I1533" s="55" t="n">
        <v>333.69</v>
      </c>
      <c r="J1533" s="55" t="n">
        <v>0</v>
      </c>
      <c r="K1533" s="55" t="n">
        <v>12.65</v>
      </c>
      <c r="L1533" s="55" t="n">
        <v>346.34</v>
      </c>
      <c r="M1533" s="55" t="n">
        <v>-4.66</v>
      </c>
      <c r="N1533" s="36" t="inlineStr">
        <is>
          <t>004336</t>
        </is>
      </c>
      <c r="O1533" s="36" t="inlineStr">
        <is>
          <t>CAREMARK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142003</t>
        </is>
      </c>
      <c r="B1534" s="52" t="n">
        <v>46058</v>
      </c>
      <c r="C1534" s="36" t="inlineStr">
        <is>
          <t>70727052925</t>
        </is>
      </c>
      <c r="D1534" s="53" t="inlineStr">
        <is>
          <t>ROCKLATAN 0.02-0.005% SOLUTION</t>
        </is>
      </c>
      <c r="E1534" s="36" t="n">
        <v>2.5</v>
      </c>
      <c r="F1534" s="54" t="n">
        <v>2.5</v>
      </c>
      <c r="G1534" s="54" t="n">
        <v>1</v>
      </c>
      <c r="H1534" s="55" t="n">
        <v>354</v>
      </c>
      <c r="I1534" s="55" t="n">
        <v>333.69</v>
      </c>
      <c r="J1534" s="55" t="n">
        <v>0</v>
      </c>
      <c r="K1534" s="55" t="n">
        <v>12.65</v>
      </c>
      <c r="L1534" s="55" t="n">
        <v>346.34</v>
      </c>
      <c r="M1534" s="55" t="n">
        <v>-7.66</v>
      </c>
      <c r="N1534" s="36" t="inlineStr">
        <is>
          <t>004336</t>
        </is>
      </c>
      <c r="O1534" s="36" t="inlineStr">
        <is>
          <t>CAREMARK</t>
        </is>
      </c>
      <c r="P1534" s="36" t="inlineStr">
        <is>
          <t>MEDDADV</t>
        </is>
      </c>
      <c r="Q1534" s="36" t="inlineStr">
        <is>
          <t>RX1110</t>
        </is>
      </c>
    </row>
    <row r="1535">
      <c r="A1535" s="36" t="inlineStr">
        <is>
          <t>134564</t>
        </is>
      </c>
      <c r="B1535" s="52" t="n">
        <v>46001</v>
      </c>
      <c r="C1535" s="36" t="inlineStr">
        <is>
          <t>64764080530</t>
        </is>
      </c>
      <c r="D1535" s="53" t="inlineStr">
        <is>
          <t>ROZEREM 8MG TABLET</t>
        </is>
      </c>
      <c r="E1535" s="36" t="n">
        <v>30</v>
      </c>
      <c r="F1535" s="54" t="n">
        <v>30</v>
      </c>
      <c r="G1535" s="54" t="n">
        <v>1</v>
      </c>
      <c r="H1535" s="55" t="n">
        <v>374</v>
      </c>
      <c r="I1535" s="55" t="n">
        <v>382.44</v>
      </c>
      <c r="J1535" s="55" t="n">
        <v>0</v>
      </c>
      <c r="K1535" s="55" t="n">
        <v>0</v>
      </c>
      <c r="L1535" s="55" t="n">
        <v>382.44</v>
      </c>
      <c r="M1535" s="55" t="n">
        <v>8.44</v>
      </c>
      <c r="N1535" s="36" t="inlineStr">
        <is>
          <t>004740</t>
        </is>
      </c>
      <c r="O1535" s="36" t="inlineStr">
        <is>
          <t>NYM</t>
        </is>
      </c>
      <c r="P1535" s="36" t="inlineStr">
        <is>
          <t>9314DA31</t>
        </is>
      </c>
      <c r="Q1535" s="36" t="n">
        <v/>
      </c>
    </row>
    <row r="1536">
      <c r="A1536" s="36" t="inlineStr">
        <is>
          <t>137813</t>
        </is>
      </c>
      <c r="B1536" s="52" t="n">
        <v>46056</v>
      </c>
      <c r="C1536" s="36" t="inlineStr">
        <is>
          <t>64764080530</t>
        </is>
      </c>
      <c r="D1536" s="53" t="inlineStr">
        <is>
          <t>ROZEREM 8MG TABLET</t>
        </is>
      </c>
      <c r="E1536" s="36" t="n">
        <v>30</v>
      </c>
      <c r="F1536" s="54" t="n">
        <v>30</v>
      </c>
      <c r="G1536" s="54" t="n">
        <v>1</v>
      </c>
      <c r="H1536" s="55" t="n">
        <v>378</v>
      </c>
      <c r="I1536" s="55" t="n">
        <v>383.05</v>
      </c>
      <c r="J1536" s="55" t="n">
        <v>0</v>
      </c>
      <c r="K1536" s="55" t="n">
        <v>0</v>
      </c>
      <c r="L1536" s="55" t="n">
        <v>383.05</v>
      </c>
      <c r="M1536" s="55" t="n">
        <v>5.05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137813</t>
        </is>
      </c>
      <c r="B1537" s="52" t="n">
        <v>46028</v>
      </c>
      <c r="C1537" s="36" t="inlineStr">
        <is>
          <t>64764080530</t>
        </is>
      </c>
      <c r="D1537" s="53" t="inlineStr">
        <is>
          <t>ROZEREM 8MG TABLET</t>
        </is>
      </c>
      <c r="E1537" s="36" t="n">
        <v>30</v>
      </c>
      <c r="F1537" s="54" t="n">
        <v>30</v>
      </c>
      <c r="G1537" s="54" t="n">
        <v>1</v>
      </c>
      <c r="H1537" s="55" t="n">
        <v>374</v>
      </c>
      <c r="I1537" s="55" t="n">
        <v>382.61</v>
      </c>
      <c r="J1537" s="55" t="n">
        <v>0</v>
      </c>
      <c r="K1537" s="55" t="n">
        <v>0</v>
      </c>
      <c r="L1537" s="55" t="n">
        <v>382.61</v>
      </c>
      <c r="M1537" s="55" t="n">
        <v>8.609999999999999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132783</t>
        </is>
      </c>
      <c r="B1538" s="52" t="n">
        <v>46074</v>
      </c>
      <c r="C1538" s="36" t="inlineStr">
        <is>
          <t>00169431430</t>
        </is>
      </c>
      <c r="D1538" s="53" t="inlineStr">
        <is>
          <t>RYBELSUS 14MG TABLET</t>
        </is>
      </c>
      <c r="E1538" s="36" t="n">
        <v>30</v>
      </c>
      <c r="F1538" s="54" t="n">
        <v>90</v>
      </c>
      <c r="G1538" s="54" t="n">
        <v>3</v>
      </c>
      <c r="H1538" s="55" t="n">
        <v>2997</v>
      </c>
      <c r="I1538" s="55" t="n">
        <v>2884.9</v>
      </c>
      <c r="J1538" s="55" t="n">
        <v>0</v>
      </c>
      <c r="K1538" s="55" t="n">
        <v>0</v>
      </c>
      <c r="L1538" s="55" t="n">
        <v>2884.9</v>
      </c>
      <c r="M1538" s="55" t="n">
        <v>-112.1</v>
      </c>
      <c r="N1538" s="36" t="inlineStr">
        <is>
          <t>004336</t>
        </is>
      </c>
      <c r="O1538" s="36" t="inlineStr">
        <is>
          <t>CAREMARK</t>
        </is>
      </c>
      <c r="P1538" s="36" t="inlineStr">
        <is>
          <t>MEDDADV</t>
        </is>
      </c>
      <c r="Q1538" s="36" t="inlineStr">
        <is>
          <t>RX1110</t>
        </is>
      </c>
    </row>
    <row r="1539">
      <c r="A1539" s="36" t="inlineStr">
        <is>
          <t>136339</t>
        </is>
      </c>
      <c r="B1539" s="52" t="n">
        <v>46014</v>
      </c>
      <c r="C1539" s="36" t="inlineStr">
        <is>
          <t>00169431430</t>
        </is>
      </c>
      <c r="D1539" s="53" t="inlineStr">
        <is>
          <t>RYBELSUS 14MG TABLET</t>
        </is>
      </c>
      <c r="E1539" s="36" t="n">
        <v>30</v>
      </c>
      <c r="F1539" s="54" t="n">
        <v>90</v>
      </c>
      <c r="G1539" s="54" t="n">
        <v>3</v>
      </c>
      <c r="H1539" s="55" t="n">
        <v>2880</v>
      </c>
      <c r="I1539" s="55" t="n">
        <v>2782.92</v>
      </c>
      <c r="J1539" s="55" t="n">
        <v>0</v>
      </c>
      <c r="K1539" s="55" t="n">
        <v>0</v>
      </c>
      <c r="L1539" s="55" t="n">
        <v>2782.92</v>
      </c>
      <c r="M1539" s="55" t="n">
        <v>-97.08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110220</t>
        </is>
      </c>
      <c r="B1540" s="52" t="n">
        <v>46034</v>
      </c>
      <c r="C1540" s="36" t="inlineStr">
        <is>
          <t>00169431430</t>
        </is>
      </c>
      <c r="D1540" s="53" t="inlineStr">
        <is>
          <t>RYBELSUS 14MG TABLET</t>
        </is>
      </c>
      <c r="E1540" s="36" t="n">
        <v>30</v>
      </c>
      <c r="F1540" s="54" t="n">
        <v>30</v>
      </c>
      <c r="G1540" s="54" t="n">
        <v>1</v>
      </c>
      <c r="H1540" s="55" t="n">
        <v>992</v>
      </c>
      <c r="I1540" s="55" t="n">
        <v>968.89</v>
      </c>
      <c r="J1540" s="55" t="n">
        <v>0</v>
      </c>
      <c r="K1540" s="55" t="n">
        <v>4.9</v>
      </c>
      <c r="L1540" s="55" t="n">
        <v>973.79</v>
      </c>
      <c r="M1540" s="55" t="n">
        <v>-18.21</v>
      </c>
      <c r="N1540" s="36" t="inlineStr">
        <is>
          <t>610502</t>
        </is>
      </c>
      <c r="O1540" s="36" t="inlineStr">
        <is>
          <t>CAREMARK</t>
        </is>
      </c>
      <c r="P1540" s="36" t="inlineStr">
        <is>
          <t>MEDDAET</t>
        </is>
      </c>
      <c r="Q1540" s="36" t="inlineStr">
        <is>
          <t>RXAETD</t>
        </is>
      </c>
    </row>
    <row r="1541">
      <c r="A1541" s="36" t="inlineStr">
        <is>
          <t>131554</t>
        </is>
      </c>
      <c r="B1541" s="52" t="n">
        <v>46006</v>
      </c>
      <c r="C1541" s="36" t="inlineStr">
        <is>
          <t>00169431430</t>
        </is>
      </c>
      <c r="D1541" s="53" t="inlineStr">
        <is>
          <t>RYBELSUS 14MG TABLET</t>
        </is>
      </c>
      <c r="E1541" s="36" t="n">
        <v>30</v>
      </c>
      <c r="F1541" s="54" t="n">
        <v>30</v>
      </c>
      <c r="G1541" s="54" t="n">
        <v>1</v>
      </c>
      <c r="H1541" s="55" t="n">
        <v>960</v>
      </c>
      <c r="I1541" s="55" t="n">
        <v>882.26</v>
      </c>
      <c r="J1541" s="55" t="n">
        <v>0</v>
      </c>
      <c r="K1541" s="55" t="n">
        <v>0</v>
      </c>
      <c r="L1541" s="55" t="n">
        <v>882.26</v>
      </c>
      <c r="M1541" s="55" t="n">
        <v>-77.73999999999999</v>
      </c>
      <c r="N1541" s="36" t="inlineStr">
        <is>
          <t>017010</t>
        </is>
      </c>
      <c r="O1541" s="36" t="inlineStr">
        <is>
          <t>EXPRESS</t>
        </is>
      </c>
      <c r="P1541" s="36" t="inlineStr">
        <is>
          <t>CIMCARE</t>
        </is>
      </c>
      <c r="Q1541" s="36" t="inlineStr">
        <is>
          <t>CIGPDPRX</t>
        </is>
      </c>
    </row>
    <row r="1542">
      <c r="A1542" s="36" t="inlineStr">
        <is>
          <t>119453</t>
        </is>
      </c>
      <c r="B1542" s="52" t="n">
        <v>46064</v>
      </c>
      <c r="C1542" s="36" t="inlineStr">
        <is>
          <t>00169431430</t>
        </is>
      </c>
      <c r="D1542" s="53" t="inlineStr">
        <is>
          <t>RYBELSUS 14MG TABLET</t>
        </is>
      </c>
      <c r="E1542" s="36" t="n">
        <v>30</v>
      </c>
      <c r="F1542" s="54" t="n">
        <v>90</v>
      </c>
      <c r="G1542" s="54" t="n">
        <v>3</v>
      </c>
      <c r="H1542" s="55" t="n">
        <v>2997</v>
      </c>
      <c r="I1542" s="55" t="n">
        <v>2750.88</v>
      </c>
      <c r="J1542" s="55" t="n">
        <v>0</v>
      </c>
      <c r="K1542" s="55" t="n">
        <v>4.9</v>
      </c>
      <c r="L1542" s="55" t="n">
        <v>2755.78</v>
      </c>
      <c r="M1542" s="55" t="n">
        <v>-241.22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110220</t>
        </is>
      </c>
      <c r="B1543" s="52" t="n">
        <v>46062</v>
      </c>
      <c r="C1543" s="36" t="inlineStr">
        <is>
          <t>00169431430</t>
        </is>
      </c>
      <c r="D1543" s="53" t="inlineStr">
        <is>
          <t>RYBELSUS 14MG TABLET</t>
        </is>
      </c>
      <c r="E1543" s="36" t="n">
        <v>30</v>
      </c>
      <c r="F1543" s="54" t="n">
        <v>30</v>
      </c>
      <c r="G1543" s="54" t="n">
        <v>1</v>
      </c>
      <c r="H1543" s="55" t="n">
        <v>999</v>
      </c>
      <c r="I1543" s="55" t="n">
        <v>968.89</v>
      </c>
      <c r="J1543" s="55" t="n">
        <v>0</v>
      </c>
      <c r="K1543" s="55" t="n">
        <v>4.9</v>
      </c>
      <c r="L1543" s="55" t="n">
        <v>973.79</v>
      </c>
      <c r="M1543" s="55" t="n">
        <v>-25.21</v>
      </c>
      <c r="N1543" s="36" t="inlineStr">
        <is>
          <t>610502</t>
        </is>
      </c>
      <c r="O1543" s="36" t="inlineStr">
        <is>
          <t>CAREMARK</t>
        </is>
      </c>
      <c r="P1543" s="36" t="inlineStr">
        <is>
          <t>MEDDAET</t>
        </is>
      </c>
      <c r="Q1543" s="36" t="inlineStr">
        <is>
          <t>RXAETD</t>
        </is>
      </c>
    </row>
    <row r="1544">
      <c r="A1544" s="36" t="inlineStr">
        <is>
          <t>112421</t>
        </is>
      </c>
      <c r="B1544" s="52" t="n">
        <v>46013</v>
      </c>
      <c r="C1544" s="36" t="inlineStr">
        <is>
          <t>00169431430</t>
        </is>
      </c>
      <c r="D1544" s="53" t="inlineStr">
        <is>
          <t>RYBELSUS 14MG TABLET</t>
        </is>
      </c>
      <c r="E1544" s="36" t="n">
        <v>30</v>
      </c>
      <c r="F1544" s="54" t="n">
        <v>90</v>
      </c>
      <c r="G1544" s="54" t="n">
        <v>3</v>
      </c>
      <c r="H1544" s="55" t="n">
        <v>2880</v>
      </c>
      <c r="I1544" s="55" t="n">
        <v>2782.92</v>
      </c>
      <c r="J1544" s="55" t="n">
        <v>0</v>
      </c>
      <c r="K1544" s="55" t="n">
        <v>0</v>
      </c>
      <c r="L1544" s="55" t="n">
        <v>2782.92</v>
      </c>
      <c r="M1544" s="55" t="n">
        <v>-97.08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134213</t>
        </is>
      </c>
      <c r="B1545" s="52" t="n">
        <v>45999</v>
      </c>
      <c r="C1545" s="36" t="inlineStr">
        <is>
          <t>00169431430</t>
        </is>
      </c>
      <c r="D1545" s="53" t="inlineStr">
        <is>
          <t>RYBELSUS 14MG TABLET</t>
        </is>
      </c>
      <c r="E1545" s="36" t="n">
        <v>30</v>
      </c>
      <c r="F1545" s="54" t="n">
        <v>90</v>
      </c>
      <c r="G1545" s="54" t="n">
        <v>3</v>
      </c>
      <c r="H1545" s="55" t="n">
        <v>2880</v>
      </c>
      <c r="I1545" s="55" t="n">
        <v>3001.28</v>
      </c>
      <c r="J1545" s="55" t="n">
        <v>0</v>
      </c>
      <c r="K1545" s="55" t="n">
        <v>0</v>
      </c>
      <c r="L1545" s="55" t="n">
        <v>3001.28</v>
      </c>
      <c r="M1545" s="55" t="n">
        <v>121.28</v>
      </c>
      <c r="N1545" s="36" t="inlineStr">
        <is>
          <t>610097</t>
        </is>
      </c>
      <c r="O1545" s="36" t="inlineStr">
        <is>
          <t>OPTUM</t>
        </is>
      </c>
      <c r="P1545" s="36" t="inlineStr">
        <is>
          <t>9999</t>
        </is>
      </c>
      <c r="Q1545" s="36" t="n">
        <v/>
      </c>
    </row>
    <row r="1546">
      <c r="A1546" s="36" t="inlineStr">
        <is>
          <t>134213</t>
        </is>
      </c>
      <c r="B1546" s="52" t="n">
        <v>46030</v>
      </c>
      <c r="C1546" s="36" t="inlineStr">
        <is>
          <t>00169431430</t>
        </is>
      </c>
      <c r="D1546" s="53" t="inlineStr">
        <is>
          <t>RYBELSUS 14MG TABLET</t>
        </is>
      </c>
      <c r="E1546" s="36" t="n">
        <v>30</v>
      </c>
      <c r="F1546" s="54" t="n">
        <v>90</v>
      </c>
      <c r="G1546" s="54" t="n">
        <v>3</v>
      </c>
      <c r="H1546" s="55" t="n">
        <v>2976</v>
      </c>
      <c r="I1546" s="55" t="n">
        <v>2755.78</v>
      </c>
      <c r="J1546" s="55" t="n">
        <v>0</v>
      </c>
      <c r="K1546" s="55" t="n">
        <v>0</v>
      </c>
      <c r="L1546" s="55" t="n">
        <v>2755.78</v>
      </c>
      <c r="M1546" s="55" t="n">
        <v>-220.22</v>
      </c>
      <c r="N1546" s="36" t="inlineStr">
        <is>
          <t>610014</t>
        </is>
      </c>
      <c r="O1546" s="36" t="inlineStr">
        <is>
          <t>EXPRESS</t>
        </is>
      </c>
      <c r="P1546" s="36" t="inlineStr">
        <is>
          <t>MEDDPRIME</t>
        </is>
      </c>
      <c r="Q1546" s="36" t="inlineStr">
        <is>
          <t>2FFA</t>
        </is>
      </c>
    </row>
    <row r="1547">
      <c r="A1547" s="36" t="inlineStr">
        <is>
          <t>131554</t>
        </is>
      </c>
      <c r="B1547" s="52" t="n">
        <v>46034</v>
      </c>
      <c r="C1547" s="36" t="inlineStr">
        <is>
          <t>00169431430</t>
        </is>
      </c>
      <c r="D1547" s="53" t="inlineStr">
        <is>
          <t>RYBELSUS 14MG TABLET</t>
        </is>
      </c>
      <c r="E1547" s="36" t="n">
        <v>30</v>
      </c>
      <c r="F1547" s="54" t="n">
        <v>30</v>
      </c>
      <c r="G1547" s="54" t="n">
        <v>1</v>
      </c>
      <c r="H1547" s="55" t="n">
        <v>992</v>
      </c>
      <c r="I1547" s="55" t="n">
        <v>908.73</v>
      </c>
      <c r="J1547" s="55" t="n">
        <v>0</v>
      </c>
      <c r="K1547" s="55" t="n">
        <v>0</v>
      </c>
      <c r="L1547" s="55" t="n">
        <v>908.73</v>
      </c>
      <c r="M1547" s="55" t="n">
        <v>-83.27</v>
      </c>
      <c r="N1547" s="36" t="inlineStr">
        <is>
          <t>017010</t>
        </is>
      </c>
      <c r="O1547" s="36" t="inlineStr">
        <is>
          <t>EXPRESS</t>
        </is>
      </c>
      <c r="P1547" s="36" t="inlineStr">
        <is>
          <t>CIMCARE</t>
        </is>
      </c>
      <c r="Q1547" s="36" t="inlineStr">
        <is>
          <t>CIGPDPRX</t>
        </is>
      </c>
    </row>
    <row r="1548">
      <c r="A1548" s="36" t="inlineStr">
        <is>
          <t>131554</t>
        </is>
      </c>
      <c r="B1548" s="52" t="n">
        <v>46062</v>
      </c>
      <c r="C1548" s="36" t="inlineStr">
        <is>
          <t>00169431430</t>
        </is>
      </c>
      <c r="D1548" s="53" t="inlineStr">
        <is>
          <t>RYBELSUS 14MG TABLET</t>
        </is>
      </c>
      <c r="E1548" s="36" t="n">
        <v>30</v>
      </c>
      <c r="F1548" s="54" t="n">
        <v>30</v>
      </c>
      <c r="G1548" s="54" t="n">
        <v>1</v>
      </c>
      <c r="H1548" s="55" t="n">
        <v>999</v>
      </c>
      <c r="I1548" s="55" t="n">
        <v>908.73</v>
      </c>
      <c r="J1548" s="55" t="n">
        <v>0</v>
      </c>
      <c r="K1548" s="55" t="n">
        <v>0</v>
      </c>
      <c r="L1548" s="55" t="n">
        <v>908.73</v>
      </c>
      <c r="M1548" s="55" t="n">
        <v>-90.27</v>
      </c>
      <c r="N1548" s="36" t="inlineStr">
        <is>
          <t>017010</t>
        </is>
      </c>
      <c r="O1548" s="36" t="inlineStr">
        <is>
          <t>EXPRESS</t>
        </is>
      </c>
      <c r="P1548" s="36" t="inlineStr">
        <is>
          <t>CIMCARE</t>
        </is>
      </c>
      <c r="Q1548" s="36" t="inlineStr">
        <is>
          <t>CIGPDPRX</t>
        </is>
      </c>
    </row>
    <row r="1549">
      <c r="A1549" s="36" t="inlineStr">
        <is>
          <t>110220</t>
        </is>
      </c>
      <c r="B1549" s="52" t="n">
        <v>46006</v>
      </c>
      <c r="C1549" s="36" t="inlineStr">
        <is>
          <t>00169431430</t>
        </is>
      </c>
      <c r="D1549" s="53" t="inlineStr">
        <is>
          <t>RYBELSUS 14MG TABLET</t>
        </is>
      </c>
      <c r="E1549" s="36" t="n">
        <v>30</v>
      </c>
      <c r="F1549" s="54" t="n">
        <v>30</v>
      </c>
      <c r="G1549" s="54" t="n">
        <v>1</v>
      </c>
      <c r="H1549" s="55" t="n">
        <v>960</v>
      </c>
      <c r="I1549" s="55" t="n">
        <v>945.42</v>
      </c>
      <c r="J1549" s="55" t="n">
        <v>0</v>
      </c>
      <c r="K1549" s="55" t="n">
        <v>0</v>
      </c>
      <c r="L1549" s="55" t="n">
        <v>945.42</v>
      </c>
      <c r="M1549" s="55" t="n">
        <v>-14.58</v>
      </c>
      <c r="N1549" s="36" t="inlineStr">
        <is>
          <t>610502</t>
        </is>
      </c>
      <c r="O1549" s="36" t="inlineStr">
        <is>
          <t>CAREMARK</t>
        </is>
      </c>
      <c r="P1549" s="36" t="inlineStr">
        <is>
          <t>MEDDAET</t>
        </is>
      </c>
      <c r="Q1549" s="36" t="inlineStr">
        <is>
          <t>RXAETD</t>
        </is>
      </c>
    </row>
    <row r="1550">
      <c r="A1550" s="36" t="inlineStr">
        <is>
          <t>139260</t>
        </is>
      </c>
      <c r="B1550" s="52" t="n">
        <v>46037</v>
      </c>
      <c r="C1550" s="36" t="inlineStr">
        <is>
          <t>00169430330</t>
        </is>
      </c>
      <c r="D1550" s="53" t="inlineStr">
        <is>
          <t>RYBELSUS 3MG TABLET</t>
        </is>
      </c>
      <c r="E1550" s="36" t="n">
        <v>30</v>
      </c>
      <c r="F1550" s="54" t="n">
        <v>90</v>
      </c>
      <c r="G1550" s="54" t="n">
        <v>3</v>
      </c>
      <c r="H1550" s="55" t="n">
        <v>0</v>
      </c>
      <c r="I1550" s="55" t="n">
        <v>2880</v>
      </c>
      <c r="J1550" s="55" t="n">
        <v>0</v>
      </c>
      <c r="K1550" s="55" t="n">
        <v>4.9</v>
      </c>
      <c r="L1550" s="55" t="n">
        <v>2884.9</v>
      </c>
      <c r="M1550" s="55" t="n">
        <v>0</v>
      </c>
      <c r="N1550" s="36" t="inlineStr">
        <is>
          <t>004336</t>
        </is>
      </c>
      <c r="O1550" s="36" t="inlineStr">
        <is>
          <t>CAREMARK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133653</t>
        </is>
      </c>
      <c r="B1551" s="52" t="n">
        <v>45995</v>
      </c>
      <c r="C1551" s="36" t="inlineStr">
        <is>
          <t>00169430330</t>
        </is>
      </c>
      <c r="D1551" s="53" t="inlineStr">
        <is>
          <t>RYBELSUS 3MG TABLET</t>
        </is>
      </c>
      <c r="E1551" s="36" t="n">
        <v>30</v>
      </c>
      <c r="F1551" s="54" t="n">
        <v>30</v>
      </c>
      <c r="G1551" s="54" t="n">
        <v>1</v>
      </c>
      <c r="H1551" s="55" t="n">
        <v>0</v>
      </c>
      <c r="I1551" s="55" t="n">
        <v>940.6799999999999</v>
      </c>
      <c r="J1551" s="55" t="n">
        <v>0</v>
      </c>
      <c r="K1551" s="55" t="n">
        <v>0</v>
      </c>
      <c r="L1551" s="55" t="n">
        <v>940.6799999999999</v>
      </c>
      <c r="M1551" s="55" t="n">
        <v>0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143473</t>
        </is>
      </c>
      <c r="B1552" s="52" t="n">
        <v>46069</v>
      </c>
      <c r="C1552" s="36" t="inlineStr">
        <is>
          <t>00169430330</t>
        </is>
      </c>
      <c r="D1552" s="53" t="inlineStr">
        <is>
          <t>RYBELSUS 3MG TABLET</t>
        </is>
      </c>
      <c r="E1552" s="36" t="n">
        <v>30</v>
      </c>
      <c r="F1552" s="54" t="n">
        <v>30</v>
      </c>
      <c r="G1552" s="54" t="n">
        <v>1</v>
      </c>
      <c r="H1552" s="55" t="n">
        <v>0</v>
      </c>
      <c r="I1552" s="55" t="n">
        <v>972.64</v>
      </c>
      <c r="J1552" s="55" t="n">
        <v>0</v>
      </c>
      <c r="K1552" s="55" t="n">
        <v>4.9</v>
      </c>
      <c r="L1552" s="55" t="n">
        <v>977.54</v>
      </c>
      <c r="M1552" s="55" t="n">
        <v>0</v>
      </c>
      <c r="N1552" s="36" t="inlineStr">
        <is>
          <t>004336</t>
        </is>
      </c>
      <c r="O1552" s="36" t="inlineStr">
        <is>
          <t>CAREMARK</t>
        </is>
      </c>
      <c r="P1552" s="36" t="inlineStr">
        <is>
          <t>MEDDADV</t>
        </is>
      </c>
      <c r="Q1552" s="36" t="inlineStr">
        <is>
          <t>RX1110</t>
        </is>
      </c>
    </row>
    <row r="1553">
      <c r="A1553" s="36" t="inlineStr">
        <is>
          <t>133653</t>
        </is>
      </c>
      <c r="B1553" s="52" t="n">
        <v>46022</v>
      </c>
      <c r="C1553" s="36" t="inlineStr">
        <is>
          <t>00169430330</t>
        </is>
      </c>
      <c r="D1553" s="53" t="inlineStr">
        <is>
          <t>RYBELSUS 3MG TABLET</t>
        </is>
      </c>
      <c r="E1553" s="36" t="n">
        <v>30</v>
      </c>
      <c r="F1553" s="54" t="n">
        <v>30</v>
      </c>
      <c r="G1553" s="54" t="n">
        <v>1</v>
      </c>
      <c r="H1553" s="55" t="n">
        <v>0</v>
      </c>
      <c r="I1553" s="55" t="n">
        <v>940.6799999999999</v>
      </c>
      <c r="J1553" s="55" t="n">
        <v>0</v>
      </c>
      <c r="K1553" s="55" t="n">
        <v>0</v>
      </c>
      <c r="L1553" s="55" t="n">
        <v>940.6799999999999</v>
      </c>
      <c r="M1553" s="55" t="n">
        <v>0</v>
      </c>
      <c r="N1553" s="36" t="inlineStr">
        <is>
          <t>004336</t>
        </is>
      </c>
      <c r="O1553" s="36" t="inlineStr">
        <is>
          <t>CAREMARK</t>
        </is>
      </c>
      <c r="P1553" s="36" t="inlineStr">
        <is>
          <t>MEDDADV</t>
        </is>
      </c>
      <c r="Q1553" s="36" t="inlineStr">
        <is>
          <t>RX1110</t>
        </is>
      </c>
    </row>
    <row r="1554">
      <c r="A1554" s="36" t="inlineStr">
        <is>
          <t>133653</t>
        </is>
      </c>
      <c r="B1554" s="52" t="n">
        <v>46050</v>
      </c>
      <c r="C1554" s="36" t="inlineStr">
        <is>
          <t>00169430330</t>
        </is>
      </c>
      <c r="D1554" s="53" t="inlineStr">
        <is>
          <t>RYBELSUS 3MG TABLET</t>
        </is>
      </c>
      <c r="E1554" s="36" t="n">
        <v>30</v>
      </c>
      <c r="F1554" s="54" t="n">
        <v>30</v>
      </c>
      <c r="G1554" s="54" t="n">
        <v>1</v>
      </c>
      <c r="H1554" s="55" t="n">
        <v>0</v>
      </c>
      <c r="I1554" s="55" t="n">
        <v>972.64</v>
      </c>
      <c r="J1554" s="55" t="n">
        <v>0</v>
      </c>
      <c r="K1554" s="55" t="n">
        <v>4.9</v>
      </c>
      <c r="L1554" s="55" t="n">
        <v>977.54</v>
      </c>
      <c r="M1554" s="55" t="n">
        <v>0</v>
      </c>
      <c r="N1554" s="36" t="inlineStr">
        <is>
          <t>004336</t>
        </is>
      </c>
      <c r="O1554" s="36" t="inlineStr">
        <is>
          <t>CAREMARK</t>
        </is>
      </c>
      <c r="P1554" s="36" t="inlineStr">
        <is>
          <t>MEDDADV</t>
        </is>
      </c>
      <c r="Q1554" s="36" t="inlineStr">
        <is>
          <t>RX1110</t>
        </is>
      </c>
    </row>
    <row r="1555">
      <c r="A1555" s="36" t="inlineStr">
        <is>
          <t>123006</t>
        </is>
      </c>
      <c r="B1555" s="52" t="n">
        <v>46000</v>
      </c>
      <c r="C1555" s="36" t="inlineStr">
        <is>
          <t>00169430330</t>
        </is>
      </c>
      <c r="D1555" s="53" t="inlineStr">
        <is>
          <t>RYBELSUS 3MG TABLET</t>
        </is>
      </c>
      <c r="E1555" s="36" t="n">
        <v>30</v>
      </c>
      <c r="F1555" s="54" t="n">
        <v>90</v>
      </c>
      <c r="G1555" s="54" t="n">
        <v>3</v>
      </c>
      <c r="H1555" s="55" t="n">
        <v>0</v>
      </c>
      <c r="I1555" s="55" t="n">
        <v>2782.92</v>
      </c>
      <c r="J1555" s="55" t="n">
        <v>0</v>
      </c>
      <c r="K1555" s="55" t="n">
        <v>0</v>
      </c>
      <c r="L1555" s="55" t="n">
        <v>2782.92</v>
      </c>
      <c r="M1555" s="55" t="n">
        <v>0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130932</t>
        </is>
      </c>
      <c r="B1556" s="52" t="n">
        <v>46069</v>
      </c>
      <c r="C1556" s="36" t="inlineStr">
        <is>
          <t>00169430330</t>
        </is>
      </c>
      <c r="D1556" s="53" t="inlineStr">
        <is>
          <t>RYBELSUS 3MG TABLET</t>
        </is>
      </c>
      <c r="E1556" s="36" t="n">
        <v>30</v>
      </c>
      <c r="F1556" s="54" t="n">
        <v>90</v>
      </c>
      <c r="G1556" s="54" t="n">
        <v>3</v>
      </c>
      <c r="H1556" s="55" t="n">
        <v>0</v>
      </c>
      <c r="I1556" s="55" t="n">
        <v>2880</v>
      </c>
      <c r="J1556" s="55" t="n">
        <v>0</v>
      </c>
      <c r="K1556" s="55" t="n">
        <v>4.9</v>
      </c>
      <c r="L1556" s="55" t="n">
        <v>2884.9</v>
      </c>
      <c r="M1556" s="55" t="n">
        <v>0</v>
      </c>
      <c r="N1556" s="36" t="inlineStr">
        <is>
          <t>004336</t>
        </is>
      </c>
      <c r="O1556" s="36" t="inlineStr">
        <is>
          <t>CAREMARK</t>
        </is>
      </c>
      <c r="P1556" s="36" t="inlineStr">
        <is>
          <t>MEDDADV</t>
        </is>
      </c>
      <c r="Q1556" s="36" t="inlineStr">
        <is>
          <t>RX1110</t>
        </is>
      </c>
    </row>
    <row r="1557">
      <c r="A1557" s="36" t="inlineStr">
        <is>
          <t>116483</t>
        </is>
      </c>
      <c r="B1557" s="52" t="n">
        <v>46037</v>
      </c>
      <c r="C1557" s="36" t="inlineStr">
        <is>
          <t>00169430330</t>
        </is>
      </c>
      <c r="D1557" s="53" t="inlineStr">
        <is>
          <t>RYBELSUS 3MG TABLET</t>
        </is>
      </c>
      <c r="E1557" s="36" t="n">
        <v>30</v>
      </c>
      <c r="F1557" s="54" t="n">
        <v>90</v>
      </c>
      <c r="G1557" s="54" t="n">
        <v>3</v>
      </c>
      <c r="H1557" s="55" t="n">
        <v>0</v>
      </c>
      <c r="I1557" s="55" t="n">
        <v>2880</v>
      </c>
      <c r="J1557" s="55" t="n">
        <v>0</v>
      </c>
      <c r="K1557" s="55" t="n">
        <v>4.9</v>
      </c>
      <c r="L1557" s="55" t="n">
        <v>2884.9</v>
      </c>
      <c r="M1557" s="55" t="n">
        <v>0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RX1110</t>
        </is>
      </c>
    </row>
    <row r="1558">
      <c r="A1558" s="36" t="inlineStr">
        <is>
          <t>129107</t>
        </is>
      </c>
      <c r="B1558" s="52" t="n">
        <v>46015</v>
      </c>
      <c r="C1558" s="36" t="inlineStr">
        <is>
          <t>00169430730</t>
        </is>
      </c>
      <c r="D1558" s="53" t="inlineStr">
        <is>
          <t>RYBELSUS 7MG TABLET</t>
        </is>
      </c>
      <c r="E1558" s="36" t="n">
        <v>30</v>
      </c>
      <c r="F1558" s="54" t="n">
        <v>30</v>
      </c>
      <c r="G1558" s="54" t="n">
        <v>1</v>
      </c>
      <c r="H1558" s="55" t="n">
        <v>960</v>
      </c>
      <c r="I1558" s="55" t="n">
        <v>903.77</v>
      </c>
      <c r="J1558" s="55" t="n">
        <v>0</v>
      </c>
      <c r="K1558" s="55" t="n">
        <v>15</v>
      </c>
      <c r="L1558" s="55" t="n">
        <v>918.77</v>
      </c>
      <c r="M1558" s="55" t="n">
        <v>-41.23</v>
      </c>
      <c r="N1558" s="36" t="inlineStr">
        <is>
          <t>003858</t>
        </is>
      </c>
      <c r="O1558" s="36" t="inlineStr">
        <is>
          <t>EXPRESS</t>
        </is>
      </c>
      <c r="P1558" s="36" t="inlineStr">
        <is>
          <t>A4</t>
        </is>
      </c>
      <c r="Q1558" s="36" t="inlineStr">
        <is>
          <t>2GKA</t>
        </is>
      </c>
    </row>
    <row r="1559">
      <c r="A1559" s="36" t="inlineStr">
        <is>
          <t>133288</t>
        </is>
      </c>
      <c r="B1559" s="52" t="n">
        <v>45993</v>
      </c>
      <c r="C1559" s="36" t="inlineStr">
        <is>
          <t>00169430730</t>
        </is>
      </c>
      <c r="D1559" s="53" t="inlineStr">
        <is>
          <t>RYBELSUS 7MG TABLET</t>
        </is>
      </c>
      <c r="E1559" s="36" t="n">
        <v>30</v>
      </c>
      <c r="F1559" s="54" t="n">
        <v>90</v>
      </c>
      <c r="G1559" s="54" t="n">
        <v>3</v>
      </c>
      <c r="H1559" s="55" t="n">
        <v>2880</v>
      </c>
      <c r="I1559" s="55" t="n">
        <v>2782.92</v>
      </c>
      <c r="J1559" s="55" t="n">
        <v>0</v>
      </c>
      <c r="K1559" s="55" t="n">
        <v>0</v>
      </c>
      <c r="L1559" s="55" t="n">
        <v>2782.92</v>
      </c>
      <c r="M1559" s="55" t="n">
        <v>-97.08</v>
      </c>
      <c r="N1559" s="36" t="inlineStr">
        <is>
          <t>004336</t>
        </is>
      </c>
      <c r="O1559" s="36" t="inlineStr">
        <is>
          <t>CAREMARK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121627</t>
        </is>
      </c>
      <c r="B1560" s="52" t="n">
        <v>45992</v>
      </c>
      <c r="C1560" s="36" t="inlineStr">
        <is>
          <t>00169430730</t>
        </is>
      </c>
      <c r="D1560" s="53" t="inlineStr">
        <is>
          <t>RYBELSUS 7MG TABLET</t>
        </is>
      </c>
      <c r="E1560" s="36" t="n">
        <v>30</v>
      </c>
      <c r="F1560" s="54" t="n">
        <v>90</v>
      </c>
      <c r="G1560" s="54" t="n">
        <v>3</v>
      </c>
      <c r="H1560" s="55" t="n">
        <v>2880</v>
      </c>
      <c r="I1560" s="55" t="n">
        <v>2782.92</v>
      </c>
      <c r="J1560" s="55" t="n">
        <v>0</v>
      </c>
      <c r="K1560" s="55" t="n">
        <v>0</v>
      </c>
      <c r="L1560" s="55" t="n">
        <v>2782.92</v>
      </c>
      <c r="M1560" s="55" t="n">
        <v>-97.08</v>
      </c>
      <c r="N1560" s="36" t="inlineStr">
        <is>
          <t>004336</t>
        </is>
      </c>
      <c r="O1560" s="36" t="inlineStr">
        <is>
          <t>CAREMARK</t>
        </is>
      </c>
      <c r="P1560" s="36" t="inlineStr">
        <is>
          <t>MEDDADV</t>
        </is>
      </c>
      <c r="Q1560" s="36" t="inlineStr">
        <is>
          <t>RX1110</t>
        </is>
      </c>
    </row>
    <row r="1561">
      <c r="A1561" s="36" t="inlineStr">
        <is>
          <t>129107</t>
        </is>
      </c>
      <c r="B1561" s="52" t="n">
        <v>46072</v>
      </c>
      <c r="C1561" s="36" t="inlineStr">
        <is>
          <t>00169430730</t>
        </is>
      </c>
      <c r="D1561" s="53" t="inlineStr">
        <is>
          <t>RYBELSUS 7MG TABLET</t>
        </is>
      </c>
      <c r="E1561" s="36" t="n">
        <v>30</v>
      </c>
      <c r="F1561" s="54" t="n">
        <v>30</v>
      </c>
      <c r="G1561" s="54" t="n">
        <v>1</v>
      </c>
      <c r="H1561" s="55" t="n">
        <v>992</v>
      </c>
      <c r="I1561" s="55" t="n">
        <v>951.27</v>
      </c>
      <c r="J1561" s="55" t="n">
        <v>0</v>
      </c>
      <c r="K1561" s="55" t="n">
        <v>0</v>
      </c>
      <c r="L1561" s="55" t="n">
        <v>951.27</v>
      </c>
      <c r="M1561" s="55" t="n">
        <v>-40.73</v>
      </c>
      <c r="N1561" s="36" t="inlineStr">
        <is>
          <t>003858</t>
        </is>
      </c>
      <c r="O1561" s="36" t="inlineStr">
        <is>
          <t>EXPRESS</t>
        </is>
      </c>
      <c r="P1561" s="36" t="inlineStr">
        <is>
          <t>A4</t>
        </is>
      </c>
      <c r="Q1561" s="36" t="inlineStr">
        <is>
          <t>2GKA</t>
        </is>
      </c>
    </row>
    <row r="1562">
      <c r="A1562" s="36" t="inlineStr">
        <is>
          <t>134960</t>
        </is>
      </c>
      <c r="B1562" s="52" t="n">
        <v>46003</v>
      </c>
      <c r="C1562" s="36" t="inlineStr">
        <is>
          <t>00169430730</t>
        </is>
      </c>
      <c r="D1562" s="53" t="inlineStr">
        <is>
          <t>RYBELSUS 7MG TABLET</t>
        </is>
      </c>
      <c r="E1562" s="36" t="n">
        <v>30</v>
      </c>
      <c r="F1562" s="54" t="n">
        <v>90</v>
      </c>
      <c r="G1562" s="54" t="n">
        <v>3</v>
      </c>
      <c r="H1562" s="55" t="n">
        <v>2880</v>
      </c>
      <c r="I1562" s="55" t="n">
        <v>2782.92</v>
      </c>
      <c r="J1562" s="55" t="n">
        <v>0</v>
      </c>
      <c r="K1562" s="55" t="n">
        <v>0</v>
      </c>
      <c r="L1562" s="55" t="n">
        <v>2782.92</v>
      </c>
      <c r="M1562" s="55" t="n">
        <v>-97.08</v>
      </c>
      <c r="N1562" s="36" t="inlineStr">
        <is>
          <t>004336</t>
        </is>
      </c>
      <c r="O1562" s="36" t="inlineStr">
        <is>
          <t>CAREMARK</t>
        </is>
      </c>
      <c r="P1562" s="36" t="inlineStr">
        <is>
          <t>MEDDADV</t>
        </is>
      </c>
      <c r="Q1562" s="36" t="inlineStr">
        <is>
          <t>RX1110</t>
        </is>
      </c>
    </row>
    <row r="1563">
      <c r="A1563" s="36" t="inlineStr">
        <is>
          <t>129107</t>
        </is>
      </c>
      <c r="B1563" s="52" t="n">
        <v>46045</v>
      </c>
      <c r="C1563" s="36" t="inlineStr">
        <is>
          <t>00169430730</t>
        </is>
      </c>
      <c r="D1563" s="53" t="inlineStr">
        <is>
          <t>RYBELSUS 7MG TABLET</t>
        </is>
      </c>
      <c r="E1563" s="36" t="n">
        <v>30</v>
      </c>
      <c r="F1563" s="54" t="n">
        <v>30</v>
      </c>
      <c r="G1563" s="54" t="n">
        <v>1</v>
      </c>
      <c r="H1563" s="55" t="n">
        <v>992</v>
      </c>
      <c r="I1563" s="55" t="n">
        <v>936.27</v>
      </c>
      <c r="J1563" s="55" t="n">
        <v>0</v>
      </c>
      <c r="K1563" s="55" t="n">
        <v>15</v>
      </c>
      <c r="L1563" s="55" t="n">
        <v>951.27</v>
      </c>
      <c r="M1563" s="55" t="n">
        <v>-40.73</v>
      </c>
      <c r="N1563" s="36" t="inlineStr">
        <is>
          <t>003858</t>
        </is>
      </c>
      <c r="O1563" s="36" t="inlineStr">
        <is>
          <t>EXPRESS</t>
        </is>
      </c>
      <c r="P1563" s="36" t="inlineStr">
        <is>
          <t>A4</t>
        </is>
      </c>
      <c r="Q1563" s="36" t="inlineStr">
        <is>
          <t>2GKA</t>
        </is>
      </c>
    </row>
    <row r="1564">
      <c r="A1564" s="36" t="inlineStr">
        <is>
          <t>116534</t>
        </is>
      </c>
      <c r="B1564" s="52" t="n">
        <v>46010</v>
      </c>
      <c r="C1564" s="36" t="inlineStr">
        <is>
          <t>00169430730</t>
        </is>
      </c>
      <c r="D1564" s="53" t="inlineStr">
        <is>
          <t>RYBELSUS 7MG TABLET</t>
        </is>
      </c>
      <c r="E1564" s="36" t="n">
        <v>30</v>
      </c>
      <c r="F1564" s="54" t="n">
        <v>60</v>
      </c>
      <c r="G1564" s="54" t="n">
        <v>2</v>
      </c>
      <c r="H1564" s="55" t="n">
        <v>1920</v>
      </c>
      <c r="I1564" s="55" t="n">
        <v>1783.68</v>
      </c>
      <c r="J1564" s="55" t="n">
        <v>0</v>
      </c>
      <c r="K1564" s="55" t="n">
        <v>0</v>
      </c>
      <c r="L1564" s="55" t="n">
        <v>1783.68</v>
      </c>
      <c r="M1564" s="55" t="n">
        <v>-136.32</v>
      </c>
      <c r="N1564" s="36" t="inlineStr">
        <is>
          <t>610014</t>
        </is>
      </c>
      <c r="O1564" s="36" t="inlineStr">
        <is>
          <t>EXPRESS</t>
        </is>
      </c>
      <c r="P1564" s="36" t="inlineStr">
        <is>
          <t>MEDDPRIME</t>
        </is>
      </c>
      <c r="Q1564" s="36" t="inlineStr">
        <is>
          <t>2FFA</t>
        </is>
      </c>
    </row>
    <row r="1565">
      <c r="A1565" s="36" t="inlineStr">
        <is>
          <t>143951</t>
        </is>
      </c>
      <c r="B1565" s="52" t="n">
        <v>46072</v>
      </c>
      <c r="C1565" s="36" t="inlineStr">
        <is>
          <t>50484001090</t>
        </is>
      </c>
      <c r="D1565" s="53" t="inlineStr">
        <is>
          <t>SANTYL 250 UNIT/GM EXTERNAL OINTMENT</t>
        </is>
      </c>
      <c r="E1565" s="36" t="n">
        <v>90</v>
      </c>
      <c r="F1565" s="54" t="n">
        <v>90</v>
      </c>
      <c r="G1565" s="54" t="n">
        <v>1</v>
      </c>
      <c r="H1565" s="55" t="n">
        <v>924</v>
      </c>
      <c r="I1565" s="55" t="n">
        <v>957.77</v>
      </c>
      <c r="J1565" s="55" t="n">
        <v>0</v>
      </c>
      <c r="K1565" s="55" t="n">
        <v>0</v>
      </c>
      <c r="L1565" s="55" t="n">
        <v>957.77</v>
      </c>
      <c r="M1565" s="55" t="n">
        <v>33.77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RXCVSD</t>
        </is>
      </c>
    </row>
    <row r="1566">
      <c r="A1566" s="36" t="inlineStr">
        <is>
          <t>141667</t>
        </is>
      </c>
      <c r="B1566" s="52" t="n">
        <v>46056</v>
      </c>
      <c r="C1566" s="36" t="inlineStr">
        <is>
          <t>50484001090</t>
        </is>
      </c>
      <c r="D1566" s="53" t="inlineStr">
        <is>
          <t>SANTYL 250 UNIT/GM EXTERNAL OINTMENT</t>
        </is>
      </c>
      <c r="E1566" s="36" t="n">
        <v>90</v>
      </c>
      <c r="F1566" s="54" t="n">
        <v>90</v>
      </c>
      <c r="G1566" s="54" t="n">
        <v>1</v>
      </c>
      <c r="H1566" s="55" t="n">
        <v>924</v>
      </c>
      <c r="I1566" s="55" t="n">
        <v>957.77</v>
      </c>
      <c r="J1566" s="55" t="n">
        <v>0</v>
      </c>
      <c r="K1566" s="55" t="n">
        <v>0</v>
      </c>
      <c r="L1566" s="55" t="n">
        <v>957.77</v>
      </c>
      <c r="M1566" s="55" t="n">
        <v>33.77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RXCVSD</t>
        </is>
      </c>
    </row>
    <row r="1567">
      <c r="A1567" s="36" t="inlineStr">
        <is>
          <t>136013</t>
        </is>
      </c>
      <c r="B1567" s="52" t="n">
        <v>46041</v>
      </c>
      <c r="C1567" s="36" t="inlineStr">
        <is>
          <t>00006537303</t>
        </is>
      </c>
      <c r="D1567" s="53" t="inlineStr">
        <is>
          <t>SEGLUROMET 2.5-1000MG TABLET</t>
        </is>
      </c>
      <c r="E1567" s="36" t="n">
        <v>60</v>
      </c>
      <c r="F1567" s="54" t="n">
        <v>60</v>
      </c>
      <c r="G1567" s="54" t="n">
        <v>1</v>
      </c>
      <c r="H1567" s="55" t="n">
        <v>345</v>
      </c>
      <c r="I1567" s="55" t="n">
        <v>353.1</v>
      </c>
      <c r="J1567" s="55" t="n">
        <v>0</v>
      </c>
      <c r="K1567" s="55" t="n">
        <v>0</v>
      </c>
      <c r="L1567" s="55" t="n">
        <v>353.1</v>
      </c>
      <c r="M1567" s="55" t="n">
        <v>8.1</v>
      </c>
      <c r="N1567" s="36" t="inlineStr">
        <is>
          <t>004740</t>
        </is>
      </c>
      <c r="O1567" s="36" t="inlineStr">
        <is>
          <t>NYM</t>
        </is>
      </c>
      <c r="P1567" s="36" t="inlineStr">
        <is>
          <t>9314DA31</t>
        </is>
      </c>
      <c r="Q1567" s="36" t="n">
        <v/>
      </c>
    </row>
    <row r="1568">
      <c r="A1568" s="36" t="inlineStr">
        <is>
          <t>143428</t>
        </is>
      </c>
      <c r="B1568" s="52" t="n">
        <v>46069</v>
      </c>
      <c r="C1568" s="36" t="inlineStr">
        <is>
          <t>00006537303</t>
        </is>
      </c>
      <c r="D1568" s="53" t="inlineStr">
        <is>
          <t>SEGLUROMET 2.5-1000MG TABLET</t>
        </is>
      </c>
      <c r="E1568" s="36" t="n">
        <v>60</v>
      </c>
      <c r="F1568" s="54" t="n">
        <v>60</v>
      </c>
      <c r="G1568" s="54" t="n">
        <v>1</v>
      </c>
      <c r="H1568" s="55" t="n">
        <v>345</v>
      </c>
      <c r="I1568" s="55" t="n">
        <v>353.49</v>
      </c>
      <c r="J1568" s="55" t="n">
        <v>0</v>
      </c>
      <c r="K1568" s="55" t="n">
        <v>0</v>
      </c>
      <c r="L1568" s="55" t="n">
        <v>353.49</v>
      </c>
      <c r="M1568" s="55" t="n">
        <v>8.49</v>
      </c>
      <c r="N1568" s="36" t="inlineStr">
        <is>
          <t>004740</t>
        </is>
      </c>
      <c r="O1568" s="36" t="inlineStr">
        <is>
          <t>NYM</t>
        </is>
      </c>
      <c r="P1568" s="36" t="inlineStr">
        <is>
          <t>9314DA31</t>
        </is>
      </c>
      <c r="Q1568" s="36" t="n">
        <v/>
      </c>
    </row>
    <row r="1569">
      <c r="A1569" s="36" t="inlineStr">
        <is>
          <t>136013</t>
        </is>
      </c>
      <c r="B1569" s="52" t="n">
        <v>46013</v>
      </c>
      <c r="C1569" s="36" t="inlineStr">
        <is>
          <t>00006537303</t>
        </is>
      </c>
      <c r="D1569" s="53" t="inlineStr">
        <is>
          <t>SEGLUROMET 2.5-1000MG TABLET</t>
        </is>
      </c>
      <c r="E1569" s="36" t="n">
        <v>60</v>
      </c>
      <c r="F1569" s="54" t="n">
        <v>60</v>
      </c>
      <c r="G1569" s="54" t="n">
        <v>1</v>
      </c>
      <c r="H1569" s="55" t="n">
        <v>345</v>
      </c>
      <c r="I1569" s="55" t="n">
        <v>352.61</v>
      </c>
      <c r="J1569" s="55" t="n">
        <v>0</v>
      </c>
      <c r="K1569" s="55" t="n">
        <v>0</v>
      </c>
      <c r="L1569" s="55" t="n">
        <v>352.61</v>
      </c>
      <c r="M1569" s="55" t="n">
        <v>7.61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137992</t>
        </is>
      </c>
      <c r="B1570" s="52" t="n">
        <v>46029</v>
      </c>
      <c r="C1570" s="36" t="inlineStr">
        <is>
          <t>58160082311</t>
        </is>
      </c>
      <c r="D1570" s="53" t="inlineStr">
        <is>
          <t>SHINGRIX 50 MCG/0.5ML IM SUSP RECON</t>
        </is>
      </c>
      <c r="E1570" s="36" t="n">
        <v>10</v>
      </c>
      <c r="F1570" s="54" t="n">
        <v>1</v>
      </c>
      <c r="G1570" s="54" t="n">
        <v>0.1</v>
      </c>
      <c r="H1570" s="55" t="n">
        <v>0</v>
      </c>
      <c r="I1570" s="55" t="n">
        <v>242.73</v>
      </c>
      <c r="J1570" s="55" t="n">
        <v>0</v>
      </c>
      <c r="K1570" s="55" t="n">
        <v>0</v>
      </c>
      <c r="L1570" s="55" t="n">
        <v>242.73</v>
      </c>
      <c r="M1570" s="55" t="n">
        <v>0</v>
      </c>
      <c r="N1570" s="36" t="inlineStr">
        <is>
          <t>004336</t>
        </is>
      </c>
      <c r="O1570" s="36" t="inlineStr">
        <is>
          <t>CAREMARK</t>
        </is>
      </c>
      <c r="P1570" s="36" t="inlineStr">
        <is>
          <t>ADV</t>
        </is>
      </c>
      <c r="Q1570" s="36" t="inlineStr">
        <is>
          <t>RX1103</t>
        </is>
      </c>
    </row>
    <row r="1571">
      <c r="A1571" s="36" t="inlineStr">
        <is>
          <t>127925</t>
        </is>
      </c>
      <c r="B1571" s="52" t="n">
        <v>46009</v>
      </c>
      <c r="C1571" s="36" t="inlineStr">
        <is>
          <t>58160082311</t>
        </is>
      </c>
      <c r="D1571" s="53" t="inlineStr">
        <is>
          <t>SHINGRIX 50 MCG/0.5ML IM SUSP RECON</t>
        </is>
      </c>
      <c r="E1571" s="36" t="n">
        <v>10</v>
      </c>
      <c r="F1571" s="54" t="n">
        <v>1</v>
      </c>
      <c r="G1571" s="54" t="n">
        <v>0.1</v>
      </c>
      <c r="H1571" s="55" t="n">
        <v>0</v>
      </c>
      <c r="I1571" s="55" t="n">
        <v>203.03</v>
      </c>
      <c r="J1571" s="55" t="n">
        <v>0</v>
      </c>
      <c r="K1571" s="55" t="n">
        <v>0</v>
      </c>
      <c r="L1571" s="55" t="n">
        <v>203.03</v>
      </c>
      <c r="M1571" s="55" t="n">
        <v>0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116779</t>
        </is>
      </c>
      <c r="B1572" s="52" t="n">
        <v>46041</v>
      </c>
      <c r="C1572" s="36" t="inlineStr">
        <is>
          <t>58160082311</t>
        </is>
      </c>
      <c r="D1572" s="53" t="inlineStr">
        <is>
          <t>SHINGRIX 50 MCG/0.5ML IM SUSP RECON</t>
        </is>
      </c>
      <c r="E1572" s="36" t="n">
        <v>10</v>
      </c>
      <c r="F1572" s="54" t="n">
        <v>1</v>
      </c>
      <c r="G1572" s="54" t="n">
        <v>0.1</v>
      </c>
      <c r="H1572" s="55" t="n">
        <v>0</v>
      </c>
      <c r="I1572" s="55" t="n">
        <v>211.2</v>
      </c>
      <c r="J1572" s="55" t="n">
        <v>0</v>
      </c>
      <c r="K1572" s="55" t="n">
        <v>0</v>
      </c>
      <c r="L1572" s="55" t="n">
        <v>211.2</v>
      </c>
      <c r="M1572" s="55" t="n">
        <v>0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135999</t>
        </is>
      </c>
      <c r="B1573" s="52" t="n">
        <v>46013</v>
      </c>
      <c r="C1573" s="36" t="inlineStr">
        <is>
          <t>58160082311</t>
        </is>
      </c>
      <c r="D1573" s="53" t="inlineStr">
        <is>
          <t>SHINGRIX 50 MCG/0.5ML IM SUSP RECON</t>
        </is>
      </c>
      <c r="E1573" s="36" t="n">
        <v>10</v>
      </c>
      <c r="F1573" s="54" t="n">
        <v>1</v>
      </c>
      <c r="G1573" s="54" t="n">
        <v>0.1</v>
      </c>
      <c r="H1573" s="55" t="n">
        <v>0</v>
      </c>
      <c r="I1573" s="55" t="n">
        <v>216.82</v>
      </c>
      <c r="J1573" s="55" t="n">
        <v>0</v>
      </c>
      <c r="K1573" s="55" t="n">
        <v>0</v>
      </c>
      <c r="L1573" s="55" t="n">
        <v>216.82</v>
      </c>
      <c r="M1573" s="55" t="n">
        <v>0</v>
      </c>
      <c r="N1573" s="36" t="inlineStr">
        <is>
          <t>610097</t>
        </is>
      </c>
      <c r="O1573" s="36" t="inlineStr">
        <is>
          <t>OPTUM</t>
        </is>
      </c>
      <c r="P1573" s="36" t="inlineStr">
        <is>
          <t>9999</t>
        </is>
      </c>
      <c r="Q1573" s="36" t="inlineStr">
        <is>
          <t>MPDCSP</t>
        </is>
      </c>
    </row>
    <row r="1574">
      <c r="A1574" s="36" t="inlineStr">
        <is>
          <t>142602</t>
        </is>
      </c>
      <c r="B1574" s="52" t="n">
        <v>46063</v>
      </c>
      <c r="C1574" s="36" t="inlineStr">
        <is>
          <t>58160082311</t>
        </is>
      </c>
      <c r="D1574" s="53" t="inlineStr">
        <is>
          <t>SHINGRIX 50 MCG/0.5ML IM SUSP RECON</t>
        </is>
      </c>
      <c r="E1574" s="36" t="n">
        <v>10</v>
      </c>
      <c r="F1574" s="54" t="n">
        <v>1</v>
      </c>
      <c r="G1574" s="54" t="n">
        <v>0.1</v>
      </c>
      <c r="H1574" s="55" t="n">
        <v>0</v>
      </c>
      <c r="I1574" s="55" t="n">
        <v>211.2</v>
      </c>
      <c r="J1574" s="55" t="n">
        <v>0</v>
      </c>
      <c r="K1574" s="55" t="n">
        <v>0</v>
      </c>
      <c r="L1574" s="55" t="n">
        <v>211.2</v>
      </c>
      <c r="M1574" s="55" t="n">
        <v>0</v>
      </c>
      <c r="N1574" s="36" t="inlineStr">
        <is>
          <t>004740</t>
        </is>
      </c>
      <c r="O1574" s="36" t="inlineStr">
        <is>
          <t>NYM</t>
        </is>
      </c>
      <c r="P1574" s="36" t="inlineStr">
        <is>
          <t>9314DA31</t>
        </is>
      </c>
      <c r="Q1574" s="36" t="n">
        <v/>
      </c>
    </row>
    <row r="1575">
      <c r="A1575" s="36" t="inlineStr">
        <is>
          <t>142600</t>
        </is>
      </c>
      <c r="B1575" s="52" t="n">
        <v>46063</v>
      </c>
      <c r="C1575" s="36" t="inlineStr">
        <is>
          <t>58160082311</t>
        </is>
      </c>
      <c r="D1575" s="53" t="inlineStr">
        <is>
          <t>SHINGRIX 50 MCG/0.5ML IM SUSP RECON</t>
        </is>
      </c>
      <c r="E1575" s="36" t="n">
        <v>10</v>
      </c>
      <c r="F1575" s="54" t="n">
        <v>1</v>
      </c>
      <c r="G1575" s="54" t="n">
        <v>0.1</v>
      </c>
      <c r="H1575" s="55" t="n">
        <v>0</v>
      </c>
      <c r="I1575" s="55" t="n">
        <v>227.56</v>
      </c>
      <c r="J1575" s="55" t="n">
        <v>0</v>
      </c>
      <c r="K1575" s="55" t="n">
        <v>0</v>
      </c>
      <c r="L1575" s="55" t="n">
        <v>227.56</v>
      </c>
      <c r="M1575" s="55" t="n">
        <v>0</v>
      </c>
      <c r="N1575" s="36" t="inlineStr">
        <is>
          <t>610014</t>
        </is>
      </c>
      <c r="O1575" s="36" t="inlineStr">
        <is>
          <t>EXPRESS</t>
        </is>
      </c>
      <c r="P1575" s="36" t="inlineStr">
        <is>
          <t>MEDDPRIME</t>
        </is>
      </c>
      <c r="Q1575" s="36" t="inlineStr">
        <is>
          <t>2FFA</t>
        </is>
      </c>
    </row>
    <row r="1576">
      <c r="A1576" s="36" t="inlineStr">
        <is>
          <t>136090</t>
        </is>
      </c>
      <c r="B1576" s="52" t="n">
        <v>46072</v>
      </c>
      <c r="C1576" s="36" t="inlineStr">
        <is>
          <t>58160082311</t>
        </is>
      </c>
      <c r="D1576" s="53" t="inlineStr">
        <is>
          <t>SHINGRIX 50 MCG/0.5ML IM SUSP RECON</t>
        </is>
      </c>
      <c r="E1576" s="36" t="n">
        <v>10</v>
      </c>
      <c r="F1576" s="54" t="n">
        <v>1</v>
      </c>
      <c r="G1576" s="54" t="n">
        <v>0.1</v>
      </c>
      <c r="H1576" s="55" t="n">
        <v>0</v>
      </c>
      <c r="I1576" s="55" t="n">
        <v>237.63</v>
      </c>
      <c r="J1576" s="55" t="n">
        <v>0</v>
      </c>
      <c r="K1576" s="55" t="n">
        <v>0</v>
      </c>
      <c r="L1576" s="55" t="n">
        <v>237.63</v>
      </c>
      <c r="M1576" s="55" t="n">
        <v>0</v>
      </c>
      <c r="N1576" s="36" t="inlineStr">
        <is>
          <t>015574</t>
        </is>
      </c>
      <c r="O1576" s="36" t="inlineStr">
        <is>
          <t>MEDIMP</t>
        </is>
      </c>
      <c r="P1576" s="36" t="inlineStr">
        <is>
          <t>ASPROD1</t>
        </is>
      </c>
      <c r="Q1576" s="36" t="inlineStr">
        <is>
          <t>VNS01</t>
        </is>
      </c>
    </row>
    <row r="1577">
      <c r="A1577" s="36" t="inlineStr">
        <is>
          <t>127473</t>
        </is>
      </c>
      <c r="B1577" s="52" t="n">
        <v>46015</v>
      </c>
      <c r="C1577" s="36" t="inlineStr">
        <is>
          <t>58160082311</t>
        </is>
      </c>
      <c r="D1577" s="53" t="inlineStr">
        <is>
          <t>SHINGRIX 50 MCG/0.5ML IM SUSP RECON</t>
        </is>
      </c>
      <c r="E1577" s="36" t="n">
        <v>10</v>
      </c>
      <c r="F1577" s="54" t="n">
        <v>1</v>
      </c>
      <c r="G1577" s="54" t="n">
        <v>0.1</v>
      </c>
      <c r="H1577" s="55" t="n">
        <v>0</v>
      </c>
      <c r="I1577" s="55" t="n">
        <v>205.1</v>
      </c>
      <c r="J1577" s="55" t="n">
        <v>0</v>
      </c>
      <c r="K1577" s="55" t="n">
        <v>0</v>
      </c>
      <c r="L1577" s="55" t="n">
        <v>205.1</v>
      </c>
      <c r="M1577" s="55" t="n">
        <v>0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RX8585</t>
        </is>
      </c>
    </row>
    <row r="1578">
      <c r="A1578" s="36" t="inlineStr">
        <is>
          <t>136090</t>
        </is>
      </c>
      <c r="B1578" s="52" t="n">
        <v>46013</v>
      </c>
      <c r="C1578" s="36" t="inlineStr">
        <is>
          <t>58160082311</t>
        </is>
      </c>
      <c r="D1578" s="53" t="inlineStr">
        <is>
          <t>SHINGRIX 50 MCG/0.5ML IM SUSP RECON</t>
        </is>
      </c>
      <c r="E1578" s="36" t="n">
        <v>10</v>
      </c>
      <c r="F1578" s="54" t="n">
        <v>1</v>
      </c>
      <c r="G1578" s="54" t="n">
        <v>0.1</v>
      </c>
      <c r="H1578" s="55" t="n">
        <v>0</v>
      </c>
      <c r="I1578" s="55" t="n">
        <v>205.15</v>
      </c>
      <c r="J1578" s="55" t="n">
        <v>0</v>
      </c>
      <c r="K1578" s="55" t="n">
        <v>0</v>
      </c>
      <c r="L1578" s="55" t="n">
        <v>205.15</v>
      </c>
      <c r="M1578" s="55" t="n">
        <v>0</v>
      </c>
      <c r="N1578" s="36" t="inlineStr">
        <is>
          <t>015574</t>
        </is>
      </c>
      <c r="O1578" s="36" t="inlineStr">
        <is>
          <t>MEDIMP</t>
        </is>
      </c>
      <c r="P1578" s="36" t="inlineStr">
        <is>
          <t>ASPROD1</t>
        </is>
      </c>
      <c r="Q1578" s="36" t="inlineStr">
        <is>
          <t>VNS01</t>
        </is>
      </c>
    </row>
    <row r="1579">
      <c r="A1579" s="36" t="inlineStr">
        <is>
          <t>121863</t>
        </is>
      </c>
      <c r="B1579" s="52" t="n">
        <v>46034</v>
      </c>
      <c r="C1579" s="36" t="inlineStr">
        <is>
          <t>00065414727</t>
        </is>
      </c>
      <c r="D1579" s="53" t="inlineStr">
        <is>
          <t>SIMBRINZA 1-0.2 % OPHTHALMIC SUSPENSION</t>
        </is>
      </c>
      <c r="E1579" s="36" t="n">
        <v>8</v>
      </c>
      <c r="F1579" s="54" t="n">
        <v>8</v>
      </c>
      <c r="G1579" s="54" t="n">
        <v>1</v>
      </c>
      <c r="H1579" s="55" t="n">
        <v>210</v>
      </c>
      <c r="I1579" s="55" t="n">
        <v>218.73</v>
      </c>
      <c r="J1579" s="55" t="n">
        <v>0</v>
      </c>
      <c r="K1579" s="55" t="n">
        <v>0</v>
      </c>
      <c r="L1579" s="55" t="n">
        <v>218.73</v>
      </c>
      <c r="M1579" s="55" t="n">
        <v>8.73</v>
      </c>
      <c r="N1579" s="36" t="inlineStr">
        <is>
          <t>004740</t>
        </is>
      </c>
      <c r="O1579" s="36" t="inlineStr">
        <is>
          <t>NYM</t>
        </is>
      </c>
      <c r="P1579" s="36" t="inlineStr">
        <is>
          <t>9314DA31</t>
        </is>
      </c>
      <c r="Q1579" s="36" t="n">
        <v/>
      </c>
    </row>
    <row r="1580">
      <c r="A1580" s="36" t="inlineStr">
        <is>
          <t>110521</t>
        </is>
      </c>
      <c r="B1580" s="52" t="n">
        <v>46073</v>
      </c>
      <c r="C1580" s="36" t="inlineStr">
        <is>
          <t>00065414727</t>
        </is>
      </c>
      <c r="D1580" s="53" t="inlineStr">
        <is>
          <t>SIMBRINZA 1-0.2 % OPHTHALMIC SUSPENSION</t>
        </is>
      </c>
      <c r="E1580" s="36" t="n">
        <v>8</v>
      </c>
      <c r="F1580" s="54" t="n">
        <v>8</v>
      </c>
      <c r="G1580" s="54" t="n">
        <v>1</v>
      </c>
      <c r="H1580" s="55" t="n">
        <v>210</v>
      </c>
      <c r="I1580" s="55" t="n">
        <v>218.74</v>
      </c>
      <c r="J1580" s="55" t="n">
        <v>0</v>
      </c>
      <c r="K1580" s="55" t="n">
        <v>0</v>
      </c>
      <c r="L1580" s="55" t="n">
        <v>218.74</v>
      </c>
      <c r="M1580" s="55" t="n">
        <v>8.74</v>
      </c>
      <c r="N1580" s="36" t="inlineStr">
        <is>
          <t>610097</t>
        </is>
      </c>
      <c r="O1580" s="36" t="inlineStr">
        <is>
          <t>OPTUM</t>
        </is>
      </c>
      <c r="P1580" s="36" t="inlineStr">
        <is>
          <t>9999</t>
        </is>
      </c>
      <c r="Q1580" s="36" t="inlineStr">
        <is>
          <t>MPDCSP</t>
        </is>
      </c>
    </row>
    <row r="1581">
      <c r="A1581" s="36" t="inlineStr">
        <is>
          <t>110521</t>
        </is>
      </c>
      <c r="B1581" s="52" t="n">
        <v>46001</v>
      </c>
      <c r="C1581" s="36" t="inlineStr">
        <is>
          <t>00065414727</t>
        </is>
      </c>
      <c r="D1581" s="53" t="inlineStr">
        <is>
          <t>SIMBRINZA 1-0.2 % OPHTHALMIC SUSPENSION</t>
        </is>
      </c>
      <c r="E1581" s="36" t="n">
        <v>8</v>
      </c>
      <c r="F1581" s="54" t="n">
        <v>8</v>
      </c>
      <c r="G1581" s="54" t="n">
        <v>1</v>
      </c>
      <c r="H1581" s="55" t="n">
        <v>210</v>
      </c>
      <c r="I1581" s="55" t="n">
        <v>212.51</v>
      </c>
      <c r="J1581" s="55" t="n">
        <v>0</v>
      </c>
      <c r="K1581" s="55" t="n">
        <v>0</v>
      </c>
      <c r="L1581" s="55" t="n">
        <v>212.51</v>
      </c>
      <c r="M1581" s="55" t="n">
        <v>2.51</v>
      </c>
      <c r="N1581" s="36" t="inlineStr">
        <is>
          <t>610097</t>
        </is>
      </c>
      <c r="O1581" s="36" t="inlineStr">
        <is>
          <t>OPTUM</t>
        </is>
      </c>
      <c r="P1581" s="36" t="inlineStr">
        <is>
          <t>9999</t>
        </is>
      </c>
      <c r="Q1581" s="36" t="inlineStr">
        <is>
          <t>MPDCSP</t>
        </is>
      </c>
    </row>
    <row r="1582">
      <c r="A1582" s="36" t="inlineStr">
        <is>
          <t>110521</t>
        </is>
      </c>
      <c r="B1582" s="52" t="n">
        <v>46036</v>
      </c>
      <c r="C1582" s="36" t="inlineStr">
        <is>
          <t>00065414727</t>
        </is>
      </c>
      <c r="D1582" s="53" t="inlineStr">
        <is>
          <t>SIMBRINZA 1-0.2 % OPHTHALMIC SUSPENSION</t>
        </is>
      </c>
      <c r="E1582" s="36" t="n">
        <v>8</v>
      </c>
      <c r="F1582" s="54" t="n">
        <v>8</v>
      </c>
      <c r="G1582" s="54" t="n">
        <v>1</v>
      </c>
      <c r="H1582" s="55" t="n">
        <v>210</v>
      </c>
      <c r="I1582" s="55" t="n">
        <v>218.74</v>
      </c>
      <c r="J1582" s="55" t="n">
        <v>0</v>
      </c>
      <c r="K1582" s="55" t="n">
        <v>0</v>
      </c>
      <c r="L1582" s="55" t="n">
        <v>218.74</v>
      </c>
      <c r="M1582" s="55" t="n">
        <v>8.74</v>
      </c>
      <c r="N1582" s="36" t="inlineStr">
        <is>
          <t>610097</t>
        </is>
      </c>
      <c r="O1582" s="36" t="inlineStr">
        <is>
          <t>OPTUM</t>
        </is>
      </c>
      <c r="P1582" s="36" t="inlineStr">
        <is>
          <t>9999</t>
        </is>
      </c>
      <c r="Q1582" s="36" t="inlineStr">
        <is>
          <t>MPDCSP</t>
        </is>
      </c>
    </row>
    <row r="1583">
      <c r="A1583" s="36" t="inlineStr">
        <is>
          <t>131842</t>
        </is>
      </c>
      <c r="B1583" s="52" t="n">
        <v>46069</v>
      </c>
      <c r="C1583" s="36" t="inlineStr">
        <is>
          <t>00597007541</t>
        </is>
      </c>
      <c r="D1583" s="53" t="inlineStr">
        <is>
          <t>SPIRIVA HANDIHALER 18MCG CAPSULE</t>
        </is>
      </c>
      <c r="E1583" s="36" t="n">
        <v>30</v>
      </c>
      <c r="F1583" s="54" t="n">
        <v>90</v>
      </c>
      <c r="G1583" s="54" t="n">
        <v>3</v>
      </c>
      <c r="H1583" s="55" t="n">
        <v>0</v>
      </c>
      <c r="I1583" s="55" t="n">
        <v>965.1900000000001</v>
      </c>
      <c r="J1583" s="55" t="n">
        <v>0</v>
      </c>
      <c r="K1583" s="55" t="n">
        <v>1</v>
      </c>
      <c r="L1583" s="55" t="n">
        <v>966.1900000000001</v>
      </c>
      <c r="M1583" s="55" t="n">
        <v>0</v>
      </c>
      <c r="N1583" s="36" t="inlineStr">
        <is>
          <t>004740</t>
        </is>
      </c>
      <c r="O1583" s="36" t="inlineStr">
        <is>
          <t>NYM</t>
        </is>
      </c>
      <c r="P1583" s="36" t="inlineStr">
        <is>
          <t>9314DA31</t>
        </is>
      </c>
      <c r="Q1583" s="36" t="n">
        <v/>
      </c>
    </row>
    <row r="1584">
      <c r="A1584" s="36" t="inlineStr">
        <is>
          <t>138890</t>
        </is>
      </c>
      <c r="B1584" s="52" t="n">
        <v>46035</v>
      </c>
      <c r="C1584" s="36" t="inlineStr">
        <is>
          <t>00597010061</t>
        </is>
      </c>
      <c r="D1584" s="53" t="inlineStr">
        <is>
          <t>SPIRIVA RESPIMAT 2.5MCG/ACT AEROSOL</t>
        </is>
      </c>
      <c r="E1584" s="36" t="n">
        <v>4</v>
      </c>
      <c r="F1584" s="54" t="n">
        <v>4</v>
      </c>
      <c r="G1584" s="54" t="n">
        <v>1</v>
      </c>
      <c r="H1584" s="55" t="n">
        <v>509</v>
      </c>
      <c r="I1584" s="55" t="n">
        <v>513.9</v>
      </c>
      <c r="J1584" s="55" t="n">
        <v>0</v>
      </c>
      <c r="K1584" s="55" t="n">
        <v>1</v>
      </c>
      <c r="L1584" s="55" t="n">
        <v>514.9</v>
      </c>
      <c r="M1584" s="55" t="n">
        <v>5.9</v>
      </c>
      <c r="N1584" s="36" t="inlineStr">
        <is>
          <t>004740</t>
        </is>
      </c>
      <c r="O1584" s="36" t="inlineStr">
        <is>
          <t>NYM</t>
        </is>
      </c>
      <c r="P1584" s="36" t="inlineStr">
        <is>
          <t>9314DA31</t>
        </is>
      </c>
      <c r="Q1584" s="36" t="n">
        <v/>
      </c>
    </row>
    <row r="1585">
      <c r="A1585" s="36" t="inlineStr">
        <is>
          <t>138890</t>
        </is>
      </c>
      <c r="B1585" s="52" t="n">
        <v>46063</v>
      </c>
      <c r="C1585" s="36" t="inlineStr">
        <is>
          <t>00597010061</t>
        </is>
      </c>
      <c r="D1585" s="53" t="inlineStr">
        <is>
          <t>SPIRIVA RESPIMAT 2.5MCG/ACT AEROSOL</t>
        </is>
      </c>
      <c r="E1585" s="36" t="n">
        <v>4</v>
      </c>
      <c r="F1585" s="54" t="n">
        <v>4</v>
      </c>
      <c r="G1585" s="54" t="n">
        <v>1</v>
      </c>
      <c r="H1585" s="55" t="n">
        <v>513</v>
      </c>
      <c r="I1585" s="55" t="n">
        <v>513.88</v>
      </c>
      <c r="J1585" s="55" t="n">
        <v>0</v>
      </c>
      <c r="K1585" s="55" t="n">
        <v>1</v>
      </c>
      <c r="L1585" s="55" t="n">
        <v>514.88</v>
      </c>
      <c r="M1585" s="55" t="n">
        <v>1.88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129820</t>
        </is>
      </c>
      <c r="B1586" s="52" t="n">
        <v>46070</v>
      </c>
      <c r="C1586" s="36" t="inlineStr">
        <is>
          <t>81968035101</t>
        </is>
      </c>
      <c r="D1586" s="53" t="inlineStr">
        <is>
          <t>SUNOSI 150 MG ORAL TABLET</t>
        </is>
      </c>
      <c r="E1586" s="36" t="n">
        <v>30</v>
      </c>
      <c r="F1586" s="54" t="n">
        <v>30</v>
      </c>
      <c r="G1586" s="54" t="n">
        <v>1</v>
      </c>
      <c r="H1586" s="55" t="n">
        <v>953</v>
      </c>
      <c r="I1586" s="55" t="n">
        <v>847.28</v>
      </c>
      <c r="J1586" s="55" t="n">
        <v>0</v>
      </c>
      <c r="K1586" s="55" t="n">
        <v>9.279999999999999</v>
      </c>
      <c r="L1586" s="55" t="n">
        <v>856.5599999999999</v>
      </c>
      <c r="M1586" s="55" t="n">
        <v>-96.44</v>
      </c>
      <c r="N1586" s="36" t="inlineStr">
        <is>
          <t>610011</t>
        </is>
      </c>
      <c r="O1586" s="36" t="inlineStr">
        <is>
          <t>OPTUM</t>
        </is>
      </c>
      <c r="P1586" s="36" t="inlineStr">
        <is>
          <t>*</t>
        </is>
      </c>
      <c r="Q1586" s="36" t="inlineStr">
        <is>
          <t>BCBSMRX1</t>
        </is>
      </c>
    </row>
    <row r="1587">
      <c r="A1587" s="36" t="inlineStr">
        <is>
          <t>141092</t>
        </is>
      </c>
      <c r="B1587" s="52" t="n">
        <v>46051</v>
      </c>
      <c r="C1587" s="36" t="inlineStr">
        <is>
          <t>52268020101</t>
        </is>
      </c>
      <c r="D1587" s="53" t="inlineStr">
        <is>
          <t>SUTAB 1479-225-188 MG ORAL TABLET</t>
        </is>
      </c>
      <c r="E1587" s="36" t="n">
        <v>24</v>
      </c>
      <c r="F1587" s="54" t="n">
        <v>24</v>
      </c>
      <c r="G1587" s="54" t="n">
        <v>1</v>
      </c>
      <c r="H1587" s="55" t="n">
        <v>163</v>
      </c>
      <c r="I1587" s="55" t="n">
        <v>160.26</v>
      </c>
      <c r="J1587" s="55" t="n">
        <v>0</v>
      </c>
      <c r="K1587" s="55" t="n">
        <v>0</v>
      </c>
      <c r="L1587" s="55" t="n">
        <v>160.26</v>
      </c>
      <c r="M1587" s="55" t="n">
        <v>-2.74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ADV</t>
        </is>
      </c>
      <c r="Q1587" s="36" t="inlineStr">
        <is>
          <t>RX1103</t>
        </is>
      </c>
    </row>
    <row r="1588">
      <c r="A1588" s="36" t="inlineStr">
        <is>
          <t>138885</t>
        </is>
      </c>
      <c r="B1588" s="52" t="n">
        <v>46035</v>
      </c>
      <c r="C1588" s="36" t="inlineStr">
        <is>
          <t>00186037020</t>
        </is>
      </c>
      <c r="D1588" s="53" t="inlineStr">
        <is>
          <t>SYMBICORT 160-4.5MCG/ACT AEROSOL</t>
        </is>
      </c>
      <c r="E1588" s="36" t="n">
        <v>10.2</v>
      </c>
      <c r="F1588" s="54" t="n">
        <v>10.2</v>
      </c>
      <c r="G1588" s="54" t="n">
        <v>1</v>
      </c>
      <c r="H1588" s="55" t="n">
        <v>226</v>
      </c>
      <c r="I1588" s="55" t="n">
        <v>233.87</v>
      </c>
      <c r="J1588" s="55" t="n">
        <v>0</v>
      </c>
      <c r="K1588" s="55" t="n">
        <v>1</v>
      </c>
      <c r="L1588" s="55" t="n">
        <v>234.87</v>
      </c>
      <c r="M1588" s="55" t="n">
        <v>8.869999999999999</v>
      </c>
      <c r="N1588" s="36" t="inlineStr">
        <is>
          <t>004740</t>
        </is>
      </c>
      <c r="O1588" s="36" t="inlineStr">
        <is>
          <t>NYM</t>
        </is>
      </c>
      <c r="P1588" s="36" t="inlineStr">
        <is>
          <t>9314DA31</t>
        </is>
      </c>
      <c r="Q1588" s="36" t="n">
        <v/>
      </c>
    </row>
    <row r="1589">
      <c r="A1589" s="36" t="inlineStr">
        <is>
          <t>134221</t>
        </is>
      </c>
      <c r="B1589" s="52" t="n">
        <v>45999</v>
      </c>
      <c r="C1589" s="36" t="inlineStr">
        <is>
          <t>00186037020</t>
        </is>
      </c>
      <c r="D1589" s="53" t="inlineStr">
        <is>
          <t>SYMBICORT 160-4.5MCG/ACT AEROSOL</t>
        </is>
      </c>
      <c r="E1589" s="36" t="n">
        <v>10.2</v>
      </c>
      <c r="F1589" s="54" t="n">
        <v>10.2</v>
      </c>
      <c r="G1589" s="54" t="n">
        <v>1</v>
      </c>
      <c r="H1589" s="55" t="n">
        <v>226</v>
      </c>
      <c r="I1589" s="55" t="n">
        <v>234.9</v>
      </c>
      <c r="J1589" s="55" t="n">
        <v>0</v>
      </c>
      <c r="K1589" s="55" t="n">
        <v>0</v>
      </c>
      <c r="L1589" s="55" t="n">
        <v>234.9</v>
      </c>
      <c r="M1589" s="55" t="n">
        <v>8.9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143257</t>
        </is>
      </c>
      <c r="B1590" s="52" t="n">
        <v>46066</v>
      </c>
      <c r="C1590" s="36" t="inlineStr">
        <is>
          <t>00186037020</t>
        </is>
      </c>
      <c r="D1590" s="53" t="inlineStr">
        <is>
          <t>SYMBICORT 160-4.5MCG/ACT AEROSOL</t>
        </is>
      </c>
      <c r="E1590" s="36" t="n">
        <v>10.2</v>
      </c>
      <c r="F1590" s="54" t="n">
        <v>10.2</v>
      </c>
      <c r="G1590" s="54" t="n">
        <v>1</v>
      </c>
      <c r="H1590" s="55" t="n">
        <v>226</v>
      </c>
      <c r="I1590" s="55" t="n">
        <v>234.87</v>
      </c>
      <c r="J1590" s="55" t="n">
        <v>0</v>
      </c>
      <c r="K1590" s="55" t="n">
        <v>0</v>
      </c>
      <c r="L1590" s="55" t="n">
        <v>234.87</v>
      </c>
      <c r="M1590" s="55" t="n">
        <v>8.869999999999999</v>
      </c>
      <c r="N1590" s="36" t="inlineStr">
        <is>
          <t>004740</t>
        </is>
      </c>
      <c r="O1590" s="36" t="inlineStr">
        <is>
          <t>NYM</t>
        </is>
      </c>
      <c r="P1590" s="36" t="inlineStr">
        <is>
          <t>9314DA31</t>
        </is>
      </c>
      <c r="Q1590" s="36" t="n">
        <v/>
      </c>
    </row>
    <row r="1591">
      <c r="A1591" s="36" t="inlineStr">
        <is>
          <t>117424</t>
        </is>
      </c>
      <c r="B1591" s="52" t="n">
        <v>46051</v>
      </c>
      <c r="C1591" s="36" t="inlineStr">
        <is>
          <t>00186037020</t>
        </is>
      </c>
      <c r="D1591" s="53" t="inlineStr">
        <is>
          <t>SYMBICORT 160-4.5MCG/ACT AEROSOL</t>
        </is>
      </c>
      <c r="E1591" s="36" t="n">
        <v>10.2</v>
      </c>
      <c r="F1591" s="54" t="n">
        <v>30.6</v>
      </c>
      <c r="G1591" s="54" t="n">
        <v>3</v>
      </c>
      <c r="H1591" s="55" t="n">
        <v>678</v>
      </c>
      <c r="I1591" s="55" t="n">
        <v>684.26</v>
      </c>
      <c r="J1591" s="55" t="n">
        <v>0</v>
      </c>
      <c r="K1591" s="55" t="n">
        <v>0</v>
      </c>
      <c r="L1591" s="55" t="n">
        <v>684.26</v>
      </c>
      <c r="M1591" s="55" t="n">
        <v>6.26</v>
      </c>
      <c r="N1591" s="36" t="inlineStr">
        <is>
          <t>004740</t>
        </is>
      </c>
      <c r="O1591" s="36" t="inlineStr">
        <is>
          <t>NYM</t>
        </is>
      </c>
      <c r="P1591" s="36" t="inlineStr">
        <is>
          <t>9314DA31</t>
        </is>
      </c>
      <c r="Q1591" s="36" t="n">
        <v/>
      </c>
    </row>
    <row r="1592">
      <c r="A1592" s="36" t="inlineStr">
        <is>
          <t>126787</t>
        </is>
      </c>
      <c r="B1592" s="52" t="n">
        <v>46024</v>
      </c>
      <c r="C1592" s="36" t="inlineStr">
        <is>
          <t>00186037020</t>
        </is>
      </c>
      <c r="D1592" s="53" t="inlineStr">
        <is>
          <t>SYMBICORT 160-4.5MCG/ACT AEROSOL</t>
        </is>
      </c>
      <c r="E1592" s="36" t="n">
        <v>10.2</v>
      </c>
      <c r="F1592" s="54" t="n">
        <v>10.2</v>
      </c>
      <c r="G1592" s="54" t="n">
        <v>1</v>
      </c>
      <c r="H1592" s="55" t="n">
        <v>226</v>
      </c>
      <c r="I1592" s="55" t="n">
        <v>234.87</v>
      </c>
      <c r="J1592" s="55" t="n">
        <v>0</v>
      </c>
      <c r="K1592" s="55" t="n">
        <v>0</v>
      </c>
      <c r="L1592" s="55" t="n">
        <v>234.87</v>
      </c>
      <c r="M1592" s="55" t="n">
        <v>8.869999999999999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130922</t>
        </is>
      </c>
      <c r="B1593" s="52" t="n">
        <v>46028</v>
      </c>
      <c r="C1593" s="36" t="inlineStr">
        <is>
          <t>00186037020</t>
        </is>
      </c>
      <c r="D1593" s="53" t="inlineStr">
        <is>
          <t>SYMBICORT 160-4.5MCG/ACT AEROSOL</t>
        </is>
      </c>
      <c r="E1593" s="36" t="n">
        <v>10.2</v>
      </c>
      <c r="F1593" s="54" t="n">
        <v>10.2</v>
      </c>
      <c r="G1593" s="54" t="n">
        <v>1</v>
      </c>
      <c r="H1593" s="55" t="n">
        <v>226</v>
      </c>
      <c r="I1593" s="55" t="n">
        <v>234.87</v>
      </c>
      <c r="J1593" s="55" t="n">
        <v>0</v>
      </c>
      <c r="K1593" s="55" t="n">
        <v>0</v>
      </c>
      <c r="L1593" s="55" t="n">
        <v>234.87</v>
      </c>
      <c r="M1593" s="55" t="n">
        <v>8.869999999999999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136723</t>
        </is>
      </c>
      <c r="B1594" s="52" t="n">
        <v>46020</v>
      </c>
      <c r="C1594" s="36" t="inlineStr">
        <is>
          <t>00186037020</t>
        </is>
      </c>
      <c r="D1594" s="53" t="inlineStr">
        <is>
          <t>SYMBICORT 160-4.5MCG/ACT AEROSOL</t>
        </is>
      </c>
      <c r="E1594" s="36" t="n">
        <v>10.2</v>
      </c>
      <c r="F1594" s="54" t="n">
        <v>10.2</v>
      </c>
      <c r="G1594" s="54" t="n">
        <v>1</v>
      </c>
      <c r="H1594" s="55" t="n">
        <v>226</v>
      </c>
      <c r="I1594" s="55" t="n">
        <v>234.87</v>
      </c>
      <c r="J1594" s="55" t="n">
        <v>0</v>
      </c>
      <c r="K1594" s="55" t="n">
        <v>0</v>
      </c>
      <c r="L1594" s="55" t="n">
        <v>234.87</v>
      </c>
      <c r="M1594" s="55" t="n">
        <v>8.869999999999999</v>
      </c>
      <c r="N1594" s="36" t="inlineStr">
        <is>
          <t>004740</t>
        </is>
      </c>
      <c r="O1594" s="36" t="inlineStr">
        <is>
          <t>NYM</t>
        </is>
      </c>
      <c r="P1594" s="36" t="inlineStr">
        <is>
          <t>9314DA31</t>
        </is>
      </c>
      <c r="Q1594" s="36" t="n">
        <v/>
      </c>
    </row>
    <row r="1595">
      <c r="A1595" s="36" t="inlineStr">
        <is>
          <t>130922</t>
        </is>
      </c>
      <c r="B1595" s="52" t="n">
        <v>46000</v>
      </c>
      <c r="C1595" s="36" t="inlineStr">
        <is>
          <t>00186037020</t>
        </is>
      </c>
      <c r="D1595" s="53" t="inlineStr">
        <is>
          <t>SYMBICORT 160-4.5MCG/ACT AEROSOL</t>
        </is>
      </c>
      <c r="E1595" s="36" t="n">
        <v>10.2</v>
      </c>
      <c r="F1595" s="54" t="n">
        <v>10.2</v>
      </c>
      <c r="G1595" s="54" t="n">
        <v>1</v>
      </c>
      <c r="H1595" s="55" t="n">
        <v>226</v>
      </c>
      <c r="I1595" s="55" t="n">
        <v>234.9</v>
      </c>
      <c r="J1595" s="55" t="n">
        <v>0</v>
      </c>
      <c r="K1595" s="55" t="n">
        <v>0</v>
      </c>
      <c r="L1595" s="55" t="n">
        <v>234.9</v>
      </c>
      <c r="M1595" s="55" t="n">
        <v>8.9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129232</t>
        </is>
      </c>
      <c r="B1596" s="52" t="n">
        <v>46043</v>
      </c>
      <c r="C1596" s="36" t="inlineStr">
        <is>
          <t>00186037020</t>
        </is>
      </c>
      <c r="D1596" s="53" t="inlineStr">
        <is>
          <t>SYMBICORT 160-4.5MCG/ACT AEROSOL</t>
        </is>
      </c>
      <c r="E1596" s="36" t="n">
        <v>10.2</v>
      </c>
      <c r="F1596" s="54" t="n">
        <v>10.2</v>
      </c>
      <c r="G1596" s="54" t="n">
        <v>1</v>
      </c>
      <c r="H1596" s="55" t="n">
        <v>226</v>
      </c>
      <c r="I1596" s="55" t="n">
        <v>234.87</v>
      </c>
      <c r="J1596" s="55" t="n">
        <v>0</v>
      </c>
      <c r="K1596" s="55" t="n">
        <v>0</v>
      </c>
      <c r="L1596" s="55" t="n">
        <v>234.87</v>
      </c>
      <c r="M1596" s="55" t="n">
        <v>8.869999999999999</v>
      </c>
      <c r="N1596" s="36" t="inlineStr">
        <is>
          <t>004740</t>
        </is>
      </c>
      <c r="O1596" s="36" t="inlineStr">
        <is>
          <t>NYM</t>
        </is>
      </c>
      <c r="P1596" s="36" t="inlineStr">
        <is>
          <t>9314DA31</t>
        </is>
      </c>
      <c r="Q1596" s="36" t="n">
        <v/>
      </c>
    </row>
    <row r="1597">
      <c r="A1597" s="36" t="inlineStr">
        <is>
          <t>124326</t>
        </is>
      </c>
      <c r="B1597" s="52" t="n">
        <v>46008</v>
      </c>
      <c r="C1597" s="36" t="inlineStr">
        <is>
          <t>00186037020</t>
        </is>
      </c>
      <c r="D1597" s="53" t="inlineStr">
        <is>
          <t>SYMBICORT 160-4.5MCG/ACT AEROSOL</t>
        </is>
      </c>
      <c r="E1597" s="36" t="n">
        <v>10.2</v>
      </c>
      <c r="F1597" s="54" t="n">
        <v>10.2</v>
      </c>
      <c r="G1597" s="54" t="n">
        <v>1</v>
      </c>
      <c r="H1597" s="55" t="n">
        <v>226</v>
      </c>
      <c r="I1597" s="55" t="n">
        <v>234.9</v>
      </c>
      <c r="J1597" s="55" t="n">
        <v>0</v>
      </c>
      <c r="K1597" s="55" t="n">
        <v>0</v>
      </c>
      <c r="L1597" s="55" t="n">
        <v>234.9</v>
      </c>
      <c r="M1597" s="55" t="n">
        <v>8.9</v>
      </c>
      <c r="N1597" s="36" t="inlineStr">
        <is>
          <t>004740</t>
        </is>
      </c>
      <c r="O1597" s="36" t="inlineStr">
        <is>
          <t>NYM</t>
        </is>
      </c>
      <c r="P1597" s="36" t="inlineStr">
        <is>
          <t>9314DA31</t>
        </is>
      </c>
      <c r="Q1597" s="36" t="n">
        <v/>
      </c>
    </row>
    <row r="1598">
      <c r="A1598" s="36" t="inlineStr">
        <is>
          <t>124326</t>
        </is>
      </c>
      <c r="B1598" s="52" t="n">
        <v>46036</v>
      </c>
      <c r="C1598" s="36" t="inlineStr">
        <is>
          <t>00186037020</t>
        </is>
      </c>
      <c r="D1598" s="53" t="inlineStr">
        <is>
          <t>SYMBICORT 160-4.5MCG/ACT AEROSOL</t>
        </is>
      </c>
      <c r="E1598" s="36" t="n">
        <v>10.2</v>
      </c>
      <c r="F1598" s="54" t="n">
        <v>10.2</v>
      </c>
      <c r="G1598" s="54" t="n">
        <v>1</v>
      </c>
      <c r="H1598" s="55" t="n">
        <v>226</v>
      </c>
      <c r="I1598" s="55" t="n">
        <v>234.87</v>
      </c>
      <c r="J1598" s="55" t="n">
        <v>0</v>
      </c>
      <c r="K1598" s="55" t="n">
        <v>0</v>
      </c>
      <c r="L1598" s="55" t="n">
        <v>234.87</v>
      </c>
      <c r="M1598" s="55" t="n">
        <v>8.869999999999999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126849</t>
        </is>
      </c>
      <c r="B1599" s="52" t="n">
        <v>46030</v>
      </c>
      <c r="C1599" s="36" t="inlineStr">
        <is>
          <t>00186037020</t>
        </is>
      </c>
      <c r="D1599" s="53" t="inlineStr">
        <is>
          <t>SYMBICORT 160-4.5MCG/ACT AEROSOL</t>
        </is>
      </c>
      <c r="E1599" s="36" t="n">
        <v>10.2</v>
      </c>
      <c r="F1599" s="54" t="n">
        <v>30.6</v>
      </c>
      <c r="G1599" s="54" t="n">
        <v>3</v>
      </c>
      <c r="H1599" s="55" t="n">
        <v>678</v>
      </c>
      <c r="I1599" s="55" t="n">
        <v>683.25</v>
      </c>
      <c r="J1599" s="55" t="n">
        <v>0</v>
      </c>
      <c r="K1599" s="55" t="n">
        <v>1</v>
      </c>
      <c r="L1599" s="55" t="n">
        <v>684.25</v>
      </c>
      <c r="M1599" s="55" t="n">
        <v>6.25</v>
      </c>
      <c r="N1599" s="36" t="inlineStr">
        <is>
          <t>004740</t>
        </is>
      </c>
      <c r="O1599" s="36" t="inlineStr">
        <is>
          <t>NYM</t>
        </is>
      </c>
      <c r="P1599" s="36" t="inlineStr">
        <is>
          <t>9314DA31</t>
        </is>
      </c>
      <c r="Q1599" s="36" t="n">
        <v/>
      </c>
    </row>
    <row r="1600">
      <c r="A1600" s="36" t="inlineStr">
        <is>
          <t>138885</t>
        </is>
      </c>
      <c r="B1600" s="52" t="n">
        <v>46063</v>
      </c>
      <c r="C1600" s="36" t="inlineStr">
        <is>
          <t>00186037020</t>
        </is>
      </c>
      <c r="D1600" s="53" t="inlineStr">
        <is>
          <t>SYMBICORT 160-4.5MCG/ACT AEROSOL</t>
        </is>
      </c>
      <c r="E1600" s="36" t="n">
        <v>10.2</v>
      </c>
      <c r="F1600" s="54" t="n">
        <v>10.2</v>
      </c>
      <c r="G1600" s="54" t="n">
        <v>1</v>
      </c>
      <c r="H1600" s="55" t="n">
        <v>226</v>
      </c>
      <c r="I1600" s="55" t="n">
        <v>233.87</v>
      </c>
      <c r="J1600" s="55" t="n">
        <v>0</v>
      </c>
      <c r="K1600" s="55" t="n">
        <v>1</v>
      </c>
      <c r="L1600" s="55" t="n">
        <v>234.87</v>
      </c>
      <c r="M1600" s="55" t="n">
        <v>8.869999999999999</v>
      </c>
      <c r="N1600" s="36" t="inlineStr">
        <is>
          <t>004740</t>
        </is>
      </c>
      <c r="O1600" s="36" t="inlineStr">
        <is>
          <t>NYM</t>
        </is>
      </c>
      <c r="P1600" s="36" t="inlineStr">
        <is>
          <t>9314DA31</t>
        </is>
      </c>
      <c r="Q1600" s="36" t="n">
        <v/>
      </c>
    </row>
    <row r="1601">
      <c r="A1601" s="36" t="inlineStr">
        <is>
          <t>142994</t>
        </is>
      </c>
      <c r="B1601" s="52" t="n">
        <v>46065</v>
      </c>
      <c r="C1601" s="36" t="inlineStr">
        <is>
          <t>00186037020</t>
        </is>
      </c>
      <c r="D1601" s="53" t="inlineStr">
        <is>
          <t>SYMBICORT 160-4.5MCG/ACT AEROSOL</t>
        </is>
      </c>
      <c r="E1601" s="36" t="n">
        <v>10.2</v>
      </c>
      <c r="F1601" s="54" t="n">
        <v>10.2</v>
      </c>
      <c r="G1601" s="54" t="n">
        <v>1</v>
      </c>
      <c r="H1601" s="55" t="n">
        <v>226</v>
      </c>
      <c r="I1601" s="55" t="n">
        <v>234.87</v>
      </c>
      <c r="J1601" s="55" t="n">
        <v>0</v>
      </c>
      <c r="K1601" s="55" t="n">
        <v>0</v>
      </c>
      <c r="L1601" s="55" t="n">
        <v>234.87</v>
      </c>
      <c r="M1601" s="55" t="n">
        <v>8.869999999999999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128548</t>
        </is>
      </c>
      <c r="B1602" s="52" t="n">
        <v>46009</v>
      </c>
      <c r="C1602" s="36" t="inlineStr">
        <is>
          <t>00186037020</t>
        </is>
      </c>
      <c r="D1602" s="53" t="inlineStr">
        <is>
          <t>SYMBICORT 160-4.5MCG/ACT AEROSOL</t>
        </is>
      </c>
      <c r="E1602" s="36" t="n">
        <v>10.2</v>
      </c>
      <c r="F1602" s="54" t="n">
        <v>10.2</v>
      </c>
      <c r="G1602" s="54" t="n">
        <v>1</v>
      </c>
      <c r="H1602" s="55" t="n">
        <v>226</v>
      </c>
      <c r="I1602" s="55" t="n">
        <v>234.9</v>
      </c>
      <c r="J1602" s="55" t="n">
        <v>0</v>
      </c>
      <c r="K1602" s="55" t="n">
        <v>0</v>
      </c>
      <c r="L1602" s="55" t="n">
        <v>234.9</v>
      </c>
      <c r="M1602" s="55" t="n">
        <v>8.9</v>
      </c>
      <c r="N1602" s="36" t="inlineStr">
        <is>
          <t>004740</t>
        </is>
      </c>
      <c r="O1602" s="36" t="inlineStr">
        <is>
          <t>NYM</t>
        </is>
      </c>
      <c r="P1602" s="36" t="inlineStr">
        <is>
          <t>9314DA31</t>
        </is>
      </c>
      <c r="Q1602" s="36" t="n">
        <v/>
      </c>
    </row>
    <row r="1603">
      <c r="A1603" s="36" t="inlineStr">
        <is>
          <t>134221</t>
        </is>
      </c>
      <c r="B1603" s="52" t="n">
        <v>46027</v>
      </c>
      <c r="C1603" s="36" t="inlineStr">
        <is>
          <t>00186037020</t>
        </is>
      </c>
      <c r="D1603" s="53" t="inlineStr">
        <is>
          <t>SYMBICORT 160-4.5MCG/ACT AEROSOL</t>
        </is>
      </c>
      <c r="E1603" s="36" t="n">
        <v>10.2</v>
      </c>
      <c r="F1603" s="54" t="n">
        <v>10.2</v>
      </c>
      <c r="G1603" s="54" t="n">
        <v>1</v>
      </c>
      <c r="H1603" s="55" t="n">
        <v>226</v>
      </c>
      <c r="I1603" s="55" t="n">
        <v>233.87</v>
      </c>
      <c r="J1603" s="55" t="n">
        <v>0</v>
      </c>
      <c r="K1603" s="55" t="n">
        <v>1</v>
      </c>
      <c r="L1603" s="55" t="n">
        <v>234.87</v>
      </c>
      <c r="M1603" s="55" t="n">
        <v>8.869999999999999</v>
      </c>
      <c r="N1603" s="36" t="inlineStr">
        <is>
          <t>004740</t>
        </is>
      </c>
      <c r="O1603" s="36" t="inlineStr">
        <is>
          <t>NYM</t>
        </is>
      </c>
      <c r="P1603" s="36" t="inlineStr">
        <is>
          <t>9314DA31</t>
        </is>
      </c>
      <c r="Q1603" s="36" t="n">
        <v/>
      </c>
    </row>
    <row r="1604">
      <c r="A1604" s="36" t="inlineStr">
        <is>
          <t>129232</t>
        </is>
      </c>
      <c r="B1604" s="52" t="n">
        <v>46015</v>
      </c>
      <c r="C1604" s="36" t="inlineStr">
        <is>
          <t>00186037020</t>
        </is>
      </c>
      <c r="D1604" s="53" t="inlineStr">
        <is>
          <t>SYMBICORT 160-4.5MCG/ACT AEROSOL</t>
        </is>
      </c>
      <c r="E1604" s="36" t="n">
        <v>10.2</v>
      </c>
      <c r="F1604" s="54" t="n">
        <v>10.2</v>
      </c>
      <c r="G1604" s="54" t="n">
        <v>1</v>
      </c>
      <c r="H1604" s="55" t="n">
        <v>226</v>
      </c>
      <c r="I1604" s="55" t="n">
        <v>234.87</v>
      </c>
      <c r="J1604" s="55" t="n">
        <v>0</v>
      </c>
      <c r="K1604" s="55" t="n">
        <v>0</v>
      </c>
      <c r="L1604" s="55" t="n">
        <v>234.87</v>
      </c>
      <c r="M1604" s="55" t="n">
        <v>8.869999999999999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121891</t>
        </is>
      </c>
      <c r="B1605" s="52" t="n">
        <v>45992</v>
      </c>
      <c r="C1605" s="36" t="inlineStr">
        <is>
          <t>00186037020</t>
        </is>
      </c>
      <c r="D1605" s="53" t="inlineStr">
        <is>
          <t>SYMBICORT 160-4.5MCG/ACT AEROSOL</t>
        </is>
      </c>
      <c r="E1605" s="36" t="n">
        <v>10.2</v>
      </c>
      <c r="F1605" s="54" t="n">
        <v>30.6</v>
      </c>
      <c r="G1605" s="54" t="n">
        <v>3</v>
      </c>
      <c r="H1605" s="55" t="n">
        <v>678</v>
      </c>
      <c r="I1605" s="55" t="n">
        <v>684.34</v>
      </c>
      <c r="J1605" s="55" t="n">
        <v>0</v>
      </c>
      <c r="K1605" s="55" t="n">
        <v>0</v>
      </c>
      <c r="L1605" s="55" t="n">
        <v>684.34</v>
      </c>
      <c r="M1605" s="55" t="n">
        <v>6.34</v>
      </c>
      <c r="N1605" s="36" t="inlineStr">
        <is>
          <t>004740</t>
        </is>
      </c>
      <c r="O1605" s="36" t="inlineStr">
        <is>
          <t>NYM</t>
        </is>
      </c>
      <c r="P1605" s="36" t="inlineStr">
        <is>
          <t>9314DA31</t>
        </is>
      </c>
      <c r="Q1605" s="36" t="n">
        <v/>
      </c>
    </row>
    <row r="1606">
      <c r="A1606" s="36" t="inlineStr">
        <is>
          <t>129232</t>
        </is>
      </c>
      <c r="B1606" s="52" t="n">
        <v>46071</v>
      </c>
      <c r="C1606" s="36" t="inlineStr">
        <is>
          <t>00186037020</t>
        </is>
      </c>
      <c r="D1606" s="53" t="inlineStr">
        <is>
          <t>SYMBICORT 160-4.5MCG/ACT AEROSOL</t>
        </is>
      </c>
      <c r="E1606" s="36" t="n">
        <v>10.2</v>
      </c>
      <c r="F1606" s="54" t="n">
        <v>10.2</v>
      </c>
      <c r="G1606" s="54" t="n">
        <v>1</v>
      </c>
      <c r="H1606" s="55" t="n">
        <v>226</v>
      </c>
      <c r="I1606" s="55" t="n">
        <v>234.87</v>
      </c>
      <c r="J1606" s="55" t="n">
        <v>0</v>
      </c>
      <c r="K1606" s="55" t="n">
        <v>0</v>
      </c>
      <c r="L1606" s="55" t="n">
        <v>234.87</v>
      </c>
      <c r="M1606" s="55" t="n">
        <v>8.869999999999999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136723</t>
        </is>
      </c>
      <c r="B1607" s="52" t="n">
        <v>46077</v>
      </c>
      <c r="C1607" s="36" t="inlineStr">
        <is>
          <t>00186037020</t>
        </is>
      </c>
      <c r="D1607" s="53" t="inlineStr">
        <is>
          <t>SYMBICORT 160-4.5MCG/ACT AEROSOL</t>
        </is>
      </c>
      <c r="E1607" s="36" t="n">
        <v>10.2</v>
      </c>
      <c r="F1607" s="54" t="n">
        <v>10.2</v>
      </c>
      <c r="G1607" s="54" t="n">
        <v>1</v>
      </c>
      <c r="H1607" s="55" t="n">
        <v>226</v>
      </c>
      <c r="I1607" s="55" t="n">
        <v>234.85</v>
      </c>
      <c r="J1607" s="55" t="n">
        <v>0</v>
      </c>
      <c r="K1607" s="55" t="n">
        <v>0</v>
      </c>
      <c r="L1607" s="55" t="n">
        <v>234.85</v>
      </c>
      <c r="M1607" s="55" t="n">
        <v>8.85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128548</t>
        </is>
      </c>
      <c r="B1608" s="52" t="n">
        <v>46037</v>
      </c>
      <c r="C1608" s="36" t="inlineStr">
        <is>
          <t>00186037020</t>
        </is>
      </c>
      <c r="D1608" s="53" t="inlineStr">
        <is>
          <t>SYMBICORT 160-4.5MCG/ACT AEROSOL</t>
        </is>
      </c>
      <c r="E1608" s="36" t="n">
        <v>10.2</v>
      </c>
      <c r="F1608" s="54" t="n">
        <v>10.2</v>
      </c>
      <c r="G1608" s="54" t="n">
        <v>1</v>
      </c>
      <c r="H1608" s="55" t="n">
        <v>226</v>
      </c>
      <c r="I1608" s="55" t="n">
        <v>234.87</v>
      </c>
      <c r="J1608" s="55" t="n">
        <v>0</v>
      </c>
      <c r="K1608" s="55" t="n">
        <v>0</v>
      </c>
      <c r="L1608" s="55" t="n">
        <v>234.87</v>
      </c>
      <c r="M1608" s="55" t="n">
        <v>8.869999999999999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141437</t>
        </is>
      </c>
      <c r="B1609" s="52" t="n">
        <v>46055</v>
      </c>
      <c r="C1609" s="36" t="inlineStr">
        <is>
          <t>00186037020</t>
        </is>
      </c>
      <c r="D1609" s="53" t="inlineStr">
        <is>
          <t>SYMBICORT 160-4.5MCG/ACT AEROSOL</t>
        </is>
      </c>
      <c r="E1609" s="36" t="n">
        <v>10.2</v>
      </c>
      <c r="F1609" s="54" t="n">
        <v>10.2</v>
      </c>
      <c r="G1609" s="54" t="n">
        <v>1</v>
      </c>
      <c r="H1609" s="55" t="n">
        <v>226</v>
      </c>
      <c r="I1609" s="55" t="n">
        <v>234.87</v>
      </c>
      <c r="J1609" s="55" t="n">
        <v>0</v>
      </c>
      <c r="K1609" s="55" t="n">
        <v>0</v>
      </c>
      <c r="L1609" s="55" t="n">
        <v>234.87</v>
      </c>
      <c r="M1609" s="55" t="n">
        <v>8.869999999999999</v>
      </c>
      <c r="N1609" s="36" t="inlineStr">
        <is>
          <t>004740</t>
        </is>
      </c>
      <c r="O1609" s="36" t="inlineStr">
        <is>
          <t>NYM</t>
        </is>
      </c>
      <c r="P1609" s="36" t="inlineStr">
        <is>
          <t>9314DA31</t>
        </is>
      </c>
      <c r="Q1609" s="36" t="n">
        <v/>
      </c>
    </row>
    <row r="1610">
      <c r="A1610" s="36" t="inlineStr">
        <is>
          <t>124326</t>
        </is>
      </c>
      <c r="B1610" s="52" t="n">
        <v>46064</v>
      </c>
      <c r="C1610" s="36" t="inlineStr">
        <is>
          <t>00186037020</t>
        </is>
      </c>
      <c r="D1610" s="53" t="inlineStr">
        <is>
          <t>SYMBICORT 160-4.5MCG/ACT AEROSOL</t>
        </is>
      </c>
      <c r="E1610" s="36" t="n">
        <v>10.2</v>
      </c>
      <c r="F1610" s="54" t="n">
        <v>10.2</v>
      </c>
      <c r="G1610" s="54" t="n">
        <v>1</v>
      </c>
      <c r="H1610" s="55" t="n">
        <v>226</v>
      </c>
      <c r="I1610" s="55" t="n">
        <v>234.87</v>
      </c>
      <c r="J1610" s="55" t="n">
        <v>0</v>
      </c>
      <c r="K1610" s="55" t="n">
        <v>0</v>
      </c>
      <c r="L1610" s="55" t="n">
        <v>234.87</v>
      </c>
      <c r="M1610" s="55" t="n">
        <v>8.869999999999999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126787</t>
        </is>
      </c>
      <c r="B1611" s="52" t="n">
        <v>45996</v>
      </c>
      <c r="C1611" s="36" t="inlineStr">
        <is>
          <t>00186037020</t>
        </is>
      </c>
      <c r="D1611" s="53" t="inlineStr">
        <is>
          <t>SYMBICORT 160-4.5MCG/ACT AEROSOL</t>
        </is>
      </c>
      <c r="E1611" s="36" t="n">
        <v>10.2</v>
      </c>
      <c r="F1611" s="54" t="n">
        <v>10.2</v>
      </c>
      <c r="G1611" s="54" t="n">
        <v>1</v>
      </c>
      <c r="H1611" s="55" t="n">
        <v>226</v>
      </c>
      <c r="I1611" s="55" t="n">
        <v>234.9</v>
      </c>
      <c r="J1611" s="55" t="n">
        <v>0</v>
      </c>
      <c r="K1611" s="55" t="n">
        <v>0</v>
      </c>
      <c r="L1611" s="55" t="n">
        <v>234.9</v>
      </c>
      <c r="M1611" s="55" t="n">
        <v>8.9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130668</t>
        </is>
      </c>
      <c r="B1612" s="52" t="n">
        <v>46000</v>
      </c>
      <c r="C1612" s="36" t="inlineStr">
        <is>
          <t>00186037220</t>
        </is>
      </c>
      <c r="D1612" s="53" t="inlineStr">
        <is>
          <t>SYMBICORT 80-4.5MCG/ACT AEROSOL</t>
        </is>
      </c>
      <c r="E1612" s="36" t="n">
        <v>10.2</v>
      </c>
      <c r="F1612" s="54" t="n">
        <v>10.2</v>
      </c>
      <c r="G1612" s="54" t="n">
        <v>1</v>
      </c>
      <c r="H1612" s="55" t="n">
        <v>0</v>
      </c>
      <c r="I1612" s="55" t="n">
        <v>206.71</v>
      </c>
      <c r="J1612" s="55" t="n">
        <v>0</v>
      </c>
      <c r="K1612" s="55" t="n">
        <v>0</v>
      </c>
      <c r="L1612" s="55" t="n">
        <v>206.71</v>
      </c>
      <c r="M1612" s="55" t="n">
        <v>0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143419</t>
        </is>
      </c>
      <c r="B1613" s="52" t="n">
        <v>46069</v>
      </c>
      <c r="C1613" s="36" t="inlineStr">
        <is>
          <t>00186037220</t>
        </is>
      </c>
      <c r="D1613" s="53" t="inlineStr">
        <is>
          <t>SYMBICORT 80-4.5MCG/ACT AEROSOL</t>
        </is>
      </c>
      <c r="E1613" s="36" t="n">
        <v>10.2</v>
      </c>
      <c r="F1613" s="54" t="n">
        <v>10.2</v>
      </c>
      <c r="G1613" s="54" t="n">
        <v>1</v>
      </c>
      <c r="H1613" s="55" t="n">
        <v>0</v>
      </c>
      <c r="I1613" s="55" t="n">
        <v>206.69</v>
      </c>
      <c r="J1613" s="55" t="n">
        <v>0</v>
      </c>
      <c r="K1613" s="55" t="n">
        <v>0</v>
      </c>
      <c r="L1613" s="55" t="n">
        <v>206.69</v>
      </c>
      <c r="M1613" s="55" t="n">
        <v>0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138481</t>
        </is>
      </c>
      <c r="B1614" s="52" t="n">
        <v>46034</v>
      </c>
      <c r="C1614" s="36" t="inlineStr">
        <is>
          <t>00186037220</t>
        </is>
      </c>
      <c r="D1614" s="53" t="inlineStr">
        <is>
          <t>SYMBICORT 80-4.5MCG/ACT AEROSOL</t>
        </is>
      </c>
      <c r="E1614" s="36" t="n">
        <v>10.2</v>
      </c>
      <c r="F1614" s="54" t="n">
        <v>10.2</v>
      </c>
      <c r="G1614" s="54" t="n">
        <v>1</v>
      </c>
      <c r="H1614" s="55" t="n">
        <v>0</v>
      </c>
      <c r="I1614" s="55" t="n">
        <v>206.7</v>
      </c>
      <c r="J1614" s="55" t="n">
        <v>0</v>
      </c>
      <c r="K1614" s="55" t="n">
        <v>0</v>
      </c>
      <c r="L1614" s="55" t="n">
        <v>206.7</v>
      </c>
      <c r="M1614" s="55" t="n">
        <v>0</v>
      </c>
      <c r="N1614" s="36" t="inlineStr">
        <is>
          <t>004740</t>
        </is>
      </c>
      <c r="O1614" s="36" t="inlineStr">
        <is>
          <t>NYM</t>
        </is>
      </c>
      <c r="P1614" s="36" t="inlineStr">
        <is>
          <t>9314DA31</t>
        </is>
      </c>
      <c r="Q1614" s="36" t="n">
        <v/>
      </c>
    </row>
    <row r="1615">
      <c r="A1615" s="36" t="inlineStr">
        <is>
          <t>144286</t>
        </is>
      </c>
      <c r="B1615" s="52" t="n">
        <v>46073</v>
      </c>
      <c r="C1615" s="36" t="inlineStr">
        <is>
          <t>00186037220</t>
        </is>
      </c>
      <c r="D1615" s="53" t="inlineStr">
        <is>
          <t>SYMBICORT 80-4.5MCG/ACT AEROSOL</t>
        </is>
      </c>
      <c r="E1615" s="36" t="n">
        <v>10.2</v>
      </c>
      <c r="F1615" s="54" t="n">
        <v>10.2</v>
      </c>
      <c r="G1615" s="54" t="n">
        <v>1</v>
      </c>
      <c r="H1615" s="55" t="n">
        <v>0</v>
      </c>
      <c r="I1615" s="55" t="n">
        <v>206.69</v>
      </c>
      <c r="J1615" s="55" t="n">
        <v>0</v>
      </c>
      <c r="K1615" s="55" t="n">
        <v>0</v>
      </c>
      <c r="L1615" s="55" t="n">
        <v>206.69</v>
      </c>
      <c r="M1615" s="55" t="n">
        <v>0</v>
      </c>
      <c r="N1615" s="36" t="inlineStr">
        <is>
          <t>004740</t>
        </is>
      </c>
      <c r="O1615" s="36" t="inlineStr">
        <is>
          <t>NYM</t>
        </is>
      </c>
      <c r="P1615" s="36" t="inlineStr">
        <is>
          <t>9314DA31</t>
        </is>
      </c>
      <c r="Q1615" s="36" t="n">
        <v/>
      </c>
    </row>
    <row r="1616">
      <c r="A1616" s="36" t="inlineStr">
        <is>
          <t>132500</t>
        </is>
      </c>
      <c r="B1616" s="52" t="n">
        <v>46013</v>
      </c>
      <c r="C1616" s="36" t="inlineStr">
        <is>
          <t>00186037220</t>
        </is>
      </c>
      <c r="D1616" s="53" t="inlineStr">
        <is>
          <t>SYMBICORT 80-4.5MCG/ACT AEROSOL</t>
        </is>
      </c>
      <c r="E1616" s="36" t="n">
        <v>10.2</v>
      </c>
      <c r="F1616" s="54" t="n">
        <v>10.2</v>
      </c>
      <c r="G1616" s="54" t="n">
        <v>1</v>
      </c>
      <c r="H1616" s="55" t="n">
        <v>0</v>
      </c>
      <c r="I1616" s="55" t="n">
        <v>206.71</v>
      </c>
      <c r="J1616" s="55" t="n">
        <v>0</v>
      </c>
      <c r="K1616" s="55" t="n">
        <v>0</v>
      </c>
      <c r="L1616" s="55" t="n">
        <v>206.71</v>
      </c>
      <c r="M1616" s="55" t="n">
        <v>0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134444</t>
        </is>
      </c>
      <c r="B1617" s="52" t="n">
        <v>46000</v>
      </c>
      <c r="C1617" s="36" t="inlineStr">
        <is>
          <t>00186037220</t>
        </is>
      </c>
      <c r="D1617" s="53" t="inlineStr">
        <is>
          <t>SYMBICORT 80-4.5MCG/ACT AEROSOL</t>
        </is>
      </c>
      <c r="E1617" s="36" t="n">
        <v>10.2</v>
      </c>
      <c r="F1617" s="54" t="n">
        <v>10.2</v>
      </c>
      <c r="G1617" s="54" t="n">
        <v>1</v>
      </c>
      <c r="H1617" s="55" t="n">
        <v>0</v>
      </c>
      <c r="I1617" s="55" t="n">
        <v>206.25</v>
      </c>
      <c r="J1617" s="55" t="n">
        <v>0</v>
      </c>
      <c r="K1617" s="55" t="n">
        <v>0</v>
      </c>
      <c r="L1617" s="55" t="n">
        <v>206.25</v>
      </c>
      <c r="M1617" s="55" t="n">
        <v>0</v>
      </c>
      <c r="N1617" s="36" t="inlineStr">
        <is>
          <t>610097</t>
        </is>
      </c>
      <c r="O1617" s="36" t="inlineStr">
        <is>
          <t>OPTUM</t>
        </is>
      </c>
      <c r="P1617" s="36" t="inlineStr">
        <is>
          <t>9999</t>
        </is>
      </c>
      <c r="Q1617" s="36" t="inlineStr">
        <is>
          <t>MPDCSP</t>
        </is>
      </c>
    </row>
    <row r="1618">
      <c r="A1618" s="36" t="inlineStr">
        <is>
          <t>132500</t>
        </is>
      </c>
      <c r="B1618" s="52" t="n">
        <v>46041</v>
      </c>
      <c r="C1618" s="36" t="inlineStr">
        <is>
          <t>00186037220</t>
        </is>
      </c>
      <c r="D1618" s="53" t="inlineStr">
        <is>
          <t>SYMBICORT 80-4.5MCG/ACT AEROSOL</t>
        </is>
      </c>
      <c r="E1618" s="36" t="n">
        <v>10.2</v>
      </c>
      <c r="F1618" s="54" t="n">
        <v>10.2</v>
      </c>
      <c r="G1618" s="54" t="n">
        <v>1</v>
      </c>
      <c r="H1618" s="55" t="n">
        <v>0</v>
      </c>
      <c r="I1618" s="55" t="n">
        <v>206.7</v>
      </c>
      <c r="J1618" s="55" t="n">
        <v>0</v>
      </c>
      <c r="K1618" s="55" t="n">
        <v>0</v>
      </c>
      <c r="L1618" s="55" t="n">
        <v>206.7</v>
      </c>
      <c r="M1618" s="55" t="n">
        <v>0</v>
      </c>
      <c r="N1618" s="36" t="inlineStr">
        <is>
          <t>004740</t>
        </is>
      </c>
      <c r="O1618" s="36" t="inlineStr">
        <is>
          <t>NYM</t>
        </is>
      </c>
      <c r="P1618" s="36" t="inlineStr">
        <is>
          <t>9314DA31</t>
        </is>
      </c>
      <c r="Q1618" s="36" t="n">
        <v/>
      </c>
    </row>
    <row r="1619">
      <c r="A1619" s="36" t="inlineStr">
        <is>
          <t>118463</t>
        </is>
      </c>
      <c r="B1619" s="52" t="n">
        <v>45993</v>
      </c>
      <c r="C1619" s="36" t="inlineStr">
        <is>
          <t>59676080030</t>
        </is>
      </c>
      <c r="D1619" s="53" t="inlineStr">
        <is>
          <t>SYMTUZA 800-150-200-10MG TABLET</t>
        </is>
      </c>
      <c r="E1619" s="36" t="n">
        <v>30</v>
      </c>
      <c r="F1619" s="54" t="n">
        <v>30</v>
      </c>
      <c r="G1619" s="54" t="n">
        <v>1</v>
      </c>
      <c r="H1619" s="55" t="n">
        <v>4599</v>
      </c>
      <c r="I1619" s="55" t="n">
        <v>4485.98</v>
      </c>
      <c r="J1619" s="55" t="n">
        <v>0</v>
      </c>
      <c r="K1619" s="55" t="n">
        <v>0</v>
      </c>
      <c r="L1619" s="55" t="n">
        <v>4485.98</v>
      </c>
      <c r="M1619" s="55" t="n">
        <v>-113.02</v>
      </c>
      <c r="N1619" s="36" t="inlineStr">
        <is>
          <t>015574</t>
        </is>
      </c>
      <c r="O1619" s="36" t="inlineStr">
        <is>
          <t>MEDIMP</t>
        </is>
      </c>
      <c r="P1619" s="36" t="inlineStr">
        <is>
          <t>ASPROD1</t>
        </is>
      </c>
      <c r="Q1619" s="36" t="inlineStr">
        <is>
          <t>VNS01</t>
        </is>
      </c>
    </row>
    <row r="1620">
      <c r="A1620" s="36" t="inlineStr">
        <is>
          <t>118463</t>
        </is>
      </c>
      <c r="B1620" s="52" t="n">
        <v>46021</v>
      </c>
      <c r="C1620" s="36" t="inlineStr">
        <is>
          <t>59676080030</t>
        </is>
      </c>
      <c r="D1620" s="53" t="inlineStr">
        <is>
          <t>SYMTUZA 800-150-200-10MG TABLET</t>
        </is>
      </c>
      <c r="E1620" s="36" t="n">
        <v>30</v>
      </c>
      <c r="F1620" s="54" t="n">
        <v>30</v>
      </c>
      <c r="G1620" s="54" t="n">
        <v>1</v>
      </c>
      <c r="H1620" s="55" t="n">
        <v>4599</v>
      </c>
      <c r="I1620" s="55" t="n">
        <v>4485.98</v>
      </c>
      <c r="J1620" s="55" t="n">
        <v>0</v>
      </c>
      <c r="K1620" s="55" t="n">
        <v>0</v>
      </c>
      <c r="L1620" s="55" t="n">
        <v>4485.98</v>
      </c>
      <c r="M1620" s="55" t="n">
        <v>-113.02</v>
      </c>
      <c r="N1620" s="36" t="inlineStr">
        <is>
          <t>015574</t>
        </is>
      </c>
      <c r="O1620" s="36" t="inlineStr">
        <is>
          <t>MEDIMP</t>
        </is>
      </c>
      <c r="P1620" s="36" t="inlineStr">
        <is>
          <t>ASPROD1</t>
        </is>
      </c>
      <c r="Q1620" s="36" t="inlineStr">
        <is>
          <t>VNS01</t>
        </is>
      </c>
    </row>
    <row r="1621">
      <c r="A1621" s="36" t="inlineStr">
        <is>
          <t>140644</t>
        </is>
      </c>
      <c r="B1621" s="52" t="n">
        <v>46049</v>
      </c>
      <c r="C1621" s="36" t="inlineStr">
        <is>
          <t>59676080030</t>
        </is>
      </c>
      <c r="D1621" s="53" t="inlineStr">
        <is>
          <t>SYMTUZA 800-150-200-10MG TABLET</t>
        </is>
      </c>
      <c r="E1621" s="36" t="n">
        <v>30</v>
      </c>
      <c r="F1621" s="54" t="n">
        <v>30</v>
      </c>
      <c r="G1621" s="54" t="n">
        <v>1</v>
      </c>
      <c r="H1621" s="55" t="n">
        <v>4599</v>
      </c>
      <c r="I1621" s="55" t="n">
        <v>4466.88</v>
      </c>
      <c r="J1621" s="55" t="n">
        <v>0</v>
      </c>
      <c r="K1621" s="55" t="n">
        <v>4.9</v>
      </c>
      <c r="L1621" s="55" t="n">
        <v>4471.78</v>
      </c>
      <c r="M1621" s="55" t="n">
        <v>-127.22</v>
      </c>
      <c r="N1621" s="36" t="inlineStr">
        <is>
          <t>015574</t>
        </is>
      </c>
      <c r="O1621" s="36" t="inlineStr">
        <is>
          <t>MEDIMP</t>
        </is>
      </c>
      <c r="P1621" s="36" t="inlineStr">
        <is>
          <t>ASPROD1</t>
        </is>
      </c>
      <c r="Q1621" s="36" t="inlineStr">
        <is>
          <t>VNS01</t>
        </is>
      </c>
    </row>
    <row r="1622">
      <c r="A1622" s="36" t="inlineStr">
        <is>
          <t>141477</t>
        </is>
      </c>
      <c r="B1622" s="52" t="n">
        <v>46055</v>
      </c>
      <c r="C1622" s="36" t="inlineStr">
        <is>
          <t>59676080030</t>
        </is>
      </c>
      <c r="D1622" s="53" t="inlineStr">
        <is>
          <t>SYMTUZA 800-150-200-10MG TABLET</t>
        </is>
      </c>
      <c r="E1622" s="36" t="n">
        <v>30</v>
      </c>
      <c r="F1622" s="54" t="n">
        <v>30</v>
      </c>
      <c r="G1622" s="54" t="n">
        <v>1</v>
      </c>
      <c r="H1622" s="55" t="n">
        <v>4599</v>
      </c>
      <c r="I1622" s="55" t="n">
        <v>4483.47</v>
      </c>
      <c r="J1622" s="55" t="n">
        <v>0</v>
      </c>
      <c r="K1622" s="55" t="n">
        <v>4.9</v>
      </c>
      <c r="L1622" s="55" t="n">
        <v>4488.37</v>
      </c>
      <c r="M1622" s="55" t="n">
        <v>-110.63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139757</t>
        </is>
      </c>
      <c r="B1623" s="52" t="n">
        <v>46042</v>
      </c>
      <c r="C1623" s="36" t="inlineStr">
        <is>
          <t>00597016860</t>
        </is>
      </c>
      <c r="D1623" s="53" t="inlineStr">
        <is>
          <t>SYNJARDY 12.5-1000MG TABLET</t>
        </is>
      </c>
      <c r="E1623" s="36" t="n">
        <v>60</v>
      </c>
      <c r="F1623" s="54" t="n">
        <v>60</v>
      </c>
      <c r="G1623" s="54" t="n">
        <v>1</v>
      </c>
      <c r="H1623" s="55" t="n">
        <v>338</v>
      </c>
      <c r="I1623" s="55" t="n">
        <v>327.92</v>
      </c>
      <c r="J1623" s="55" t="n">
        <v>0</v>
      </c>
      <c r="K1623" s="55" t="n">
        <v>4.9</v>
      </c>
      <c r="L1623" s="55" t="n">
        <v>332.82</v>
      </c>
      <c r="M1623" s="55" t="n">
        <v>-5.18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137085</t>
        </is>
      </c>
      <c r="B1624" s="52" t="n">
        <v>46022</v>
      </c>
      <c r="C1624" s="36" t="inlineStr">
        <is>
          <t>00597016860</t>
        </is>
      </c>
      <c r="D1624" s="53" t="inlineStr">
        <is>
          <t>SYNJARDY 12.5-1000MG TABLET</t>
        </is>
      </c>
      <c r="E1624" s="36" t="n">
        <v>60</v>
      </c>
      <c r="F1624" s="54" t="n">
        <v>180</v>
      </c>
      <c r="G1624" s="54" t="n">
        <v>3</v>
      </c>
      <c r="H1624" s="55" t="n">
        <v>1818</v>
      </c>
      <c r="I1624" s="55" t="n">
        <v>1755.78</v>
      </c>
      <c r="J1624" s="55" t="n">
        <v>0</v>
      </c>
      <c r="K1624" s="55" t="n">
        <v>0</v>
      </c>
      <c r="L1624" s="55" t="n">
        <v>1755.78</v>
      </c>
      <c r="M1624" s="55" t="n">
        <v>-62.22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133972</t>
        </is>
      </c>
      <c r="B1625" s="52" t="n">
        <v>45996</v>
      </c>
      <c r="C1625" s="36" t="inlineStr">
        <is>
          <t>00597016860</t>
        </is>
      </c>
      <c r="D1625" s="53" t="inlineStr">
        <is>
          <t>SYNJARDY 12.5-1000MG TABLET</t>
        </is>
      </c>
      <c r="E1625" s="36" t="n">
        <v>60</v>
      </c>
      <c r="F1625" s="54" t="n">
        <v>90</v>
      </c>
      <c r="G1625" s="54" t="n">
        <v>1.5</v>
      </c>
      <c r="H1625" s="55" t="n">
        <v>909</v>
      </c>
      <c r="I1625" s="55" t="n">
        <v>877.72</v>
      </c>
      <c r="J1625" s="55" t="n">
        <v>0</v>
      </c>
      <c r="K1625" s="55" t="n">
        <v>0</v>
      </c>
      <c r="L1625" s="55" t="n">
        <v>877.72</v>
      </c>
      <c r="M1625" s="55" t="n">
        <v>-31.28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143749</t>
        </is>
      </c>
      <c r="B1626" s="52" t="n">
        <v>46071</v>
      </c>
      <c r="C1626" s="36" t="inlineStr">
        <is>
          <t>00597017560</t>
        </is>
      </c>
      <c r="D1626" s="53" t="inlineStr">
        <is>
          <t>SYNJARDY 5-1000 MG TABLET</t>
        </is>
      </c>
      <c r="E1626" s="36" t="n">
        <v>60</v>
      </c>
      <c r="F1626" s="54" t="n">
        <v>60</v>
      </c>
      <c r="G1626" s="54" t="n">
        <v>1</v>
      </c>
      <c r="H1626" s="55" t="n">
        <v>338</v>
      </c>
      <c r="I1626" s="55" t="n">
        <v>346.38</v>
      </c>
      <c r="J1626" s="55" t="n">
        <v>0</v>
      </c>
      <c r="K1626" s="55" t="n">
        <v>0</v>
      </c>
      <c r="L1626" s="55" t="n">
        <v>346.38</v>
      </c>
      <c r="M1626" s="55" t="n">
        <v>8.380000000000001</v>
      </c>
      <c r="N1626" s="36" t="inlineStr">
        <is>
          <t>004740</t>
        </is>
      </c>
      <c r="O1626" s="36" t="inlineStr">
        <is>
          <t>NYM</t>
        </is>
      </c>
      <c r="P1626" s="36" t="inlineStr">
        <is>
          <t>9314DA31</t>
        </is>
      </c>
      <c r="Q1626" s="36" t="n">
        <v/>
      </c>
    </row>
    <row r="1627">
      <c r="A1627" s="36" t="inlineStr">
        <is>
          <t>120447</t>
        </is>
      </c>
      <c r="B1627" s="52" t="n">
        <v>46041</v>
      </c>
      <c r="C1627" s="36" t="inlineStr">
        <is>
          <t>00597017560</t>
        </is>
      </c>
      <c r="D1627" s="53" t="inlineStr">
        <is>
          <t>SYNJARDY 5-1000 MG TABLET</t>
        </is>
      </c>
      <c r="E1627" s="36" t="n">
        <v>60</v>
      </c>
      <c r="F1627" s="54" t="n">
        <v>60</v>
      </c>
      <c r="G1627" s="54" t="n">
        <v>1</v>
      </c>
      <c r="H1627" s="55" t="n">
        <v>338</v>
      </c>
      <c r="I1627" s="55" t="n">
        <v>346.38</v>
      </c>
      <c r="J1627" s="55" t="n">
        <v>0</v>
      </c>
      <c r="K1627" s="55" t="n">
        <v>0</v>
      </c>
      <c r="L1627" s="55" t="n">
        <v>346.38</v>
      </c>
      <c r="M1627" s="55" t="n">
        <v>8.380000000000001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120447</t>
        </is>
      </c>
      <c r="B1628" s="52" t="n">
        <v>46013</v>
      </c>
      <c r="C1628" s="36" t="inlineStr">
        <is>
          <t>00597017560</t>
        </is>
      </c>
      <c r="D1628" s="53" t="inlineStr">
        <is>
          <t>SYNJARDY 5-1000 MG TABLET</t>
        </is>
      </c>
      <c r="E1628" s="36" t="n">
        <v>60</v>
      </c>
      <c r="F1628" s="54" t="n">
        <v>60</v>
      </c>
      <c r="G1628" s="54" t="n">
        <v>1</v>
      </c>
      <c r="H1628" s="55" t="n">
        <v>606</v>
      </c>
      <c r="I1628" s="55" t="n">
        <v>614.92</v>
      </c>
      <c r="J1628" s="55" t="n">
        <v>0</v>
      </c>
      <c r="K1628" s="55" t="n">
        <v>0</v>
      </c>
      <c r="L1628" s="55" t="n">
        <v>614.92</v>
      </c>
      <c r="M1628" s="55" t="n">
        <v>8.92</v>
      </c>
      <c r="N1628" s="36" t="inlineStr">
        <is>
          <t>004740</t>
        </is>
      </c>
      <c r="O1628" s="36" t="inlineStr">
        <is>
          <t>NYM</t>
        </is>
      </c>
      <c r="P1628" s="36" t="inlineStr">
        <is>
          <t>9314DA31</t>
        </is>
      </c>
      <c r="Q1628" s="36" t="n">
        <v/>
      </c>
    </row>
    <row r="1629">
      <c r="A1629" s="36" t="inlineStr">
        <is>
          <t>133661</t>
        </is>
      </c>
      <c r="B1629" s="52" t="n">
        <v>45995</v>
      </c>
      <c r="C1629" s="36" t="inlineStr">
        <is>
          <t>00597029074</t>
        </is>
      </c>
      <c r="D1629" s="53" t="inlineStr">
        <is>
          <t>SYNJARDY 5-1000MG TABLET XR</t>
        </is>
      </c>
      <c r="E1629" s="36" t="n">
        <v>60</v>
      </c>
      <c r="F1629" s="54" t="n">
        <v>90</v>
      </c>
      <c r="G1629" s="54" t="n">
        <v>1.5</v>
      </c>
      <c r="H1629" s="55" t="n">
        <v>507</v>
      </c>
      <c r="I1629" s="55" t="n">
        <v>877.72</v>
      </c>
      <c r="J1629" s="55" t="n">
        <v>0</v>
      </c>
      <c r="K1629" s="55" t="n">
        <v>0</v>
      </c>
      <c r="L1629" s="55" t="n">
        <v>877.72</v>
      </c>
      <c r="M1629" s="55" t="n">
        <v>370.72</v>
      </c>
      <c r="N1629" s="36" t="inlineStr">
        <is>
          <t>004336</t>
        </is>
      </c>
      <c r="O1629" s="36" t="inlineStr">
        <is>
          <t>CAREMARK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135716</t>
        </is>
      </c>
      <c r="B1630" s="52" t="n">
        <v>46010</v>
      </c>
      <c r="C1630" s="36" t="inlineStr">
        <is>
          <t>00597029074</t>
        </is>
      </c>
      <c r="D1630" s="53" t="inlineStr">
        <is>
          <t>SYNJARDY 5-1000MG TABLET XR</t>
        </is>
      </c>
      <c r="E1630" s="36" t="n">
        <v>60</v>
      </c>
      <c r="F1630" s="54" t="n">
        <v>180</v>
      </c>
      <c r="G1630" s="54" t="n">
        <v>3</v>
      </c>
      <c r="H1630" s="55" t="n">
        <v>1014</v>
      </c>
      <c r="I1630" s="55" t="n">
        <v>1826.18</v>
      </c>
      <c r="J1630" s="55" t="n">
        <v>0</v>
      </c>
      <c r="K1630" s="55" t="n">
        <v>0</v>
      </c>
      <c r="L1630" s="55" t="n">
        <v>1826.18</v>
      </c>
      <c r="M1630" s="55" t="n">
        <v>812.1799999999999</v>
      </c>
      <c r="N1630" s="36" t="inlineStr">
        <is>
          <t>004740</t>
        </is>
      </c>
      <c r="O1630" s="36" t="inlineStr">
        <is>
          <t>NYM</t>
        </is>
      </c>
      <c r="P1630" s="36" t="inlineStr">
        <is>
          <t>9314DA31</t>
        </is>
      </c>
      <c r="Q1630" s="36" t="n">
        <v/>
      </c>
    </row>
    <row r="1631">
      <c r="A1631" s="36" t="inlineStr">
        <is>
          <t>133897</t>
        </is>
      </c>
      <c r="B1631" s="52" t="n">
        <v>45996</v>
      </c>
      <c r="C1631" s="36" t="inlineStr">
        <is>
          <t>00597030045</t>
        </is>
      </c>
      <c r="D1631" s="53" t="inlineStr">
        <is>
          <t>SYNJARDY XR 12.5-1000 MG TABLET ER</t>
        </is>
      </c>
      <c r="E1631" s="36" t="n">
        <v>60</v>
      </c>
      <c r="F1631" s="54" t="n">
        <v>90</v>
      </c>
      <c r="G1631" s="54" t="n">
        <v>1.5</v>
      </c>
      <c r="H1631" s="55" t="n">
        <v>909</v>
      </c>
      <c r="I1631" s="55" t="n">
        <v>914.66</v>
      </c>
      <c r="J1631" s="55" t="n">
        <v>0</v>
      </c>
      <c r="K1631" s="55" t="n">
        <v>1</v>
      </c>
      <c r="L1631" s="55" t="n">
        <v>915.66</v>
      </c>
      <c r="M1631" s="55" t="n">
        <v>6.66</v>
      </c>
      <c r="N1631" s="36" t="inlineStr">
        <is>
          <t>004740</t>
        </is>
      </c>
      <c r="O1631" s="36" t="inlineStr">
        <is>
          <t>NYM</t>
        </is>
      </c>
      <c r="P1631" s="36" t="inlineStr">
        <is>
          <t>9314DA31</t>
        </is>
      </c>
      <c r="Q1631" s="36" t="n">
        <v/>
      </c>
    </row>
    <row r="1632">
      <c r="A1632" s="36" t="inlineStr">
        <is>
          <t>139193</t>
        </is>
      </c>
      <c r="B1632" s="52" t="n">
        <v>46037</v>
      </c>
      <c r="C1632" s="36" t="inlineStr">
        <is>
          <t>00597030045</t>
        </is>
      </c>
      <c r="D1632" s="53" t="inlineStr">
        <is>
          <t>SYNJARDY XR 12.5-1000 MG TABLET ER</t>
        </is>
      </c>
      <c r="E1632" s="36" t="n">
        <v>60</v>
      </c>
      <c r="F1632" s="54" t="n">
        <v>180</v>
      </c>
      <c r="G1632" s="54" t="n">
        <v>3</v>
      </c>
      <c r="H1632" s="55" t="n">
        <v>1014</v>
      </c>
      <c r="I1632" s="55" t="n">
        <v>1017.07</v>
      </c>
      <c r="J1632" s="55" t="n">
        <v>0</v>
      </c>
      <c r="K1632" s="55" t="n">
        <v>0</v>
      </c>
      <c r="L1632" s="55" t="n">
        <v>1017.07</v>
      </c>
      <c r="M1632" s="55" t="n">
        <v>3.07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141236</t>
        </is>
      </c>
      <c r="B1633" s="52" t="n">
        <v>46052</v>
      </c>
      <c r="C1633" s="36" t="inlineStr">
        <is>
          <t>00597030045</t>
        </is>
      </c>
      <c r="D1633" s="53" t="inlineStr">
        <is>
          <t>SYNJARDY XR 12.5-1000 MG TABLET ER</t>
        </is>
      </c>
      <c r="E1633" s="36" t="n">
        <v>60</v>
      </c>
      <c r="F1633" s="54" t="n">
        <v>180</v>
      </c>
      <c r="G1633" s="54" t="n">
        <v>3</v>
      </c>
      <c r="H1633" s="55" t="n">
        <v>1014</v>
      </c>
      <c r="I1633" s="55" t="n">
        <v>982.46</v>
      </c>
      <c r="J1633" s="55" t="n">
        <v>0</v>
      </c>
      <c r="K1633" s="55" t="n">
        <v>0</v>
      </c>
      <c r="L1633" s="55" t="n">
        <v>982.46</v>
      </c>
      <c r="M1633" s="55" t="n">
        <v>-31.54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130766</t>
        </is>
      </c>
      <c r="B1634" s="52" t="n">
        <v>46058</v>
      </c>
      <c r="C1634" s="36" t="inlineStr">
        <is>
          <t>00597029588</t>
        </is>
      </c>
      <c r="D1634" s="53" t="inlineStr">
        <is>
          <t>SYNJARDY XR 25-1000MG TABLET</t>
        </is>
      </c>
      <c r="E1634" s="36" t="n">
        <v>30</v>
      </c>
      <c r="F1634" s="54" t="n">
        <v>30</v>
      </c>
      <c r="G1634" s="54" t="n">
        <v>1</v>
      </c>
      <c r="H1634" s="55" t="n">
        <v>0</v>
      </c>
      <c r="I1634" s="55" t="n">
        <v>327.92</v>
      </c>
      <c r="J1634" s="55" t="n">
        <v>0</v>
      </c>
      <c r="K1634" s="55" t="n">
        <v>4.9</v>
      </c>
      <c r="L1634" s="55" t="n">
        <v>332.82</v>
      </c>
      <c r="M1634" s="55" t="n">
        <v>0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MEDDADV</t>
        </is>
      </c>
      <c r="Q1634" s="36" t="inlineStr">
        <is>
          <t>RX1110</t>
        </is>
      </c>
    </row>
    <row r="1635">
      <c r="A1635" s="36" t="inlineStr">
        <is>
          <t>141666</t>
        </is>
      </c>
      <c r="B1635" s="52" t="n">
        <v>46056</v>
      </c>
      <c r="C1635" s="36" t="inlineStr">
        <is>
          <t>00074706890</t>
        </is>
      </c>
      <c r="D1635" s="53" t="inlineStr">
        <is>
          <t>SYNTHROID 125 MCG ORAL TABLET</t>
        </is>
      </c>
      <c r="E1635" s="36" t="n">
        <v>90</v>
      </c>
      <c r="F1635" s="54" t="n">
        <v>30</v>
      </c>
      <c r="G1635" s="54" t="n">
        <v>0.33</v>
      </c>
      <c r="H1635" s="55" t="n">
        <v>50.67</v>
      </c>
      <c r="I1635" s="55" t="n">
        <v>50.43</v>
      </c>
      <c r="J1635" s="55" t="n">
        <v>0</v>
      </c>
      <c r="K1635" s="55" t="n">
        <v>0</v>
      </c>
      <c r="L1635" s="55" t="n">
        <v>50.43</v>
      </c>
      <c r="M1635" s="55" t="n">
        <v>-0.24</v>
      </c>
      <c r="N1635" s="36" t="inlineStr">
        <is>
          <t>004336</t>
        </is>
      </c>
      <c r="O1635" s="36" t="inlineStr">
        <is>
          <t>CAREMARK</t>
        </is>
      </c>
      <c r="P1635" s="36" t="inlineStr">
        <is>
          <t>MEDDADV</t>
        </is>
      </c>
      <c r="Q1635" s="36" t="inlineStr">
        <is>
          <t>RXCVSD</t>
        </is>
      </c>
    </row>
    <row r="1636">
      <c r="A1636" s="36" t="inlineStr">
        <is>
          <t>143911</t>
        </is>
      </c>
      <c r="B1636" s="52" t="n">
        <v>46071</v>
      </c>
      <c r="C1636" s="36" t="inlineStr">
        <is>
          <t>00074434190</t>
        </is>
      </c>
      <c r="D1636" s="53" t="inlineStr">
        <is>
          <t>SYNTHROID 25 MCG ORAL TABLET</t>
        </is>
      </c>
      <c r="E1636" s="36" t="n">
        <v>90</v>
      </c>
      <c r="F1636" s="54" t="n">
        <v>90</v>
      </c>
      <c r="G1636" s="54" t="n">
        <v>1</v>
      </c>
      <c r="H1636" s="55" t="n">
        <v>152</v>
      </c>
      <c r="I1636" s="55" t="n">
        <v>146.18</v>
      </c>
      <c r="J1636" s="55" t="n">
        <v>0</v>
      </c>
      <c r="K1636" s="55" t="n">
        <v>0</v>
      </c>
      <c r="L1636" s="55" t="n">
        <v>146.18</v>
      </c>
      <c r="M1636" s="55" t="n">
        <v>-5.82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MEDDADV</t>
        </is>
      </c>
      <c r="Q1636" s="36" t="inlineStr">
        <is>
          <t>RX1110</t>
        </is>
      </c>
    </row>
    <row r="1637">
      <c r="A1637" s="36" t="inlineStr">
        <is>
          <t>121593</t>
        </is>
      </c>
      <c r="B1637" s="52" t="n">
        <v>45996</v>
      </c>
      <c r="C1637" s="36" t="inlineStr">
        <is>
          <t>00074455290</t>
        </is>
      </c>
      <c r="D1637" s="53" t="inlineStr">
        <is>
          <t>SYNTHROID 50MCG TABLET</t>
        </is>
      </c>
      <c r="E1637" s="36" t="n">
        <v>90</v>
      </c>
      <c r="F1637" s="54" t="n">
        <v>90</v>
      </c>
      <c r="G1637" s="54" t="n">
        <v>1</v>
      </c>
      <c r="H1637" s="55" t="n">
        <v>143</v>
      </c>
      <c r="I1637" s="55" t="n">
        <v>133.45</v>
      </c>
      <c r="J1637" s="55" t="n">
        <v>0</v>
      </c>
      <c r="K1637" s="55" t="n">
        <v>4.8</v>
      </c>
      <c r="L1637" s="55" t="n">
        <v>138.25</v>
      </c>
      <c r="M1637" s="55" t="n">
        <v>-4.75</v>
      </c>
      <c r="N1637" s="36" t="inlineStr">
        <is>
          <t>004336</t>
        </is>
      </c>
      <c r="O1637" s="36" t="inlineStr">
        <is>
          <t>CAREMARK</t>
        </is>
      </c>
      <c r="P1637" s="36" t="inlineStr">
        <is>
          <t>MEDDADV</t>
        </is>
      </c>
      <c r="Q1637" s="36" t="inlineStr">
        <is>
          <t>RX1110</t>
        </is>
      </c>
    </row>
    <row r="1638">
      <c r="A1638" s="36" t="inlineStr">
        <is>
          <t>135731</t>
        </is>
      </c>
      <c r="B1638" s="52" t="n">
        <v>46010</v>
      </c>
      <c r="C1638" s="36" t="inlineStr">
        <is>
          <t>00074455290</t>
        </is>
      </c>
      <c r="D1638" s="53" t="inlineStr">
        <is>
          <t>SYNTHROID 50MCG TABLET</t>
        </is>
      </c>
      <c r="E1638" s="36" t="n">
        <v>90</v>
      </c>
      <c r="F1638" s="54" t="n">
        <v>90</v>
      </c>
      <c r="G1638" s="54" t="n">
        <v>1</v>
      </c>
      <c r="H1638" s="55" t="n">
        <v>143</v>
      </c>
      <c r="I1638" s="55" t="n">
        <v>152.82</v>
      </c>
      <c r="J1638" s="55" t="n">
        <v>0</v>
      </c>
      <c r="K1638" s="55" t="n">
        <v>0</v>
      </c>
      <c r="L1638" s="55" t="n">
        <v>152.82</v>
      </c>
      <c r="M1638" s="55" t="n">
        <v>9.82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118588</t>
        </is>
      </c>
      <c r="B1639" s="52" t="n">
        <v>46055</v>
      </c>
      <c r="C1639" s="36" t="inlineStr">
        <is>
          <t>00074518290</t>
        </is>
      </c>
      <c r="D1639" s="53" t="inlineStr">
        <is>
          <t xml:space="preserve">SYNTHROID 75MCG TABLET </t>
        </is>
      </c>
      <c r="E1639" s="36" t="n">
        <v>90</v>
      </c>
      <c r="F1639" s="54" t="n">
        <v>90</v>
      </c>
      <c r="G1639" s="54" t="n">
        <v>1</v>
      </c>
      <c r="H1639" s="55" t="n">
        <v>152</v>
      </c>
      <c r="I1639" s="55" t="n">
        <v>57.08</v>
      </c>
      <c r="J1639" s="55" t="n">
        <v>0</v>
      </c>
      <c r="K1639" s="55" t="n">
        <v>91</v>
      </c>
      <c r="L1639" s="55" t="n">
        <v>148.08</v>
      </c>
      <c r="M1639" s="55" t="n">
        <v>-3.92</v>
      </c>
      <c r="N1639" s="36" t="inlineStr">
        <is>
          <t>004336</t>
        </is>
      </c>
      <c r="O1639" s="36" t="inlineStr">
        <is>
          <t>CAREMARK</t>
        </is>
      </c>
      <c r="P1639" s="36" t="inlineStr">
        <is>
          <t>MEDDADV</t>
        </is>
      </c>
      <c r="Q1639" s="36" t="inlineStr">
        <is>
          <t>RXCVSD</t>
        </is>
      </c>
    </row>
    <row r="1640">
      <c r="A1640" s="36" t="inlineStr">
        <is>
          <t>137576</t>
        </is>
      </c>
      <c r="B1640" s="52" t="n">
        <v>46027</v>
      </c>
      <c r="C1640" s="36" t="inlineStr">
        <is>
          <t>00024586903</t>
        </is>
      </c>
      <c r="D1640" s="53" t="inlineStr">
        <is>
          <t>TOUJEO SOLOSTAR 300UNIT/ML INJECTION</t>
        </is>
      </c>
      <c r="E1640" s="36" t="n">
        <v>4.5</v>
      </c>
      <c r="F1640" s="54" t="n">
        <v>4.5</v>
      </c>
      <c r="G1640" s="54" t="n">
        <v>1</v>
      </c>
      <c r="H1640" s="55" t="n">
        <v>0</v>
      </c>
      <c r="I1640" s="55" t="n">
        <v>400.8</v>
      </c>
      <c r="J1640" s="55" t="n">
        <v>0</v>
      </c>
      <c r="K1640" s="55" t="n">
        <v>0</v>
      </c>
      <c r="L1640" s="55" t="n">
        <v>400.8</v>
      </c>
      <c r="M1640" s="55" t="n">
        <v>0</v>
      </c>
      <c r="N1640" s="36" t="inlineStr">
        <is>
          <t>004336</t>
        </is>
      </c>
      <c r="O1640" s="36" t="inlineStr">
        <is>
          <t>CAREMARK</t>
        </is>
      </c>
      <c r="P1640" s="36" t="inlineStr">
        <is>
          <t>MEDDADV</t>
        </is>
      </c>
      <c r="Q1640" s="36" t="inlineStr">
        <is>
          <t>RX1110</t>
        </is>
      </c>
    </row>
    <row r="1641">
      <c r="A1641" s="36" t="inlineStr">
        <is>
          <t>140920</t>
        </is>
      </c>
      <c r="B1641" s="52" t="n">
        <v>46050</v>
      </c>
      <c r="C1641" s="36" t="inlineStr">
        <is>
          <t>00597014030</t>
        </is>
      </c>
      <c r="D1641" s="53" t="inlineStr">
        <is>
          <t xml:space="preserve">TRADJENTA 5MG TAB </t>
        </is>
      </c>
      <c r="E1641" s="36" t="n">
        <v>30</v>
      </c>
      <c r="F1641" s="54" t="n">
        <v>90</v>
      </c>
      <c r="G1641" s="54" t="n">
        <v>3</v>
      </c>
      <c r="H1641" s="55" t="n">
        <v>1515</v>
      </c>
      <c r="I1641" s="55" t="n">
        <v>1511.9</v>
      </c>
      <c r="J1641" s="55" t="n">
        <v>0</v>
      </c>
      <c r="K1641" s="55" t="n">
        <v>0</v>
      </c>
      <c r="L1641" s="55" t="n">
        <v>1511.9</v>
      </c>
      <c r="M1641" s="55" t="n">
        <v>-3.1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RXCVSD</t>
        </is>
      </c>
    </row>
    <row r="1642">
      <c r="A1642" s="36" t="inlineStr">
        <is>
          <t>144201</t>
        </is>
      </c>
      <c r="B1642" s="52" t="n">
        <v>46073</v>
      </c>
      <c r="C1642" s="36" t="inlineStr">
        <is>
          <t>00597014030</t>
        </is>
      </c>
      <c r="D1642" s="53" t="inlineStr">
        <is>
          <t xml:space="preserve">TRADJENTA 5MG TAB </t>
        </is>
      </c>
      <c r="E1642" s="36" t="n">
        <v>30</v>
      </c>
      <c r="F1642" s="54" t="n">
        <v>90</v>
      </c>
      <c r="G1642" s="54" t="n">
        <v>3</v>
      </c>
      <c r="H1642" s="55" t="n">
        <v>1533</v>
      </c>
      <c r="I1642" s="55" t="n">
        <v>1469.19</v>
      </c>
      <c r="J1642" s="55" t="n">
        <v>0</v>
      </c>
      <c r="K1642" s="55" t="n">
        <v>4.9</v>
      </c>
      <c r="L1642" s="55" t="n">
        <v>1474.09</v>
      </c>
      <c r="M1642" s="55" t="n">
        <v>-58.91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123897</t>
        </is>
      </c>
      <c r="B1643" s="52" t="n">
        <v>46007</v>
      </c>
      <c r="C1643" s="36" t="inlineStr">
        <is>
          <t>00597014030</t>
        </is>
      </c>
      <c r="D1643" s="53" t="inlineStr">
        <is>
          <t xml:space="preserve">TRADJENTA 5MG TAB </t>
        </is>
      </c>
      <c r="E1643" s="36" t="n">
        <v>30</v>
      </c>
      <c r="F1643" s="54" t="n">
        <v>90</v>
      </c>
      <c r="G1643" s="54" t="n">
        <v>3</v>
      </c>
      <c r="H1643" s="55" t="n">
        <v>1515</v>
      </c>
      <c r="I1643" s="55" t="n">
        <v>1464.64</v>
      </c>
      <c r="J1643" s="55" t="n">
        <v>0</v>
      </c>
      <c r="K1643" s="55" t="n">
        <v>0</v>
      </c>
      <c r="L1643" s="55" t="n">
        <v>1464.64</v>
      </c>
      <c r="M1643" s="55" t="n">
        <v>-50.36</v>
      </c>
      <c r="N1643" s="36" t="inlineStr">
        <is>
          <t>004336</t>
        </is>
      </c>
      <c r="O1643" s="36" t="inlineStr">
        <is>
          <t>CAREMARK</t>
        </is>
      </c>
      <c r="P1643" s="36" t="inlineStr">
        <is>
          <t>MEDDADV</t>
        </is>
      </c>
      <c r="Q1643" s="36" t="inlineStr">
        <is>
          <t>RX1110</t>
        </is>
      </c>
    </row>
    <row r="1644">
      <c r="A1644" s="36" t="inlineStr">
        <is>
          <t>141780</t>
        </is>
      </c>
      <c r="B1644" s="52" t="n">
        <v>46057</v>
      </c>
      <c r="C1644" s="36" t="inlineStr">
        <is>
          <t>00597014030</t>
        </is>
      </c>
      <c r="D1644" s="53" t="inlineStr">
        <is>
          <t xml:space="preserve">TRADJENTA 5MG TAB </t>
        </is>
      </c>
      <c r="E1644" s="36" t="n">
        <v>30</v>
      </c>
      <c r="F1644" s="54" t="n">
        <v>90</v>
      </c>
      <c r="G1644" s="54" t="n">
        <v>3</v>
      </c>
      <c r="H1644" s="55" t="n">
        <v>1533</v>
      </c>
      <c r="I1644" s="55" t="n">
        <v>1408.27</v>
      </c>
      <c r="J1644" s="55" t="n">
        <v>0</v>
      </c>
      <c r="K1644" s="55" t="n">
        <v>0</v>
      </c>
      <c r="L1644" s="55" t="n">
        <v>1408.27</v>
      </c>
      <c r="M1644" s="55" t="n">
        <v>-124.73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2FGA</t>
        </is>
      </c>
    </row>
    <row r="1645">
      <c r="A1645" s="36" t="inlineStr">
        <is>
          <t>132126</t>
        </is>
      </c>
      <c r="B1645" s="52" t="n">
        <v>46070</v>
      </c>
      <c r="C1645" s="36" t="inlineStr">
        <is>
          <t>00597014030</t>
        </is>
      </c>
      <c r="D1645" s="53" t="inlineStr">
        <is>
          <t xml:space="preserve">TRADJENTA 5MG TAB </t>
        </is>
      </c>
      <c r="E1645" s="36" t="n">
        <v>30</v>
      </c>
      <c r="F1645" s="54" t="n">
        <v>90</v>
      </c>
      <c r="G1645" s="54" t="n">
        <v>3</v>
      </c>
      <c r="H1645" s="55" t="n">
        <v>1533</v>
      </c>
      <c r="I1645" s="55" t="n">
        <v>1474.09</v>
      </c>
      <c r="J1645" s="55" t="n">
        <v>0</v>
      </c>
      <c r="K1645" s="55" t="n">
        <v>0</v>
      </c>
      <c r="L1645" s="55" t="n">
        <v>1474.09</v>
      </c>
      <c r="M1645" s="55" t="n">
        <v>-58.91</v>
      </c>
      <c r="N1645" s="36" t="inlineStr">
        <is>
          <t>004336</t>
        </is>
      </c>
      <c r="O1645" s="36" t="inlineStr">
        <is>
          <t>CAREMARK</t>
        </is>
      </c>
      <c r="P1645" s="36" t="inlineStr">
        <is>
          <t>MEDDADV</t>
        </is>
      </c>
      <c r="Q1645" s="36" t="inlineStr">
        <is>
          <t>RX1110</t>
        </is>
      </c>
    </row>
    <row r="1646">
      <c r="A1646" s="36" t="inlineStr">
        <is>
          <t>140475</t>
        </is>
      </c>
      <c r="B1646" s="52" t="n">
        <v>46048</v>
      </c>
      <c r="C1646" s="36" t="inlineStr">
        <is>
          <t>00597014030</t>
        </is>
      </c>
      <c r="D1646" s="53" t="inlineStr">
        <is>
          <t xml:space="preserve">TRADJENTA 5MG TAB </t>
        </is>
      </c>
      <c r="E1646" s="36" t="n">
        <v>30</v>
      </c>
      <c r="F1646" s="54" t="n">
        <v>90</v>
      </c>
      <c r="G1646" s="54" t="n">
        <v>3</v>
      </c>
      <c r="H1646" s="55" t="n">
        <v>1515</v>
      </c>
      <c r="I1646" s="55" t="n">
        <v>1474.09</v>
      </c>
      <c r="J1646" s="55" t="n">
        <v>0</v>
      </c>
      <c r="K1646" s="55" t="n">
        <v>0</v>
      </c>
      <c r="L1646" s="55" t="n">
        <v>1474.09</v>
      </c>
      <c r="M1646" s="55" t="n">
        <v>-40.91</v>
      </c>
      <c r="N1646" s="36" t="inlineStr">
        <is>
          <t>004336</t>
        </is>
      </c>
      <c r="O1646" s="36" t="inlineStr">
        <is>
          <t>CAREMARK</t>
        </is>
      </c>
      <c r="P1646" s="36" t="inlineStr">
        <is>
          <t>MEDDADV</t>
        </is>
      </c>
      <c r="Q1646" s="36" t="inlineStr">
        <is>
          <t>RX1110</t>
        </is>
      </c>
    </row>
    <row r="1647">
      <c r="A1647" s="36" t="inlineStr">
        <is>
          <t>123404</t>
        </is>
      </c>
      <c r="B1647" s="52" t="n">
        <v>46001</v>
      </c>
      <c r="C1647" s="36" t="inlineStr">
        <is>
          <t>00173088710</t>
        </is>
      </c>
      <c r="D1647" s="53" t="inlineStr">
        <is>
          <t>TRELEGY ELLIPTA 100-62.5-25MCG/INH AEROSOL</t>
        </is>
      </c>
      <c r="E1647" s="36" t="n">
        <v>60</v>
      </c>
      <c r="F1647" s="54" t="n">
        <v>60</v>
      </c>
      <c r="G1647" s="54" t="n">
        <v>1</v>
      </c>
      <c r="H1647" s="55" t="n">
        <v>652</v>
      </c>
      <c r="I1647" s="55" t="n">
        <v>638.6900000000001</v>
      </c>
      <c r="J1647" s="55" t="n">
        <v>0</v>
      </c>
      <c r="K1647" s="55" t="n">
        <v>0</v>
      </c>
      <c r="L1647" s="55" t="n">
        <v>638.6900000000001</v>
      </c>
      <c r="M1647" s="55" t="n">
        <v>-13.31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133701</t>
        </is>
      </c>
      <c r="B1648" s="52" t="n">
        <v>45995</v>
      </c>
      <c r="C1648" s="36" t="inlineStr">
        <is>
          <t>00173088710</t>
        </is>
      </c>
      <c r="D1648" s="53" t="inlineStr">
        <is>
          <t>TRELEGY ELLIPTA 100-62.5-25MCG/INH AEROSOL</t>
        </is>
      </c>
      <c r="E1648" s="36" t="n">
        <v>60</v>
      </c>
      <c r="F1648" s="54" t="n">
        <v>60</v>
      </c>
      <c r="G1648" s="54" t="n">
        <v>1</v>
      </c>
      <c r="H1648" s="55" t="n">
        <v>652</v>
      </c>
      <c r="I1648" s="55" t="n">
        <v>638.6900000000001</v>
      </c>
      <c r="J1648" s="55" t="n">
        <v>0</v>
      </c>
      <c r="K1648" s="55" t="n">
        <v>0</v>
      </c>
      <c r="L1648" s="55" t="n">
        <v>638.6900000000001</v>
      </c>
      <c r="M1648" s="55" t="n">
        <v>-13.31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133701</t>
        </is>
      </c>
      <c r="B1649" s="52" t="n">
        <v>46050</v>
      </c>
      <c r="C1649" s="36" t="inlineStr">
        <is>
          <t>00173088710</t>
        </is>
      </c>
      <c r="D1649" s="53" t="inlineStr">
        <is>
          <t>TRELEGY ELLIPTA 100-62.5-25MCG/INH AEROSOL</t>
        </is>
      </c>
      <c r="E1649" s="36" t="n">
        <v>60</v>
      </c>
      <c r="F1649" s="54" t="n">
        <v>60</v>
      </c>
      <c r="G1649" s="54" t="n">
        <v>1</v>
      </c>
      <c r="H1649" s="55" t="n">
        <v>652</v>
      </c>
      <c r="I1649" s="55" t="n">
        <v>663.72</v>
      </c>
      <c r="J1649" s="55" t="n">
        <v>0</v>
      </c>
      <c r="K1649" s="55" t="n">
        <v>0</v>
      </c>
      <c r="L1649" s="55" t="n">
        <v>663.72</v>
      </c>
      <c r="M1649" s="55" t="n">
        <v>11.72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111412</t>
        </is>
      </c>
      <c r="B1650" s="52" t="n">
        <v>45995</v>
      </c>
      <c r="C1650" s="36" t="inlineStr">
        <is>
          <t>00173088710</t>
        </is>
      </c>
      <c r="D1650" s="53" t="inlineStr">
        <is>
          <t>TRELEGY ELLIPTA 100-62.5-25MCG/INH AEROSOL</t>
        </is>
      </c>
      <c r="E1650" s="36" t="n">
        <v>60</v>
      </c>
      <c r="F1650" s="54" t="n">
        <v>180</v>
      </c>
      <c r="G1650" s="54" t="n">
        <v>3</v>
      </c>
      <c r="H1650" s="55" t="n">
        <v>1956</v>
      </c>
      <c r="I1650" s="55" t="n">
        <v>1816.81</v>
      </c>
      <c r="J1650" s="55" t="n">
        <v>0</v>
      </c>
      <c r="K1650" s="55" t="n">
        <v>0</v>
      </c>
      <c r="L1650" s="55" t="n">
        <v>1816.81</v>
      </c>
      <c r="M1650" s="55" t="n">
        <v>-139.19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140877</t>
        </is>
      </c>
      <c r="B1651" s="52" t="n">
        <v>46050</v>
      </c>
      <c r="C1651" s="36" t="inlineStr">
        <is>
          <t>00173088710</t>
        </is>
      </c>
      <c r="D1651" s="53" t="inlineStr">
        <is>
          <t>TRELEGY ELLIPTA 100-62.5-25MCG/INH AEROSOL</t>
        </is>
      </c>
      <c r="E1651" s="36" t="n">
        <v>60</v>
      </c>
      <c r="F1651" s="54" t="n">
        <v>180</v>
      </c>
      <c r="G1651" s="54" t="n">
        <v>3</v>
      </c>
      <c r="H1651" s="55" t="n">
        <v>1956</v>
      </c>
      <c r="I1651" s="55" t="n">
        <v>2019.5</v>
      </c>
      <c r="J1651" s="55" t="n">
        <v>0</v>
      </c>
      <c r="K1651" s="55" t="n">
        <v>0</v>
      </c>
      <c r="L1651" s="55" t="n">
        <v>2019.5</v>
      </c>
      <c r="M1651" s="55" t="n">
        <v>63.5</v>
      </c>
      <c r="N1651" s="36" t="inlineStr">
        <is>
          <t>004740</t>
        </is>
      </c>
      <c r="O1651" s="36" t="inlineStr">
        <is>
          <t>NYM</t>
        </is>
      </c>
      <c r="P1651" s="36" t="inlineStr">
        <is>
          <t>9314DA31</t>
        </is>
      </c>
      <c r="Q1651" s="36" t="n">
        <v/>
      </c>
    </row>
    <row r="1652">
      <c r="A1652" s="36" t="inlineStr">
        <is>
          <t>123404</t>
        </is>
      </c>
      <c r="B1652" s="52" t="n">
        <v>46057</v>
      </c>
      <c r="C1652" s="36" t="inlineStr">
        <is>
          <t>00173088710</t>
        </is>
      </c>
      <c r="D1652" s="53" t="inlineStr">
        <is>
          <t>TRELEGY ELLIPTA 100-62.5-25MCG/INH AEROSOL</t>
        </is>
      </c>
      <c r="E1652" s="36" t="n">
        <v>60</v>
      </c>
      <c r="F1652" s="54" t="n">
        <v>60</v>
      </c>
      <c r="G1652" s="54" t="n">
        <v>1</v>
      </c>
      <c r="H1652" s="55" t="n">
        <v>652</v>
      </c>
      <c r="I1652" s="55" t="n">
        <v>658.8200000000001</v>
      </c>
      <c r="J1652" s="55" t="n">
        <v>0</v>
      </c>
      <c r="K1652" s="55" t="n">
        <v>4.9</v>
      </c>
      <c r="L1652" s="55" t="n">
        <v>663.72</v>
      </c>
      <c r="M1652" s="55" t="n">
        <v>11.72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133701</t>
        </is>
      </c>
      <c r="B1653" s="52" t="n">
        <v>46022</v>
      </c>
      <c r="C1653" s="36" t="inlineStr">
        <is>
          <t>00173088710</t>
        </is>
      </c>
      <c r="D1653" s="53" t="inlineStr">
        <is>
          <t>TRELEGY ELLIPTA 100-62.5-25MCG/INH AEROSOL</t>
        </is>
      </c>
      <c r="E1653" s="36" t="n">
        <v>60</v>
      </c>
      <c r="F1653" s="54" t="n">
        <v>60</v>
      </c>
      <c r="G1653" s="54" t="n">
        <v>1</v>
      </c>
      <c r="H1653" s="55" t="n">
        <v>652</v>
      </c>
      <c r="I1653" s="55" t="n">
        <v>638.6900000000001</v>
      </c>
      <c r="J1653" s="55" t="n">
        <v>0</v>
      </c>
      <c r="K1653" s="55" t="n">
        <v>0</v>
      </c>
      <c r="L1653" s="55" t="n">
        <v>638.6900000000001</v>
      </c>
      <c r="M1653" s="55" t="n">
        <v>-13.31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123404</t>
        </is>
      </c>
      <c r="B1654" s="52" t="n">
        <v>46029</v>
      </c>
      <c r="C1654" s="36" t="inlineStr">
        <is>
          <t>00173088710</t>
        </is>
      </c>
      <c r="D1654" s="53" t="inlineStr">
        <is>
          <t>TRELEGY ELLIPTA 100-62.5-25MCG/INH AEROSOL</t>
        </is>
      </c>
      <c r="E1654" s="36" t="n">
        <v>60</v>
      </c>
      <c r="F1654" s="54" t="n">
        <v>60</v>
      </c>
      <c r="G1654" s="54" t="n">
        <v>1</v>
      </c>
      <c r="H1654" s="55" t="n">
        <v>652</v>
      </c>
      <c r="I1654" s="55" t="n">
        <v>658.8200000000001</v>
      </c>
      <c r="J1654" s="55" t="n">
        <v>0</v>
      </c>
      <c r="K1654" s="55" t="n">
        <v>4.9</v>
      </c>
      <c r="L1654" s="55" t="n">
        <v>663.72</v>
      </c>
      <c r="M1654" s="55" t="n">
        <v>11.72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142500</t>
        </is>
      </c>
      <c r="B1655" s="52" t="n">
        <v>46063</v>
      </c>
      <c r="C1655" s="36" t="inlineStr">
        <is>
          <t>00173088710</t>
        </is>
      </c>
      <c r="D1655" s="53" t="inlineStr">
        <is>
          <t>TRELEGY ELLIPTA 100-62.5-25MCG/INH AEROSOL</t>
        </is>
      </c>
      <c r="E1655" s="36" t="n">
        <v>60</v>
      </c>
      <c r="F1655" s="54" t="n">
        <v>180</v>
      </c>
      <c r="G1655" s="54" t="n">
        <v>3</v>
      </c>
      <c r="H1655" s="55" t="n">
        <v>1956</v>
      </c>
      <c r="I1655" s="55" t="n">
        <v>2016.5</v>
      </c>
      <c r="J1655" s="55" t="n">
        <v>0</v>
      </c>
      <c r="K1655" s="55" t="n">
        <v>3</v>
      </c>
      <c r="L1655" s="55" t="n">
        <v>2019.5</v>
      </c>
      <c r="M1655" s="55" t="n">
        <v>63.5</v>
      </c>
      <c r="N1655" s="36" t="inlineStr">
        <is>
          <t>004740</t>
        </is>
      </c>
      <c r="O1655" s="36" t="inlineStr">
        <is>
          <t>NYM</t>
        </is>
      </c>
      <c r="P1655" s="36" t="inlineStr">
        <is>
          <t>9314DA31</t>
        </is>
      </c>
      <c r="Q1655" s="36" t="n">
        <v/>
      </c>
    </row>
    <row r="1656">
      <c r="A1656" s="36" t="inlineStr">
        <is>
          <t>131360</t>
        </is>
      </c>
      <c r="B1656" s="52" t="n">
        <v>46065</v>
      </c>
      <c r="C1656" s="36" t="inlineStr">
        <is>
          <t>00173088710</t>
        </is>
      </c>
      <c r="D1656" s="53" t="inlineStr">
        <is>
          <t>TRELEGY ELLIPTA 100-62.5-25MCG/INH AEROSOL</t>
        </is>
      </c>
      <c r="E1656" s="36" t="n">
        <v>60</v>
      </c>
      <c r="F1656" s="54" t="n">
        <v>180</v>
      </c>
      <c r="G1656" s="54" t="n">
        <v>3</v>
      </c>
      <c r="H1656" s="55" t="n">
        <v>1956</v>
      </c>
      <c r="I1656" s="55" t="n">
        <v>1858.67</v>
      </c>
      <c r="J1656" s="55" t="n">
        <v>0</v>
      </c>
      <c r="K1656" s="55" t="n">
        <v>12.65</v>
      </c>
      <c r="L1656" s="55" t="n">
        <v>1871.32</v>
      </c>
      <c r="M1656" s="55" t="n">
        <v>-84.68000000000001</v>
      </c>
      <c r="N1656" s="36" t="inlineStr">
        <is>
          <t>015574</t>
        </is>
      </c>
      <c r="O1656" s="36" t="inlineStr">
        <is>
          <t>MEDIMP</t>
        </is>
      </c>
      <c r="P1656" s="36" t="inlineStr">
        <is>
          <t>ASPROD1</t>
        </is>
      </c>
      <c r="Q1656" s="36" t="inlineStr">
        <is>
          <t>VNS01</t>
        </is>
      </c>
    </row>
    <row r="1657">
      <c r="A1657" s="36" t="inlineStr">
        <is>
          <t>138106</t>
        </is>
      </c>
      <c r="B1657" s="52" t="n">
        <v>46058</v>
      </c>
      <c r="C1657" s="36" t="inlineStr">
        <is>
          <t>00173089310</t>
        </is>
      </c>
      <c r="D1657" s="53" t="inlineStr">
        <is>
          <t>TRELEGY ELLIPTA 200-62.5-25 MCG/ACT INHALATION AER</t>
        </is>
      </c>
      <c r="E1657" s="36" t="n">
        <v>60</v>
      </c>
      <c r="F1657" s="54" t="n">
        <v>60</v>
      </c>
      <c r="G1657" s="54" t="n">
        <v>1</v>
      </c>
      <c r="H1657" s="55" t="n">
        <v>652</v>
      </c>
      <c r="I1657" s="55" t="n">
        <v>679.9400000000001</v>
      </c>
      <c r="J1657" s="55" t="n">
        <v>0</v>
      </c>
      <c r="K1657" s="55" t="n">
        <v>0</v>
      </c>
      <c r="L1657" s="55" t="n">
        <v>679.9400000000001</v>
      </c>
      <c r="M1657" s="55" t="n">
        <v>27.94</v>
      </c>
      <c r="N1657" s="36" t="inlineStr">
        <is>
          <t>004740</t>
        </is>
      </c>
      <c r="O1657" s="36" t="inlineStr">
        <is>
          <t>NYM</t>
        </is>
      </c>
      <c r="P1657" s="36" t="inlineStr">
        <is>
          <t>9314DA31</t>
        </is>
      </c>
      <c r="Q1657" s="36" t="n">
        <v/>
      </c>
    </row>
    <row r="1658">
      <c r="A1658" s="36" t="inlineStr">
        <is>
          <t>121774</t>
        </is>
      </c>
      <c r="B1658" s="52" t="n">
        <v>46015</v>
      </c>
      <c r="C1658" s="36" t="inlineStr">
        <is>
          <t>00173089310</t>
        </is>
      </c>
      <c r="D1658" s="53" t="inlineStr">
        <is>
          <t>TRELEGY ELLIPTA 200-62.5-25 MCG/ACT INHALATION AER</t>
        </is>
      </c>
      <c r="E1658" s="36" t="n">
        <v>60</v>
      </c>
      <c r="F1658" s="54" t="n">
        <v>60</v>
      </c>
      <c r="G1658" s="54" t="n">
        <v>1</v>
      </c>
      <c r="H1658" s="55" t="n">
        <v>652</v>
      </c>
      <c r="I1658" s="55" t="n">
        <v>638.6900000000001</v>
      </c>
      <c r="J1658" s="55" t="n">
        <v>0</v>
      </c>
      <c r="K1658" s="55" t="n">
        <v>0</v>
      </c>
      <c r="L1658" s="55" t="n">
        <v>638.6900000000001</v>
      </c>
      <c r="M1658" s="55" t="n">
        <v>-13.31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123111</t>
        </is>
      </c>
      <c r="B1659" s="52" t="n">
        <v>45999</v>
      </c>
      <c r="C1659" s="36" t="inlineStr">
        <is>
          <t>00173089310</t>
        </is>
      </c>
      <c r="D1659" s="53" t="inlineStr">
        <is>
          <t>TRELEGY ELLIPTA 200-62.5-25 MCG/ACT INHALATION AER</t>
        </is>
      </c>
      <c r="E1659" s="36" t="n">
        <v>60</v>
      </c>
      <c r="F1659" s="54" t="n">
        <v>60</v>
      </c>
      <c r="G1659" s="54" t="n">
        <v>1</v>
      </c>
      <c r="H1659" s="55" t="n">
        <v>652</v>
      </c>
      <c r="I1659" s="55" t="n">
        <v>638.6900000000001</v>
      </c>
      <c r="J1659" s="55" t="n">
        <v>0</v>
      </c>
      <c r="K1659" s="55" t="n">
        <v>0</v>
      </c>
      <c r="L1659" s="55" t="n">
        <v>638.6900000000001</v>
      </c>
      <c r="M1659" s="55" t="n">
        <v>-13.31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121774</t>
        </is>
      </c>
      <c r="B1660" s="52" t="n">
        <v>46043</v>
      </c>
      <c r="C1660" s="36" t="inlineStr">
        <is>
          <t>00173089310</t>
        </is>
      </c>
      <c r="D1660" s="53" t="inlineStr">
        <is>
          <t>TRELEGY ELLIPTA 200-62.5-25 MCG/ACT INHALATION AER</t>
        </is>
      </c>
      <c r="E1660" s="36" t="n">
        <v>60</v>
      </c>
      <c r="F1660" s="54" t="n">
        <v>60</v>
      </c>
      <c r="G1660" s="54" t="n">
        <v>1</v>
      </c>
      <c r="H1660" s="55" t="n">
        <v>652</v>
      </c>
      <c r="I1660" s="55" t="n">
        <v>663.72</v>
      </c>
      <c r="J1660" s="55" t="n">
        <v>0</v>
      </c>
      <c r="K1660" s="55" t="n">
        <v>0</v>
      </c>
      <c r="L1660" s="55" t="n">
        <v>663.72</v>
      </c>
      <c r="M1660" s="55" t="n">
        <v>11.72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127334</t>
        </is>
      </c>
      <c r="B1661" s="52" t="n">
        <v>46000</v>
      </c>
      <c r="C1661" s="36" t="inlineStr">
        <is>
          <t>00173089310</t>
        </is>
      </c>
      <c r="D1661" s="53" t="inlineStr">
        <is>
          <t>TRELEGY ELLIPTA 200-62.5-25 MCG/ACT INHALATION AER</t>
        </is>
      </c>
      <c r="E1661" s="36" t="n">
        <v>60</v>
      </c>
      <c r="F1661" s="54" t="n">
        <v>60</v>
      </c>
      <c r="G1661" s="54" t="n">
        <v>1</v>
      </c>
      <c r="H1661" s="55" t="n">
        <v>652</v>
      </c>
      <c r="I1661" s="55" t="n">
        <v>660.33</v>
      </c>
      <c r="J1661" s="55" t="n">
        <v>0</v>
      </c>
      <c r="K1661" s="55" t="n">
        <v>0</v>
      </c>
      <c r="L1661" s="55" t="n">
        <v>660.33</v>
      </c>
      <c r="M1661" s="55" t="n">
        <v>8.33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123111</t>
        </is>
      </c>
      <c r="B1662" s="52" t="n">
        <v>46027</v>
      </c>
      <c r="C1662" s="36" t="inlineStr">
        <is>
          <t>00173089310</t>
        </is>
      </c>
      <c r="D1662" s="53" t="inlineStr">
        <is>
          <t>TRELEGY ELLIPTA 200-62.5-25 MCG/ACT INHALATION AER</t>
        </is>
      </c>
      <c r="E1662" s="36" t="n">
        <v>60</v>
      </c>
      <c r="F1662" s="54" t="n">
        <v>60</v>
      </c>
      <c r="G1662" s="54" t="n">
        <v>1</v>
      </c>
      <c r="H1662" s="55" t="n">
        <v>652</v>
      </c>
      <c r="I1662" s="55" t="n">
        <v>658.8200000000001</v>
      </c>
      <c r="J1662" s="55" t="n">
        <v>0</v>
      </c>
      <c r="K1662" s="55" t="n">
        <v>4.9</v>
      </c>
      <c r="L1662" s="55" t="n">
        <v>663.72</v>
      </c>
      <c r="M1662" s="55" t="n">
        <v>11.72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143945</t>
        </is>
      </c>
      <c r="B1663" s="52" t="n">
        <v>46072</v>
      </c>
      <c r="C1663" s="36" t="inlineStr">
        <is>
          <t>00173089310</t>
        </is>
      </c>
      <c r="D1663" s="53" t="inlineStr">
        <is>
          <t>TRELEGY ELLIPTA 200-62.5-25 MCG/ACT INHALATION AER</t>
        </is>
      </c>
      <c r="E1663" s="36" t="n">
        <v>60</v>
      </c>
      <c r="F1663" s="54" t="n">
        <v>60</v>
      </c>
      <c r="G1663" s="54" t="n">
        <v>1</v>
      </c>
      <c r="H1663" s="55" t="n">
        <v>652</v>
      </c>
      <c r="I1663" s="55" t="n">
        <v>663.72</v>
      </c>
      <c r="J1663" s="55" t="n">
        <v>0</v>
      </c>
      <c r="K1663" s="55" t="n">
        <v>0</v>
      </c>
      <c r="L1663" s="55" t="n">
        <v>663.72</v>
      </c>
      <c r="M1663" s="55" t="n">
        <v>11.72</v>
      </c>
      <c r="N1663" s="36" t="inlineStr">
        <is>
          <t>004336</t>
        </is>
      </c>
      <c r="O1663" s="36" t="inlineStr">
        <is>
          <t>CAREMARK</t>
        </is>
      </c>
      <c r="P1663" s="36" t="inlineStr">
        <is>
          <t>MEDDADV</t>
        </is>
      </c>
      <c r="Q1663" s="36" t="inlineStr">
        <is>
          <t>RX1110</t>
        </is>
      </c>
    </row>
    <row r="1664">
      <c r="A1664" s="36" t="inlineStr">
        <is>
          <t>138106</t>
        </is>
      </c>
      <c r="B1664" s="52" t="n">
        <v>46030</v>
      </c>
      <c r="C1664" s="36" t="inlineStr">
        <is>
          <t>00173089310</t>
        </is>
      </c>
      <c r="D1664" s="53" t="inlineStr">
        <is>
          <t>TRELEGY ELLIPTA 200-62.5-25 MCG/ACT INHALATION AER</t>
        </is>
      </c>
      <c r="E1664" s="36" t="n">
        <v>60</v>
      </c>
      <c r="F1664" s="54" t="n">
        <v>60</v>
      </c>
      <c r="G1664" s="54" t="n">
        <v>1</v>
      </c>
      <c r="H1664" s="55" t="n">
        <v>652</v>
      </c>
      <c r="I1664" s="55" t="n">
        <v>660.4299999999999</v>
      </c>
      <c r="J1664" s="55" t="n">
        <v>0</v>
      </c>
      <c r="K1664" s="55" t="n">
        <v>0</v>
      </c>
      <c r="L1664" s="55" t="n">
        <v>660.4299999999999</v>
      </c>
      <c r="M1664" s="55" t="n">
        <v>8.43</v>
      </c>
      <c r="N1664" s="36" t="inlineStr">
        <is>
          <t>004740</t>
        </is>
      </c>
      <c r="O1664" s="36" t="inlineStr">
        <is>
          <t>NYM</t>
        </is>
      </c>
      <c r="P1664" s="36" t="inlineStr">
        <is>
          <t>9314DA31</t>
        </is>
      </c>
      <c r="Q1664" s="36" t="n">
        <v/>
      </c>
    </row>
    <row r="1665">
      <c r="A1665" s="36" t="inlineStr">
        <is>
          <t>123111</t>
        </is>
      </c>
      <c r="B1665" s="52" t="n">
        <v>46055</v>
      </c>
      <c r="C1665" s="36" t="inlineStr">
        <is>
          <t>00173089310</t>
        </is>
      </c>
      <c r="D1665" s="53" t="inlineStr">
        <is>
          <t>TRELEGY ELLIPTA 200-62.5-25 MCG/ACT INHALATION AER</t>
        </is>
      </c>
      <c r="E1665" s="36" t="n">
        <v>60</v>
      </c>
      <c r="F1665" s="54" t="n">
        <v>60</v>
      </c>
      <c r="G1665" s="54" t="n">
        <v>1</v>
      </c>
      <c r="H1665" s="55" t="n">
        <v>652</v>
      </c>
      <c r="I1665" s="55" t="n">
        <v>658.8200000000001</v>
      </c>
      <c r="J1665" s="55" t="n">
        <v>0</v>
      </c>
      <c r="K1665" s="55" t="n">
        <v>4.9</v>
      </c>
      <c r="L1665" s="55" t="n">
        <v>663.72</v>
      </c>
      <c r="M1665" s="55" t="n">
        <v>11.72</v>
      </c>
      <c r="N1665" s="36" t="inlineStr">
        <is>
          <t>004336</t>
        </is>
      </c>
      <c r="O1665" s="36" t="inlineStr">
        <is>
          <t>CAREMARK</t>
        </is>
      </c>
      <c r="P1665" s="36" t="inlineStr">
        <is>
          <t>MEDDADV</t>
        </is>
      </c>
      <c r="Q1665" s="36" t="inlineStr">
        <is>
          <t>RX1110</t>
        </is>
      </c>
    </row>
    <row r="1666">
      <c r="A1666" s="36" t="inlineStr">
        <is>
          <t>124003</t>
        </is>
      </c>
      <c r="B1666" s="52" t="n">
        <v>46008</v>
      </c>
      <c r="C1666" s="36" t="inlineStr">
        <is>
          <t>00169266015</t>
        </is>
      </c>
      <c r="D1666" s="53" t="inlineStr">
        <is>
          <t>TRESIBA FLEXTOUCH 100UNIT/ML INJECTION</t>
        </is>
      </c>
      <c r="E1666" s="36" t="n">
        <v>15</v>
      </c>
      <c r="F1666" s="54" t="n">
        <v>12</v>
      </c>
      <c r="G1666" s="54" t="n">
        <v>0.8</v>
      </c>
      <c r="H1666" s="55" t="n">
        <v>0</v>
      </c>
      <c r="I1666" s="55" t="n">
        <v>377.94</v>
      </c>
      <c r="J1666" s="55" t="n">
        <v>0</v>
      </c>
      <c r="K1666" s="55" t="n">
        <v>0</v>
      </c>
      <c r="L1666" s="55" t="n">
        <v>377.94</v>
      </c>
      <c r="M1666" s="55" t="n">
        <v>0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135888</t>
        </is>
      </c>
      <c r="B1667" s="52" t="n">
        <v>46010</v>
      </c>
      <c r="C1667" s="36" t="inlineStr">
        <is>
          <t>00169266015</t>
        </is>
      </c>
      <c r="D1667" s="53" t="inlineStr">
        <is>
          <t>TRESIBA FLEXTOUCH 100UNIT/ML INJECTION</t>
        </is>
      </c>
      <c r="E1667" s="36" t="n">
        <v>15</v>
      </c>
      <c r="F1667" s="54" t="n">
        <v>9</v>
      </c>
      <c r="G1667" s="54" t="n">
        <v>0.6</v>
      </c>
      <c r="H1667" s="55" t="n">
        <v>0</v>
      </c>
      <c r="I1667" s="55" t="n">
        <v>280.44</v>
      </c>
      <c r="J1667" s="55" t="n">
        <v>0</v>
      </c>
      <c r="K1667" s="55" t="n">
        <v>0</v>
      </c>
      <c r="L1667" s="55" t="n">
        <v>280.44</v>
      </c>
      <c r="M1667" s="55" t="n">
        <v>0</v>
      </c>
      <c r="N1667" s="36" t="inlineStr">
        <is>
          <t>004336</t>
        </is>
      </c>
      <c r="O1667" s="36" t="inlineStr">
        <is>
          <t>CAREMARK</t>
        </is>
      </c>
      <c r="P1667" s="36" t="inlineStr">
        <is>
          <t>MEDDADV</t>
        </is>
      </c>
      <c r="Q1667" s="36" t="inlineStr">
        <is>
          <t>RX8585</t>
        </is>
      </c>
    </row>
    <row r="1668">
      <c r="A1668" s="36" t="inlineStr">
        <is>
          <t>111324</t>
        </is>
      </c>
      <c r="B1668" s="52" t="n">
        <v>45993</v>
      </c>
      <c r="C1668" s="36" t="inlineStr">
        <is>
          <t>00169266015</t>
        </is>
      </c>
      <c r="D1668" s="53" t="inlineStr">
        <is>
          <t>TRESIBA FLEXTOUCH 100UNIT/ML INJECTION</t>
        </is>
      </c>
      <c r="E1668" s="36" t="n">
        <v>15</v>
      </c>
      <c r="F1668" s="54" t="n">
        <v>18</v>
      </c>
      <c r="G1668" s="54" t="n">
        <v>1.2</v>
      </c>
      <c r="H1668" s="55" t="n">
        <v>0</v>
      </c>
      <c r="I1668" s="55" t="n">
        <v>567.0700000000001</v>
      </c>
      <c r="J1668" s="55" t="n">
        <v>0</v>
      </c>
      <c r="K1668" s="55" t="n">
        <v>0</v>
      </c>
      <c r="L1668" s="55" t="n">
        <v>567.0700000000001</v>
      </c>
      <c r="M1668" s="55" t="n">
        <v>0</v>
      </c>
      <c r="N1668" s="36" t="inlineStr">
        <is>
          <t>004336</t>
        </is>
      </c>
      <c r="O1668" s="36" t="inlineStr">
        <is>
          <t>CAREMARK</t>
        </is>
      </c>
      <c r="P1668" s="36" t="inlineStr">
        <is>
          <t>MEDDADV</t>
        </is>
      </c>
      <c r="Q1668" s="36" t="inlineStr">
        <is>
          <t>RX1110</t>
        </is>
      </c>
    </row>
    <row r="1669">
      <c r="A1669" s="36" t="inlineStr">
        <is>
          <t>121814</t>
        </is>
      </c>
      <c r="B1669" s="52" t="n">
        <v>45992</v>
      </c>
      <c r="C1669" s="36" t="inlineStr">
        <is>
          <t>00169255013</t>
        </is>
      </c>
      <c r="D1669" s="53" t="inlineStr">
        <is>
          <t>TRESIBA FLEXTOUCH 200UNIT/ML INJECTION</t>
        </is>
      </c>
      <c r="E1669" s="36" t="n">
        <v>9</v>
      </c>
      <c r="F1669" s="54" t="n">
        <v>3</v>
      </c>
      <c r="G1669" s="54" t="n">
        <v>0.33</v>
      </c>
      <c r="H1669" s="55" t="n">
        <v>196</v>
      </c>
      <c r="I1669" s="55" t="n">
        <v>193.6</v>
      </c>
      <c r="J1669" s="55" t="n">
        <v>0</v>
      </c>
      <c r="K1669" s="55" t="n">
        <v>0</v>
      </c>
      <c r="L1669" s="55" t="n">
        <v>193.6</v>
      </c>
      <c r="M1669" s="55" t="n">
        <v>-2.4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135289</t>
        </is>
      </c>
      <c r="B1670" s="52" t="n">
        <v>46007</v>
      </c>
      <c r="C1670" s="36" t="inlineStr">
        <is>
          <t>00169255013</t>
        </is>
      </c>
      <c r="D1670" s="53" t="inlineStr">
        <is>
          <t>TRESIBA FLEXTOUCH 200UNIT/ML INJECTION</t>
        </is>
      </c>
      <c r="E1670" s="36" t="n">
        <v>9</v>
      </c>
      <c r="F1670" s="54" t="n">
        <v>9</v>
      </c>
      <c r="G1670" s="54" t="n">
        <v>1</v>
      </c>
      <c r="H1670" s="55" t="n">
        <v>588</v>
      </c>
      <c r="I1670" s="55" t="n">
        <v>575.21</v>
      </c>
      <c r="J1670" s="55" t="n">
        <v>0</v>
      </c>
      <c r="K1670" s="55" t="n">
        <v>0</v>
      </c>
      <c r="L1670" s="55" t="n">
        <v>575.21</v>
      </c>
      <c r="M1670" s="55" t="n">
        <v>-12.79</v>
      </c>
      <c r="N1670" s="36" t="inlineStr">
        <is>
          <t>004336</t>
        </is>
      </c>
      <c r="O1670" s="36" t="inlineStr">
        <is>
          <t>CAREMARK</t>
        </is>
      </c>
      <c r="P1670" s="36" t="inlineStr">
        <is>
          <t>MEDDADV</t>
        </is>
      </c>
      <c r="Q1670" s="36" t="inlineStr">
        <is>
          <t>RX1110</t>
        </is>
      </c>
    </row>
    <row r="1671">
      <c r="A1671" s="36" t="inlineStr">
        <is>
          <t>144482</t>
        </is>
      </c>
      <c r="B1671" s="52" t="n">
        <v>46076</v>
      </c>
      <c r="C1671" s="36" t="inlineStr">
        <is>
          <t>00169255013</t>
        </is>
      </c>
      <c r="D1671" s="53" t="inlineStr">
        <is>
          <t>TRESIBA FLEXTOUCH 200UNIT/ML INJECTION</t>
        </is>
      </c>
      <c r="E1671" s="36" t="n">
        <v>9</v>
      </c>
      <c r="F1671" s="54" t="n">
        <v>3</v>
      </c>
      <c r="G1671" s="54" t="n">
        <v>0.33</v>
      </c>
      <c r="H1671" s="55" t="n">
        <v>55</v>
      </c>
      <c r="I1671" s="55" t="n">
        <v>48.88</v>
      </c>
      <c r="J1671" s="55" t="n">
        <v>0</v>
      </c>
      <c r="K1671" s="55" t="n">
        <v>4.9</v>
      </c>
      <c r="L1671" s="55" t="n">
        <v>53.78</v>
      </c>
      <c r="M1671" s="55" t="n">
        <v>-1.22</v>
      </c>
      <c r="N1671" s="36" t="inlineStr">
        <is>
          <t>015574</t>
        </is>
      </c>
      <c r="O1671" s="36" t="inlineStr">
        <is>
          <t>MEDIMP</t>
        </is>
      </c>
      <c r="P1671" s="36" t="inlineStr">
        <is>
          <t>ASPROD1</t>
        </is>
      </c>
      <c r="Q1671" s="36" t="inlineStr">
        <is>
          <t>VNS01</t>
        </is>
      </c>
    </row>
    <row r="1672">
      <c r="A1672" s="36" t="inlineStr">
        <is>
          <t>141815</t>
        </is>
      </c>
      <c r="B1672" s="52" t="n">
        <v>46057</v>
      </c>
      <c r="C1672" s="36" t="inlineStr">
        <is>
          <t>00169255013</t>
        </is>
      </c>
      <c r="D1672" s="53" t="inlineStr">
        <is>
          <t>TRESIBA FLEXTOUCH 200UNIT/ML INJECTION</t>
        </is>
      </c>
      <c r="E1672" s="36" t="n">
        <v>9</v>
      </c>
      <c r="F1672" s="54" t="n">
        <v>9</v>
      </c>
      <c r="G1672" s="54" t="n">
        <v>1</v>
      </c>
      <c r="H1672" s="55" t="n">
        <v>165</v>
      </c>
      <c r="I1672" s="55" t="n">
        <v>161.25</v>
      </c>
      <c r="J1672" s="55" t="n">
        <v>0</v>
      </c>
      <c r="K1672" s="55" t="n">
        <v>0</v>
      </c>
      <c r="L1672" s="55" t="n">
        <v>161.25</v>
      </c>
      <c r="M1672" s="55" t="n">
        <v>-3.75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121814</t>
        </is>
      </c>
      <c r="B1673" s="52" t="n">
        <v>46048</v>
      </c>
      <c r="C1673" s="36" t="inlineStr">
        <is>
          <t>00169255013</t>
        </is>
      </c>
      <c r="D1673" s="53" t="inlineStr">
        <is>
          <t>TRESIBA FLEXTOUCH 200UNIT/ML INJECTION</t>
        </is>
      </c>
      <c r="E1673" s="36" t="n">
        <v>9</v>
      </c>
      <c r="F1673" s="54" t="n">
        <v>3</v>
      </c>
      <c r="G1673" s="54" t="n">
        <v>0.33</v>
      </c>
      <c r="H1673" s="55" t="n">
        <v>196</v>
      </c>
      <c r="I1673" s="55" t="n">
        <v>48.88</v>
      </c>
      <c r="J1673" s="55" t="n">
        <v>0</v>
      </c>
      <c r="K1673" s="55" t="n">
        <v>4.9</v>
      </c>
      <c r="L1673" s="55" t="n">
        <v>53.78</v>
      </c>
      <c r="M1673" s="55" t="n">
        <v>-142.22</v>
      </c>
      <c r="N1673" s="36" t="inlineStr">
        <is>
          <t>015574</t>
        </is>
      </c>
      <c r="O1673" s="36" t="inlineStr">
        <is>
          <t>MEDIMP</t>
        </is>
      </c>
      <c r="P1673" s="36" t="inlineStr">
        <is>
          <t>ASPROD1</t>
        </is>
      </c>
      <c r="Q1673" s="36" t="inlineStr">
        <is>
          <t>VNS01</t>
        </is>
      </c>
    </row>
    <row r="1674">
      <c r="A1674" s="36" t="inlineStr">
        <is>
          <t>121814</t>
        </is>
      </c>
      <c r="B1674" s="52" t="n">
        <v>46020</v>
      </c>
      <c r="C1674" s="36" t="inlineStr">
        <is>
          <t>00169255013</t>
        </is>
      </c>
      <c r="D1674" s="53" t="inlineStr">
        <is>
          <t>TRESIBA FLEXTOUCH 200UNIT/ML INJECTION</t>
        </is>
      </c>
      <c r="E1674" s="36" t="n">
        <v>9</v>
      </c>
      <c r="F1674" s="54" t="n">
        <v>3</v>
      </c>
      <c r="G1674" s="54" t="n">
        <v>0.33</v>
      </c>
      <c r="H1674" s="55" t="n">
        <v>196</v>
      </c>
      <c r="I1674" s="55" t="n">
        <v>193.6</v>
      </c>
      <c r="J1674" s="55" t="n">
        <v>0</v>
      </c>
      <c r="K1674" s="55" t="n">
        <v>0</v>
      </c>
      <c r="L1674" s="55" t="n">
        <v>193.6</v>
      </c>
      <c r="M1674" s="55" t="n">
        <v>-2.4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inlineStr">
        <is>
          <t>VNS01</t>
        </is>
      </c>
    </row>
    <row r="1675">
      <c r="A1675" s="36" t="inlineStr">
        <is>
          <t>142237</t>
        </is>
      </c>
      <c r="B1675" s="52" t="n">
        <v>46059</v>
      </c>
      <c r="C1675" s="36" t="inlineStr">
        <is>
          <t>00597038068</t>
        </is>
      </c>
      <c r="D1675" s="53" t="inlineStr">
        <is>
          <t>TRIJARDY XR 10-5-1000 MG ORAL TABLET EXTENDED RELEASE 24 HOUR</t>
        </is>
      </c>
      <c r="E1675" s="36" t="n">
        <v>90</v>
      </c>
      <c r="F1675" s="54" t="n">
        <v>90</v>
      </c>
      <c r="G1675" s="54" t="n">
        <v>1</v>
      </c>
      <c r="H1675" s="55" t="n">
        <v>1021</v>
      </c>
      <c r="I1675" s="55" t="n">
        <v>977.5599999999999</v>
      </c>
      <c r="J1675" s="55" t="n">
        <v>0</v>
      </c>
      <c r="K1675" s="55" t="n">
        <v>4.9</v>
      </c>
      <c r="L1675" s="55" t="n">
        <v>982.46</v>
      </c>
      <c r="M1675" s="55" t="n">
        <v>-38.54</v>
      </c>
      <c r="N1675" s="36" t="inlineStr">
        <is>
          <t>004336</t>
        </is>
      </c>
      <c r="O1675" s="36" t="inlineStr">
        <is>
          <t>CAREMARK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122542</t>
        </is>
      </c>
      <c r="B1676" s="52" t="n">
        <v>46022</v>
      </c>
      <c r="C1676" s="36" t="inlineStr">
        <is>
          <t>64764073030</t>
        </is>
      </c>
      <c r="D1676" s="53" t="inlineStr">
        <is>
          <t>TRINTELLIX 10MG TABLET</t>
        </is>
      </c>
      <c r="E1676" s="36" t="n">
        <v>30</v>
      </c>
      <c r="F1676" s="54" t="n">
        <v>30</v>
      </c>
      <c r="G1676" s="54" t="n">
        <v>1</v>
      </c>
      <c r="H1676" s="55" t="n">
        <v>495</v>
      </c>
      <c r="I1676" s="55" t="n">
        <v>484.71</v>
      </c>
      <c r="J1676" s="55" t="n">
        <v>0</v>
      </c>
      <c r="K1676" s="55" t="n">
        <v>0</v>
      </c>
      <c r="L1676" s="55" t="n">
        <v>484.71</v>
      </c>
      <c r="M1676" s="55" t="n">
        <v>-10.29</v>
      </c>
      <c r="N1676" s="36" t="inlineStr">
        <is>
          <t>004336</t>
        </is>
      </c>
      <c r="O1676" s="36" t="inlineStr">
        <is>
          <t>CAREMARK</t>
        </is>
      </c>
      <c r="P1676" s="36" t="inlineStr">
        <is>
          <t>MEDDADV</t>
        </is>
      </c>
      <c r="Q1676" s="36" t="inlineStr">
        <is>
          <t>RX1110</t>
        </is>
      </c>
    </row>
    <row r="1677">
      <c r="A1677" s="36" t="inlineStr">
        <is>
          <t>122542</t>
        </is>
      </c>
      <c r="B1677" s="52" t="n">
        <v>45994</v>
      </c>
      <c r="C1677" s="36" t="inlineStr">
        <is>
          <t>64764073030</t>
        </is>
      </c>
      <c r="D1677" s="53" t="inlineStr">
        <is>
          <t>TRINTELLIX 10MG TABLET</t>
        </is>
      </c>
      <c r="E1677" s="36" t="n">
        <v>30</v>
      </c>
      <c r="F1677" s="54" t="n">
        <v>30</v>
      </c>
      <c r="G1677" s="54" t="n">
        <v>1</v>
      </c>
      <c r="H1677" s="55" t="n">
        <v>495</v>
      </c>
      <c r="I1677" s="55" t="n">
        <v>484.71</v>
      </c>
      <c r="J1677" s="55" t="n">
        <v>0</v>
      </c>
      <c r="K1677" s="55" t="n">
        <v>0</v>
      </c>
      <c r="L1677" s="55" t="n">
        <v>484.71</v>
      </c>
      <c r="M1677" s="55" t="n">
        <v>-10.29</v>
      </c>
      <c r="N1677" s="36" t="inlineStr">
        <is>
          <t>004336</t>
        </is>
      </c>
      <c r="O1677" s="36" t="inlineStr">
        <is>
          <t>CAREMARK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122542</t>
        </is>
      </c>
      <c r="B1678" s="52" t="n">
        <v>46050</v>
      </c>
      <c r="C1678" s="36" t="inlineStr">
        <is>
          <t>64764073030</t>
        </is>
      </c>
      <c r="D1678" s="53" t="inlineStr">
        <is>
          <t>TRINTELLIX 10MG TABLET</t>
        </is>
      </c>
      <c r="E1678" s="36" t="n">
        <v>30</v>
      </c>
      <c r="F1678" s="54" t="n">
        <v>30</v>
      </c>
      <c r="G1678" s="54" t="n">
        <v>1</v>
      </c>
      <c r="H1678" s="55" t="n">
        <v>495</v>
      </c>
      <c r="I1678" s="55" t="n">
        <v>513.49</v>
      </c>
      <c r="J1678" s="55" t="n">
        <v>0</v>
      </c>
      <c r="K1678" s="55" t="n">
        <v>0</v>
      </c>
      <c r="L1678" s="55" t="n">
        <v>513.49</v>
      </c>
      <c r="M1678" s="55" t="n">
        <v>18.49</v>
      </c>
      <c r="N1678" s="36" t="inlineStr">
        <is>
          <t>004336</t>
        </is>
      </c>
      <c r="O1678" s="36" t="inlineStr">
        <is>
          <t>CAREMARK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130764</t>
        </is>
      </c>
      <c r="B1679" s="52" t="n">
        <v>46052</v>
      </c>
      <c r="C1679" s="36" t="inlineStr">
        <is>
          <t>00002143380</t>
        </is>
      </c>
      <c r="D1679" s="53" t="inlineStr">
        <is>
          <t>TRULICITY 0.75MG/0.5ML INJECTION</t>
        </is>
      </c>
      <c r="E1679" s="36" t="n">
        <v>2</v>
      </c>
      <c r="F1679" s="54" t="n">
        <v>2</v>
      </c>
      <c r="G1679" s="54" t="n">
        <v>1</v>
      </c>
      <c r="H1679" s="55" t="n">
        <v>972</v>
      </c>
      <c r="I1679" s="55" t="n">
        <v>957.96</v>
      </c>
      <c r="J1679" s="55" t="n">
        <v>0</v>
      </c>
      <c r="K1679" s="55" t="n">
        <v>0</v>
      </c>
      <c r="L1679" s="55" t="n">
        <v>957.96</v>
      </c>
      <c r="M1679" s="55" t="n">
        <v>-14.04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131584</t>
        </is>
      </c>
      <c r="B1680" s="52" t="n">
        <v>46062</v>
      </c>
      <c r="C1680" s="36" t="inlineStr">
        <is>
          <t>00002143380</t>
        </is>
      </c>
      <c r="D1680" s="53" t="inlineStr">
        <is>
          <t>TRULICITY 0.75MG/0.5ML INJECTION</t>
        </is>
      </c>
      <c r="E1680" s="36" t="n">
        <v>2</v>
      </c>
      <c r="F1680" s="54" t="n">
        <v>2</v>
      </c>
      <c r="G1680" s="54" t="n">
        <v>1</v>
      </c>
      <c r="H1680" s="55" t="n">
        <v>979</v>
      </c>
      <c r="I1680" s="55" t="n">
        <v>985.62</v>
      </c>
      <c r="J1680" s="55" t="n">
        <v>0</v>
      </c>
      <c r="K1680" s="55" t="n">
        <v>0</v>
      </c>
      <c r="L1680" s="55" t="n">
        <v>985.62</v>
      </c>
      <c r="M1680" s="55" t="n">
        <v>6.62</v>
      </c>
      <c r="N1680" s="36" t="inlineStr">
        <is>
          <t>004740</t>
        </is>
      </c>
      <c r="O1680" s="36" t="inlineStr">
        <is>
          <t>NYM</t>
        </is>
      </c>
      <c r="P1680" s="36" t="inlineStr">
        <is>
          <t>9314DA31</t>
        </is>
      </c>
      <c r="Q1680" s="36" t="n">
        <v/>
      </c>
    </row>
    <row r="1681">
      <c r="A1681" s="36" t="inlineStr">
        <is>
          <t>131375</t>
        </is>
      </c>
      <c r="B1681" s="52" t="n">
        <v>46059</v>
      </c>
      <c r="C1681" s="36" t="inlineStr">
        <is>
          <t>00002143380</t>
        </is>
      </c>
      <c r="D1681" s="53" t="inlineStr">
        <is>
          <t>TRULICITY 0.75MG/0.5ML INJECTION</t>
        </is>
      </c>
      <c r="E1681" s="36" t="n">
        <v>2</v>
      </c>
      <c r="F1681" s="54" t="n">
        <v>6</v>
      </c>
      <c r="G1681" s="54" t="n">
        <v>3</v>
      </c>
      <c r="H1681" s="55" t="n">
        <v>2937</v>
      </c>
      <c r="I1681" s="55" t="n">
        <v>2822.23</v>
      </c>
      <c r="J1681" s="55" t="n">
        <v>0</v>
      </c>
      <c r="K1681" s="55" t="n">
        <v>4.9</v>
      </c>
      <c r="L1681" s="55" t="n">
        <v>2827.13</v>
      </c>
      <c r="M1681" s="55" t="n">
        <v>-109.87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130764</t>
        </is>
      </c>
      <c r="B1682" s="52" t="n">
        <v>46000</v>
      </c>
      <c r="C1682" s="36" t="inlineStr">
        <is>
          <t>00002143380</t>
        </is>
      </c>
      <c r="D1682" s="53" t="inlineStr">
        <is>
          <t>TRULICITY 0.75MG/0.5ML INJECTION</t>
        </is>
      </c>
      <c r="E1682" s="36" t="n">
        <v>2</v>
      </c>
      <c r="F1682" s="54" t="n">
        <v>2</v>
      </c>
      <c r="G1682" s="54" t="n">
        <v>1</v>
      </c>
      <c r="H1682" s="55" t="n">
        <v>950</v>
      </c>
      <c r="I1682" s="55" t="n">
        <v>930.88</v>
      </c>
      <c r="J1682" s="55" t="n">
        <v>0</v>
      </c>
      <c r="K1682" s="55" t="n">
        <v>0</v>
      </c>
      <c r="L1682" s="55" t="n">
        <v>930.88</v>
      </c>
      <c r="M1682" s="55" t="n">
        <v>-19.12</v>
      </c>
      <c r="N1682" s="36" t="inlineStr">
        <is>
          <t>004336</t>
        </is>
      </c>
      <c r="O1682" s="36" t="inlineStr">
        <is>
          <t>CAREMARK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134443</t>
        </is>
      </c>
      <c r="B1683" s="52" t="n">
        <v>46000</v>
      </c>
      <c r="C1683" s="36" t="inlineStr">
        <is>
          <t>00002143380</t>
        </is>
      </c>
      <c r="D1683" s="53" t="inlineStr">
        <is>
          <t>TRULICITY 0.75MG/0.5ML INJECTION</t>
        </is>
      </c>
      <c r="E1683" s="36" t="n">
        <v>2</v>
      </c>
      <c r="F1683" s="54" t="n">
        <v>6</v>
      </c>
      <c r="G1683" s="54" t="n">
        <v>3</v>
      </c>
      <c r="H1683" s="55" t="n">
        <v>2850</v>
      </c>
      <c r="I1683" s="55" t="n">
        <v>2807.28</v>
      </c>
      <c r="J1683" s="55" t="n">
        <v>0</v>
      </c>
      <c r="K1683" s="55" t="n">
        <v>0</v>
      </c>
      <c r="L1683" s="55" t="n">
        <v>2807.28</v>
      </c>
      <c r="M1683" s="55" t="n">
        <v>-42.72</v>
      </c>
      <c r="N1683" s="36" t="inlineStr">
        <is>
          <t>610502</t>
        </is>
      </c>
      <c r="O1683" s="36" t="inlineStr">
        <is>
          <t>CAREMARK</t>
        </is>
      </c>
      <c r="P1683" s="36" t="inlineStr">
        <is>
          <t>MEDDAET</t>
        </is>
      </c>
      <c r="Q1683" s="36" t="inlineStr">
        <is>
          <t>RXAETD</t>
        </is>
      </c>
    </row>
    <row r="1684">
      <c r="A1684" s="36" t="inlineStr">
        <is>
          <t>134648</t>
        </is>
      </c>
      <c r="B1684" s="52" t="n">
        <v>46001</v>
      </c>
      <c r="C1684" s="36" t="inlineStr">
        <is>
          <t>00002143380</t>
        </is>
      </c>
      <c r="D1684" s="53" t="inlineStr">
        <is>
          <t>TRULICITY 0.75MG/0.5ML INJECTION</t>
        </is>
      </c>
      <c r="E1684" s="36" t="n">
        <v>2</v>
      </c>
      <c r="F1684" s="54" t="n">
        <v>6</v>
      </c>
      <c r="G1684" s="54" t="n">
        <v>3</v>
      </c>
      <c r="H1684" s="55" t="n">
        <v>2850</v>
      </c>
      <c r="I1684" s="55" t="n">
        <v>2879.32</v>
      </c>
      <c r="J1684" s="55" t="n">
        <v>0</v>
      </c>
      <c r="K1684" s="55" t="n">
        <v>0</v>
      </c>
      <c r="L1684" s="55" t="n">
        <v>2879.32</v>
      </c>
      <c r="M1684" s="55" t="n">
        <v>29.32</v>
      </c>
      <c r="N1684" s="36" t="inlineStr">
        <is>
          <t>004740</t>
        </is>
      </c>
      <c r="O1684" s="36" t="inlineStr">
        <is>
          <t>NYM</t>
        </is>
      </c>
      <c r="P1684" s="36" t="inlineStr">
        <is>
          <t>9314DA31</t>
        </is>
      </c>
      <c r="Q1684" s="36" t="n">
        <v/>
      </c>
    </row>
    <row r="1685">
      <c r="A1685" s="36" t="inlineStr">
        <is>
          <t>130764</t>
        </is>
      </c>
      <c r="B1685" s="52" t="n">
        <v>46027</v>
      </c>
      <c r="C1685" s="36" t="inlineStr">
        <is>
          <t>00002143380</t>
        </is>
      </c>
      <c r="D1685" s="53" t="inlineStr">
        <is>
          <t>TRULICITY 0.75MG/0.5ML INJECTION</t>
        </is>
      </c>
      <c r="E1685" s="36" t="n">
        <v>2</v>
      </c>
      <c r="F1685" s="54" t="n">
        <v>2</v>
      </c>
      <c r="G1685" s="54" t="n">
        <v>1</v>
      </c>
      <c r="H1685" s="55" t="n">
        <v>972</v>
      </c>
      <c r="I1685" s="55" t="n">
        <v>957.96</v>
      </c>
      <c r="J1685" s="55" t="n">
        <v>0</v>
      </c>
      <c r="K1685" s="55" t="n">
        <v>0</v>
      </c>
      <c r="L1685" s="55" t="n">
        <v>957.96</v>
      </c>
      <c r="M1685" s="55" t="n">
        <v>-14.04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RX1110</t>
        </is>
      </c>
    </row>
    <row r="1686">
      <c r="A1686" s="36" t="inlineStr">
        <is>
          <t>131584</t>
        </is>
      </c>
      <c r="B1686" s="52" t="n">
        <v>46007</v>
      </c>
      <c r="C1686" s="36" t="inlineStr">
        <is>
          <t>00002143380</t>
        </is>
      </c>
      <c r="D1686" s="53" t="inlineStr">
        <is>
          <t>TRULICITY 0.75MG/0.5ML INJECTION</t>
        </is>
      </c>
      <c r="E1686" s="36" t="n">
        <v>2</v>
      </c>
      <c r="F1686" s="54" t="n">
        <v>2</v>
      </c>
      <c r="G1686" s="54" t="n">
        <v>1</v>
      </c>
      <c r="H1686" s="55" t="n">
        <v>950</v>
      </c>
      <c r="I1686" s="55" t="n">
        <v>966.5599999999999</v>
      </c>
      <c r="J1686" s="55" t="n">
        <v>0</v>
      </c>
      <c r="K1686" s="55" t="n">
        <v>0</v>
      </c>
      <c r="L1686" s="55" t="n">
        <v>966.5599999999999</v>
      </c>
      <c r="M1686" s="55" t="n">
        <v>16.56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131584</t>
        </is>
      </c>
      <c r="B1687" s="52" t="n">
        <v>46035</v>
      </c>
      <c r="C1687" s="36" t="inlineStr">
        <is>
          <t>00002143380</t>
        </is>
      </c>
      <c r="D1687" s="53" t="inlineStr">
        <is>
          <t>TRULICITY 0.75MG/0.5ML INJECTION</t>
        </is>
      </c>
      <c r="E1687" s="36" t="n">
        <v>2</v>
      </c>
      <c r="F1687" s="54" t="n">
        <v>2</v>
      </c>
      <c r="G1687" s="54" t="n">
        <v>1</v>
      </c>
      <c r="H1687" s="55" t="n">
        <v>972</v>
      </c>
      <c r="I1687" s="55" t="n">
        <v>966.49</v>
      </c>
      <c r="J1687" s="55" t="n">
        <v>0</v>
      </c>
      <c r="K1687" s="55" t="n">
        <v>0</v>
      </c>
      <c r="L1687" s="55" t="n">
        <v>966.49</v>
      </c>
      <c r="M1687" s="55" t="n">
        <v>-5.51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131944</t>
        </is>
      </c>
      <c r="B1688" s="52" t="n">
        <v>46063</v>
      </c>
      <c r="C1688" s="36" t="inlineStr">
        <is>
          <t>00002143380</t>
        </is>
      </c>
      <c r="D1688" s="53" t="inlineStr">
        <is>
          <t>TRULICITY 0.75MG/0.5ML INJECTION</t>
        </is>
      </c>
      <c r="E1688" s="36" t="n">
        <v>2</v>
      </c>
      <c r="F1688" s="54" t="n">
        <v>6</v>
      </c>
      <c r="G1688" s="54" t="n">
        <v>3</v>
      </c>
      <c r="H1688" s="55" t="n">
        <v>2937</v>
      </c>
      <c r="I1688" s="55" t="n">
        <v>2881.5</v>
      </c>
      <c r="J1688" s="55" t="n">
        <v>0</v>
      </c>
      <c r="K1688" s="55" t="n">
        <v>0</v>
      </c>
      <c r="L1688" s="55" t="n">
        <v>2881.5</v>
      </c>
      <c r="M1688" s="55" t="n">
        <v>-55.5</v>
      </c>
      <c r="N1688" s="36" t="inlineStr">
        <is>
          <t>004336</t>
        </is>
      </c>
      <c r="O1688" s="36" t="inlineStr">
        <is>
          <t>CAREMARK</t>
        </is>
      </c>
      <c r="P1688" s="36" t="inlineStr">
        <is>
          <t>MEDDADV</t>
        </is>
      </c>
      <c r="Q1688" s="36" t="inlineStr">
        <is>
          <t>RXCVSD</t>
        </is>
      </c>
    </row>
    <row r="1689">
      <c r="A1689" s="36" t="inlineStr">
        <is>
          <t>132548</t>
        </is>
      </c>
      <c r="B1689" s="52" t="n">
        <v>46014</v>
      </c>
      <c r="C1689" s="36" t="inlineStr">
        <is>
          <t>00002143480</t>
        </is>
      </c>
      <c r="D1689" s="53" t="inlineStr">
        <is>
          <t>TRULICITY 1.5MG/0.5ML INJECTION</t>
        </is>
      </c>
      <c r="E1689" s="36" t="n">
        <v>2</v>
      </c>
      <c r="F1689" s="54" t="n">
        <v>2</v>
      </c>
      <c r="G1689" s="54" t="n">
        <v>1</v>
      </c>
      <c r="H1689" s="55" t="n">
        <v>972</v>
      </c>
      <c r="I1689" s="55" t="n">
        <v>930.88</v>
      </c>
      <c r="J1689" s="55" t="n">
        <v>0</v>
      </c>
      <c r="K1689" s="55" t="n">
        <v>0</v>
      </c>
      <c r="L1689" s="55" t="n">
        <v>930.88</v>
      </c>
      <c r="M1689" s="55" t="n">
        <v>-41.12</v>
      </c>
      <c r="N1689" s="36" t="inlineStr">
        <is>
          <t>004336</t>
        </is>
      </c>
      <c r="O1689" s="36" t="inlineStr">
        <is>
          <t>CAREMARK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137064</t>
        </is>
      </c>
      <c r="B1690" s="52" t="n">
        <v>46022</v>
      </c>
      <c r="C1690" s="36" t="inlineStr">
        <is>
          <t>00002143480</t>
        </is>
      </c>
      <c r="D1690" s="53" t="inlineStr">
        <is>
          <t>TRULICITY 1.5MG/0.5ML INJECTION</t>
        </is>
      </c>
      <c r="E1690" s="36" t="n">
        <v>2</v>
      </c>
      <c r="F1690" s="54" t="n">
        <v>6</v>
      </c>
      <c r="G1690" s="54" t="n">
        <v>3</v>
      </c>
      <c r="H1690" s="55" t="n">
        <v>2916</v>
      </c>
      <c r="I1690" s="55" t="n">
        <v>2877.59</v>
      </c>
      <c r="J1690" s="55" t="n">
        <v>0</v>
      </c>
      <c r="K1690" s="55" t="n">
        <v>1</v>
      </c>
      <c r="L1690" s="55" t="n">
        <v>2878.59</v>
      </c>
      <c r="M1690" s="55" t="n">
        <v>-37.41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129664</t>
        </is>
      </c>
      <c r="B1691" s="52" t="n">
        <v>46069</v>
      </c>
      <c r="C1691" s="36" t="inlineStr">
        <is>
          <t>00002143480</t>
        </is>
      </c>
      <c r="D1691" s="53" t="inlineStr">
        <is>
          <t>TRULICITY 1.5MG/0.5ML INJECTION</t>
        </is>
      </c>
      <c r="E1691" s="36" t="n">
        <v>2</v>
      </c>
      <c r="F1691" s="54" t="n">
        <v>2</v>
      </c>
      <c r="G1691" s="54" t="n">
        <v>1</v>
      </c>
      <c r="H1691" s="55" t="n">
        <v>979</v>
      </c>
      <c r="I1691" s="55" t="n">
        <v>985.4400000000001</v>
      </c>
      <c r="J1691" s="55" t="n">
        <v>0</v>
      </c>
      <c r="K1691" s="55" t="n">
        <v>0</v>
      </c>
      <c r="L1691" s="55" t="n">
        <v>985.4400000000001</v>
      </c>
      <c r="M1691" s="55" t="n">
        <v>6.44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132548</t>
        </is>
      </c>
      <c r="B1692" s="52" t="n">
        <v>46067</v>
      </c>
      <c r="C1692" s="36" t="inlineStr">
        <is>
          <t>00002143480</t>
        </is>
      </c>
      <c r="D1692" s="53" t="inlineStr">
        <is>
          <t>TRULICITY 1.5MG/0.5ML INJECTION</t>
        </is>
      </c>
      <c r="E1692" s="36" t="n">
        <v>2</v>
      </c>
      <c r="F1692" s="54" t="n">
        <v>2</v>
      </c>
      <c r="G1692" s="54" t="n">
        <v>1</v>
      </c>
      <c r="H1692" s="55" t="n">
        <v>979</v>
      </c>
      <c r="I1692" s="55" t="n">
        <v>945.3099999999999</v>
      </c>
      <c r="J1692" s="55" t="n">
        <v>0</v>
      </c>
      <c r="K1692" s="55" t="n">
        <v>12.65</v>
      </c>
      <c r="L1692" s="55" t="n">
        <v>957.96</v>
      </c>
      <c r="M1692" s="55" t="n">
        <v>-21.04</v>
      </c>
      <c r="N1692" s="36" t="inlineStr">
        <is>
          <t>004336</t>
        </is>
      </c>
      <c r="O1692" s="36" t="inlineStr">
        <is>
          <t>CAREMARK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132548</t>
        </is>
      </c>
      <c r="B1693" s="52" t="n">
        <v>46042</v>
      </c>
      <c r="C1693" s="36" t="inlineStr">
        <is>
          <t>00002143480</t>
        </is>
      </c>
      <c r="D1693" s="53" t="inlineStr">
        <is>
          <t>TRULICITY 1.5MG/0.5ML INJECTION</t>
        </is>
      </c>
      <c r="E1693" s="36" t="n">
        <v>2</v>
      </c>
      <c r="F1693" s="54" t="n">
        <v>2</v>
      </c>
      <c r="G1693" s="54" t="n">
        <v>1</v>
      </c>
      <c r="H1693" s="55" t="n">
        <v>972</v>
      </c>
      <c r="I1693" s="55" t="n">
        <v>945.3099999999999</v>
      </c>
      <c r="J1693" s="55" t="n">
        <v>0</v>
      </c>
      <c r="K1693" s="55" t="n">
        <v>12.65</v>
      </c>
      <c r="L1693" s="55" t="n">
        <v>957.96</v>
      </c>
      <c r="M1693" s="55" t="n">
        <v>-14.04</v>
      </c>
      <c r="N1693" s="36" t="inlineStr">
        <is>
          <t>004336</t>
        </is>
      </c>
      <c r="O1693" s="36" t="inlineStr">
        <is>
          <t>CAREMARK</t>
        </is>
      </c>
      <c r="P1693" s="36" t="inlineStr">
        <is>
          <t>MEDDADV</t>
        </is>
      </c>
      <c r="Q1693" s="36" t="inlineStr">
        <is>
          <t>RX1110</t>
        </is>
      </c>
    </row>
    <row r="1694">
      <c r="A1694" s="36" t="inlineStr">
        <is>
          <t>129664</t>
        </is>
      </c>
      <c r="B1694" s="52" t="n">
        <v>46015</v>
      </c>
      <c r="C1694" s="36" t="inlineStr">
        <is>
          <t>00002143480</t>
        </is>
      </c>
      <c r="D1694" s="53" t="inlineStr">
        <is>
          <t>TRULICITY 1.5MG/0.5ML INJECTION</t>
        </is>
      </c>
      <c r="E1694" s="36" t="n">
        <v>2</v>
      </c>
      <c r="F1694" s="54" t="n">
        <v>2</v>
      </c>
      <c r="G1694" s="54" t="n">
        <v>1</v>
      </c>
      <c r="H1694" s="55" t="n">
        <v>972</v>
      </c>
      <c r="I1694" s="55" t="n">
        <v>966.3200000000001</v>
      </c>
      <c r="J1694" s="55" t="n">
        <v>0</v>
      </c>
      <c r="K1694" s="55" t="n">
        <v>0</v>
      </c>
      <c r="L1694" s="55" t="n">
        <v>966.3200000000001</v>
      </c>
      <c r="M1694" s="55" t="n">
        <v>-5.68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129664</t>
        </is>
      </c>
      <c r="B1695" s="52" t="n">
        <v>46043</v>
      </c>
      <c r="C1695" s="36" t="inlineStr">
        <is>
          <t>00002143480</t>
        </is>
      </c>
      <c r="D1695" s="53" t="inlineStr">
        <is>
          <t>TRULICITY 1.5MG/0.5ML INJECTION</t>
        </is>
      </c>
      <c r="E1695" s="36" t="n">
        <v>2</v>
      </c>
      <c r="F1695" s="54" t="n">
        <v>2</v>
      </c>
      <c r="G1695" s="54" t="n">
        <v>1</v>
      </c>
      <c r="H1695" s="55" t="n">
        <v>972</v>
      </c>
      <c r="I1695" s="55" t="n">
        <v>985.4400000000001</v>
      </c>
      <c r="J1695" s="55" t="n">
        <v>0</v>
      </c>
      <c r="K1695" s="55" t="n">
        <v>0</v>
      </c>
      <c r="L1695" s="55" t="n">
        <v>985.4400000000001</v>
      </c>
      <c r="M1695" s="55" t="n">
        <v>13.44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128279</t>
        </is>
      </c>
      <c r="B1696" s="52" t="n">
        <v>46028</v>
      </c>
      <c r="C1696" s="36" t="inlineStr">
        <is>
          <t>00002223680</t>
        </is>
      </c>
      <c r="D1696" s="53" t="inlineStr">
        <is>
          <t>TRULICITY 3MG/0.5ML INJECTION</t>
        </is>
      </c>
      <c r="E1696" s="36" t="n">
        <v>2</v>
      </c>
      <c r="F1696" s="54" t="n">
        <v>6</v>
      </c>
      <c r="G1696" s="54" t="n">
        <v>3</v>
      </c>
      <c r="H1696" s="55" t="n">
        <v>2916</v>
      </c>
      <c r="I1696" s="55" t="n">
        <v>2822.23</v>
      </c>
      <c r="J1696" s="55" t="n">
        <v>0</v>
      </c>
      <c r="K1696" s="55" t="n">
        <v>4.9</v>
      </c>
      <c r="L1696" s="55" t="n">
        <v>2827.13</v>
      </c>
      <c r="M1696" s="55" t="n">
        <v>-88.87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134197</t>
        </is>
      </c>
      <c r="B1697" s="52" t="n">
        <v>45999</v>
      </c>
      <c r="C1697" s="36" t="inlineStr">
        <is>
          <t>00002223680</t>
        </is>
      </c>
      <c r="D1697" s="53" t="inlineStr">
        <is>
          <t>TRULICITY 3MG/0.5ML INJECTION</t>
        </is>
      </c>
      <c r="E1697" s="36" t="n">
        <v>2</v>
      </c>
      <c r="F1697" s="54" t="n">
        <v>2</v>
      </c>
      <c r="G1697" s="54" t="n">
        <v>1</v>
      </c>
      <c r="H1697" s="55" t="n">
        <v>950</v>
      </c>
      <c r="I1697" s="55" t="n">
        <v>930.88</v>
      </c>
      <c r="J1697" s="55" t="n">
        <v>0</v>
      </c>
      <c r="K1697" s="55" t="n">
        <v>0</v>
      </c>
      <c r="L1697" s="55" t="n">
        <v>930.88</v>
      </c>
      <c r="M1697" s="55" t="n">
        <v>-19.12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141460</t>
        </is>
      </c>
      <c r="B1698" s="52" t="n">
        <v>46055</v>
      </c>
      <c r="C1698" s="36" t="inlineStr">
        <is>
          <t>00002223680</t>
        </is>
      </c>
      <c r="D1698" s="53" t="inlineStr">
        <is>
          <t>TRULICITY 3MG/0.5ML INJECTION</t>
        </is>
      </c>
      <c r="E1698" s="36" t="n">
        <v>2</v>
      </c>
      <c r="F1698" s="54" t="n">
        <v>2</v>
      </c>
      <c r="G1698" s="54" t="n">
        <v>1</v>
      </c>
      <c r="H1698" s="55" t="n">
        <v>979</v>
      </c>
      <c r="I1698" s="55" t="n">
        <v>957.96</v>
      </c>
      <c r="J1698" s="55" t="n">
        <v>0</v>
      </c>
      <c r="K1698" s="55" t="n">
        <v>0</v>
      </c>
      <c r="L1698" s="55" t="n">
        <v>957.96</v>
      </c>
      <c r="M1698" s="55" t="n">
        <v>-21.04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133595</t>
        </is>
      </c>
      <c r="B1699" s="52" t="n">
        <v>45994</v>
      </c>
      <c r="C1699" s="36" t="inlineStr">
        <is>
          <t>00002223680</t>
        </is>
      </c>
      <c r="D1699" s="53" t="inlineStr">
        <is>
          <t>TRULICITY 3MG/0.5ML INJECTION</t>
        </is>
      </c>
      <c r="E1699" s="36" t="n">
        <v>2</v>
      </c>
      <c r="F1699" s="54" t="n">
        <v>6</v>
      </c>
      <c r="G1699" s="54" t="n">
        <v>3</v>
      </c>
      <c r="H1699" s="55" t="n">
        <v>2850</v>
      </c>
      <c r="I1699" s="55" t="n">
        <v>2753.92</v>
      </c>
      <c r="J1699" s="55" t="n">
        <v>0</v>
      </c>
      <c r="K1699" s="55" t="n">
        <v>0</v>
      </c>
      <c r="L1699" s="55" t="n">
        <v>2753.92</v>
      </c>
      <c r="M1699" s="55" t="n">
        <v>-96.08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134197</t>
        </is>
      </c>
      <c r="B1700" s="52" t="n">
        <v>46027</v>
      </c>
      <c r="C1700" s="36" t="inlineStr">
        <is>
          <t>00002223680</t>
        </is>
      </c>
      <c r="D1700" s="53" t="inlineStr">
        <is>
          <t>TRULICITY 3MG/0.5ML INJECTION</t>
        </is>
      </c>
      <c r="E1700" s="36" t="n">
        <v>2</v>
      </c>
      <c r="F1700" s="54" t="n">
        <v>2</v>
      </c>
      <c r="G1700" s="54" t="n">
        <v>1</v>
      </c>
      <c r="H1700" s="55" t="n">
        <v>972</v>
      </c>
      <c r="I1700" s="55" t="n">
        <v>957.96</v>
      </c>
      <c r="J1700" s="55" t="n">
        <v>0</v>
      </c>
      <c r="K1700" s="55" t="n">
        <v>0</v>
      </c>
      <c r="L1700" s="55" t="n">
        <v>957.96</v>
      </c>
      <c r="M1700" s="55" t="n">
        <v>-14.04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133595</t>
        </is>
      </c>
      <c r="B1701" s="52" t="n">
        <v>46076</v>
      </c>
      <c r="C1701" s="36" t="inlineStr">
        <is>
          <t>00002223680</t>
        </is>
      </c>
      <c r="D1701" s="53" t="inlineStr">
        <is>
          <t>TRULICITY 3MG/0.5ML INJECTION</t>
        </is>
      </c>
      <c r="E1701" s="36" t="n">
        <v>2</v>
      </c>
      <c r="F1701" s="54" t="n">
        <v>6</v>
      </c>
      <c r="G1701" s="54" t="n">
        <v>3</v>
      </c>
      <c r="H1701" s="55" t="n">
        <v>2937</v>
      </c>
      <c r="I1701" s="55" t="n">
        <v>2827.13</v>
      </c>
      <c r="J1701" s="55" t="n">
        <v>0</v>
      </c>
      <c r="K1701" s="55" t="n">
        <v>0</v>
      </c>
      <c r="L1701" s="55" t="n">
        <v>2827.13</v>
      </c>
      <c r="M1701" s="55" t="n">
        <v>-109.87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126921</t>
        </is>
      </c>
      <c r="B1702" s="52" t="n">
        <v>46024</v>
      </c>
      <c r="C1702" s="36" t="inlineStr">
        <is>
          <t>00002318280</t>
        </is>
      </c>
      <c r="D1702" s="53" t="inlineStr">
        <is>
          <t>TRULICITY 4.5 MG/0.5ML SOLUTION</t>
        </is>
      </c>
      <c r="E1702" s="36" t="n">
        <v>2</v>
      </c>
      <c r="F1702" s="54" t="n">
        <v>6</v>
      </c>
      <c r="G1702" s="54" t="n">
        <v>3</v>
      </c>
      <c r="H1702" s="55" t="n">
        <v>2916</v>
      </c>
      <c r="I1702" s="55" t="n">
        <v>2695.7</v>
      </c>
      <c r="J1702" s="55" t="n">
        <v>0</v>
      </c>
      <c r="K1702" s="55" t="n">
        <v>4.9</v>
      </c>
      <c r="L1702" s="55" t="n">
        <v>2700.6</v>
      </c>
      <c r="M1702" s="55" t="n">
        <v>-215.4</v>
      </c>
      <c r="N1702" s="36" t="inlineStr">
        <is>
          <t>610014</t>
        </is>
      </c>
      <c r="O1702" s="36" t="inlineStr">
        <is>
          <t>EXPRESS</t>
        </is>
      </c>
      <c r="P1702" s="36" t="inlineStr">
        <is>
          <t>MEDDPRIME</t>
        </is>
      </c>
      <c r="Q1702" s="36" t="inlineStr">
        <is>
          <t>2FGA</t>
        </is>
      </c>
    </row>
    <row r="1703">
      <c r="A1703" s="36" t="inlineStr">
        <is>
          <t>136384</t>
        </is>
      </c>
      <c r="B1703" s="52" t="n">
        <v>46014</v>
      </c>
      <c r="C1703" s="36" t="inlineStr">
        <is>
          <t>00002318280</t>
        </is>
      </c>
      <c r="D1703" s="53" t="inlineStr">
        <is>
          <t>TRULICITY 4.5 MG/0.5ML SOLUTION</t>
        </is>
      </c>
      <c r="E1703" s="36" t="n">
        <v>2</v>
      </c>
      <c r="F1703" s="54" t="n">
        <v>6</v>
      </c>
      <c r="G1703" s="54" t="n">
        <v>3</v>
      </c>
      <c r="H1703" s="55" t="n">
        <v>2850</v>
      </c>
      <c r="I1703" s="55" t="n">
        <v>2753.92</v>
      </c>
      <c r="J1703" s="55" t="n">
        <v>0</v>
      </c>
      <c r="K1703" s="55" t="n">
        <v>0</v>
      </c>
      <c r="L1703" s="55" t="n">
        <v>2753.92</v>
      </c>
      <c r="M1703" s="55" t="n">
        <v>-96.08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140512</t>
        </is>
      </c>
      <c r="B1704" s="52" t="n">
        <v>46048</v>
      </c>
      <c r="C1704" s="36" t="inlineStr">
        <is>
          <t>00002318280</t>
        </is>
      </c>
      <c r="D1704" s="53" t="inlineStr">
        <is>
          <t>TRULICITY 4.5 MG/0.5ML SOLUTION</t>
        </is>
      </c>
      <c r="E1704" s="36" t="n">
        <v>2</v>
      </c>
      <c r="F1704" s="54" t="n">
        <v>6</v>
      </c>
      <c r="G1704" s="54" t="n">
        <v>3</v>
      </c>
      <c r="H1704" s="55" t="n">
        <v>2916</v>
      </c>
      <c r="I1704" s="55" t="n">
        <v>2822.23</v>
      </c>
      <c r="J1704" s="55" t="n">
        <v>0</v>
      </c>
      <c r="K1704" s="55" t="n">
        <v>4.9</v>
      </c>
      <c r="L1704" s="55" t="n">
        <v>2827.13</v>
      </c>
      <c r="M1704" s="55" t="n">
        <v>-88.87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134398</t>
        </is>
      </c>
      <c r="B1705" s="52" t="n">
        <v>46000</v>
      </c>
      <c r="C1705" s="36" t="inlineStr">
        <is>
          <t>00002318280</t>
        </is>
      </c>
      <c r="D1705" s="53" t="inlineStr">
        <is>
          <t>TRULICITY 4.5 MG/0.5ML SOLUTION</t>
        </is>
      </c>
      <c r="E1705" s="36" t="n">
        <v>2</v>
      </c>
      <c r="F1705" s="54" t="n">
        <v>6</v>
      </c>
      <c r="G1705" s="54" t="n">
        <v>3</v>
      </c>
      <c r="H1705" s="55" t="n">
        <v>2850</v>
      </c>
      <c r="I1705" s="55" t="n">
        <v>2753.92</v>
      </c>
      <c r="J1705" s="55" t="n">
        <v>0</v>
      </c>
      <c r="K1705" s="55" t="n">
        <v>0</v>
      </c>
      <c r="L1705" s="55" t="n">
        <v>2753.92</v>
      </c>
      <c r="M1705" s="55" t="n">
        <v>-96.08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144514</t>
        </is>
      </c>
      <c r="B1706" s="52" t="n">
        <v>46077</v>
      </c>
      <c r="C1706" s="36" t="inlineStr">
        <is>
          <t>00023649810</t>
        </is>
      </c>
      <c r="D1706" s="53" t="inlineStr">
        <is>
          <t>UBRELVY 50 MG ORAL TABLET</t>
        </is>
      </c>
      <c r="E1706" s="36" t="n">
        <v>10</v>
      </c>
      <c r="F1706" s="54" t="n">
        <v>20</v>
      </c>
      <c r="G1706" s="54" t="n">
        <v>2</v>
      </c>
      <c r="H1706" s="55" t="n">
        <v>2198</v>
      </c>
      <c r="I1706" s="55" t="n">
        <v>2128.28</v>
      </c>
      <c r="J1706" s="55" t="n">
        <v>0</v>
      </c>
      <c r="K1706" s="55" t="n">
        <v>0</v>
      </c>
      <c r="L1706" s="55" t="n">
        <v>2128.28</v>
      </c>
      <c r="M1706" s="55" t="n">
        <v>-69.72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ADV</t>
        </is>
      </c>
      <c r="Q1706" s="36" t="inlineStr">
        <is>
          <t>RX24AV</t>
        </is>
      </c>
    </row>
    <row r="1707">
      <c r="A1707" s="36" t="inlineStr">
        <is>
          <t>140310</t>
        </is>
      </c>
      <c r="B1707" s="52" t="n">
        <v>46045</v>
      </c>
      <c r="C1707" s="36" t="inlineStr">
        <is>
          <t>00023649810</t>
        </is>
      </c>
      <c r="D1707" s="53" t="inlineStr">
        <is>
          <t>UBRELVY 50 MG ORAL TABLET</t>
        </is>
      </c>
      <c r="E1707" s="36" t="n">
        <v>10</v>
      </c>
      <c r="F1707" s="54" t="n">
        <v>10</v>
      </c>
      <c r="G1707" s="54" t="n">
        <v>1</v>
      </c>
      <c r="H1707" s="55" t="n">
        <v>1099</v>
      </c>
      <c r="I1707" s="55" t="n">
        <v>1100.95</v>
      </c>
      <c r="J1707" s="55" t="n">
        <v>0</v>
      </c>
      <c r="K1707" s="55" t="n">
        <v>0</v>
      </c>
      <c r="L1707" s="55" t="n">
        <v>1100.95</v>
      </c>
      <c r="M1707" s="55" t="n">
        <v>1.95</v>
      </c>
      <c r="N1707" s="36" t="inlineStr">
        <is>
          <t>004740</t>
        </is>
      </c>
      <c r="O1707" s="36" t="inlineStr">
        <is>
          <t>NYM</t>
        </is>
      </c>
      <c r="P1707" s="36" t="inlineStr">
        <is>
          <t>9314DA31</t>
        </is>
      </c>
      <c r="Q1707" s="36" t="n">
        <v/>
      </c>
    </row>
    <row r="1708">
      <c r="A1708" s="36" t="inlineStr">
        <is>
          <t>140744</t>
        </is>
      </c>
      <c r="B1708" s="52" t="n">
        <v>46049</v>
      </c>
      <c r="C1708" s="36" t="inlineStr">
        <is>
          <t>00023649810</t>
        </is>
      </c>
      <c r="D1708" s="53" t="inlineStr">
        <is>
          <t>UBRELVY 50 MG ORAL TABLET</t>
        </is>
      </c>
      <c r="E1708" s="36" t="n">
        <v>10</v>
      </c>
      <c r="F1708" s="54" t="n">
        <v>20</v>
      </c>
      <c r="G1708" s="54" t="n">
        <v>2</v>
      </c>
      <c r="H1708" s="55" t="n">
        <v>2198</v>
      </c>
      <c r="I1708" s="55" t="n">
        <v>2122.28</v>
      </c>
      <c r="J1708" s="55" t="n">
        <v>0</v>
      </c>
      <c r="K1708" s="55" t="n">
        <v>0</v>
      </c>
      <c r="L1708" s="55" t="n">
        <v>2122.28</v>
      </c>
      <c r="M1708" s="55" t="n">
        <v>-75.72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ADV</t>
        </is>
      </c>
      <c r="Q1708" s="36" t="inlineStr">
        <is>
          <t>RX24AV</t>
        </is>
      </c>
    </row>
    <row r="1709">
      <c r="A1709" s="36" t="inlineStr">
        <is>
          <t>128935</t>
        </is>
      </c>
      <c r="B1709" s="52" t="n">
        <v>46014</v>
      </c>
      <c r="C1709" s="36" t="inlineStr">
        <is>
          <t>52937000340</t>
        </is>
      </c>
      <c r="D1709" s="53" t="inlineStr">
        <is>
          <t>VASCEPA 0.5 GM ORAL CAPSULE</t>
        </is>
      </c>
      <c r="E1709" s="36" t="n">
        <v>240</v>
      </c>
      <c r="F1709" s="54" t="n">
        <v>60</v>
      </c>
      <c r="G1709" s="54" t="n">
        <v>0.25</v>
      </c>
      <c r="H1709" s="55" t="n">
        <v>0</v>
      </c>
      <c r="I1709" s="55" t="n">
        <v>53.76</v>
      </c>
      <c r="J1709" s="55" t="n">
        <v>0</v>
      </c>
      <c r="K1709" s="55" t="n">
        <v>45.5</v>
      </c>
      <c r="L1709" s="55" t="n">
        <v>99.26000000000001</v>
      </c>
      <c r="M1709" s="55" t="n">
        <v>0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128935</t>
        </is>
      </c>
      <c r="B1710" s="52" t="n">
        <v>46042</v>
      </c>
      <c r="C1710" s="36" t="inlineStr">
        <is>
          <t>52937000340</t>
        </is>
      </c>
      <c r="D1710" s="53" t="inlineStr">
        <is>
          <t>VASCEPA 0.5 GM ORAL CAPSULE</t>
        </is>
      </c>
      <c r="E1710" s="36" t="n">
        <v>240</v>
      </c>
      <c r="F1710" s="54" t="n">
        <v>60</v>
      </c>
      <c r="G1710" s="54" t="n">
        <v>0.25</v>
      </c>
      <c r="H1710" s="55" t="n">
        <v>0</v>
      </c>
      <c r="I1710" s="55" t="n">
        <v>53.76</v>
      </c>
      <c r="J1710" s="55" t="n">
        <v>0</v>
      </c>
      <c r="K1710" s="55" t="n">
        <v>45.5</v>
      </c>
      <c r="L1710" s="55" t="n">
        <v>99.26000000000001</v>
      </c>
      <c r="M1710" s="55" t="n">
        <v>0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RXCVSD</t>
        </is>
      </c>
    </row>
    <row r="1711">
      <c r="A1711" s="36" t="inlineStr">
        <is>
          <t>143695</t>
        </is>
      </c>
      <c r="B1711" s="52" t="n">
        <v>46070</v>
      </c>
      <c r="C1711" s="36" t="inlineStr">
        <is>
          <t>52937000340</t>
        </is>
      </c>
      <c r="D1711" s="53" t="inlineStr">
        <is>
          <t>VASCEPA 0.5 GM ORAL CAPSULE</t>
        </is>
      </c>
      <c r="E1711" s="36" t="n">
        <v>240</v>
      </c>
      <c r="F1711" s="54" t="n">
        <v>60</v>
      </c>
      <c r="G1711" s="54" t="n">
        <v>0.25</v>
      </c>
      <c r="H1711" s="55" t="n">
        <v>0</v>
      </c>
      <c r="I1711" s="55" t="n">
        <v>53.76</v>
      </c>
      <c r="J1711" s="55" t="n">
        <v>0</v>
      </c>
      <c r="K1711" s="55" t="n">
        <v>45.5</v>
      </c>
      <c r="L1711" s="55" t="n">
        <v>99.26000000000001</v>
      </c>
      <c r="M1711" s="55" t="n">
        <v>0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RXCVSD</t>
        </is>
      </c>
    </row>
    <row r="1712">
      <c r="A1712" s="36" t="inlineStr">
        <is>
          <t>134206</t>
        </is>
      </c>
      <c r="B1712" s="52" t="n">
        <v>46003</v>
      </c>
      <c r="C1712" s="36" t="inlineStr">
        <is>
          <t>52937000120</t>
        </is>
      </c>
      <c r="D1712" s="53" t="inlineStr">
        <is>
          <t>VASCEPA 1GM CAPSULE</t>
        </is>
      </c>
      <c r="E1712" s="36" t="n">
        <v>120</v>
      </c>
      <c r="F1712" s="54" t="n">
        <v>90</v>
      </c>
      <c r="G1712" s="54" t="n">
        <v>0.75</v>
      </c>
      <c r="H1712" s="55" t="n">
        <v>255.75</v>
      </c>
      <c r="I1712" s="55" t="n">
        <v>246.96</v>
      </c>
      <c r="J1712" s="55" t="n">
        <v>0</v>
      </c>
      <c r="K1712" s="55" t="n">
        <v>0</v>
      </c>
      <c r="L1712" s="55" t="n">
        <v>246.96</v>
      </c>
      <c r="M1712" s="55" t="n">
        <v>-8.789999999999999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126826</t>
        </is>
      </c>
      <c r="B1713" s="52" t="n">
        <v>45999</v>
      </c>
      <c r="C1713" s="36" t="inlineStr">
        <is>
          <t>52937000120</t>
        </is>
      </c>
      <c r="D1713" s="53" t="inlineStr">
        <is>
          <t>VASCEPA 1GM CAPSULE</t>
        </is>
      </c>
      <c r="E1713" s="36" t="n">
        <v>120</v>
      </c>
      <c r="F1713" s="54" t="n">
        <v>120</v>
      </c>
      <c r="G1713" s="54" t="n">
        <v>1</v>
      </c>
      <c r="H1713" s="55" t="n">
        <v>341</v>
      </c>
      <c r="I1713" s="55" t="n">
        <v>334.17</v>
      </c>
      <c r="J1713" s="55" t="n">
        <v>0</v>
      </c>
      <c r="K1713" s="55" t="n">
        <v>0</v>
      </c>
      <c r="L1713" s="55" t="n">
        <v>334.17</v>
      </c>
      <c r="M1713" s="55" t="n">
        <v>-6.83</v>
      </c>
      <c r="N1713" s="36" t="inlineStr">
        <is>
          <t>004336</t>
        </is>
      </c>
      <c r="O1713" s="36" t="inlineStr">
        <is>
          <t>CAREMARK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129600</t>
        </is>
      </c>
      <c r="B1714" s="52" t="n">
        <v>46044</v>
      </c>
      <c r="C1714" s="36" t="inlineStr">
        <is>
          <t>52937000120</t>
        </is>
      </c>
      <c r="D1714" s="53" t="inlineStr">
        <is>
          <t>VASCEPA 1GM CAPSULE</t>
        </is>
      </c>
      <c r="E1714" s="36" t="n">
        <v>120</v>
      </c>
      <c r="F1714" s="54" t="n">
        <v>180</v>
      </c>
      <c r="G1714" s="54" t="n">
        <v>1.5</v>
      </c>
      <c r="H1714" s="55" t="n">
        <v>511.5</v>
      </c>
      <c r="I1714" s="55" t="n">
        <v>497.45</v>
      </c>
      <c r="J1714" s="55" t="n">
        <v>0</v>
      </c>
      <c r="K1714" s="55" t="n">
        <v>0</v>
      </c>
      <c r="L1714" s="55" t="n">
        <v>497.45</v>
      </c>
      <c r="M1714" s="55" t="n">
        <v>-14.05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141198</t>
        </is>
      </c>
      <c r="B1715" s="52" t="n">
        <v>46052</v>
      </c>
      <c r="C1715" s="36" t="inlineStr">
        <is>
          <t>52937000120</t>
        </is>
      </c>
      <c r="D1715" s="53" t="inlineStr">
        <is>
          <t>VASCEPA 1GM CAPSULE</t>
        </is>
      </c>
      <c r="E1715" s="36" t="n">
        <v>120</v>
      </c>
      <c r="F1715" s="54" t="n">
        <v>120</v>
      </c>
      <c r="G1715" s="54" t="n">
        <v>1</v>
      </c>
      <c r="H1715" s="55" t="n">
        <v>341</v>
      </c>
      <c r="I1715" s="55" t="n">
        <v>337.15</v>
      </c>
      <c r="J1715" s="55" t="n">
        <v>0</v>
      </c>
      <c r="K1715" s="55" t="n">
        <v>0</v>
      </c>
      <c r="L1715" s="55" t="n">
        <v>337.15</v>
      </c>
      <c r="M1715" s="55" t="n">
        <v>-3.85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138938</t>
        </is>
      </c>
      <c r="B1716" s="52" t="n">
        <v>46035</v>
      </c>
      <c r="C1716" s="36" t="inlineStr">
        <is>
          <t>52937000120</t>
        </is>
      </c>
      <c r="D1716" s="53" t="inlineStr">
        <is>
          <t>VASCEPA 1GM CAPSULE</t>
        </is>
      </c>
      <c r="E1716" s="36" t="n">
        <v>120</v>
      </c>
      <c r="F1716" s="54" t="n">
        <v>360</v>
      </c>
      <c r="G1716" s="54" t="n">
        <v>3</v>
      </c>
      <c r="H1716" s="55" t="n">
        <v>1023</v>
      </c>
      <c r="I1716" s="55" t="n">
        <v>990.98</v>
      </c>
      <c r="J1716" s="55" t="n">
        <v>0</v>
      </c>
      <c r="K1716" s="55" t="n">
        <v>18</v>
      </c>
      <c r="L1716" s="55" t="n">
        <v>1008.98</v>
      </c>
      <c r="M1716" s="55" t="n">
        <v>-14.02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ADV</t>
        </is>
      </c>
      <c r="Q1716" s="36" t="inlineStr">
        <is>
          <t>RX1103</t>
        </is>
      </c>
    </row>
    <row r="1717">
      <c r="A1717" s="36" t="inlineStr">
        <is>
          <t>129680</t>
        </is>
      </c>
      <c r="B1717" s="52" t="n">
        <v>46048</v>
      </c>
      <c r="C1717" s="36" t="inlineStr">
        <is>
          <t>52937000120</t>
        </is>
      </c>
      <c r="D1717" s="53" t="inlineStr">
        <is>
          <t>VASCEPA 1GM CAPSULE</t>
        </is>
      </c>
      <c r="E1717" s="36" t="n">
        <v>120</v>
      </c>
      <c r="F1717" s="54" t="n">
        <v>120</v>
      </c>
      <c r="G1717" s="54" t="n">
        <v>1</v>
      </c>
      <c r="H1717" s="55" t="n">
        <v>341</v>
      </c>
      <c r="I1717" s="55" t="n">
        <v>0</v>
      </c>
      <c r="J1717" s="55" t="n">
        <v>0</v>
      </c>
      <c r="K1717" s="55" t="n">
        <v>337.15</v>
      </c>
      <c r="L1717" s="55" t="n">
        <v>337.15</v>
      </c>
      <c r="M1717" s="55" t="n">
        <v>-3.85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109610</t>
        </is>
      </c>
      <c r="B1718" s="52" t="n">
        <v>46066</v>
      </c>
      <c r="C1718" s="36" t="inlineStr">
        <is>
          <t>52937000120</t>
        </is>
      </c>
      <c r="D1718" s="53" t="inlineStr">
        <is>
          <t>VASCEPA 1GM CAPSULE</t>
        </is>
      </c>
      <c r="E1718" s="36" t="n">
        <v>120</v>
      </c>
      <c r="F1718" s="54" t="n">
        <v>360</v>
      </c>
      <c r="G1718" s="54" t="n">
        <v>3</v>
      </c>
      <c r="H1718" s="55" t="n">
        <v>1035</v>
      </c>
      <c r="I1718" s="55" t="n">
        <v>993.64</v>
      </c>
      <c r="J1718" s="55" t="n">
        <v>0</v>
      </c>
      <c r="K1718" s="55" t="n">
        <v>1.6</v>
      </c>
      <c r="L1718" s="55" t="n">
        <v>995.24</v>
      </c>
      <c r="M1718" s="55" t="n">
        <v>-39.76</v>
      </c>
      <c r="N1718" s="36" t="inlineStr">
        <is>
          <t>004336</t>
        </is>
      </c>
      <c r="O1718" s="36" t="inlineStr">
        <is>
          <t>CAREMARK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129680</t>
        </is>
      </c>
      <c r="B1719" s="52" t="n">
        <v>46020</v>
      </c>
      <c r="C1719" s="36" t="inlineStr">
        <is>
          <t>52937000120</t>
        </is>
      </c>
      <c r="D1719" s="53" t="inlineStr">
        <is>
          <t>VASCEPA 1GM CAPSULE</t>
        </is>
      </c>
      <c r="E1719" s="36" t="n">
        <v>120</v>
      </c>
      <c r="F1719" s="54" t="n">
        <v>120</v>
      </c>
      <c r="G1719" s="54" t="n">
        <v>1</v>
      </c>
      <c r="H1719" s="55" t="n">
        <v>341</v>
      </c>
      <c r="I1719" s="55" t="n">
        <v>334.17</v>
      </c>
      <c r="J1719" s="55" t="n">
        <v>0</v>
      </c>
      <c r="K1719" s="55" t="n">
        <v>0</v>
      </c>
      <c r="L1719" s="55" t="n">
        <v>334.17</v>
      </c>
      <c r="M1719" s="55" t="n">
        <v>-6.83</v>
      </c>
      <c r="N1719" s="36" t="inlineStr">
        <is>
          <t>004336</t>
        </is>
      </c>
      <c r="O1719" s="36" t="inlineStr">
        <is>
          <t>CAREMARK</t>
        </is>
      </c>
      <c r="P1719" s="36" t="inlineStr">
        <is>
          <t>MEDDADV</t>
        </is>
      </c>
      <c r="Q1719" s="36" t="inlineStr">
        <is>
          <t>RX1110</t>
        </is>
      </c>
    </row>
    <row r="1720">
      <c r="A1720" s="36" t="inlineStr">
        <is>
          <t>129680</t>
        </is>
      </c>
      <c r="B1720" s="52" t="n">
        <v>45992</v>
      </c>
      <c r="C1720" s="36" t="inlineStr">
        <is>
          <t>52937000120</t>
        </is>
      </c>
      <c r="D1720" s="53" t="inlineStr">
        <is>
          <t>VASCEPA 1GM CAPSULE</t>
        </is>
      </c>
      <c r="E1720" s="36" t="n">
        <v>120</v>
      </c>
      <c r="F1720" s="54" t="n">
        <v>120</v>
      </c>
      <c r="G1720" s="54" t="n">
        <v>1</v>
      </c>
      <c r="H1720" s="55" t="n">
        <v>341</v>
      </c>
      <c r="I1720" s="55" t="n">
        <v>334.17</v>
      </c>
      <c r="J1720" s="55" t="n">
        <v>0</v>
      </c>
      <c r="K1720" s="55" t="n">
        <v>0</v>
      </c>
      <c r="L1720" s="55" t="n">
        <v>334.17</v>
      </c>
      <c r="M1720" s="55" t="n">
        <v>-6.83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126826</t>
        </is>
      </c>
      <c r="B1721" s="52" t="n">
        <v>46027</v>
      </c>
      <c r="C1721" s="36" t="inlineStr">
        <is>
          <t>52937000120</t>
        </is>
      </c>
      <c r="D1721" s="53" t="inlineStr">
        <is>
          <t>VASCEPA 1GM CAPSULE</t>
        </is>
      </c>
      <c r="E1721" s="36" t="n">
        <v>120</v>
      </c>
      <c r="F1721" s="54" t="n">
        <v>120</v>
      </c>
      <c r="G1721" s="54" t="n">
        <v>1</v>
      </c>
      <c r="H1721" s="55" t="n">
        <v>341</v>
      </c>
      <c r="I1721" s="55" t="n">
        <v>337.15</v>
      </c>
      <c r="J1721" s="55" t="n">
        <v>0</v>
      </c>
      <c r="K1721" s="55" t="n">
        <v>0</v>
      </c>
      <c r="L1721" s="55" t="n">
        <v>337.15</v>
      </c>
      <c r="M1721" s="55" t="n">
        <v>-3.85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139428</t>
        </is>
      </c>
      <c r="B1722" s="52" t="n">
        <v>46038</v>
      </c>
      <c r="C1722" s="36" t="inlineStr">
        <is>
          <t>53436016830</t>
        </is>
      </c>
      <c r="D1722" s="53" t="inlineStr">
        <is>
          <t>VELTASSA 16.8 GM ORAL PACKET</t>
        </is>
      </c>
      <c r="E1722" s="36" t="n">
        <v>30</v>
      </c>
      <c r="F1722" s="54" t="n">
        <v>90</v>
      </c>
      <c r="G1722" s="54" t="n">
        <v>3</v>
      </c>
      <c r="H1722" s="55" t="n">
        <v>3084</v>
      </c>
      <c r="I1722" s="55" t="n">
        <v>3075.64</v>
      </c>
      <c r="J1722" s="55" t="n">
        <v>0</v>
      </c>
      <c r="K1722" s="55" t="n">
        <v>0</v>
      </c>
      <c r="L1722" s="55" t="n">
        <v>3075.64</v>
      </c>
      <c r="M1722" s="55" t="n">
        <v>-8.359999999999999</v>
      </c>
      <c r="N1722" s="36" t="inlineStr">
        <is>
          <t>004740</t>
        </is>
      </c>
      <c r="O1722" s="36" t="inlineStr">
        <is>
          <t>NYM</t>
        </is>
      </c>
      <c r="P1722" s="36" t="inlineStr">
        <is>
          <t>9314DA31</t>
        </is>
      </c>
      <c r="Q1722" s="36" t="n">
        <v/>
      </c>
    </row>
    <row r="1723">
      <c r="A1723" s="36" t="inlineStr">
        <is>
          <t>136066</t>
        </is>
      </c>
      <c r="B1723" s="52" t="n">
        <v>46013</v>
      </c>
      <c r="C1723" s="36" t="inlineStr">
        <is>
          <t>53436008430</t>
        </is>
      </c>
      <c r="D1723" s="53" t="inlineStr">
        <is>
          <t>VELTASSA 8.4GM PACK</t>
        </is>
      </c>
      <c r="E1723" s="36" t="n">
        <v>30</v>
      </c>
      <c r="F1723" s="54" t="n">
        <v>90</v>
      </c>
      <c r="G1723" s="54" t="n">
        <v>3</v>
      </c>
      <c r="H1723" s="55" t="n">
        <v>3075</v>
      </c>
      <c r="I1723" s="55" t="n">
        <v>3072.59</v>
      </c>
      <c r="J1723" s="55" t="n">
        <v>0</v>
      </c>
      <c r="K1723" s="55" t="n">
        <v>0</v>
      </c>
      <c r="L1723" s="55" t="n">
        <v>3072.59</v>
      </c>
      <c r="M1723" s="55" t="n">
        <v>-2.41</v>
      </c>
      <c r="N1723" s="36" t="inlineStr">
        <is>
          <t>004740</t>
        </is>
      </c>
      <c r="O1723" s="36" t="inlineStr">
        <is>
          <t>NYM</t>
        </is>
      </c>
      <c r="P1723" s="36" t="inlineStr">
        <is>
          <t>9314DA31</t>
        </is>
      </c>
      <c r="Q1723" s="36" t="n">
        <v/>
      </c>
    </row>
    <row r="1724">
      <c r="A1724" s="36" t="inlineStr">
        <is>
          <t>118266</t>
        </is>
      </c>
      <c r="B1724" s="52" t="n">
        <v>46022</v>
      </c>
      <c r="C1724" s="36" t="inlineStr">
        <is>
          <t>61958230101</t>
        </is>
      </c>
      <c r="D1724" s="53" t="inlineStr">
        <is>
          <t>VEMLIDY 25 MG ORAL TABLET</t>
        </is>
      </c>
      <c r="E1724" s="36" t="n">
        <v>30</v>
      </c>
      <c r="F1724" s="54" t="n">
        <v>30</v>
      </c>
      <c r="G1724" s="54" t="n">
        <v>1</v>
      </c>
      <c r="H1724" s="55" t="n">
        <v>1469</v>
      </c>
      <c r="I1724" s="55" t="n">
        <v>1439.7</v>
      </c>
      <c r="J1724" s="55" t="n">
        <v>0</v>
      </c>
      <c r="K1724" s="55" t="n">
        <v>0</v>
      </c>
      <c r="L1724" s="55" t="n">
        <v>1439.7</v>
      </c>
      <c r="M1724" s="55" t="n">
        <v>-29.3</v>
      </c>
      <c r="N1724" s="36" t="inlineStr">
        <is>
          <t>004336</t>
        </is>
      </c>
      <c r="O1724" s="36" t="inlineStr">
        <is>
          <t>CAREMARK</t>
        </is>
      </c>
      <c r="P1724" s="36" t="inlineStr">
        <is>
          <t>MEDDADV</t>
        </is>
      </c>
      <c r="Q1724" s="36" t="inlineStr">
        <is>
          <t>RX1110</t>
        </is>
      </c>
    </row>
    <row r="1725">
      <c r="A1725" s="36" t="inlineStr">
        <is>
          <t>142069</t>
        </is>
      </c>
      <c r="B1725" s="52" t="n">
        <v>46058</v>
      </c>
      <c r="C1725" s="36" t="inlineStr">
        <is>
          <t>61958230101</t>
        </is>
      </c>
      <c r="D1725" s="53" t="inlineStr">
        <is>
          <t>VEMLIDY 25 MG ORAL TABLET</t>
        </is>
      </c>
      <c r="E1725" s="36" t="n">
        <v>30</v>
      </c>
      <c r="F1725" s="54" t="n">
        <v>30</v>
      </c>
      <c r="G1725" s="54" t="n">
        <v>1</v>
      </c>
      <c r="H1725" s="55" t="n">
        <v>1572</v>
      </c>
      <c r="I1725" s="55" t="n">
        <v>1533.33</v>
      </c>
      <c r="J1725" s="55" t="n">
        <v>0</v>
      </c>
      <c r="K1725" s="55" t="n">
        <v>4.9</v>
      </c>
      <c r="L1725" s="55" t="n">
        <v>1538.23</v>
      </c>
      <c r="M1725" s="55" t="n">
        <v>-33.77</v>
      </c>
      <c r="N1725" s="36" t="inlineStr">
        <is>
          <t>004336</t>
        </is>
      </c>
      <c r="O1725" s="36" t="inlineStr">
        <is>
          <t>CAREMARK</t>
        </is>
      </c>
      <c r="P1725" s="36" t="inlineStr">
        <is>
          <t>MEDDADV</t>
        </is>
      </c>
      <c r="Q1725" s="36" t="inlineStr">
        <is>
          <t>RX1110</t>
        </is>
      </c>
    </row>
    <row r="1726">
      <c r="A1726" s="36" t="inlineStr">
        <is>
          <t>118266</t>
        </is>
      </c>
      <c r="B1726" s="52" t="n">
        <v>45994</v>
      </c>
      <c r="C1726" s="36" t="inlineStr">
        <is>
          <t>61958230101</t>
        </is>
      </c>
      <c r="D1726" s="53" t="inlineStr">
        <is>
          <t>VEMLIDY 25 MG ORAL TABLET</t>
        </is>
      </c>
      <c r="E1726" s="36" t="n">
        <v>30</v>
      </c>
      <c r="F1726" s="54" t="n">
        <v>30</v>
      </c>
      <c r="G1726" s="54" t="n">
        <v>1</v>
      </c>
      <c r="H1726" s="55" t="n">
        <v>1469</v>
      </c>
      <c r="I1726" s="55" t="n">
        <v>1439.7</v>
      </c>
      <c r="J1726" s="55" t="n">
        <v>0</v>
      </c>
      <c r="K1726" s="55" t="n">
        <v>0</v>
      </c>
      <c r="L1726" s="55" t="n">
        <v>1439.7</v>
      </c>
      <c r="M1726" s="55" t="n">
        <v>-29.3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133386</t>
        </is>
      </c>
      <c r="B1727" s="52" t="n">
        <v>45993</v>
      </c>
      <c r="C1727" s="36" t="inlineStr">
        <is>
          <t>00173068220</t>
        </is>
      </c>
      <c r="D1727" s="53" t="inlineStr">
        <is>
          <t xml:space="preserve">VENTOLIN HFA 108 (90 BASE) </t>
        </is>
      </c>
      <c r="E1727" s="36" t="n">
        <v>18</v>
      </c>
      <c r="F1727" s="54" t="n">
        <v>54</v>
      </c>
      <c r="G1727" s="54" t="n">
        <v>3</v>
      </c>
      <c r="H1727" s="55" t="n">
        <v>0</v>
      </c>
      <c r="I1727" s="55" t="n">
        <v>158.74</v>
      </c>
      <c r="J1727" s="55" t="n">
        <v>0</v>
      </c>
      <c r="K1727" s="55" t="n">
        <v>0</v>
      </c>
      <c r="L1727" s="55" t="n">
        <v>158.74</v>
      </c>
      <c r="M1727" s="55" t="n">
        <v>0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131137</t>
        </is>
      </c>
      <c r="B1728" s="52" t="n">
        <v>46002</v>
      </c>
      <c r="C1728" s="36" t="inlineStr">
        <is>
          <t>00173068220</t>
        </is>
      </c>
      <c r="D1728" s="53" t="inlineStr">
        <is>
          <t xml:space="preserve">VENTOLIN HFA 108 (90 BASE) </t>
        </is>
      </c>
      <c r="E1728" s="36" t="n">
        <v>18</v>
      </c>
      <c r="F1728" s="54" t="n">
        <v>18</v>
      </c>
      <c r="G1728" s="54" t="n">
        <v>1</v>
      </c>
      <c r="H1728" s="55" t="n">
        <v>0</v>
      </c>
      <c r="I1728" s="55" t="n">
        <v>64.84</v>
      </c>
      <c r="J1728" s="55" t="n">
        <v>0</v>
      </c>
      <c r="K1728" s="55" t="n">
        <v>0</v>
      </c>
      <c r="L1728" s="55" t="n">
        <v>64.84</v>
      </c>
      <c r="M1728" s="55" t="n">
        <v>0</v>
      </c>
      <c r="N1728" s="36" t="inlineStr">
        <is>
          <t>004740</t>
        </is>
      </c>
      <c r="O1728" s="36" t="inlineStr">
        <is>
          <t>NYM</t>
        </is>
      </c>
      <c r="P1728" s="36" t="inlineStr">
        <is>
          <t>9314DA31</t>
        </is>
      </c>
      <c r="Q1728" s="36" t="n">
        <v/>
      </c>
    </row>
    <row r="1729">
      <c r="A1729" s="36" t="inlineStr">
        <is>
          <t>135301</t>
        </is>
      </c>
      <c r="B1729" s="52" t="n">
        <v>46007</v>
      </c>
      <c r="C1729" s="36" t="inlineStr">
        <is>
          <t>00469266030</t>
        </is>
      </c>
      <c r="D1729" s="53" t="inlineStr">
        <is>
          <t>VEOZAH 45 MG ORAL TABLET</t>
        </is>
      </c>
      <c r="E1729" s="36" t="n">
        <v>30</v>
      </c>
      <c r="F1729" s="54" t="n">
        <v>30</v>
      </c>
      <c r="G1729" s="54" t="n">
        <v>1</v>
      </c>
      <c r="H1729" s="55" t="n">
        <v>0</v>
      </c>
      <c r="I1729" s="55" t="n">
        <v>497.48</v>
      </c>
      <c r="J1729" s="55" t="n">
        <v>0</v>
      </c>
      <c r="K1729" s="55" t="n">
        <v>40</v>
      </c>
      <c r="L1729" s="55" t="n">
        <v>537.48</v>
      </c>
      <c r="M1729" s="55" t="n">
        <v>0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ADV</t>
        </is>
      </c>
      <c r="Q1729" s="36" t="inlineStr">
        <is>
          <t>RX0839</t>
        </is>
      </c>
    </row>
    <row r="1730">
      <c r="A1730" s="36" t="inlineStr">
        <is>
          <t>134499</t>
        </is>
      </c>
      <c r="B1730" s="52" t="n">
        <v>46000</v>
      </c>
      <c r="C1730" s="36" t="inlineStr">
        <is>
          <t>82667090002</t>
        </is>
      </c>
      <c r="D1730" s="53" t="inlineStr">
        <is>
          <t>VEVYE 0.1 % OPHTHALMIC SOLUTION</t>
        </is>
      </c>
      <c r="E1730" s="36" t="n">
        <v>2</v>
      </c>
      <c r="F1730" s="54" t="n">
        <v>2</v>
      </c>
      <c r="G1730" s="54" t="n">
        <v>1</v>
      </c>
      <c r="H1730" s="55" t="n">
        <v>741</v>
      </c>
      <c r="I1730" s="55" t="n">
        <v>726.02</v>
      </c>
      <c r="J1730" s="55" t="n">
        <v>0</v>
      </c>
      <c r="K1730" s="55" t="n">
        <v>0</v>
      </c>
      <c r="L1730" s="55" t="n">
        <v>726.02</v>
      </c>
      <c r="M1730" s="55" t="n">
        <v>-14.98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134499</t>
        </is>
      </c>
      <c r="B1731" s="52" t="n">
        <v>46028</v>
      </c>
      <c r="C1731" s="36" t="inlineStr">
        <is>
          <t>82667090002</t>
        </is>
      </c>
      <c r="D1731" s="53" t="inlineStr">
        <is>
          <t>VEVYE 0.1 % OPHTHALMIC SOLUTION</t>
        </is>
      </c>
      <c r="E1731" s="36" t="n">
        <v>2</v>
      </c>
      <c r="F1731" s="54" t="n">
        <v>2</v>
      </c>
      <c r="G1731" s="54" t="n">
        <v>1</v>
      </c>
      <c r="H1731" s="55" t="n">
        <v>743</v>
      </c>
      <c r="I1731" s="55" t="n">
        <v>732.49</v>
      </c>
      <c r="J1731" s="55" t="n">
        <v>0</v>
      </c>
      <c r="K1731" s="55" t="n">
        <v>0</v>
      </c>
      <c r="L1731" s="55" t="n">
        <v>732.49</v>
      </c>
      <c r="M1731" s="55" t="n">
        <v>-10.51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134499</t>
        </is>
      </c>
      <c r="B1732" s="52" t="n">
        <v>46056</v>
      </c>
      <c r="C1732" s="36" t="inlineStr">
        <is>
          <t>82667090002</t>
        </is>
      </c>
      <c r="D1732" s="53" t="inlineStr">
        <is>
          <t>VEVYE 0.1 % OPHTHALMIC SOLUTION</t>
        </is>
      </c>
      <c r="E1732" s="36" t="n">
        <v>2</v>
      </c>
      <c r="F1732" s="54" t="n">
        <v>2</v>
      </c>
      <c r="G1732" s="54" t="n">
        <v>1</v>
      </c>
      <c r="H1732" s="55" t="n">
        <v>749</v>
      </c>
      <c r="I1732" s="55" t="n">
        <v>732.49</v>
      </c>
      <c r="J1732" s="55" t="n">
        <v>0</v>
      </c>
      <c r="K1732" s="55" t="n">
        <v>0</v>
      </c>
      <c r="L1732" s="55" t="n">
        <v>732.49</v>
      </c>
      <c r="M1732" s="55" t="n">
        <v>-16.51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143703</t>
        </is>
      </c>
      <c r="B1733" s="52" t="n">
        <v>46070</v>
      </c>
      <c r="C1733" s="36" t="inlineStr">
        <is>
          <t>81520010030</t>
        </is>
      </c>
      <c r="D1733" s="53" t="inlineStr">
        <is>
          <t>VOQUEZNA 10 MG ORAL TABLET</t>
        </is>
      </c>
      <c r="E1733" s="36" t="n">
        <v>30</v>
      </c>
      <c r="F1733" s="54" t="n">
        <v>30</v>
      </c>
      <c r="G1733" s="54" t="n">
        <v>1</v>
      </c>
      <c r="H1733" s="55" t="n">
        <v>684</v>
      </c>
      <c r="I1733" s="55" t="n">
        <v>668.72</v>
      </c>
      <c r="J1733" s="55" t="n">
        <v>0</v>
      </c>
      <c r="K1733" s="55" t="n">
        <v>0</v>
      </c>
      <c r="L1733" s="55" t="n">
        <v>668.72</v>
      </c>
      <c r="M1733" s="55" t="n">
        <v>-15.28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128580</t>
        </is>
      </c>
      <c r="B1734" s="52" t="n">
        <v>46038</v>
      </c>
      <c r="C1734" s="36" t="inlineStr">
        <is>
          <t>61874011530</t>
        </is>
      </c>
      <c r="D1734" s="53" t="inlineStr">
        <is>
          <t>VRAYLAR 1.5MG CAPSULE</t>
        </is>
      </c>
      <c r="E1734" s="36" t="n">
        <v>30</v>
      </c>
      <c r="F1734" s="54" t="n">
        <v>30</v>
      </c>
      <c r="G1734" s="54" t="n">
        <v>1</v>
      </c>
      <c r="H1734" s="55" t="n">
        <v>1462</v>
      </c>
      <c r="I1734" s="55" t="n">
        <v>1466.32</v>
      </c>
      <c r="J1734" s="55" t="n">
        <v>0</v>
      </c>
      <c r="K1734" s="55" t="n">
        <v>0</v>
      </c>
      <c r="L1734" s="55" t="n">
        <v>1466.32</v>
      </c>
      <c r="M1734" s="55" t="n">
        <v>4.32</v>
      </c>
      <c r="N1734" s="36" t="inlineStr">
        <is>
          <t>004740</t>
        </is>
      </c>
      <c r="O1734" s="36" t="inlineStr">
        <is>
          <t>NYM</t>
        </is>
      </c>
      <c r="P1734" s="36" t="inlineStr">
        <is>
          <t>9314DA31</t>
        </is>
      </c>
      <c r="Q1734" s="36" t="n">
        <v/>
      </c>
    </row>
    <row r="1735">
      <c r="A1735" s="36" t="inlineStr">
        <is>
          <t>135132</t>
        </is>
      </c>
      <c r="B1735" s="52" t="n">
        <v>46062</v>
      </c>
      <c r="C1735" s="36" t="inlineStr">
        <is>
          <t>61874011530</t>
        </is>
      </c>
      <c r="D1735" s="53" t="inlineStr">
        <is>
          <t>VRAYLAR 1.5MG CAPSULE</t>
        </is>
      </c>
      <c r="E1735" s="36" t="n">
        <v>30</v>
      </c>
      <c r="F1735" s="54" t="n">
        <v>30</v>
      </c>
      <c r="G1735" s="54" t="n">
        <v>1</v>
      </c>
      <c r="H1735" s="55" t="n">
        <v>1551</v>
      </c>
      <c r="I1735" s="55" t="n">
        <v>1507.14</v>
      </c>
      <c r="J1735" s="55" t="n">
        <v>0</v>
      </c>
      <c r="K1735" s="55" t="n">
        <v>4.9</v>
      </c>
      <c r="L1735" s="55" t="n">
        <v>1512.04</v>
      </c>
      <c r="M1735" s="55" t="n">
        <v>-38.96</v>
      </c>
      <c r="N1735" s="36" t="inlineStr">
        <is>
          <t>015574</t>
        </is>
      </c>
      <c r="O1735" s="36" t="inlineStr">
        <is>
          <t>MEDIMP</t>
        </is>
      </c>
      <c r="P1735" s="36" t="inlineStr">
        <is>
          <t>ASPROD1</t>
        </is>
      </c>
      <c r="Q1735" s="36" t="inlineStr">
        <is>
          <t>VNS01</t>
        </is>
      </c>
    </row>
    <row r="1736">
      <c r="A1736" s="36" t="inlineStr">
        <is>
          <t>128580</t>
        </is>
      </c>
      <c r="B1736" s="52" t="n">
        <v>46010</v>
      </c>
      <c r="C1736" s="36" t="inlineStr">
        <is>
          <t>61874011530</t>
        </is>
      </c>
      <c r="D1736" s="53" t="inlineStr">
        <is>
          <t>VRAYLAR 1.5MG CAPSULE</t>
        </is>
      </c>
      <c r="E1736" s="36" t="n">
        <v>30</v>
      </c>
      <c r="F1736" s="54" t="n">
        <v>30</v>
      </c>
      <c r="G1736" s="54" t="n">
        <v>1</v>
      </c>
      <c r="H1736" s="55" t="n">
        <v>1462</v>
      </c>
      <c r="I1736" s="55" t="n">
        <v>1466.42</v>
      </c>
      <c r="J1736" s="55" t="n">
        <v>0</v>
      </c>
      <c r="K1736" s="55" t="n">
        <v>0</v>
      </c>
      <c r="L1736" s="55" t="n">
        <v>1466.42</v>
      </c>
      <c r="M1736" s="55" t="n">
        <v>4.42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142979</t>
        </is>
      </c>
      <c r="B1737" s="52" t="n">
        <v>46065</v>
      </c>
      <c r="C1737" s="36" t="inlineStr">
        <is>
          <t>61874011530</t>
        </is>
      </c>
      <c r="D1737" s="53" t="inlineStr">
        <is>
          <t>VRAYLAR 1.5MG CAPSULE</t>
        </is>
      </c>
      <c r="E1737" s="36" t="n">
        <v>30</v>
      </c>
      <c r="F1737" s="54" t="n">
        <v>30</v>
      </c>
      <c r="G1737" s="54" t="n">
        <v>1</v>
      </c>
      <c r="H1737" s="55" t="n">
        <v>1551</v>
      </c>
      <c r="I1737" s="55" t="n">
        <v>1539.13</v>
      </c>
      <c r="J1737" s="55" t="n">
        <v>0</v>
      </c>
      <c r="K1737" s="55" t="n">
        <v>0</v>
      </c>
      <c r="L1737" s="55" t="n">
        <v>1539.13</v>
      </c>
      <c r="M1737" s="55" t="n">
        <v>-11.87</v>
      </c>
      <c r="N1737" s="36" t="inlineStr">
        <is>
          <t>004740</t>
        </is>
      </c>
      <c r="O1737" s="36" t="inlineStr">
        <is>
          <t>NYM</t>
        </is>
      </c>
      <c r="P1737" s="36" t="inlineStr">
        <is>
          <t>9314DA31</t>
        </is>
      </c>
      <c r="Q1737" s="36" t="n">
        <v/>
      </c>
    </row>
    <row r="1738">
      <c r="A1738" s="36" t="inlineStr">
        <is>
          <t>128580</t>
        </is>
      </c>
      <c r="B1738" s="52" t="n">
        <v>46066</v>
      </c>
      <c r="C1738" s="36" t="inlineStr">
        <is>
          <t>61874011530</t>
        </is>
      </c>
      <c r="D1738" s="53" t="inlineStr">
        <is>
          <t>VRAYLAR 1.5MG CAPSULE</t>
        </is>
      </c>
      <c r="E1738" s="36" t="n">
        <v>30</v>
      </c>
      <c r="F1738" s="54" t="n">
        <v>30</v>
      </c>
      <c r="G1738" s="54" t="n">
        <v>1</v>
      </c>
      <c r="H1738" s="55" t="n">
        <v>1551</v>
      </c>
      <c r="I1738" s="55" t="n">
        <v>1539.13</v>
      </c>
      <c r="J1738" s="55" t="n">
        <v>0</v>
      </c>
      <c r="K1738" s="55" t="n">
        <v>0</v>
      </c>
      <c r="L1738" s="55" t="n">
        <v>1539.13</v>
      </c>
      <c r="M1738" s="55" t="n">
        <v>-11.87</v>
      </c>
      <c r="N1738" s="36" t="inlineStr">
        <is>
          <t>004740</t>
        </is>
      </c>
      <c r="O1738" s="36" t="inlineStr">
        <is>
          <t>NYM</t>
        </is>
      </c>
      <c r="P1738" s="36" t="inlineStr">
        <is>
          <t>9314DA31</t>
        </is>
      </c>
      <c r="Q1738" s="36" t="n">
        <v/>
      </c>
    </row>
    <row r="1739">
      <c r="A1739" s="36" t="inlineStr">
        <is>
          <t>141594</t>
        </is>
      </c>
      <c r="B1739" s="52" t="n">
        <v>46055</v>
      </c>
      <c r="C1739" s="36" t="inlineStr">
        <is>
          <t>61874011530</t>
        </is>
      </c>
      <c r="D1739" s="53" t="inlineStr">
        <is>
          <t>VRAYLAR 1.5MG CAPSULE</t>
        </is>
      </c>
      <c r="E1739" s="36" t="n">
        <v>30</v>
      </c>
      <c r="F1739" s="54" t="n">
        <v>30</v>
      </c>
      <c r="G1739" s="54" t="n">
        <v>1</v>
      </c>
      <c r="H1739" s="55" t="n">
        <v>1551</v>
      </c>
      <c r="I1739" s="55" t="n">
        <v>1539.13</v>
      </c>
      <c r="J1739" s="55" t="n">
        <v>0</v>
      </c>
      <c r="K1739" s="55" t="n">
        <v>0</v>
      </c>
      <c r="L1739" s="55" t="n">
        <v>1539.13</v>
      </c>
      <c r="M1739" s="55" t="n">
        <v>-11.87</v>
      </c>
      <c r="N1739" s="36" t="inlineStr">
        <is>
          <t>004740</t>
        </is>
      </c>
      <c r="O1739" s="36" t="inlineStr">
        <is>
          <t>NYM</t>
        </is>
      </c>
      <c r="P1739" s="36" t="inlineStr">
        <is>
          <t>9314DA31</t>
        </is>
      </c>
      <c r="Q1739" s="36" t="n">
        <v/>
      </c>
    </row>
    <row r="1740">
      <c r="A1740" s="36" t="inlineStr">
        <is>
          <t>135132</t>
        </is>
      </c>
      <c r="B1740" s="52" t="n">
        <v>46006</v>
      </c>
      <c r="C1740" s="36" t="inlineStr">
        <is>
          <t>61874011530</t>
        </is>
      </c>
      <c r="D1740" s="53" t="inlineStr">
        <is>
          <t>VRAYLAR 1.5MG CAPSULE</t>
        </is>
      </c>
      <c r="E1740" s="36" t="n">
        <v>30</v>
      </c>
      <c r="F1740" s="54" t="n">
        <v>30</v>
      </c>
      <c r="G1740" s="54" t="n">
        <v>1</v>
      </c>
      <c r="H1740" s="55" t="n">
        <v>1462</v>
      </c>
      <c r="I1740" s="55" t="n">
        <v>1444.66</v>
      </c>
      <c r="J1740" s="55" t="n">
        <v>0</v>
      </c>
      <c r="K1740" s="55" t="n">
        <v>0</v>
      </c>
      <c r="L1740" s="55" t="n">
        <v>1444.66</v>
      </c>
      <c r="M1740" s="55" t="n">
        <v>-17.34</v>
      </c>
      <c r="N1740" s="36" t="inlineStr">
        <is>
          <t>015574</t>
        </is>
      </c>
      <c r="O1740" s="36" t="inlineStr">
        <is>
          <t>MEDIMP</t>
        </is>
      </c>
      <c r="P1740" s="36" t="inlineStr">
        <is>
          <t>ASPROD1</t>
        </is>
      </c>
      <c r="Q1740" s="36" t="inlineStr">
        <is>
          <t>VNS01</t>
        </is>
      </c>
    </row>
    <row r="1741">
      <c r="A1741" s="36" t="inlineStr">
        <is>
          <t>139147</t>
        </is>
      </c>
      <c r="B1741" s="52" t="n">
        <v>46037</v>
      </c>
      <c r="C1741" s="36" t="inlineStr">
        <is>
          <t>61874011530</t>
        </is>
      </c>
      <c r="D1741" s="53" t="inlineStr">
        <is>
          <t>VRAYLAR 1.5MG CAPSULE</t>
        </is>
      </c>
      <c r="E1741" s="36" t="n">
        <v>30</v>
      </c>
      <c r="F1741" s="54" t="n">
        <v>30</v>
      </c>
      <c r="G1741" s="54" t="n">
        <v>1</v>
      </c>
      <c r="H1741" s="55" t="n">
        <v>1462</v>
      </c>
      <c r="I1741" s="55" t="n">
        <v>1466.32</v>
      </c>
      <c r="J1741" s="55" t="n">
        <v>0</v>
      </c>
      <c r="K1741" s="55" t="n">
        <v>0</v>
      </c>
      <c r="L1741" s="55" t="n">
        <v>1466.32</v>
      </c>
      <c r="M1741" s="55" t="n">
        <v>4.32</v>
      </c>
      <c r="N1741" s="36" t="inlineStr">
        <is>
          <t>004740</t>
        </is>
      </c>
      <c r="O1741" s="36" t="inlineStr">
        <is>
          <t>NYM</t>
        </is>
      </c>
      <c r="P1741" s="36" t="inlineStr">
        <is>
          <t>9314DA31</t>
        </is>
      </c>
      <c r="Q1741" s="36" t="n">
        <v/>
      </c>
    </row>
    <row r="1742">
      <c r="A1742" s="36" t="inlineStr">
        <is>
          <t>135132</t>
        </is>
      </c>
      <c r="B1742" s="52" t="n">
        <v>46034</v>
      </c>
      <c r="C1742" s="36" t="inlineStr">
        <is>
          <t>61874011530</t>
        </is>
      </c>
      <c r="D1742" s="53" t="inlineStr">
        <is>
          <t>VRAYLAR 1.5MG CAPSULE</t>
        </is>
      </c>
      <c r="E1742" s="36" t="n">
        <v>30</v>
      </c>
      <c r="F1742" s="54" t="n">
        <v>30</v>
      </c>
      <c r="G1742" s="54" t="n">
        <v>1</v>
      </c>
      <c r="H1742" s="55" t="n">
        <v>1462</v>
      </c>
      <c r="I1742" s="55" t="n">
        <v>1435.15</v>
      </c>
      <c r="J1742" s="55" t="n">
        <v>0</v>
      </c>
      <c r="K1742" s="55" t="n">
        <v>4.9</v>
      </c>
      <c r="L1742" s="55" t="n">
        <v>1440.05</v>
      </c>
      <c r="M1742" s="55" t="n">
        <v>-21.95</v>
      </c>
      <c r="N1742" s="36" t="inlineStr">
        <is>
          <t>015574</t>
        </is>
      </c>
      <c r="O1742" s="36" t="inlineStr">
        <is>
          <t>MEDIMP</t>
        </is>
      </c>
      <c r="P1742" s="36" t="inlineStr">
        <is>
          <t>ASPROD1</t>
        </is>
      </c>
      <c r="Q1742" s="36" t="inlineStr">
        <is>
          <t>VNS01</t>
        </is>
      </c>
    </row>
    <row r="1743">
      <c r="A1743" s="36" t="inlineStr">
        <is>
          <t>131724</t>
        </is>
      </c>
      <c r="B1743" s="52" t="n">
        <v>46007</v>
      </c>
      <c r="C1743" s="36" t="inlineStr">
        <is>
          <t>61874011530</t>
        </is>
      </c>
      <c r="D1743" s="53" t="inlineStr">
        <is>
          <t>VRAYLAR 1.5MG CAPSULE</t>
        </is>
      </c>
      <c r="E1743" s="36" t="n">
        <v>30</v>
      </c>
      <c r="F1743" s="54" t="n">
        <v>30</v>
      </c>
      <c r="G1743" s="54" t="n">
        <v>1</v>
      </c>
      <c r="H1743" s="55" t="n">
        <v>1462</v>
      </c>
      <c r="I1743" s="55" t="n">
        <v>1466.42</v>
      </c>
      <c r="J1743" s="55" t="n">
        <v>0</v>
      </c>
      <c r="K1743" s="55" t="n">
        <v>0</v>
      </c>
      <c r="L1743" s="55" t="n">
        <v>1466.42</v>
      </c>
      <c r="M1743" s="55" t="n">
        <v>4.42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139996</t>
        </is>
      </c>
      <c r="B1744" s="52" t="n">
        <v>46043</v>
      </c>
      <c r="C1744" s="36" t="inlineStr">
        <is>
          <t>61874013030</t>
        </is>
      </c>
      <c r="D1744" s="53" t="inlineStr">
        <is>
          <t>VRAYLAR 3MG CAPSULE</t>
        </is>
      </c>
      <c r="E1744" s="36" t="n">
        <v>30</v>
      </c>
      <c r="F1744" s="54" t="n">
        <v>30</v>
      </c>
      <c r="G1744" s="54" t="n">
        <v>1</v>
      </c>
      <c r="H1744" s="55" t="n">
        <v>1462</v>
      </c>
      <c r="I1744" s="55" t="n">
        <v>1538.86</v>
      </c>
      <c r="J1744" s="55" t="n">
        <v>0</v>
      </c>
      <c r="K1744" s="55" t="n">
        <v>0</v>
      </c>
      <c r="L1744" s="55" t="n">
        <v>1538.86</v>
      </c>
      <c r="M1744" s="55" t="n">
        <v>76.86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139253</t>
        </is>
      </c>
      <c r="B1745" s="52" t="n">
        <v>46037</v>
      </c>
      <c r="C1745" s="36" t="inlineStr">
        <is>
          <t>61874013030</t>
        </is>
      </c>
      <c r="D1745" s="53" t="inlineStr">
        <is>
          <t>VRAYLAR 3MG CAPSULE</t>
        </is>
      </c>
      <c r="E1745" s="36" t="n">
        <v>30</v>
      </c>
      <c r="F1745" s="54" t="n">
        <v>30</v>
      </c>
      <c r="G1745" s="54" t="n">
        <v>1</v>
      </c>
      <c r="H1745" s="55" t="n">
        <v>1462</v>
      </c>
      <c r="I1745" s="55" t="n">
        <v>1466.07</v>
      </c>
      <c r="J1745" s="55" t="n">
        <v>0</v>
      </c>
      <c r="K1745" s="55" t="n">
        <v>0</v>
      </c>
      <c r="L1745" s="55" t="n">
        <v>1466.07</v>
      </c>
      <c r="M1745" s="55" t="n">
        <v>4.07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132049</t>
        </is>
      </c>
      <c r="B1746" s="52" t="n">
        <v>46008</v>
      </c>
      <c r="C1746" s="36" t="inlineStr">
        <is>
          <t>61874013030</t>
        </is>
      </c>
      <c r="D1746" s="53" t="inlineStr">
        <is>
          <t>VRAYLAR 3MG CAPSULE</t>
        </is>
      </c>
      <c r="E1746" s="36" t="n">
        <v>30</v>
      </c>
      <c r="F1746" s="54" t="n">
        <v>30</v>
      </c>
      <c r="G1746" s="54" t="n">
        <v>1</v>
      </c>
      <c r="H1746" s="55" t="n">
        <v>1462</v>
      </c>
      <c r="I1746" s="55" t="n">
        <v>1465.95</v>
      </c>
      <c r="J1746" s="55" t="n">
        <v>0</v>
      </c>
      <c r="K1746" s="55" t="n">
        <v>0</v>
      </c>
      <c r="L1746" s="55" t="n">
        <v>1465.95</v>
      </c>
      <c r="M1746" s="55" t="n">
        <v>3.95</v>
      </c>
      <c r="N1746" s="36" t="inlineStr">
        <is>
          <t>004740</t>
        </is>
      </c>
      <c r="O1746" s="36" t="inlineStr">
        <is>
          <t>NYM</t>
        </is>
      </c>
      <c r="P1746" s="36" t="inlineStr">
        <is>
          <t>9314DA31</t>
        </is>
      </c>
      <c r="Q1746" s="36" t="n">
        <v/>
      </c>
    </row>
    <row r="1747">
      <c r="A1747" s="36" t="inlineStr">
        <is>
          <t>142986</t>
        </is>
      </c>
      <c r="B1747" s="52" t="n">
        <v>46065</v>
      </c>
      <c r="C1747" s="36" t="inlineStr">
        <is>
          <t>61874013030</t>
        </is>
      </c>
      <c r="D1747" s="53" t="inlineStr">
        <is>
          <t>VRAYLAR 3MG CAPSULE</t>
        </is>
      </c>
      <c r="E1747" s="36" t="n">
        <v>30</v>
      </c>
      <c r="F1747" s="54" t="n">
        <v>30</v>
      </c>
      <c r="G1747" s="54" t="n">
        <v>1</v>
      </c>
      <c r="H1747" s="55" t="n">
        <v>1462</v>
      </c>
      <c r="I1747" s="55" t="n">
        <v>1538.86</v>
      </c>
      <c r="J1747" s="55" t="n">
        <v>0</v>
      </c>
      <c r="K1747" s="55" t="n">
        <v>0</v>
      </c>
      <c r="L1747" s="55" t="n">
        <v>1538.86</v>
      </c>
      <c r="M1747" s="55" t="n">
        <v>76.86</v>
      </c>
      <c r="N1747" s="36" t="inlineStr">
        <is>
          <t>004740</t>
        </is>
      </c>
      <c r="O1747" s="36" t="inlineStr">
        <is>
          <t>NYM</t>
        </is>
      </c>
      <c r="P1747" s="36" t="inlineStr">
        <is>
          <t>9314DA31</t>
        </is>
      </c>
      <c r="Q1747" s="36" t="n">
        <v/>
      </c>
    </row>
    <row r="1748">
      <c r="A1748" s="36" t="inlineStr">
        <is>
          <t>134029</t>
        </is>
      </c>
      <c r="B1748" s="52" t="n">
        <v>45996</v>
      </c>
      <c r="C1748" s="36" t="inlineStr">
        <is>
          <t>61874013030</t>
        </is>
      </c>
      <c r="D1748" s="53" t="inlineStr">
        <is>
          <t>VRAYLAR 3MG CAPSULE</t>
        </is>
      </c>
      <c r="E1748" s="36" t="n">
        <v>30</v>
      </c>
      <c r="F1748" s="54" t="n">
        <v>30</v>
      </c>
      <c r="G1748" s="54" t="n">
        <v>1</v>
      </c>
      <c r="H1748" s="55" t="n">
        <v>1462</v>
      </c>
      <c r="I1748" s="55" t="n">
        <v>1465.95</v>
      </c>
      <c r="J1748" s="55" t="n">
        <v>0</v>
      </c>
      <c r="K1748" s="55" t="n">
        <v>0</v>
      </c>
      <c r="L1748" s="55" t="n">
        <v>1465.95</v>
      </c>
      <c r="M1748" s="55" t="n">
        <v>3.95</v>
      </c>
      <c r="N1748" s="36" t="inlineStr">
        <is>
          <t>004740</t>
        </is>
      </c>
      <c r="O1748" s="36" t="inlineStr">
        <is>
          <t>NYM</t>
        </is>
      </c>
      <c r="P1748" s="36" t="inlineStr">
        <is>
          <t>9314DA31</t>
        </is>
      </c>
      <c r="Q1748" s="36" t="n">
        <v/>
      </c>
    </row>
    <row r="1749">
      <c r="A1749" s="36" t="inlineStr">
        <is>
          <t>137279</t>
        </is>
      </c>
      <c r="B1749" s="52" t="n">
        <v>46024</v>
      </c>
      <c r="C1749" s="36" t="inlineStr">
        <is>
          <t>61874014530</t>
        </is>
      </c>
      <c r="D1749" s="53" t="inlineStr">
        <is>
          <t>VRAYLAR 4.5 MG ORAL CAPSULE</t>
        </is>
      </c>
      <c r="E1749" s="36" t="n">
        <v>30</v>
      </c>
      <c r="F1749" s="54" t="n">
        <v>30</v>
      </c>
      <c r="G1749" s="54" t="n">
        <v>1</v>
      </c>
      <c r="H1749" s="55" t="n">
        <v>1466</v>
      </c>
      <c r="I1749" s="55" t="n">
        <v>1465.59</v>
      </c>
      <c r="J1749" s="55" t="n">
        <v>0</v>
      </c>
      <c r="K1749" s="55" t="n">
        <v>0</v>
      </c>
      <c r="L1749" s="55" t="n">
        <v>1465.59</v>
      </c>
      <c r="M1749" s="55" t="n">
        <v>-0.41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120708</t>
        </is>
      </c>
      <c r="B1750" s="52" t="n">
        <v>46015</v>
      </c>
      <c r="C1750" s="36" t="inlineStr">
        <is>
          <t>24208050402</t>
        </is>
      </c>
      <c r="D1750" s="53" t="inlineStr">
        <is>
          <t>VYZULTA 0.024 % OPHTHALMIC SOLUTION</t>
        </is>
      </c>
      <c r="E1750" s="36" t="n">
        <v>2.5</v>
      </c>
      <c r="F1750" s="54" t="n">
        <v>2.5</v>
      </c>
      <c r="G1750" s="54" t="n">
        <v>1</v>
      </c>
      <c r="H1750" s="55" t="n">
        <v>0</v>
      </c>
      <c r="I1750" s="55" t="n">
        <v>260.59</v>
      </c>
      <c r="J1750" s="55" t="n">
        <v>0</v>
      </c>
      <c r="K1750" s="55" t="n">
        <v>0</v>
      </c>
      <c r="L1750" s="55" t="n">
        <v>260.59</v>
      </c>
      <c r="M1750" s="55" t="n">
        <v>0</v>
      </c>
      <c r="N1750" s="36" t="inlineStr">
        <is>
          <t>610097</t>
        </is>
      </c>
      <c r="O1750" s="36" t="inlineStr">
        <is>
          <t>OPTUM</t>
        </is>
      </c>
      <c r="P1750" s="36" t="inlineStr">
        <is>
          <t>9999</t>
        </is>
      </c>
      <c r="Q1750" s="36" t="n">
        <v/>
      </c>
    </row>
    <row r="1751">
      <c r="A1751" s="36" t="inlineStr">
        <is>
          <t>115548</t>
        </is>
      </c>
      <c r="B1751" s="52" t="n">
        <v>46001</v>
      </c>
      <c r="C1751" s="36" t="inlineStr">
        <is>
          <t>24208050402</t>
        </is>
      </c>
      <c r="D1751" s="53" t="inlineStr">
        <is>
          <t>VYZULTA 0.024 % OPHTHALMIC SOLUTION</t>
        </is>
      </c>
      <c r="E1751" s="36" t="n">
        <v>2.5</v>
      </c>
      <c r="F1751" s="54" t="n">
        <v>7.5</v>
      </c>
      <c r="G1751" s="54" t="n">
        <v>3</v>
      </c>
      <c r="H1751" s="55" t="n">
        <v>0</v>
      </c>
      <c r="I1751" s="55" t="n">
        <v>733.1</v>
      </c>
      <c r="J1751" s="55" t="n">
        <v>0</v>
      </c>
      <c r="K1751" s="55" t="n">
        <v>0</v>
      </c>
      <c r="L1751" s="55" t="n">
        <v>733.1</v>
      </c>
      <c r="M1751" s="55" t="n">
        <v>0</v>
      </c>
      <c r="N1751" s="36" t="inlineStr">
        <is>
          <t>004336</t>
        </is>
      </c>
      <c r="O1751" s="36" t="inlineStr">
        <is>
          <t>CAREMARK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143571</t>
        </is>
      </c>
      <c r="B1752" s="52" t="n">
        <v>46070</v>
      </c>
      <c r="C1752" s="36" t="inlineStr">
        <is>
          <t>24208050402</t>
        </is>
      </c>
      <c r="D1752" s="53" t="inlineStr">
        <is>
          <t>VYZULTA 0.024 % OPHTHALMIC SOLUTION</t>
        </is>
      </c>
      <c r="E1752" s="36" t="n">
        <v>2.5</v>
      </c>
      <c r="F1752" s="54" t="n">
        <v>7.5</v>
      </c>
      <c r="G1752" s="54" t="n">
        <v>3</v>
      </c>
      <c r="H1752" s="55" t="n">
        <v>0</v>
      </c>
      <c r="I1752" s="55" t="n">
        <v>756.95</v>
      </c>
      <c r="J1752" s="55" t="n">
        <v>0</v>
      </c>
      <c r="K1752" s="55" t="n">
        <v>4.9</v>
      </c>
      <c r="L1752" s="55" t="n">
        <v>761.85</v>
      </c>
      <c r="M1752" s="55" t="n">
        <v>0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139263</t>
        </is>
      </c>
      <c r="B1753" s="52" t="n">
        <v>46062</v>
      </c>
      <c r="C1753" s="36" t="inlineStr">
        <is>
          <t>24208050402</t>
        </is>
      </c>
      <c r="D1753" s="53" t="inlineStr">
        <is>
          <t>VYZULTA 0.024 % OPHTHALMIC SOLUTION</t>
        </is>
      </c>
      <c r="E1753" s="36" t="n">
        <v>2.5</v>
      </c>
      <c r="F1753" s="54" t="n">
        <v>2.5</v>
      </c>
      <c r="G1753" s="54" t="n">
        <v>1</v>
      </c>
      <c r="H1753" s="55" t="n">
        <v>0</v>
      </c>
      <c r="I1753" s="55" t="n">
        <v>248.32</v>
      </c>
      <c r="J1753" s="55" t="n">
        <v>0</v>
      </c>
      <c r="K1753" s="55" t="n">
        <v>4.9</v>
      </c>
      <c r="L1753" s="55" t="n">
        <v>253.22</v>
      </c>
      <c r="M1753" s="55" t="n">
        <v>0</v>
      </c>
      <c r="N1753" s="36" t="inlineStr">
        <is>
          <t>015574</t>
        </is>
      </c>
      <c r="O1753" s="36" t="inlineStr">
        <is>
          <t>MEDIMP</t>
        </is>
      </c>
      <c r="P1753" s="36" t="inlineStr">
        <is>
          <t>ASPROD1</t>
        </is>
      </c>
      <c r="Q1753" s="36" t="inlineStr">
        <is>
          <t>VCM02</t>
        </is>
      </c>
    </row>
    <row r="1754">
      <c r="A1754" s="36" t="inlineStr">
        <is>
          <t>140371</t>
        </is>
      </c>
      <c r="B1754" s="52" t="n">
        <v>46045</v>
      </c>
      <c r="C1754" s="36" t="inlineStr">
        <is>
          <t>24208050402</t>
        </is>
      </c>
      <c r="D1754" s="53" t="inlineStr">
        <is>
          <t>VYZULTA 0.024 % OPHTHALMIC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248.89</v>
      </c>
      <c r="J1754" s="55" t="n">
        <v>0</v>
      </c>
      <c r="K1754" s="55" t="n">
        <v>4.9</v>
      </c>
      <c r="L1754" s="55" t="n">
        <v>253.79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140371</t>
        </is>
      </c>
      <c r="B1755" s="52" t="n">
        <v>46069</v>
      </c>
      <c r="C1755" s="36" t="inlineStr">
        <is>
          <t>24208050402</t>
        </is>
      </c>
      <c r="D1755" s="53" t="inlineStr">
        <is>
          <t>VYZULTA 0.024 % OPHTHALMIC SOLUTION</t>
        </is>
      </c>
      <c r="E1755" s="36" t="n">
        <v>2.5</v>
      </c>
      <c r="F1755" s="54" t="n">
        <v>2.5</v>
      </c>
      <c r="G1755" s="54" t="n">
        <v>1</v>
      </c>
      <c r="H1755" s="55" t="n">
        <v>0</v>
      </c>
      <c r="I1755" s="55" t="n">
        <v>248.89</v>
      </c>
      <c r="J1755" s="55" t="n">
        <v>0</v>
      </c>
      <c r="K1755" s="55" t="n">
        <v>4.9</v>
      </c>
      <c r="L1755" s="55" t="n">
        <v>253.79</v>
      </c>
      <c r="M1755" s="55" t="n">
        <v>0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139263</t>
        </is>
      </c>
      <c r="B1756" s="52" t="n">
        <v>46037</v>
      </c>
      <c r="C1756" s="36" t="inlineStr">
        <is>
          <t>24208050402</t>
        </is>
      </c>
      <c r="D1756" s="53" t="inlineStr">
        <is>
          <t>VYZULTA 0.024 % OPHTHALMIC SOLUTION</t>
        </is>
      </c>
      <c r="E1756" s="36" t="n">
        <v>2.5</v>
      </c>
      <c r="F1756" s="54" t="n">
        <v>2.5</v>
      </c>
      <c r="G1756" s="54" t="n">
        <v>1</v>
      </c>
      <c r="H1756" s="55" t="n">
        <v>0</v>
      </c>
      <c r="I1756" s="55" t="n">
        <v>248.32</v>
      </c>
      <c r="J1756" s="55" t="n">
        <v>0</v>
      </c>
      <c r="K1756" s="55" t="n">
        <v>4.9</v>
      </c>
      <c r="L1756" s="55" t="n">
        <v>253.22</v>
      </c>
      <c r="M1756" s="55" t="n">
        <v>0</v>
      </c>
      <c r="N1756" s="36" t="inlineStr">
        <is>
          <t>015574</t>
        </is>
      </c>
      <c r="O1756" s="36" t="inlineStr">
        <is>
          <t>MEDIMP</t>
        </is>
      </c>
      <c r="P1756" s="36" t="inlineStr">
        <is>
          <t>ASPROD1</t>
        </is>
      </c>
      <c r="Q1756" s="36" t="inlineStr">
        <is>
          <t>VCM02</t>
        </is>
      </c>
    </row>
    <row r="1757">
      <c r="A1757" s="36" t="inlineStr">
        <is>
          <t>104050</t>
        </is>
      </c>
      <c r="B1757" s="52" t="n">
        <v>46052</v>
      </c>
      <c r="C1757" s="36" t="inlineStr">
        <is>
          <t>24208050402</t>
        </is>
      </c>
      <c r="D1757" s="53" t="inlineStr">
        <is>
          <t>VYZULTA 0.024 % OPHTHALMIC SOLUTION</t>
        </is>
      </c>
      <c r="E1757" s="36" t="n">
        <v>2.5</v>
      </c>
      <c r="F1757" s="54" t="n">
        <v>7.5</v>
      </c>
      <c r="G1757" s="54" t="n">
        <v>3</v>
      </c>
      <c r="H1757" s="55" t="n">
        <v>0</v>
      </c>
      <c r="I1757" s="55" t="n">
        <v>756.95</v>
      </c>
      <c r="J1757" s="55" t="n">
        <v>0</v>
      </c>
      <c r="K1757" s="55" t="n">
        <v>4.9</v>
      </c>
      <c r="L1757" s="55" t="n">
        <v>761.85</v>
      </c>
      <c r="M1757" s="55" t="n">
        <v>0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138485</t>
        </is>
      </c>
      <c r="B1758" s="52" t="n">
        <v>46034</v>
      </c>
      <c r="C1758" s="36" t="inlineStr">
        <is>
          <t>00169451714</t>
        </is>
      </c>
      <c r="D1758" s="53" t="inlineStr">
        <is>
          <t>WEGOVY 1.7 MG/0.75ML AUTO-INJECTOR</t>
        </is>
      </c>
      <c r="E1758" s="36" t="n">
        <v>3</v>
      </c>
      <c r="F1758" s="54" t="n">
        <v>3</v>
      </c>
      <c r="G1758" s="54" t="n">
        <v>1</v>
      </c>
      <c r="H1758" s="55" t="n">
        <v>1312</v>
      </c>
      <c r="I1758" s="55" t="n">
        <v>1260.25</v>
      </c>
      <c r="J1758" s="55" t="n">
        <v>0</v>
      </c>
      <c r="K1758" s="55" t="n">
        <v>0</v>
      </c>
      <c r="L1758" s="55" t="n">
        <v>1260.25</v>
      </c>
      <c r="M1758" s="55" t="n">
        <v>-51.75</v>
      </c>
      <c r="N1758" s="36" t="inlineStr">
        <is>
          <t>004336</t>
        </is>
      </c>
      <c r="O1758" s="36" t="inlineStr">
        <is>
          <t>CAREMARK</t>
        </is>
      </c>
      <c r="P1758" s="36" t="inlineStr">
        <is>
          <t>ADV</t>
        </is>
      </c>
      <c r="Q1758" s="36" t="inlineStr">
        <is>
          <t>RX23MD</t>
        </is>
      </c>
    </row>
    <row r="1759">
      <c r="A1759" s="36" t="inlineStr">
        <is>
          <t>138485</t>
        </is>
      </c>
      <c r="B1759" s="52" t="n">
        <v>46060</v>
      </c>
      <c r="C1759" s="36" t="inlineStr">
        <is>
          <t>00169451714</t>
        </is>
      </c>
      <c r="D1759" s="53" t="inlineStr">
        <is>
          <t>WEGOVY 1.7 MG/0.75ML AUTO-INJECTOR</t>
        </is>
      </c>
      <c r="E1759" s="36" t="n">
        <v>3</v>
      </c>
      <c r="F1759" s="54" t="n">
        <v>3</v>
      </c>
      <c r="G1759" s="54" t="n">
        <v>1</v>
      </c>
      <c r="H1759" s="55" t="n">
        <v>1312</v>
      </c>
      <c r="I1759" s="55" t="n">
        <v>1260.25</v>
      </c>
      <c r="J1759" s="55" t="n">
        <v>0</v>
      </c>
      <c r="K1759" s="55" t="n">
        <v>0</v>
      </c>
      <c r="L1759" s="55" t="n">
        <v>1260.25</v>
      </c>
      <c r="M1759" s="55" t="n">
        <v>-51.75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ADV</t>
        </is>
      </c>
      <c r="Q1759" s="36" t="inlineStr">
        <is>
          <t>RX23MD</t>
        </is>
      </c>
    </row>
    <row r="1760">
      <c r="A1760" s="36" t="inlineStr">
        <is>
          <t>131756</t>
        </is>
      </c>
      <c r="B1760" s="52" t="n">
        <v>46006</v>
      </c>
      <c r="C1760" s="36" t="inlineStr">
        <is>
          <t>00169451714</t>
        </is>
      </c>
      <c r="D1760" s="53" t="inlineStr">
        <is>
          <t>WEGOVY 1.7 MG/0.75ML AUTO-INJECTOR</t>
        </is>
      </c>
      <c r="E1760" s="36" t="n">
        <v>3</v>
      </c>
      <c r="F1760" s="54" t="n">
        <v>3</v>
      </c>
      <c r="G1760" s="54" t="n">
        <v>1</v>
      </c>
      <c r="H1760" s="55" t="n">
        <v>1312</v>
      </c>
      <c r="I1760" s="55" t="n">
        <v>1260.25</v>
      </c>
      <c r="J1760" s="55" t="n">
        <v>0</v>
      </c>
      <c r="K1760" s="55" t="n">
        <v>0</v>
      </c>
      <c r="L1760" s="55" t="n">
        <v>1260.25</v>
      </c>
      <c r="M1760" s="55" t="n">
        <v>-51.75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ADV</t>
        </is>
      </c>
      <c r="Q1760" s="36" t="inlineStr">
        <is>
          <t>RX23MD</t>
        </is>
      </c>
    </row>
    <row r="1761">
      <c r="A1761" s="36" t="inlineStr">
        <is>
          <t>128795</t>
        </is>
      </c>
      <c r="B1761" s="52" t="n">
        <v>46009</v>
      </c>
      <c r="C1761" s="36" t="inlineStr">
        <is>
          <t>00169452414</t>
        </is>
      </c>
      <c r="D1761" s="53" t="inlineStr">
        <is>
          <t>WEGOVY 2.4 MG/0.75ML AUTO-INJECTOR</t>
        </is>
      </c>
      <c r="E1761" s="36" t="n">
        <v>3</v>
      </c>
      <c r="F1761" s="54" t="n">
        <v>3</v>
      </c>
      <c r="G1761" s="54" t="n">
        <v>1</v>
      </c>
      <c r="H1761" s="55" t="n">
        <v>1298</v>
      </c>
      <c r="I1761" s="55" t="n">
        <v>1272.15</v>
      </c>
      <c r="J1761" s="55" t="n">
        <v>0</v>
      </c>
      <c r="K1761" s="55" t="n">
        <v>0</v>
      </c>
      <c r="L1761" s="55" t="n">
        <v>1272.15</v>
      </c>
      <c r="M1761" s="55" t="n">
        <v>-25.85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128795</t>
        </is>
      </c>
      <c r="B1762" s="52" t="n">
        <v>46035</v>
      </c>
      <c r="C1762" s="36" t="inlineStr">
        <is>
          <t>00169452414</t>
        </is>
      </c>
      <c r="D1762" s="53" t="inlineStr">
        <is>
          <t>WEGOVY 2.4 MG/0.75ML AUTO-INJECTOR</t>
        </is>
      </c>
      <c r="E1762" s="36" t="n">
        <v>3</v>
      </c>
      <c r="F1762" s="54" t="n">
        <v>3</v>
      </c>
      <c r="G1762" s="54" t="n">
        <v>1</v>
      </c>
      <c r="H1762" s="55" t="n">
        <v>1302</v>
      </c>
      <c r="I1762" s="55" t="n">
        <v>1278.58</v>
      </c>
      <c r="J1762" s="55" t="n">
        <v>0</v>
      </c>
      <c r="K1762" s="55" t="n">
        <v>4.9</v>
      </c>
      <c r="L1762" s="55" t="n">
        <v>1283.48</v>
      </c>
      <c r="M1762" s="55" t="n">
        <v>-18.52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131912</t>
        </is>
      </c>
      <c r="B1763" s="52" t="n">
        <v>46008</v>
      </c>
      <c r="C1763" s="36" t="inlineStr">
        <is>
          <t>00169452414</t>
        </is>
      </c>
      <c r="D1763" s="53" t="inlineStr">
        <is>
          <t>WEGOVY 2.4 MG/0.75ML AUTO-INJECTOR</t>
        </is>
      </c>
      <c r="E1763" s="36" t="n">
        <v>3</v>
      </c>
      <c r="F1763" s="54" t="n">
        <v>3</v>
      </c>
      <c r="G1763" s="54" t="n">
        <v>1</v>
      </c>
      <c r="H1763" s="55" t="n">
        <v>1298</v>
      </c>
      <c r="I1763" s="55" t="n">
        <v>1280.63</v>
      </c>
      <c r="J1763" s="55" t="n">
        <v>0</v>
      </c>
      <c r="K1763" s="55" t="n">
        <v>21</v>
      </c>
      <c r="L1763" s="55" t="n">
        <v>1301.63</v>
      </c>
      <c r="M1763" s="55" t="n">
        <v>3.63</v>
      </c>
      <c r="N1763" s="36" t="inlineStr">
        <is>
          <t>004336</t>
        </is>
      </c>
      <c r="O1763" s="36" t="inlineStr">
        <is>
          <t>CAREMARK</t>
        </is>
      </c>
      <c r="P1763" s="36" t="inlineStr">
        <is>
          <t>ADV</t>
        </is>
      </c>
      <c r="Q1763" s="36" t="inlineStr">
        <is>
          <t>RX0048</t>
        </is>
      </c>
    </row>
    <row r="1764">
      <c r="A1764" s="36" t="inlineStr">
        <is>
          <t>142394</t>
        </is>
      </c>
      <c r="B1764" s="52" t="n">
        <v>46062</v>
      </c>
      <c r="C1764" s="36" t="inlineStr">
        <is>
          <t>00169452414</t>
        </is>
      </c>
      <c r="D1764" s="53" t="inlineStr">
        <is>
          <t>WEGOVY 2.4 MG/0.75ML AUTO-INJECTOR</t>
        </is>
      </c>
      <c r="E1764" s="36" t="n">
        <v>3</v>
      </c>
      <c r="F1764" s="54" t="n">
        <v>3</v>
      </c>
      <c r="G1764" s="54" t="n">
        <v>1</v>
      </c>
      <c r="H1764" s="55" t="n">
        <v>1312</v>
      </c>
      <c r="I1764" s="55" t="n">
        <v>1278.58</v>
      </c>
      <c r="J1764" s="55" t="n">
        <v>0</v>
      </c>
      <c r="K1764" s="55" t="n">
        <v>4.9</v>
      </c>
      <c r="L1764" s="55" t="n">
        <v>1283.48</v>
      </c>
      <c r="M1764" s="55" t="n">
        <v>-28.52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95279</t>
        </is>
      </c>
      <c r="B1765" s="52" t="n">
        <v>46007</v>
      </c>
      <c r="C1765" s="36" t="inlineStr">
        <is>
          <t>00378932232</t>
        </is>
      </c>
      <c r="D1765" s="53" t="inlineStr">
        <is>
          <t>WIXELA INHUB 500-50 MCG/ACT INH AEROSOL</t>
        </is>
      </c>
      <c r="E1765" s="36" t="n">
        <v>60</v>
      </c>
      <c r="F1765" s="54" t="n">
        <v>60</v>
      </c>
      <c r="G1765" s="54" t="n">
        <v>1</v>
      </c>
      <c r="H1765" s="55" t="n">
        <v>0</v>
      </c>
      <c r="I1765" s="55" t="n">
        <v>57.1</v>
      </c>
      <c r="J1765" s="55" t="n">
        <v>0</v>
      </c>
      <c r="K1765" s="55" t="n">
        <v>0</v>
      </c>
      <c r="L1765" s="55" t="n">
        <v>57.1</v>
      </c>
      <c r="M1765" s="55" t="n">
        <v>0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133749</t>
        </is>
      </c>
      <c r="B1766" s="52" t="n">
        <v>46006</v>
      </c>
      <c r="C1766" s="36" t="inlineStr">
        <is>
          <t>00378932232</t>
        </is>
      </c>
      <c r="D1766" s="53" t="inlineStr">
        <is>
          <t>WIXELA INHUB 500-50 MCG/ACT INH AEROSOL</t>
        </is>
      </c>
      <c r="E1766" s="36" t="n">
        <v>60</v>
      </c>
      <c r="F1766" s="54" t="n">
        <v>180</v>
      </c>
      <c r="G1766" s="54" t="n">
        <v>3</v>
      </c>
      <c r="H1766" s="55" t="n">
        <v>0</v>
      </c>
      <c r="I1766" s="55" t="n">
        <v>339.91</v>
      </c>
      <c r="J1766" s="55" t="n">
        <v>0</v>
      </c>
      <c r="K1766" s="55" t="n">
        <v>0</v>
      </c>
      <c r="L1766" s="55" t="n">
        <v>339.91</v>
      </c>
      <c r="M1766" s="55" t="n">
        <v>0</v>
      </c>
      <c r="N1766" s="36" t="inlineStr">
        <is>
          <t>004336</t>
        </is>
      </c>
      <c r="O1766" s="36" t="inlineStr">
        <is>
          <t>CAREMARK</t>
        </is>
      </c>
      <c r="P1766" s="36" t="inlineStr">
        <is>
          <t>MEDDADV</t>
        </is>
      </c>
      <c r="Q1766" s="36" t="inlineStr">
        <is>
          <t>RXCVSD</t>
        </is>
      </c>
    </row>
    <row r="1767">
      <c r="A1767" s="36" t="inlineStr">
        <is>
          <t>141966</t>
        </is>
      </c>
      <c r="B1767" s="52" t="n">
        <v>46058</v>
      </c>
      <c r="C1767" s="36" t="inlineStr">
        <is>
          <t>50458057830</t>
        </is>
      </c>
      <c r="D1767" s="53" t="inlineStr">
        <is>
          <t>XARELTO 15MG TAB</t>
        </is>
      </c>
      <c r="E1767" s="36" t="n">
        <v>30</v>
      </c>
      <c r="F1767" s="54" t="n">
        <v>90</v>
      </c>
      <c r="G1767" s="54" t="n">
        <v>3</v>
      </c>
      <c r="H1767" s="55" t="n">
        <v>1731</v>
      </c>
      <c r="I1767" s="55" t="n">
        <v>619.76</v>
      </c>
      <c r="J1767" s="55" t="n">
        <v>1216.7</v>
      </c>
      <c r="K1767" s="55" t="n">
        <v>0</v>
      </c>
      <c r="L1767" s="55" t="n">
        <v>1836.46</v>
      </c>
      <c r="M1767" s="55" t="n">
        <v>105.46</v>
      </c>
      <c r="N1767" s="36" t="inlineStr">
        <is>
          <t>610014</t>
        </is>
      </c>
      <c r="O1767" s="36" t="inlineStr">
        <is>
          <t>EXPRESS</t>
        </is>
      </c>
      <c r="P1767" s="36" t="inlineStr">
        <is>
          <t>MEDDPRIME</t>
        </is>
      </c>
      <c r="Q1767" s="36" t="inlineStr">
        <is>
          <t>2FGA</t>
        </is>
      </c>
    </row>
    <row r="1768">
      <c r="A1768" s="36" t="inlineStr">
        <is>
          <t>138293</t>
        </is>
      </c>
      <c r="B1768" s="52" t="n">
        <v>46031</v>
      </c>
      <c r="C1768" s="36" t="inlineStr">
        <is>
          <t>50458057830</t>
        </is>
      </c>
      <c r="D1768" s="53" t="inlineStr">
        <is>
          <t>XARELTO 15MG TAB</t>
        </is>
      </c>
      <c r="E1768" s="36" t="n">
        <v>30</v>
      </c>
      <c r="F1768" s="54" t="n">
        <v>90</v>
      </c>
      <c r="G1768" s="54" t="n">
        <v>3</v>
      </c>
      <c r="H1768" s="55" t="n">
        <v>1731</v>
      </c>
      <c r="I1768" s="55" t="n">
        <v>618.42</v>
      </c>
      <c r="J1768" s="55" t="n">
        <v>1175.42</v>
      </c>
      <c r="K1768" s="55" t="n">
        <v>0</v>
      </c>
      <c r="L1768" s="55" t="n">
        <v>1793.84</v>
      </c>
      <c r="M1768" s="55" t="n">
        <v>62.84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139187</t>
        </is>
      </c>
      <c r="B1769" s="52" t="n">
        <v>46037</v>
      </c>
      <c r="C1769" s="36" t="inlineStr">
        <is>
          <t>50458057830</t>
        </is>
      </c>
      <c r="D1769" s="53" t="inlineStr">
        <is>
          <t>XARELTO 15MG TAB</t>
        </is>
      </c>
      <c r="E1769" s="36" t="n">
        <v>30</v>
      </c>
      <c r="F1769" s="54" t="n">
        <v>90</v>
      </c>
      <c r="G1769" s="54" t="n">
        <v>3</v>
      </c>
      <c r="H1769" s="55" t="n">
        <v>1731</v>
      </c>
      <c r="I1769" s="55" t="n">
        <v>613.5700000000001</v>
      </c>
      <c r="J1769" s="55" t="n">
        <v>1175.42</v>
      </c>
      <c r="K1769" s="55" t="n">
        <v>4.9</v>
      </c>
      <c r="L1769" s="55" t="n">
        <v>1793.89</v>
      </c>
      <c r="M1769" s="55" t="n">
        <v>62.89</v>
      </c>
      <c r="N1769" s="36" t="inlineStr">
        <is>
          <t>004336</t>
        </is>
      </c>
      <c r="O1769" s="36" t="inlineStr">
        <is>
          <t>CAREMARK</t>
        </is>
      </c>
      <c r="P1769" s="36" t="inlineStr">
        <is>
          <t>MEDDADV</t>
        </is>
      </c>
      <c r="Q1769" s="36" t="inlineStr">
        <is>
          <t>RXCVSD</t>
        </is>
      </c>
    </row>
    <row r="1770">
      <c r="A1770" s="36" t="inlineStr">
        <is>
          <t>113587</t>
        </is>
      </c>
      <c r="B1770" s="52" t="n">
        <v>46010</v>
      </c>
      <c r="C1770" s="36" t="inlineStr">
        <is>
          <t>50458057830</t>
        </is>
      </c>
      <c r="D1770" s="53" t="inlineStr">
        <is>
          <t>XARELTO 15MG TAB</t>
        </is>
      </c>
      <c r="E1770" s="36" t="n">
        <v>30</v>
      </c>
      <c r="F1770" s="54" t="n">
        <v>90</v>
      </c>
      <c r="G1770" s="54" t="n">
        <v>3</v>
      </c>
      <c r="H1770" s="55" t="n">
        <v>1731</v>
      </c>
      <c r="I1770" s="55" t="n">
        <v>1479.12</v>
      </c>
      <c r="J1770" s="55" t="n">
        <v>0</v>
      </c>
      <c r="K1770" s="55" t="n">
        <v>0</v>
      </c>
      <c r="L1770" s="55" t="n">
        <v>1479.12</v>
      </c>
      <c r="M1770" s="55" t="n">
        <v>-251.88</v>
      </c>
      <c r="N1770" s="36" t="inlineStr">
        <is>
          <t>017010</t>
        </is>
      </c>
      <c r="O1770" s="36" t="inlineStr">
        <is>
          <t>EXPRESS</t>
        </is>
      </c>
      <c r="P1770" s="36" t="inlineStr">
        <is>
          <t>CIMCARE</t>
        </is>
      </c>
      <c r="Q1770" s="36" t="inlineStr">
        <is>
          <t>CIGPDPRX</t>
        </is>
      </c>
    </row>
    <row r="1771">
      <c r="A1771" s="36" t="inlineStr">
        <is>
          <t>135915</t>
        </is>
      </c>
      <c r="B1771" s="52" t="n">
        <v>46011</v>
      </c>
      <c r="C1771" s="36" t="inlineStr">
        <is>
          <t>50458057760</t>
        </is>
      </c>
      <c r="D1771" s="53" t="inlineStr">
        <is>
          <t>XARELTO 2.5 MG TABLET</t>
        </is>
      </c>
      <c r="E1771" s="36" t="n">
        <v>60</v>
      </c>
      <c r="F1771" s="54" t="n">
        <v>180</v>
      </c>
      <c r="G1771" s="54" t="n">
        <v>3</v>
      </c>
      <c r="H1771" s="55" t="n">
        <v>1731</v>
      </c>
      <c r="I1771" s="55" t="n">
        <v>1603.99</v>
      </c>
      <c r="J1771" s="55" t="n">
        <v>0</v>
      </c>
      <c r="K1771" s="55" t="n">
        <v>0</v>
      </c>
      <c r="L1771" s="55" t="n">
        <v>1603.99</v>
      </c>
      <c r="M1771" s="55" t="n">
        <v>-127.01</v>
      </c>
      <c r="N1771" s="36" t="inlineStr">
        <is>
          <t>610014</t>
        </is>
      </c>
      <c r="O1771" s="36" t="inlineStr">
        <is>
          <t>EXPRESS</t>
        </is>
      </c>
      <c r="P1771" s="36" t="inlineStr">
        <is>
          <t>MEDDPRIME</t>
        </is>
      </c>
      <c r="Q1771" s="36" t="inlineStr">
        <is>
          <t>2FFA</t>
        </is>
      </c>
    </row>
    <row r="1772">
      <c r="A1772" s="36" t="inlineStr">
        <is>
          <t>120707</t>
        </is>
      </c>
      <c r="B1772" s="52" t="n">
        <v>46070</v>
      </c>
      <c r="C1772" s="36" t="inlineStr">
        <is>
          <t>50458057930</t>
        </is>
      </c>
      <c r="D1772" s="53" t="inlineStr">
        <is>
          <t>XARELTO 20MG TAB</t>
        </is>
      </c>
      <c r="E1772" s="36" t="n">
        <v>30</v>
      </c>
      <c r="F1772" s="54" t="n">
        <v>90</v>
      </c>
      <c r="G1772" s="54" t="n">
        <v>3</v>
      </c>
      <c r="H1772" s="55" t="n">
        <v>1785</v>
      </c>
      <c r="I1772" s="55" t="n">
        <v>614.04</v>
      </c>
      <c r="J1772" s="55" t="n">
        <v>1216.18</v>
      </c>
      <c r="K1772" s="55" t="n">
        <v>4.9</v>
      </c>
      <c r="L1772" s="55" t="n">
        <v>1835.12</v>
      </c>
      <c r="M1772" s="55" t="n">
        <v>50.12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MEDDADV</t>
        </is>
      </c>
      <c r="Q1772" s="36" t="inlineStr">
        <is>
          <t>RX1110</t>
        </is>
      </c>
    </row>
    <row r="1773">
      <c r="A1773" s="36" t="inlineStr">
        <is>
          <t>134700</t>
        </is>
      </c>
      <c r="B1773" s="52" t="n">
        <v>46002</v>
      </c>
      <c r="C1773" s="36" t="inlineStr">
        <is>
          <t>50458057930</t>
        </is>
      </c>
      <c r="D1773" s="53" t="inlineStr">
        <is>
          <t>XARELTO 20MG TAB</t>
        </is>
      </c>
      <c r="E1773" s="36" t="n">
        <v>30</v>
      </c>
      <c r="F1773" s="54" t="n">
        <v>90</v>
      </c>
      <c r="G1773" s="54" t="n">
        <v>3</v>
      </c>
      <c r="H1773" s="55" t="n">
        <v>1728</v>
      </c>
      <c r="I1773" s="55" t="n">
        <v>1668.24</v>
      </c>
      <c r="J1773" s="55" t="n">
        <v>0</v>
      </c>
      <c r="K1773" s="55" t="n">
        <v>0</v>
      </c>
      <c r="L1773" s="55" t="n">
        <v>1668.24</v>
      </c>
      <c r="M1773" s="55" t="n">
        <v>-59.76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MEDDADV</t>
        </is>
      </c>
      <c r="Q1773" s="36" t="inlineStr">
        <is>
          <t>RX1110</t>
        </is>
      </c>
    </row>
    <row r="1774">
      <c r="A1774" s="36" t="inlineStr">
        <is>
          <t>128903</t>
        </is>
      </c>
      <c r="B1774" s="52" t="n">
        <v>46045</v>
      </c>
      <c r="C1774" s="36" t="inlineStr">
        <is>
          <t>50458057930</t>
        </is>
      </c>
      <c r="D1774" s="53" t="inlineStr">
        <is>
          <t>XARELTO 20MG TAB</t>
        </is>
      </c>
      <c r="E1774" s="36" t="n">
        <v>30</v>
      </c>
      <c r="F1774" s="54" t="n">
        <v>90</v>
      </c>
      <c r="G1774" s="54" t="n">
        <v>3</v>
      </c>
      <c r="H1774" s="55" t="n">
        <v>1731</v>
      </c>
      <c r="I1774" s="55" t="n">
        <v>464.12</v>
      </c>
      <c r="J1774" s="55" t="n">
        <v>1174.9</v>
      </c>
      <c r="K1774" s="55" t="n">
        <v>154.82</v>
      </c>
      <c r="L1774" s="55" t="n">
        <v>1793.84</v>
      </c>
      <c r="M1774" s="55" t="n">
        <v>62.84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MEDDADV</t>
        </is>
      </c>
      <c r="Q1774" s="36" t="inlineStr">
        <is>
          <t>RXCVSD</t>
        </is>
      </c>
    </row>
    <row r="1775">
      <c r="A1775" s="36" t="inlineStr">
        <is>
          <t>119831</t>
        </is>
      </c>
      <c r="B1775" s="52" t="n">
        <v>46065</v>
      </c>
      <c r="C1775" s="36" t="inlineStr">
        <is>
          <t>50458057930</t>
        </is>
      </c>
      <c r="D1775" s="53" t="inlineStr">
        <is>
          <t>XARELTO 20MG TAB</t>
        </is>
      </c>
      <c r="E1775" s="36" t="n">
        <v>30</v>
      </c>
      <c r="F1775" s="54" t="n">
        <v>90</v>
      </c>
      <c r="G1775" s="54" t="n">
        <v>3</v>
      </c>
      <c r="H1775" s="55" t="n">
        <v>1785</v>
      </c>
      <c r="I1775" s="55" t="n">
        <v>618.9400000000001</v>
      </c>
      <c r="J1775" s="55" t="n">
        <v>1216.18</v>
      </c>
      <c r="K1775" s="55" t="n">
        <v>0</v>
      </c>
      <c r="L1775" s="55" t="n">
        <v>1835.12</v>
      </c>
      <c r="M1775" s="55" t="n">
        <v>50.12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MEDDADV</t>
        </is>
      </c>
      <c r="Q1775" s="36" t="inlineStr">
        <is>
          <t>RX1110</t>
        </is>
      </c>
    </row>
    <row r="1776">
      <c r="A1776" s="36" t="inlineStr">
        <is>
          <t>134106</t>
        </is>
      </c>
      <c r="B1776" s="52" t="n">
        <v>45999</v>
      </c>
      <c r="C1776" s="36" t="inlineStr">
        <is>
          <t>50458057930</t>
        </is>
      </c>
      <c r="D1776" s="53" t="inlineStr">
        <is>
          <t>XARELTO 20MG TAB</t>
        </is>
      </c>
      <c r="E1776" s="36" t="n">
        <v>30</v>
      </c>
      <c r="F1776" s="54" t="n">
        <v>90</v>
      </c>
      <c r="G1776" s="54" t="n">
        <v>3</v>
      </c>
      <c r="H1776" s="55" t="n">
        <v>1728</v>
      </c>
      <c r="I1776" s="55" t="n">
        <v>1559.86</v>
      </c>
      <c r="J1776" s="55" t="n">
        <v>0</v>
      </c>
      <c r="K1776" s="55" t="n">
        <v>0</v>
      </c>
      <c r="L1776" s="55" t="n">
        <v>1559.86</v>
      </c>
      <c r="M1776" s="55" t="n">
        <v>-168.14</v>
      </c>
      <c r="N1776" s="36" t="inlineStr">
        <is>
          <t>003858</t>
        </is>
      </c>
      <c r="O1776" s="36" t="inlineStr">
        <is>
          <t>EXPRESS</t>
        </is>
      </c>
      <c r="P1776" s="36" t="inlineStr">
        <is>
          <t>A4</t>
        </is>
      </c>
      <c r="Q1776" s="36" t="inlineStr">
        <is>
          <t>2GKA</t>
        </is>
      </c>
    </row>
    <row r="1777">
      <c r="A1777" s="36" t="inlineStr">
        <is>
          <t>102488</t>
        </is>
      </c>
      <c r="B1777" s="52" t="n">
        <v>45996</v>
      </c>
      <c r="C1777" s="36" t="inlineStr">
        <is>
          <t>50458057930</t>
        </is>
      </c>
      <c r="D1777" s="53" t="inlineStr">
        <is>
          <t>XARELTO 20MG TAB</t>
        </is>
      </c>
      <c r="E1777" s="36" t="n">
        <v>30</v>
      </c>
      <c r="F1777" s="54" t="n">
        <v>90</v>
      </c>
      <c r="G1777" s="54" t="n">
        <v>3</v>
      </c>
      <c r="H1777" s="55" t="n">
        <v>1728</v>
      </c>
      <c r="I1777" s="55" t="n">
        <v>1799.59</v>
      </c>
      <c r="J1777" s="55" t="n">
        <v>0</v>
      </c>
      <c r="K1777" s="55" t="n">
        <v>0</v>
      </c>
      <c r="L1777" s="55" t="n">
        <v>1799.59</v>
      </c>
      <c r="M1777" s="55" t="n">
        <v>71.59</v>
      </c>
      <c r="N1777" s="36" t="inlineStr">
        <is>
          <t>610097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PDPIND</t>
        </is>
      </c>
    </row>
    <row r="1778">
      <c r="A1778" s="36" t="inlineStr">
        <is>
          <t>139753</t>
        </is>
      </c>
      <c r="B1778" s="52" t="n">
        <v>46042</v>
      </c>
      <c r="C1778" s="36" t="inlineStr">
        <is>
          <t>50458057930</t>
        </is>
      </c>
      <c r="D1778" s="53" t="inlineStr">
        <is>
          <t>XARELTO 20MG TAB</t>
        </is>
      </c>
      <c r="E1778" s="36" t="n">
        <v>30</v>
      </c>
      <c r="F1778" s="54" t="n">
        <v>90</v>
      </c>
      <c r="G1778" s="54" t="n">
        <v>3</v>
      </c>
      <c r="H1778" s="55" t="n">
        <v>1731</v>
      </c>
      <c r="I1778" s="55" t="n">
        <v>618.9400000000001</v>
      </c>
      <c r="J1778" s="55" t="n">
        <v>1174.9</v>
      </c>
      <c r="K1778" s="55" t="n">
        <v>0</v>
      </c>
      <c r="L1778" s="55" t="n">
        <v>1793.84</v>
      </c>
      <c r="M1778" s="55" t="n">
        <v>62.84</v>
      </c>
      <c r="N1778" s="36" t="inlineStr">
        <is>
          <t>004336</t>
        </is>
      </c>
      <c r="O1778" s="36" t="inlineStr">
        <is>
          <t>CAREMARK</t>
        </is>
      </c>
      <c r="P1778" s="36" t="inlineStr">
        <is>
          <t>MEDDADV</t>
        </is>
      </c>
      <c r="Q1778" s="36" t="inlineStr">
        <is>
          <t>RX1110</t>
        </is>
      </c>
    </row>
    <row r="1779">
      <c r="A1779" s="36" t="inlineStr">
        <is>
          <t>137975</t>
        </is>
      </c>
      <c r="B1779" s="52" t="n">
        <v>46029</v>
      </c>
      <c r="C1779" s="36" t="inlineStr">
        <is>
          <t>50458057930</t>
        </is>
      </c>
      <c r="D1779" s="53" t="inlineStr">
        <is>
          <t>XARELTO 20MG TAB</t>
        </is>
      </c>
      <c r="E1779" s="36" t="n">
        <v>30</v>
      </c>
      <c r="F1779" s="54" t="n">
        <v>90</v>
      </c>
      <c r="G1779" s="54" t="n">
        <v>3</v>
      </c>
      <c r="H1779" s="55" t="n">
        <v>1731</v>
      </c>
      <c r="I1779" s="55" t="n">
        <v>618.9400000000001</v>
      </c>
      <c r="J1779" s="55" t="n">
        <v>1174.9</v>
      </c>
      <c r="K1779" s="55" t="n">
        <v>0</v>
      </c>
      <c r="L1779" s="55" t="n">
        <v>1793.84</v>
      </c>
      <c r="M1779" s="55" t="n">
        <v>62.84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143033</t>
        </is>
      </c>
      <c r="B1780" s="52" t="n">
        <v>46065</v>
      </c>
      <c r="C1780" s="36" t="inlineStr">
        <is>
          <t>50458057930</t>
        </is>
      </c>
      <c r="D1780" s="53" t="inlineStr">
        <is>
          <t>XARELTO 20MG TAB</t>
        </is>
      </c>
      <c r="E1780" s="36" t="n">
        <v>30</v>
      </c>
      <c r="F1780" s="54" t="n">
        <v>90</v>
      </c>
      <c r="G1780" s="54" t="n">
        <v>3</v>
      </c>
      <c r="H1780" s="55" t="n">
        <v>1785</v>
      </c>
      <c r="I1780" s="55" t="n">
        <v>620.28</v>
      </c>
      <c r="J1780" s="55" t="n">
        <v>1216.18</v>
      </c>
      <c r="K1780" s="55" t="n">
        <v>0</v>
      </c>
      <c r="L1780" s="55" t="n">
        <v>1836.46</v>
      </c>
      <c r="M1780" s="55" t="n">
        <v>51.46</v>
      </c>
      <c r="N1780" s="36" t="inlineStr">
        <is>
          <t>610014</t>
        </is>
      </c>
      <c r="O1780" s="36" t="inlineStr">
        <is>
          <t>EXPRESS</t>
        </is>
      </c>
      <c r="P1780" s="36" t="inlineStr">
        <is>
          <t>MEDDPRIME</t>
        </is>
      </c>
      <c r="Q1780" s="36" t="inlineStr">
        <is>
          <t>2FFA</t>
        </is>
      </c>
    </row>
    <row r="1781">
      <c r="A1781" s="36" t="inlineStr">
        <is>
          <t>123910</t>
        </is>
      </c>
      <c r="B1781" s="52" t="n">
        <v>46007</v>
      </c>
      <c r="C1781" s="36" t="inlineStr">
        <is>
          <t>50458057930</t>
        </is>
      </c>
      <c r="D1781" s="53" t="inlineStr">
        <is>
          <t>XARELTO 20MG TAB</t>
        </is>
      </c>
      <c r="E1781" s="36" t="n">
        <v>30</v>
      </c>
      <c r="F1781" s="54" t="n">
        <v>90</v>
      </c>
      <c r="G1781" s="54" t="n">
        <v>3</v>
      </c>
      <c r="H1781" s="55" t="n">
        <v>1728</v>
      </c>
      <c r="I1781" s="55" t="n">
        <v>1668.24</v>
      </c>
      <c r="J1781" s="55" t="n">
        <v>0</v>
      </c>
      <c r="K1781" s="55" t="n">
        <v>0</v>
      </c>
      <c r="L1781" s="55" t="n">
        <v>1668.24</v>
      </c>
      <c r="M1781" s="55" t="n">
        <v>-59.76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128609</t>
        </is>
      </c>
      <c r="B1782" s="52" t="n">
        <v>46038</v>
      </c>
      <c r="C1782" s="36" t="inlineStr">
        <is>
          <t>71699010030</t>
        </is>
      </c>
      <c r="D1782" s="53" t="inlineStr">
        <is>
          <t>XCOPRI 100 MG ORAL TABLET</t>
        </is>
      </c>
      <c r="E1782" s="36" t="n">
        <v>30</v>
      </c>
      <c r="F1782" s="54" t="n">
        <v>30</v>
      </c>
      <c r="G1782" s="54" t="n">
        <v>1</v>
      </c>
      <c r="H1782" s="55" t="n">
        <v>1208</v>
      </c>
      <c r="I1782" s="55" t="n">
        <v>1191.04</v>
      </c>
      <c r="J1782" s="55" t="n">
        <v>0</v>
      </c>
      <c r="K1782" s="55" t="n">
        <v>0</v>
      </c>
      <c r="L1782" s="55" t="n">
        <v>1191.04</v>
      </c>
      <c r="M1782" s="55" t="n">
        <v>-16.96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128609</t>
        </is>
      </c>
      <c r="B1783" s="52" t="n">
        <v>46010</v>
      </c>
      <c r="C1783" s="36" t="inlineStr">
        <is>
          <t>71699010030</t>
        </is>
      </c>
      <c r="D1783" s="53" t="inlineStr">
        <is>
          <t>XCOPRI 100 MG ORAL TABLET</t>
        </is>
      </c>
      <c r="E1783" s="36" t="n">
        <v>30</v>
      </c>
      <c r="F1783" s="54" t="n">
        <v>30</v>
      </c>
      <c r="G1783" s="54" t="n">
        <v>1</v>
      </c>
      <c r="H1783" s="55" t="n">
        <v>1170</v>
      </c>
      <c r="I1783" s="55" t="n">
        <v>1146.13</v>
      </c>
      <c r="J1783" s="55" t="n">
        <v>0</v>
      </c>
      <c r="K1783" s="55" t="n">
        <v>0</v>
      </c>
      <c r="L1783" s="55" t="n">
        <v>1146.13</v>
      </c>
      <c r="M1783" s="55" t="n">
        <v>-23.87</v>
      </c>
      <c r="N1783" s="36" t="inlineStr">
        <is>
          <t>004336</t>
        </is>
      </c>
      <c r="O1783" s="36" t="inlineStr">
        <is>
          <t>CAREMARK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141390</t>
        </is>
      </c>
      <c r="B1784" s="52" t="n">
        <v>46055</v>
      </c>
      <c r="C1784" s="36" t="inlineStr">
        <is>
          <t>71699020030</t>
        </is>
      </c>
      <c r="D1784" s="53" t="inlineStr">
        <is>
          <t>XCOPRI 200 MG ORAL TABLET</t>
        </is>
      </c>
      <c r="E1784" s="36" t="n">
        <v>30</v>
      </c>
      <c r="F1784" s="54" t="n">
        <v>30</v>
      </c>
      <c r="G1784" s="54" t="n">
        <v>1</v>
      </c>
      <c r="H1784" s="55" t="n">
        <v>1217</v>
      </c>
      <c r="I1784" s="55" t="n">
        <v>1191.04</v>
      </c>
      <c r="J1784" s="55" t="n">
        <v>0</v>
      </c>
      <c r="K1784" s="55" t="n">
        <v>0</v>
      </c>
      <c r="L1784" s="55" t="n">
        <v>1191.04</v>
      </c>
      <c r="M1784" s="55" t="n">
        <v>-25.96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126029</t>
        </is>
      </c>
      <c r="B1785" s="52" t="n">
        <v>46021</v>
      </c>
      <c r="C1785" s="36" t="inlineStr">
        <is>
          <t>71143037501</t>
        </is>
      </c>
      <c r="D1785" s="53" t="inlineStr">
        <is>
          <t>XHANCE 93 MCG/ACT NASAL EXHALER SUSPENSION</t>
        </is>
      </c>
      <c r="E1785" s="36" t="n">
        <v>16</v>
      </c>
      <c r="F1785" s="54" t="n">
        <v>16</v>
      </c>
      <c r="G1785" s="54" t="n">
        <v>1</v>
      </c>
      <c r="H1785" s="55" t="n">
        <v>632</v>
      </c>
      <c r="I1785" s="55" t="n">
        <v>639.4400000000001</v>
      </c>
      <c r="J1785" s="55" t="n">
        <v>0</v>
      </c>
      <c r="K1785" s="55" t="n">
        <v>0</v>
      </c>
      <c r="L1785" s="55" t="n">
        <v>639.4400000000001</v>
      </c>
      <c r="M1785" s="55" t="n">
        <v>7.44</v>
      </c>
      <c r="N1785" s="36" t="inlineStr">
        <is>
          <t>004740</t>
        </is>
      </c>
      <c r="O1785" s="36" t="inlineStr">
        <is>
          <t>NYM</t>
        </is>
      </c>
      <c r="P1785" s="36" t="inlineStr">
        <is>
          <t>9314DA31</t>
        </is>
      </c>
      <c r="Q1785" s="36" t="n">
        <v/>
      </c>
    </row>
    <row r="1786">
      <c r="A1786" s="36" t="inlineStr">
        <is>
          <t>126029</t>
        </is>
      </c>
      <c r="B1786" s="52" t="n">
        <v>45993</v>
      </c>
      <c r="C1786" s="36" t="inlineStr">
        <is>
          <t>71143037501</t>
        </is>
      </c>
      <c r="D1786" s="53" t="inlineStr">
        <is>
          <t>XHANCE 93 MCG/ACT NASAL EXHALER SUSPENSION</t>
        </is>
      </c>
      <c r="E1786" s="36" t="n">
        <v>16</v>
      </c>
      <c r="F1786" s="54" t="n">
        <v>16</v>
      </c>
      <c r="G1786" s="54" t="n">
        <v>1</v>
      </c>
      <c r="H1786" s="55" t="n">
        <v>632</v>
      </c>
      <c r="I1786" s="55" t="n">
        <v>639.49</v>
      </c>
      <c r="J1786" s="55" t="n">
        <v>0</v>
      </c>
      <c r="K1786" s="55" t="n">
        <v>0</v>
      </c>
      <c r="L1786" s="55" t="n">
        <v>639.49</v>
      </c>
      <c r="M1786" s="55" t="n">
        <v>7.49</v>
      </c>
      <c r="N1786" s="36" t="inlineStr">
        <is>
          <t>004740</t>
        </is>
      </c>
      <c r="O1786" s="36" t="inlineStr">
        <is>
          <t>NYM</t>
        </is>
      </c>
      <c r="P1786" s="36" t="inlineStr">
        <is>
          <t>9314DA31</t>
        </is>
      </c>
      <c r="Q1786" s="36" t="n">
        <v/>
      </c>
    </row>
    <row r="1787">
      <c r="A1787" s="36" t="inlineStr">
        <is>
          <t>126029</t>
        </is>
      </c>
      <c r="B1787" s="52" t="n">
        <v>46049</v>
      </c>
      <c r="C1787" s="36" t="inlineStr">
        <is>
          <t>71143037501</t>
        </is>
      </c>
      <c r="D1787" s="53" t="inlineStr">
        <is>
          <t>XHANCE 93 MCG/ACT NASAL EXHALER SUSPENSION</t>
        </is>
      </c>
      <c r="E1787" s="36" t="n">
        <v>16</v>
      </c>
      <c r="F1787" s="54" t="n">
        <v>16</v>
      </c>
      <c r="G1787" s="54" t="n">
        <v>1</v>
      </c>
      <c r="H1787" s="55" t="n">
        <v>632</v>
      </c>
      <c r="I1787" s="55" t="n">
        <v>664.6</v>
      </c>
      <c r="J1787" s="55" t="n">
        <v>0</v>
      </c>
      <c r="K1787" s="55" t="n">
        <v>0</v>
      </c>
      <c r="L1787" s="55" t="n">
        <v>664.6</v>
      </c>
      <c r="M1787" s="55" t="n">
        <v>32.6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144202</t>
        </is>
      </c>
      <c r="B1788" s="52" t="n">
        <v>46076</v>
      </c>
      <c r="C1788" s="36" t="inlineStr">
        <is>
          <t>71143037501</t>
        </is>
      </c>
      <c r="D1788" s="53" t="inlineStr">
        <is>
          <t>XHANCE 93 MCG/ACT NASAL EXHALER SUSPENSION</t>
        </is>
      </c>
      <c r="E1788" s="36" t="n">
        <v>16</v>
      </c>
      <c r="F1788" s="54" t="n">
        <v>16</v>
      </c>
      <c r="G1788" s="54" t="n">
        <v>1</v>
      </c>
      <c r="H1788" s="55" t="n">
        <v>632</v>
      </c>
      <c r="I1788" s="55" t="n">
        <v>664.6</v>
      </c>
      <c r="J1788" s="55" t="n">
        <v>0</v>
      </c>
      <c r="K1788" s="55" t="n">
        <v>0</v>
      </c>
      <c r="L1788" s="55" t="n">
        <v>664.6</v>
      </c>
      <c r="M1788" s="55" t="n">
        <v>32.6</v>
      </c>
      <c r="N1788" s="36" t="inlineStr">
        <is>
          <t>004740</t>
        </is>
      </c>
      <c r="O1788" s="36" t="inlineStr">
        <is>
          <t>NYM</t>
        </is>
      </c>
      <c r="P1788" s="36" t="inlineStr">
        <is>
          <t>9314DA31</t>
        </is>
      </c>
      <c r="Q1788" s="36" t="n">
        <v/>
      </c>
    </row>
    <row r="1789">
      <c r="A1789" s="36" t="inlineStr">
        <is>
          <t>134441</t>
        </is>
      </c>
      <c r="B1789" s="52" t="n">
        <v>46027</v>
      </c>
      <c r="C1789" s="36" t="inlineStr">
        <is>
          <t>00310628030</t>
        </is>
      </c>
      <c r="D1789" s="53" t="inlineStr">
        <is>
          <t>XIGDUO XR 10-1000MG TABLET</t>
        </is>
      </c>
      <c r="E1789" s="36" t="n">
        <v>30</v>
      </c>
      <c r="F1789" s="54" t="n">
        <v>90</v>
      </c>
      <c r="G1789" s="54" t="n">
        <v>3</v>
      </c>
      <c r="H1789" s="55" t="n">
        <v>1731</v>
      </c>
      <c r="I1789" s="55" t="n">
        <v>1608.44</v>
      </c>
      <c r="J1789" s="55" t="n">
        <v>0</v>
      </c>
      <c r="K1789" s="55" t="n">
        <v>0</v>
      </c>
      <c r="L1789" s="55" t="n">
        <v>1608.44</v>
      </c>
      <c r="M1789" s="55" t="n">
        <v>-122.56</v>
      </c>
      <c r="N1789" s="36" t="inlineStr">
        <is>
          <t>015574</t>
        </is>
      </c>
      <c r="O1789" s="36" t="inlineStr">
        <is>
          <t>MEDIMP</t>
        </is>
      </c>
      <c r="P1789" s="36" t="inlineStr">
        <is>
          <t>ASPROD1</t>
        </is>
      </c>
      <c r="Q1789" s="36" t="n">
        <v/>
      </c>
    </row>
    <row r="1790">
      <c r="A1790" s="36" t="inlineStr">
        <is>
          <t>134441</t>
        </is>
      </c>
      <c r="B1790" s="52" t="n">
        <v>46000</v>
      </c>
      <c r="C1790" s="36" t="inlineStr">
        <is>
          <t>00310628030</t>
        </is>
      </c>
      <c r="D1790" s="53" t="inlineStr">
        <is>
          <t>XIGDUO XR 10-1000MG TABLET</t>
        </is>
      </c>
      <c r="E1790" s="36" t="n">
        <v>30</v>
      </c>
      <c r="F1790" s="54" t="n">
        <v>90</v>
      </c>
      <c r="G1790" s="54" t="n">
        <v>3</v>
      </c>
      <c r="H1790" s="55" t="n">
        <v>1731</v>
      </c>
      <c r="I1790" s="55" t="n">
        <v>1672.87</v>
      </c>
      <c r="J1790" s="55" t="n">
        <v>0</v>
      </c>
      <c r="K1790" s="55" t="n">
        <v>0</v>
      </c>
      <c r="L1790" s="55" t="n">
        <v>1672.87</v>
      </c>
      <c r="M1790" s="55" t="n">
        <v>-58.13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117332</t>
        </is>
      </c>
      <c r="B1791" s="52" t="n">
        <v>46044</v>
      </c>
      <c r="C1791" s="36" t="inlineStr">
        <is>
          <t>00310628030</t>
        </is>
      </c>
      <c r="D1791" s="53" t="inlineStr">
        <is>
          <t>XIGDUO XR 10-1000MG TABLET</t>
        </is>
      </c>
      <c r="E1791" s="36" t="n">
        <v>30</v>
      </c>
      <c r="F1791" s="54" t="n">
        <v>90</v>
      </c>
      <c r="G1791" s="54" t="n">
        <v>3</v>
      </c>
      <c r="H1791" s="55" t="n">
        <v>1731</v>
      </c>
      <c r="I1791" s="55" t="n">
        <v>1682.06</v>
      </c>
      <c r="J1791" s="55" t="n">
        <v>0</v>
      </c>
      <c r="K1791" s="55" t="n">
        <v>1.6</v>
      </c>
      <c r="L1791" s="55" t="n">
        <v>1683.66</v>
      </c>
      <c r="M1791" s="55" t="n">
        <v>-47.34</v>
      </c>
      <c r="N1791" s="36" t="inlineStr">
        <is>
          <t>004336</t>
        </is>
      </c>
      <c r="O1791" s="36" t="inlineStr">
        <is>
          <t>CAREMARK</t>
        </is>
      </c>
      <c r="P1791" s="36" t="inlineStr">
        <is>
          <t>MEDDADV</t>
        </is>
      </c>
      <c r="Q1791" s="36" t="inlineStr">
        <is>
          <t>RX1110</t>
        </is>
      </c>
    </row>
    <row r="1792">
      <c r="A1792" s="36" t="inlineStr">
        <is>
          <t>108144</t>
        </is>
      </c>
      <c r="B1792" s="52" t="n">
        <v>46057</v>
      </c>
      <c r="C1792" s="36" t="inlineStr">
        <is>
          <t>00310626060</t>
        </is>
      </c>
      <c r="D1792" s="53" t="inlineStr">
        <is>
          <t>XIGDUO XR 5-1000 MG TABLET ER</t>
        </is>
      </c>
      <c r="E1792" s="36" t="n">
        <v>60</v>
      </c>
      <c r="F1792" s="54" t="n">
        <v>180</v>
      </c>
      <c r="G1792" s="54" t="n">
        <v>3</v>
      </c>
      <c r="H1792" s="55" t="n">
        <v>1731</v>
      </c>
      <c r="I1792" s="55" t="n">
        <v>1682.06</v>
      </c>
      <c r="J1792" s="55" t="n">
        <v>0</v>
      </c>
      <c r="K1792" s="55" t="n">
        <v>1.6</v>
      </c>
      <c r="L1792" s="55" t="n">
        <v>1683.66</v>
      </c>
      <c r="M1792" s="55" t="n">
        <v>-47.34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124705</t>
        </is>
      </c>
      <c r="B1793" s="52" t="n">
        <v>46013</v>
      </c>
      <c r="C1793" s="36" t="inlineStr">
        <is>
          <t>00310625030</t>
        </is>
      </c>
      <c r="D1793" s="53" t="inlineStr">
        <is>
          <t>XIGDUO XR 5-500MG TABLET EXTENDED RELEASE</t>
        </is>
      </c>
      <c r="E1793" s="36" t="n">
        <v>30</v>
      </c>
      <c r="F1793" s="54" t="n">
        <v>180</v>
      </c>
      <c r="G1793" s="54" t="n">
        <v>6</v>
      </c>
      <c r="H1793" s="55" t="n">
        <v>3474</v>
      </c>
      <c r="I1793" s="55" t="n">
        <v>3346.08</v>
      </c>
      <c r="J1793" s="55" t="n">
        <v>0</v>
      </c>
      <c r="K1793" s="55" t="n">
        <v>0</v>
      </c>
      <c r="L1793" s="55" t="n">
        <v>3346.08</v>
      </c>
      <c r="M1793" s="55" t="n">
        <v>-127.92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127574</t>
        </is>
      </c>
      <c r="B1794" s="52" t="n">
        <v>46003</v>
      </c>
      <c r="C1794" s="36" t="inlineStr">
        <is>
          <t>24208091112</t>
        </is>
      </c>
      <c r="D1794" s="53" t="inlineStr">
        <is>
          <t>XIIDRA 5 % OPHTHALMIC SOLUTION</t>
        </is>
      </c>
      <c r="E1794" s="36" t="n">
        <v>60</v>
      </c>
      <c r="F1794" s="54" t="n">
        <v>60</v>
      </c>
      <c r="G1794" s="54" t="n">
        <v>1</v>
      </c>
      <c r="H1794" s="55" t="n">
        <v>692</v>
      </c>
      <c r="I1794" s="55" t="n">
        <v>678.02</v>
      </c>
      <c r="J1794" s="55" t="n">
        <v>0</v>
      </c>
      <c r="K1794" s="55" t="n">
        <v>0</v>
      </c>
      <c r="L1794" s="55" t="n">
        <v>678.02</v>
      </c>
      <c r="M1794" s="55" t="n">
        <v>-13.98</v>
      </c>
      <c r="N1794" s="36" t="inlineStr">
        <is>
          <t>004336</t>
        </is>
      </c>
      <c r="O1794" s="36" t="inlineStr">
        <is>
          <t>CAREMARK</t>
        </is>
      </c>
      <c r="P1794" s="36" t="inlineStr">
        <is>
          <t>MEDDADV</t>
        </is>
      </c>
      <c r="Q1794" s="36" t="inlineStr">
        <is>
          <t>RX1110</t>
        </is>
      </c>
    </row>
    <row r="1795">
      <c r="A1795" s="36" t="inlineStr">
        <is>
          <t>116450</t>
        </is>
      </c>
      <c r="B1795" s="52" t="n">
        <v>46037</v>
      </c>
      <c r="C1795" s="36" t="inlineStr">
        <is>
          <t>24208091112</t>
        </is>
      </c>
      <c r="D1795" s="53" t="inlineStr">
        <is>
          <t>XIIDRA 5 % OPHTHALMIC SOLUTION</t>
        </is>
      </c>
      <c r="E1795" s="36" t="n">
        <v>60</v>
      </c>
      <c r="F1795" s="54" t="n">
        <v>180</v>
      </c>
      <c r="G1795" s="54" t="n">
        <v>3</v>
      </c>
      <c r="H1795" s="55" t="n">
        <v>2076</v>
      </c>
      <c r="I1795" s="55" t="n">
        <v>1986.47</v>
      </c>
      <c r="J1795" s="55" t="n">
        <v>0</v>
      </c>
      <c r="K1795" s="55" t="n">
        <v>0</v>
      </c>
      <c r="L1795" s="55" t="n">
        <v>1986.47</v>
      </c>
      <c r="M1795" s="55" t="n">
        <v>-89.53</v>
      </c>
      <c r="N1795" s="36" t="inlineStr">
        <is>
          <t>015574</t>
        </is>
      </c>
      <c r="O1795" s="36" t="inlineStr">
        <is>
          <t>MEDIMP</t>
        </is>
      </c>
      <c r="P1795" s="36" t="inlineStr">
        <is>
          <t>ASPROD1</t>
        </is>
      </c>
      <c r="Q1795" s="36" t="inlineStr">
        <is>
          <t>VNS01</t>
        </is>
      </c>
    </row>
    <row r="1796">
      <c r="A1796" s="36" t="inlineStr">
        <is>
          <t>138744</t>
        </is>
      </c>
      <c r="B1796" s="52" t="n">
        <v>46055</v>
      </c>
      <c r="C1796" s="36" t="inlineStr">
        <is>
          <t>24208091112</t>
        </is>
      </c>
      <c r="D1796" s="53" t="inlineStr">
        <is>
          <t>XIIDRA 5 % OPHTHALMIC SOLUTION</t>
        </is>
      </c>
      <c r="E1796" s="36" t="n">
        <v>60</v>
      </c>
      <c r="F1796" s="54" t="n">
        <v>60</v>
      </c>
      <c r="G1796" s="54" t="n">
        <v>1</v>
      </c>
      <c r="H1796" s="55" t="n">
        <v>720</v>
      </c>
      <c r="I1796" s="55" t="n">
        <v>642.4</v>
      </c>
      <c r="J1796" s="55" t="n">
        <v>0</v>
      </c>
      <c r="K1796" s="55" t="n">
        <v>12.65</v>
      </c>
      <c r="L1796" s="55" t="n">
        <v>655.05</v>
      </c>
      <c r="M1796" s="55" t="n">
        <v>-64.95</v>
      </c>
      <c r="N1796" s="36" t="inlineStr">
        <is>
          <t>610014</t>
        </is>
      </c>
      <c r="O1796" s="36" t="inlineStr">
        <is>
          <t>EXPRESS</t>
        </is>
      </c>
      <c r="P1796" s="36" t="inlineStr">
        <is>
          <t>MEDDPRIME</t>
        </is>
      </c>
      <c r="Q1796" s="36" t="inlineStr">
        <is>
          <t>2FFA</t>
        </is>
      </c>
    </row>
    <row r="1797">
      <c r="A1797" s="36" t="inlineStr">
        <is>
          <t>132083</t>
        </is>
      </c>
      <c r="B1797" s="52" t="n">
        <v>46035</v>
      </c>
      <c r="C1797" s="36" t="inlineStr">
        <is>
          <t>24208091112</t>
        </is>
      </c>
      <c r="D1797" s="53" t="inlineStr">
        <is>
          <t>XIIDRA 5 % OPHTHALMIC SOLUTION</t>
        </is>
      </c>
      <c r="E1797" s="36" t="n">
        <v>60</v>
      </c>
      <c r="F1797" s="54" t="n">
        <v>60</v>
      </c>
      <c r="G1797" s="54" t="n">
        <v>1</v>
      </c>
      <c r="H1797" s="55" t="n">
        <v>692</v>
      </c>
      <c r="I1797" s="55" t="n">
        <v>699.6799999999999</v>
      </c>
      <c r="J1797" s="55" t="n">
        <v>0</v>
      </c>
      <c r="K1797" s="55" t="n">
        <v>4.9</v>
      </c>
      <c r="L1797" s="55" t="n">
        <v>704.58</v>
      </c>
      <c r="M1797" s="55" t="n">
        <v>12.58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131414</t>
        </is>
      </c>
      <c r="B1798" s="52" t="n">
        <v>46062</v>
      </c>
      <c r="C1798" s="36" t="inlineStr">
        <is>
          <t>24208091112</t>
        </is>
      </c>
      <c r="D1798" s="53" t="inlineStr">
        <is>
          <t>XIIDRA 5 % OPHTHALMIC SOLUTION</t>
        </is>
      </c>
      <c r="E1798" s="36" t="n">
        <v>60</v>
      </c>
      <c r="F1798" s="54" t="n">
        <v>60</v>
      </c>
      <c r="G1798" s="54" t="n">
        <v>1</v>
      </c>
      <c r="H1798" s="55" t="n">
        <v>720</v>
      </c>
      <c r="I1798" s="55" t="n">
        <v>702.3</v>
      </c>
      <c r="J1798" s="55" t="n">
        <v>0</v>
      </c>
      <c r="K1798" s="55" t="n">
        <v>0</v>
      </c>
      <c r="L1798" s="55" t="n">
        <v>702.3</v>
      </c>
      <c r="M1798" s="55" t="n">
        <v>-17.7</v>
      </c>
      <c r="N1798" s="36" t="inlineStr">
        <is>
          <t>015574</t>
        </is>
      </c>
      <c r="O1798" s="36" t="inlineStr">
        <is>
          <t>MEDIMP</t>
        </is>
      </c>
      <c r="P1798" s="36" t="inlineStr">
        <is>
          <t>ASPROD1</t>
        </is>
      </c>
      <c r="Q1798" s="36" t="inlineStr">
        <is>
          <t>VNS01</t>
        </is>
      </c>
    </row>
    <row r="1799">
      <c r="A1799" s="36" t="inlineStr">
        <is>
          <t>100726</t>
        </is>
      </c>
      <c r="B1799" s="52" t="n">
        <v>45992</v>
      </c>
      <c r="C1799" s="36" t="inlineStr">
        <is>
          <t>24208091112</t>
        </is>
      </c>
      <c r="D1799" s="53" t="inlineStr">
        <is>
          <t>XIIDRA 5 % OPHTHALMIC SOLUTION</t>
        </is>
      </c>
      <c r="E1799" s="36" t="n">
        <v>60</v>
      </c>
      <c r="F1799" s="54" t="n">
        <v>180</v>
      </c>
      <c r="G1799" s="54" t="n">
        <v>3</v>
      </c>
      <c r="H1799" s="55" t="n">
        <v>2076</v>
      </c>
      <c r="I1799" s="55" t="n">
        <v>2005.95</v>
      </c>
      <c r="J1799" s="55" t="n">
        <v>0</v>
      </c>
      <c r="K1799" s="55" t="n">
        <v>0</v>
      </c>
      <c r="L1799" s="55" t="n">
        <v>2005.95</v>
      </c>
      <c r="M1799" s="55" t="n">
        <v>-70.05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125241</t>
        </is>
      </c>
      <c r="B1800" s="52" t="n">
        <v>45992</v>
      </c>
      <c r="C1800" s="36" t="inlineStr">
        <is>
          <t>24208091112</t>
        </is>
      </c>
      <c r="D1800" s="53" t="inlineStr">
        <is>
          <t>XIIDRA 5 % OPHTHALMIC SOLUTION</t>
        </is>
      </c>
      <c r="E1800" s="36" t="n">
        <v>60</v>
      </c>
      <c r="F1800" s="54" t="n">
        <v>60</v>
      </c>
      <c r="G1800" s="54" t="n">
        <v>1</v>
      </c>
      <c r="H1800" s="55" t="n">
        <v>692</v>
      </c>
      <c r="I1800" s="55" t="n">
        <v>699.74</v>
      </c>
      <c r="J1800" s="55" t="n">
        <v>0</v>
      </c>
      <c r="K1800" s="55" t="n">
        <v>0</v>
      </c>
      <c r="L1800" s="55" t="n">
        <v>699.74</v>
      </c>
      <c r="M1800" s="55" t="n">
        <v>7.74</v>
      </c>
      <c r="N1800" s="36" t="inlineStr">
        <is>
          <t>004740</t>
        </is>
      </c>
      <c r="O1800" s="36" t="inlineStr">
        <is>
          <t>NYM</t>
        </is>
      </c>
      <c r="P1800" s="36" t="inlineStr">
        <is>
          <t>9314DA31</t>
        </is>
      </c>
      <c r="Q1800" s="36" t="n">
        <v/>
      </c>
    </row>
    <row r="1801">
      <c r="A1801" s="36" t="inlineStr">
        <is>
          <t>131414</t>
        </is>
      </c>
      <c r="B1801" s="52" t="n">
        <v>46034</v>
      </c>
      <c r="C1801" s="36" t="inlineStr">
        <is>
          <t>24208091112</t>
        </is>
      </c>
      <c r="D1801" s="53" t="inlineStr">
        <is>
          <t>XIIDRA 5 % OPHTHALMIC SOLUTION</t>
        </is>
      </c>
      <c r="E1801" s="36" t="n">
        <v>60</v>
      </c>
      <c r="F1801" s="54" t="n">
        <v>60</v>
      </c>
      <c r="G1801" s="54" t="n">
        <v>1</v>
      </c>
      <c r="H1801" s="55" t="n">
        <v>692</v>
      </c>
      <c r="I1801" s="55" t="n">
        <v>702.3</v>
      </c>
      <c r="J1801" s="55" t="n">
        <v>0</v>
      </c>
      <c r="K1801" s="55" t="n">
        <v>0</v>
      </c>
      <c r="L1801" s="55" t="n">
        <v>702.3</v>
      </c>
      <c r="M1801" s="55" t="n">
        <v>10.3</v>
      </c>
      <c r="N1801" s="36" t="inlineStr">
        <is>
          <t>015574</t>
        </is>
      </c>
      <c r="O1801" s="36" t="inlineStr">
        <is>
          <t>MEDIMP</t>
        </is>
      </c>
      <c r="P1801" s="36" t="inlineStr">
        <is>
          <t>ASPROD1</t>
        </is>
      </c>
      <c r="Q1801" s="36" t="inlineStr">
        <is>
          <t>VNS01</t>
        </is>
      </c>
    </row>
    <row r="1802">
      <c r="A1802" s="36" t="inlineStr">
        <is>
          <t>138586</t>
        </is>
      </c>
      <c r="B1802" s="52" t="n">
        <v>46034</v>
      </c>
      <c r="C1802" s="36" t="inlineStr">
        <is>
          <t>24208091112</t>
        </is>
      </c>
      <c r="D1802" s="53" t="inlineStr">
        <is>
          <t>XIIDRA 5 % OPHTHALMIC SOLUTION</t>
        </is>
      </c>
      <c r="E1802" s="36" t="n">
        <v>60</v>
      </c>
      <c r="F1802" s="54" t="n">
        <v>60</v>
      </c>
      <c r="G1802" s="54" t="n">
        <v>1</v>
      </c>
      <c r="H1802" s="55" t="n">
        <v>692</v>
      </c>
      <c r="I1802" s="55" t="n">
        <v>699.6799999999999</v>
      </c>
      <c r="J1802" s="55" t="n">
        <v>0</v>
      </c>
      <c r="K1802" s="55" t="n">
        <v>4.9</v>
      </c>
      <c r="L1802" s="55" t="n">
        <v>704.58</v>
      </c>
      <c r="M1802" s="55" t="n">
        <v>12.58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138634</t>
        </is>
      </c>
      <c r="B1803" s="52" t="n">
        <v>46034</v>
      </c>
      <c r="C1803" s="36" t="inlineStr">
        <is>
          <t>24208091112</t>
        </is>
      </c>
      <c r="D1803" s="53" t="inlineStr">
        <is>
          <t>XIIDRA 5 % OPHTHALMIC SOLUTION</t>
        </is>
      </c>
      <c r="E1803" s="36" t="n">
        <v>60</v>
      </c>
      <c r="F1803" s="54" t="n">
        <v>60</v>
      </c>
      <c r="G1803" s="54" t="n">
        <v>1</v>
      </c>
      <c r="H1803" s="55" t="n">
        <v>692</v>
      </c>
      <c r="I1803" s="55" t="n">
        <v>655.71</v>
      </c>
      <c r="J1803" s="55" t="n">
        <v>0</v>
      </c>
      <c r="K1803" s="55" t="n">
        <v>30</v>
      </c>
      <c r="L1803" s="55" t="n">
        <v>685.71</v>
      </c>
      <c r="M1803" s="55" t="n">
        <v>-6.29</v>
      </c>
      <c r="N1803" s="36" t="inlineStr">
        <is>
          <t>610014</t>
        </is>
      </c>
      <c r="O1803" s="36" t="inlineStr">
        <is>
          <t>EXPRESS</t>
        </is>
      </c>
      <c r="P1803" s="36" t="n">
        <v/>
      </c>
      <c r="Q1803" s="36" t="inlineStr">
        <is>
          <t>LOCAL74</t>
        </is>
      </c>
    </row>
    <row r="1804">
      <c r="A1804" s="36" t="inlineStr">
        <is>
          <t>140689</t>
        </is>
      </c>
      <c r="B1804" s="52" t="n">
        <v>46077</v>
      </c>
      <c r="C1804" s="36" t="inlineStr">
        <is>
          <t>24208091112</t>
        </is>
      </c>
      <c r="D1804" s="53" t="inlineStr">
        <is>
          <t>XIIDRA 5 % OPHTHALMIC SOLUTION</t>
        </is>
      </c>
      <c r="E1804" s="36" t="n">
        <v>60</v>
      </c>
      <c r="F1804" s="54" t="n">
        <v>60</v>
      </c>
      <c r="G1804" s="54" t="n">
        <v>1</v>
      </c>
      <c r="H1804" s="55" t="n">
        <v>720</v>
      </c>
      <c r="I1804" s="55" t="n">
        <v>699.6799999999999</v>
      </c>
      <c r="J1804" s="55" t="n">
        <v>0</v>
      </c>
      <c r="K1804" s="55" t="n">
        <v>4.9</v>
      </c>
      <c r="L1804" s="55" t="n">
        <v>704.58</v>
      </c>
      <c r="M1804" s="55" t="n">
        <v>-15.42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133085</t>
        </is>
      </c>
      <c r="B1805" s="52" t="n">
        <v>45992</v>
      </c>
      <c r="C1805" s="36" t="inlineStr">
        <is>
          <t>24208091112</t>
        </is>
      </c>
      <c r="D1805" s="53" t="inlineStr">
        <is>
          <t>XIIDRA 5 % OPHTHALMIC SOLUTION</t>
        </is>
      </c>
      <c r="E1805" s="36" t="n">
        <v>60</v>
      </c>
      <c r="F1805" s="54" t="n">
        <v>60</v>
      </c>
      <c r="G1805" s="54" t="n">
        <v>1</v>
      </c>
      <c r="H1805" s="55" t="n">
        <v>692</v>
      </c>
      <c r="I1805" s="55" t="n">
        <v>684.0599999999999</v>
      </c>
      <c r="J1805" s="55" t="n">
        <v>0</v>
      </c>
      <c r="K1805" s="55" t="n">
        <v>0</v>
      </c>
      <c r="L1805" s="55" t="n">
        <v>684.0599999999999</v>
      </c>
      <c r="M1805" s="55" t="n">
        <v>-7.94</v>
      </c>
      <c r="N1805" s="36" t="inlineStr">
        <is>
          <t>015574</t>
        </is>
      </c>
      <c r="O1805" s="36" t="inlineStr">
        <is>
          <t>MEDIMP</t>
        </is>
      </c>
      <c r="P1805" s="36" t="inlineStr">
        <is>
          <t>ASPROD1</t>
        </is>
      </c>
      <c r="Q1805" s="36" t="inlineStr">
        <is>
          <t>VNS01</t>
        </is>
      </c>
    </row>
    <row r="1806">
      <c r="A1806" s="36" t="inlineStr">
        <is>
          <t>138744</t>
        </is>
      </c>
      <c r="B1806" s="52" t="n">
        <v>46034</v>
      </c>
      <c r="C1806" s="36" t="inlineStr">
        <is>
          <t>24208091112</t>
        </is>
      </c>
      <c r="D1806" s="53" t="inlineStr">
        <is>
          <t>XIIDRA 5 % OPHTHALMIC SOLUTION</t>
        </is>
      </c>
      <c r="E1806" s="36" t="n">
        <v>60</v>
      </c>
      <c r="F1806" s="54" t="n">
        <v>60</v>
      </c>
      <c r="G1806" s="54" t="n">
        <v>1</v>
      </c>
      <c r="H1806" s="55" t="n">
        <v>692</v>
      </c>
      <c r="I1806" s="55" t="n">
        <v>642.4</v>
      </c>
      <c r="J1806" s="55" t="n">
        <v>0</v>
      </c>
      <c r="K1806" s="55" t="n">
        <v>12.65</v>
      </c>
      <c r="L1806" s="55" t="n">
        <v>655.05</v>
      </c>
      <c r="M1806" s="55" t="n">
        <v>-36.95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MEDDPRIME</t>
        </is>
      </c>
      <c r="Q1806" s="36" t="inlineStr">
        <is>
          <t>2FFA</t>
        </is>
      </c>
    </row>
    <row r="1807">
      <c r="A1807" s="36" t="inlineStr">
        <is>
          <t>132083</t>
        </is>
      </c>
      <c r="B1807" s="52" t="n">
        <v>46008</v>
      </c>
      <c r="C1807" s="36" t="inlineStr">
        <is>
          <t>24208091112</t>
        </is>
      </c>
      <c r="D1807" s="53" t="inlineStr">
        <is>
          <t>XIIDRA 5 % OPHTHALMIC SOLUTION</t>
        </is>
      </c>
      <c r="E1807" s="36" t="n">
        <v>60</v>
      </c>
      <c r="F1807" s="54" t="n">
        <v>60</v>
      </c>
      <c r="G1807" s="54" t="n">
        <v>1</v>
      </c>
      <c r="H1807" s="55" t="n">
        <v>692</v>
      </c>
      <c r="I1807" s="55" t="n">
        <v>678.02</v>
      </c>
      <c r="J1807" s="55" t="n">
        <v>0</v>
      </c>
      <c r="K1807" s="55" t="n">
        <v>0</v>
      </c>
      <c r="L1807" s="55" t="n">
        <v>678.02</v>
      </c>
      <c r="M1807" s="55" t="n">
        <v>-13.98</v>
      </c>
      <c r="N1807" s="36" t="inlineStr">
        <is>
          <t>004336</t>
        </is>
      </c>
      <c r="O1807" s="36" t="inlineStr">
        <is>
          <t>CAREMARK</t>
        </is>
      </c>
      <c r="P1807" s="36" t="inlineStr">
        <is>
          <t>MEDDADV</t>
        </is>
      </c>
      <c r="Q1807" s="36" t="inlineStr">
        <is>
          <t>RX1110</t>
        </is>
      </c>
    </row>
    <row r="1808">
      <c r="A1808" s="36" t="inlineStr">
        <is>
          <t>127322</t>
        </is>
      </c>
      <c r="B1808" s="52" t="n">
        <v>46032</v>
      </c>
      <c r="C1808" s="36" t="inlineStr">
        <is>
          <t>24208091112</t>
        </is>
      </c>
      <c r="D1808" s="53" t="inlineStr">
        <is>
          <t>XIIDRA 5 % OPHTHALMIC SOLUTION</t>
        </is>
      </c>
      <c r="E1808" s="36" t="n">
        <v>60</v>
      </c>
      <c r="F1808" s="54" t="n">
        <v>180</v>
      </c>
      <c r="G1808" s="54" t="n">
        <v>3</v>
      </c>
      <c r="H1808" s="55" t="n">
        <v>2076</v>
      </c>
      <c r="I1808" s="55" t="n">
        <v>2074.55</v>
      </c>
      <c r="J1808" s="55" t="n">
        <v>0</v>
      </c>
      <c r="K1808" s="55" t="n">
        <v>4.9</v>
      </c>
      <c r="L1808" s="55" t="n">
        <v>2079.45</v>
      </c>
      <c r="M1808" s="55" t="n">
        <v>3.45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131414</t>
        </is>
      </c>
      <c r="B1809" s="52" t="n">
        <v>46006</v>
      </c>
      <c r="C1809" s="36" t="inlineStr">
        <is>
          <t>24208091112</t>
        </is>
      </c>
      <c r="D1809" s="53" t="inlineStr">
        <is>
          <t>XIIDRA 5 % OPHTHALMIC SOLUTION</t>
        </is>
      </c>
      <c r="E1809" s="36" t="n">
        <v>60</v>
      </c>
      <c r="F1809" s="54" t="n">
        <v>60</v>
      </c>
      <c r="G1809" s="54" t="n">
        <v>1</v>
      </c>
      <c r="H1809" s="55" t="n">
        <v>692</v>
      </c>
      <c r="I1809" s="55" t="n">
        <v>684.0599999999999</v>
      </c>
      <c r="J1809" s="55" t="n">
        <v>0</v>
      </c>
      <c r="K1809" s="55" t="n">
        <v>0</v>
      </c>
      <c r="L1809" s="55" t="n">
        <v>684.0599999999999</v>
      </c>
      <c r="M1809" s="55" t="n">
        <v>-7.94</v>
      </c>
      <c r="N1809" s="36" t="inlineStr">
        <is>
          <t>015574</t>
        </is>
      </c>
      <c r="O1809" s="36" t="inlineStr">
        <is>
          <t>MEDIMP</t>
        </is>
      </c>
      <c r="P1809" s="36" t="inlineStr">
        <is>
          <t>ASPROD1</t>
        </is>
      </c>
      <c r="Q1809" s="36" t="inlineStr">
        <is>
          <t>VNS01</t>
        </is>
      </c>
    </row>
    <row r="1810">
      <c r="A1810" s="36" t="inlineStr">
        <is>
          <t>131367</t>
        </is>
      </c>
      <c r="B1810" s="52" t="n">
        <v>46006</v>
      </c>
      <c r="C1810" s="36" t="inlineStr">
        <is>
          <t>24208091112</t>
        </is>
      </c>
      <c r="D1810" s="53" t="inlineStr">
        <is>
          <t>XIIDRA 5 % OPHTHALMIC SOLUTION</t>
        </is>
      </c>
      <c r="E1810" s="36" t="n">
        <v>60</v>
      </c>
      <c r="F1810" s="54" t="n">
        <v>60</v>
      </c>
      <c r="G1810" s="54" t="n">
        <v>1</v>
      </c>
      <c r="H1810" s="55" t="n">
        <v>692</v>
      </c>
      <c r="I1810" s="55" t="n">
        <v>678.02</v>
      </c>
      <c r="J1810" s="55" t="n">
        <v>0</v>
      </c>
      <c r="K1810" s="55" t="n">
        <v>0</v>
      </c>
      <c r="L1810" s="55" t="n">
        <v>678.02</v>
      </c>
      <c r="M1810" s="55" t="n">
        <v>-13.98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125233</t>
        </is>
      </c>
      <c r="B1811" s="52" t="n">
        <v>46014</v>
      </c>
      <c r="C1811" s="36" t="inlineStr">
        <is>
          <t>24208091112</t>
        </is>
      </c>
      <c r="D1811" s="53" t="inlineStr">
        <is>
          <t>XIIDRA 5 % OPHTHALMIC SOLUTION</t>
        </is>
      </c>
      <c r="E1811" s="36" t="n">
        <v>60</v>
      </c>
      <c r="F1811" s="54" t="n">
        <v>60</v>
      </c>
      <c r="G1811" s="54" t="n">
        <v>1</v>
      </c>
      <c r="H1811" s="55" t="n">
        <v>692</v>
      </c>
      <c r="I1811" s="55" t="n">
        <v>678.02</v>
      </c>
      <c r="J1811" s="55" t="n">
        <v>0</v>
      </c>
      <c r="K1811" s="55" t="n">
        <v>0</v>
      </c>
      <c r="L1811" s="55" t="n">
        <v>678.02</v>
      </c>
      <c r="M1811" s="55" t="n">
        <v>-13.98</v>
      </c>
      <c r="N1811" s="36" t="inlineStr">
        <is>
          <t>004336</t>
        </is>
      </c>
      <c r="O1811" s="36" t="inlineStr">
        <is>
          <t>CAREMARK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111686</t>
        </is>
      </c>
      <c r="B1812" s="52" t="n">
        <v>45993</v>
      </c>
      <c r="C1812" s="36" t="inlineStr">
        <is>
          <t>24208091112</t>
        </is>
      </c>
      <c r="D1812" s="53" t="inlineStr">
        <is>
          <t>XIIDRA 5 % OPHTHALMIC SOLUTION</t>
        </is>
      </c>
      <c r="E1812" s="36" t="n">
        <v>60</v>
      </c>
      <c r="F1812" s="54" t="n">
        <v>180</v>
      </c>
      <c r="G1812" s="54" t="n">
        <v>3</v>
      </c>
      <c r="H1812" s="55" t="n">
        <v>2076</v>
      </c>
      <c r="I1812" s="55" t="n">
        <v>2005.95</v>
      </c>
      <c r="J1812" s="55" t="n">
        <v>0</v>
      </c>
      <c r="K1812" s="55" t="n">
        <v>0</v>
      </c>
      <c r="L1812" s="55" t="n">
        <v>2005.95</v>
      </c>
      <c r="M1812" s="55" t="n">
        <v>-70.05</v>
      </c>
      <c r="N1812" s="36" t="inlineStr">
        <is>
          <t>004336</t>
        </is>
      </c>
      <c r="O1812" s="36" t="inlineStr">
        <is>
          <t>CAREMARK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122800</t>
        </is>
      </c>
      <c r="B1813" s="52" t="n">
        <v>46077</v>
      </c>
      <c r="C1813" s="36" t="inlineStr">
        <is>
          <t>24208091112</t>
        </is>
      </c>
      <c r="D1813" s="53" t="inlineStr">
        <is>
          <t>XIIDRA 5 % OPHTHALMIC SOLUTION</t>
        </is>
      </c>
      <c r="E1813" s="36" t="n">
        <v>60</v>
      </c>
      <c r="F1813" s="54" t="n">
        <v>60</v>
      </c>
      <c r="G1813" s="54" t="n">
        <v>1</v>
      </c>
      <c r="H1813" s="55" t="n">
        <v>720</v>
      </c>
      <c r="I1813" s="55" t="n">
        <v>720.5</v>
      </c>
      <c r="J1813" s="55" t="n">
        <v>0</v>
      </c>
      <c r="K1813" s="55" t="n">
        <v>0</v>
      </c>
      <c r="L1813" s="55" t="n">
        <v>720.5</v>
      </c>
      <c r="M1813" s="55" t="n">
        <v>0.5</v>
      </c>
      <c r="N1813" s="36" t="inlineStr">
        <is>
          <t>004740</t>
        </is>
      </c>
      <c r="O1813" s="36" t="inlineStr">
        <is>
          <t>NYM</t>
        </is>
      </c>
      <c r="P1813" s="36" t="inlineStr">
        <is>
          <t>9314DA31</t>
        </is>
      </c>
      <c r="Q1813" s="36" t="n">
        <v/>
      </c>
    </row>
    <row r="1814">
      <c r="A1814" s="36" t="inlineStr">
        <is>
          <t>138634</t>
        </is>
      </c>
      <c r="B1814" s="52" t="n">
        <v>46062</v>
      </c>
      <c r="C1814" s="36" t="inlineStr">
        <is>
          <t>24208091112</t>
        </is>
      </c>
      <c r="D1814" s="53" t="inlineStr">
        <is>
          <t>XIIDRA 5 % OPHTHALMIC SOLUTION</t>
        </is>
      </c>
      <c r="E1814" s="36" t="n">
        <v>60</v>
      </c>
      <c r="F1814" s="54" t="n">
        <v>60</v>
      </c>
      <c r="G1814" s="54" t="n">
        <v>1</v>
      </c>
      <c r="H1814" s="55" t="n">
        <v>720</v>
      </c>
      <c r="I1814" s="55" t="n">
        <v>685.71</v>
      </c>
      <c r="J1814" s="55" t="n">
        <v>0</v>
      </c>
      <c r="K1814" s="55" t="n">
        <v>0</v>
      </c>
      <c r="L1814" s="55" t="n">
        <v>685.71</v>
      </c>
      <c r="M1814" s="55" t="n">
        <v>-34.29</v>
      </c>
      <c r="N1814" s="36" t="inlineStr">
        <is>
          <t>610014</t>
        </is>
      </c>
      <c r="O1814" s="36" t="inlineStr">
        <is>
          <t>EXPRESS</t>
        </is>
      </c>
      <c r="P1814" s="36" t="n">
        <v/>
      </c>
      <c r="Q1814" s="36" t="inlineStr">
        <is>
          <t>LOCAL74</t>
        </is>
      </c>
    </row>
    <row r="1815">
      <c r="A1815" s="36" t="inlineStr">
        <is>
          <t>132083</t>
        </is>
      </c>
      <c r="B1815" s="52" t="n">
        <v>46063</v>
      </c>
      <c r="C1815" s="36" t="inlineStr">
        <is>
          <t>24208091112</t>
        </is>
      </c>
      <c r="D1815" s="53" t="inlineStr">
        <is>
          <t>XIIDRA 5 % OPHTHALMIC SOLUTION</t>
        </is>
      </c>
      <c r="E1815" s="36" t="n">
        <v>60</v>
      </c>
      <c r="F1815" s="54" t="n">
        <v>60</v>
      </c>
      <c r="G1815" s="54" t="n">
        <v>1</v>
      </c>
      <c r="H1815" s="55" t="n">
        <v>720</v>
      </c>
      <c r="I1815" s="55" t="n">
        <v>699.6799999999999</v>
      </c>
      <c r="J1815" s="55" t="n">
        <v>0</v>
      </c>
      <c r="K1815" s="55" t="n">
        <v>4.9</v>
      </c>
      <c r="L1815" s="55" t="n">
        <v>704.58</v>
      </c>
      <c r="M1815" s="55" t="n">
        <v>-15.42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112238</t>
        </is>
      </c>
      <c r="B1816" s="52" t="n">
        <v>45994</v>
      </c>
      <c r="C1816" s="36" t="inlineStr">
        <is>
          <t>24208091112</t>
        </is>
      </c>
      <c r="D1816" s="53" t="inlineStr">
        <is>
          <t>XIIDRA 5 % OPHTHALMIC SOLUTION</t>
        </is>
      </c>
      <c r="E1816" s="36" t="n">
        <v>60</v>
      </c>
      <c r="F1816" s="54" t="n">
        <v>60</v>
      </c>
      <c r="G1816" s="54" t="n">
        <v>1</v>
      </c>
      <c r="H1816" s="55" t="n">
        <v>692</v>
      </c>
      <c r="I1816" s="55" t="n">
        <v>678.02</v>
      </c>
      <c r="J1816" s="55" t="n">
        <v>0</v>
      </c>
      <c r="K1816" s="55" t="n">
        <v>0</v>
      </c>
      <c r="L1816" s="55" t="n">
        <v>678.02</v>
      </c>
      <c r="M1816" s="55" t="n">
        <v>-13.98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MEDDADV</t>
        </is>
      </c>
      <c r="Q1816" s="36" t="inlineStr">
        <is>
          <t>RX1110</t>
        </is>
      </c>
    </row>
    <row r="1817">
      <c r="A1817" s="36" t="inlineStr">
        <is>
          <t>112999</t>
        </is>
      </c>
      <c r="B1817" s="52" t="n">
        <v>46000</v>
      </c>
      <c r="C1817" s="36" t="inlineStr">
        <is>
          <t>24208091112</t>
        </is>
      </c>
      <c r="D1817" s="53" t="inlineStr">
        <is>
          <t>XIIDRA 5 % OPHTHALMIC SOLUTION</t>
        </is>
      </c>
      <c r="E1817" s="36" t="n">
        <v>60</v>
      </c>
      <c r="F1817" s="54" t="n">
        <v>60</v>
      </c>
      <c r="G1817" s="54" t="n">
        <v>1</v>
      </c>
      <c r="H1817" s="55" t="n">
        <v>692</v>
      </c>
      <c r="I1817" s="55" t="n">
        <v>0</v>
      </c>
      <c r="J1817" s="55" t="n">
        <v>0</v>
      </c>
      <c r="K1817" s="55" t="n">
        <v>671.88</v>
      </c>
      <c r="L1817" s="55" t="n">
        <v>671.88</v>
      </c>
      <c r="M1817" s="55" t="n">
        <v>-20.12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ADV</t>
        </is>
      </c>
      <c r="Q1817" s="36" t="inlineStr">
        <is>
          <t>RX1103</t>
        </is>
      </c>
    </row>
    <row r="1818">
      <c r="A1818" s="36" t="inlineStr">
        <is>
          <t>115659</t>
        </is>
      </c>
      <c r="B1818" s="52" t="n">
        <v>45995</v>
      </c>
      <c r="C1818" s="36" t="inlineStr">
        <is>
          <t>24208091112</t>
        </is>
      </c>
      <c r="D1818" s="53" t="inlineStr">
        <is>
          <t>XIIDRA 5 % OPHTHALMIC SOLUTION</t>
        </is>
      </c>
      <c r="E1818" s="36" t="n">
        <v>60</v>
      </c>
      <c r="F1818" s="54" t="n">
        <v>60</v>
      </c>
      <c r="G1818" s="54" t="n">
        <v>1</v>
      </c>
      <c r="H1818" s="55" t="n">
        <v>692</v>
      </c>
      <c r="I1818" s="55" t="n">
        <v>456.83</v>
      </c>
      <c r="J1818" s="55" t="n">
        <v>0</v>
      </c>
      <c r="K1818" s="55" t="n">
        <v>35</v>
      </c>
      <c r="L1818" s="55" t="n">
        <v>491.83</v>
      </c>
      <c r="M1818" s="55" t="n">
        <v>-200.17</v>
      </c>
      <c r="N1818" s="36" t="inlineStr">
        <is>
          <t>610014</t>
        </is>
      </c>
      <c r="O1818" s="36" t="inlineStr">
        <is>
          <t>EXPRESS</t>
        </is>
      </c>
      <c r="P1818" s="36" t="inlineStr">
        <is>
          <t>PEU</t>
        </is>
      </c>
      <c r="Q1818" s="36" t="n">
        <v/>
      </c>
    </row>
    <row r="1819">
      <c r="A1819" s="36" t="inlineStr">
        <is>
          <t>122727</t>
        </is>
      </c>
      <c r="B1819" s="52" t="n">
        <v>45999</v>
      </c>
      <c r="C1819" s="36" t="inlineStr">
        <is>
          <t>24208091112</t>
        </is>
      </c>
      <c r="D1819" s="53" t="inlineStr">
        <is>
          <t>XIIDRA 5 % OPHTHALMIC SOLUTION</t>
        </is>
      </c>
      <c r="E1819" s="36" t="n">
        <v>60</v>
      </c>
      <c r="F1819" s="54" t="n">
        <v>180</v>
      </c>
      <c r="G1819" s="54" t="n">
        <v>3</v>
      </c>
      <c r="H1819" s="55" t="n">
        <v>2076</v>
      </c>
      <c r="I1819" s="55" t="n">
        <v>2077.87</v>
      </c>
      <c r="J1819" s="55" t="n">
        <v>0</v>
      </c>
      <c r="K1819" s="55" t="n">
        <v>1</v>
      </c>
      <c r="L1819" s="55" t="n">
        <v>2078.87</v>
      </c>
      <c r="M1819" s="55" t="n">
        <v>2.87</v>
      </c>
      <c r="N1819" s="36" t="inlineStr">
        <is>
          <t>004740</t>
        </is>
      </c>
      <c r="O1819" s="36" t="inlineStr">
        <is>
          <t>NYM</t>
        </is>
      </c>
      <c r="P1819" s="36" t="inlineStr">
        <is>
          <t>9314DA31</t>
        </is>
      </c>
      <c r="Q1819" s="36" t="n">
        <v/>
      </c>
    </row>
    <row r="1820">
      <c r="A1820" s="36" t="inlineStr">
        <is>
          <t>129434</t>
        </is>
      </c>
      <c r="B1820" s="52" t="n">
        <v>46044</v>
      </c>
      <c r="C1820" s="36" t="inlineStr">
        <is>
          <t>24208091112</t>
        </is>
      </c>
      <c r="D1820" s="53" t="inlineStr">
        <is>
          <t>XIIDRA 5 % OPHTHALMIC SOLUTION</t>
        </is>
      </c>
      <c r="E1820" s="36" t="n">
        <v>60</v>
      </c>
      <c r="F1820" s="54" t="n">
        <v>60</v>
      </c>
      <c r="G1820" s="54" t="n">
        <v>1</v>
      </c>
      <c r="H1820" s="55" t="n">
        <v>692</v>
      </c>
      <c r="I1820" s="55" t="n">
        <v>690.75</v>
      </c>
      <c r="J1820" s="55" t="n">
        <v>0</v>
      </c>
      <c r="K1820" s="55" t="n">
        <v>20</v>
      </c>
      <c r="L1820" s="55" t="n">
        <v>710.75</v>
      </c>
      <c r="M1820" s="55" t="n">
        <v>18.75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RXCVSD</t>
        </is>
      </c>
    </row>
    <row r="1821">
      <c r="A1821" s="36" t="inlineStr">
        <is>
          <t>133085</t>
        </is>
      </c>
      <c r="B1821" s="52" t="n">
        <v>46020</v>
      </c>
      <c r="C1821" s="36" t="inlineStr">
        <is>
          <t>24208091112</t>
        </is>
      </c>
      <c r="D1821" s="53" t="inlineStr">
        <is>
          <t>XIIDRA 5 % OPHTHALMIC SOLUTION</t>
        </is>
      </c>
      <c r="E1821" s="36" t="n">
        <v>60</v>
      </c>
      <c r="F1821" s="54" t="n">
        <v>60</v>
      </c>
      <c r="G1821" s="54" t="n">
        <v>1</v>
      </c>
      <c r="H1821" s="55" t="n">
        <v>692</v>
      </c>
      <c r="I1821" s="55" t="n">
        <v>684.0599999999999</v>
      </c>
      <c r="J1821" s="55" t="n">
        <v>0</v>
      </c>
      <c r="K1821" s="55" t="n">
        <v>0</v>
      </c>
      <c r="L1821" s="55" t="n">
        <v>684.0599999999999</v>
      </c>
      <c r="M1821" s="55" t="n">
        <v>-7.94</v>
      </c>
      <c r="N1821" s="36" t="inlineStr">
        <is>
          <t>015574</t>
        </is>
      </c>
      <c r="O1821" s="36" t="inlineStr">
        <is>
          <t>MEDIMP</t>
        </is>
      </c>
      <c r="P1821" s="36" t="inlineStr">
        <is>
          <t>ASPROD1</t>
        </is>
      </c>
      <c r="Q1821" s="36" t="inlineStr">
        <is>
          <t>VNS01</t>
        </is>
      </c>
    </row>
    <row r="1822">
      <c r="A1822" s="36" t="inlineStr">
        <is>
          <t>133085</t>
        </is>
      </c>
      <c r="B1822" s="52" t="n">
        <v>46076</v>
      </c>
      <c r="C1822" s="36" t="inlineStr">
        <is>
          <t>24208091112</t>
        </is>
      </c>
      <c r="D1822" s="53" t="inlineStr">
        <is>
          <t>XIIDRA 5 % OPHTHALMIC SOLUTION</t>
        </is>
      </c>
      <c r="E1822" s="36" t="n">
        <v>60</v>
      </c>
      <c r="F1822" s="54" t="n">
        <v>60</v>
      </c>
      <c r="G1822" s="54" t="n">
        <v>1</v>
      </c>
      <c r="H1822" s="55" t="n">
        <v>720</v>
      </c>
      <c r="I1822" s="55" t="n">
        <v>697.4</v>
      </c>
      <c r="J1822" s="55" t="n">
        <v>0</v>
      </c>
      <c r="K1822" s="55" t="n">
        <v>4.9</v>
      </c>
      <c r="L1822" s="55" t="n">
        <v>702.3</v>
      </c>
      <c r="M1822" s="55" t="n">
        <v>-17.7</v>
      </c>
      <c r="N1822" s="36" t="inlineStr">
        <is>
          <t>015574</t>
        </is>
      </c>
      <c r="O1822" s="36" t="inlineStr">
        <is>
          <t>MEDIMP</t>
        </is>
      </c>
      <c r="P1822" s="36" t="inlineStr">
        <is>
          <t>ASPROD1</t>
        </is>
      </c>
      <c r="Q1822" s="36" t="inlineStr">
        <is>
          <t>VNS01</t>
        </is>
      </c>
    </row>
    <row r="1823">
      <c r="A1823" s="36" t="inlineStr">
        <is>
          <t>128424</t>
        </is>
      </c>
      <c r="B1823" s="52" t="n">
        <v>46041</v>
      </c>
      <c r="C1823" s="36" t="inlineStr">
        <is>
          <t>24208091112</t>
        </is>
      </c>
      <c r="D1823" s="53" t="inlineStr">
        <is>
          <t>XIIDRA 5 % OPHTHALMIC SOLUTION</t>
        </is>
      </c>
      <c r="E1823" s="36" t="n">
        <v>60</v>
      </c>
      <c r="F1823" s="54" t="n">
        <v>180</v>
      </c>
      <c r="G1823" s="54" t="n">
        <v>3</v>
      </c>
      <c r="H1823" s="55" t="n">
        <v>2076</v>
      </c>
      <c r="I1823" s="55" t="n">
        <v>2079.45</v>
      </c>
      <c r="J1823" s="55" t="n">
        <v>0</v>
      </c>
      <c r="K1823" s="55" t="n">
        <v>0</v>
      </c>
      <c r="L1823" s="55" t="n">
        <v>2079.45</v>
      </c>
      <c r="M1823" s="55" t="n">
        <v>3.45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122800</t>
        </is>
      </c>
      <c r="B1824" s="52" t="n">
        <v>46049</v>
      </c>
      <c r="C1824" s="36" t="inlineStr">
        <is>
          <t>24208091112</t>
        </is>
      </c>
      <c r="D1824" s="53" t="inlineStr">
        <is>
          <t>XIIDRA 5 % OPHTHALMIC SOLUTION</t>
        </is>
      </c>
      <c r="E1824" s="36" t="n">
        <v>60</v>
      </c>
      <c r="F1824" s="54" t="n">
        <v>60</v>
      </c>
      <c r="G1824" s="54" t="n">
        <v>1</v>
      </c>
      <c r="H1824" s="55" t="n">
        <v>692</v>
      </c>
      <c r="I1824" s="55" t="n">
        <v>720.5</v>
      </c>
      <c r="J1824" s="55" t="n">
        <v>0</v>
      </c>
      <c r="K1824" s="55" t="n">
        <v>0</v>
      </c>
      <c r="L1824" s="55" t="n">
        <v>720.5</v>
      </c>
      <c r="M1824" s="55" t="n">
        <v>28.5</v>
      </c>
      <c r="N1824" s="36" t="inlineStr">
        <is>
          <t>004740</t>
        </is>
      </c>
      <c r="O1824" s="36" t="inlineStr">
        <is>
          <t>NYM</t>
        </is>
      </c>
      <c r="P1824" s="36" t="inlineStr">
        <is>
          <t>9314DA31</t>
        </is>
      </c>
      <c r="Q1824" s="36" t="n">
        <v/>
      </c>
    </row>
    <row r="1825">
      <c r="A1825" s="36" t="inlineStr">
        <is>
          <t>122877</t>
        </is>
      </c>
      <c r="B1825" s="52" t="n">
        <v>45996</v>
      </c>
      <c r="C1825" s="36" t="inlineStr">
        <is>
          <t>24208091112</t>
        </is>
      </c>
      <c r="D1825" s="53" t="inlineStr">
        <is>
          <t>XIIDRA 5 % OPHTHALMIC SOLUTION</t>
        </is>
      </c>
      <c r="E1825" s="36" t="n">
        <v>60</v>
      </c>
      <c r="F1825" s="54" t="n">
        <v>60</v>
      </c>
      <c r="G1825" s="54" t="n">
        <v>1</v>
      </c>
      <c r="H1825" s="55" t="n">
        <v>692</v>
      </c>
      <c r="I1825" s="55" t="n">
        <v>678.17</v>
      </c>
      <c r="J1825" s="55" t="n">
        <v>0</v>
      </c>
      <c r="K1825" s="55" t="n">
        <v>21.55</v>
      </c>
      <c r="L1825" s="55" t="n">
        <v>699.72</v>
      </c>
      <c r="M1825" s="55" t="n">
        <v>7.72</v>
      </c>
      <c r="N1825" s="36" t="inlineStr">
        <is>
          <t>610097</t>
        </is>
      </c>
      <c r="O1825" s="36" t="inlineStr">
        <is>
          <t>OPTUM</t>
        </is>
      </c>
      <c r="P1825" s="36" t="inlineStr">
        <is>
          <t>9999</t>
        </is>
      </c>
      <c r="Q1825" s="36" t="inlineStr">
        <is>
          <t>UAWP</t>
        </is>
      </c>
    </row>
    <row r="1826">
      <c r="A1826" s="36" t="inlineStr">
        <is>
          <t>133085</t>
        </is>
      </c>
      <c r="B1826" s="52" t="n">
        <v>46048</v>
      </c>
      <c r="C1826" s="36" t="inlineStr">
        <is>
          <t>24208091112</t>
        </is>
      </c>
      <c r="D1826" s="53" t="inlineStr">
        <is>
          <t>XIIDRA 5 % OPHTHALMIC SOLUTION</t>
        </is>
      </c>
      <c r="E1826" s="36" t="n">
        <v>60</v>
      </c>
      <c r="F1826" s="54" t="n">
        <v>60</v>
      </c>
      <c r="G1826" s="54" t="n">
        <v>1</v>
      </c>
      <c r="H1826" s="55" t="n">
        <v>692</v>
      </c>
      <c r="I1826" s="55" t="n">
        <v>697.4</v>
      </c>
      <c r="J1826" s="55" t="n">
        <v>0</v>
      </c>
      <c r="K1826" s="55" t="n">
        <v>4.9</v>
      </c>
      <c r="L1826" s="55" t="n">
        <v>702.3</v>
      </c>
      <c r="M1826" s="55" t="n">
        <v>10.3</v>
      </c>
      <c r="N1826" s="36" t="inlineStr">
        <is>
          <t>015574</t>
        </is>
      </c>
      <c r="O1826" s="36" t="inlineStr">
        <is>
          <t>MEDIMP</t>
        </is>
      </c>
      <c r="P1826" s="36" t="inlineStr">
        <is>
          <t>ASPROD1</t>
        </is>
      </c>
      <c r="Q1826" s="36" t="inlineStr">
        <is>
          <t>VNS01</t>
        </is>
      </c>
    </row>
    <row r="1827">
      <c r="A1827" s="36" t="inlineStr">
        <is>
          <t>134262</t>
        </is>
      </c>
      <c r="B1827" s="52" t="n">
        <v>45999</v>
      </c>
      <c r="C1827" s="36" t="inlineStr">
        <is>
          <t>24208091112</t>
        </is>
      </c>
      <c r="D1827" s="53" t="inlineStr">
        <is>
          <t>XIIDRA 5 % OPHTHALMIC SOLUTION</t>
        </is>
      </c>
      <c r="E1827" s="36" t="n">
        <v>60</v>
      </c>
      <c r="F1827" s="54" t="n">
        <v>180</v>
      </c>
      <c r="G1827" s="54" t="n">
        <v>3</v>
      </c>
      <c r="H1827" s="55" t="n">
        <v>2076</v>
      </c>
      <c r="I1827" s="55" t="n">
        <v>2005.95</v>
      </c>
      <c r="J1827" s="55" t="n">
        <v>0</v>
      </c>
      <c r="K1827" s="55" t="n">
        <v>0</v>
      </c>
      <c r="L1827" s="55" t="n">
        <v>2005.95</v>
      </c>
      <c r="M1827" s="55" t="n">
        <v>-70.05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129434</t>
        </is>
      </c>
      <c r="B1828" s="52" t="n">
        <v>46072</v>
      </c>
      <c r="C1828" s="36" t="inlineStr">
        <is>
          <t>24208091112</t>
        </is>
      </c>
      <c r="D1828" s="53" t="inlineStr">
        <is>
          <t>XIIDRA 5 % OPHTHALMIC SOLUTION</t>
        </is>
      </c>
      <c r="E1828" s="36" t="n">
        <v>60</v>
      </c>
      <c r="F1828" s="54" t="n">
        <v>60</v>
      </c>
      <c r="G1828" s="54" t="n">
        <v>1</v>
      </c>
      <c r="H1828" s="55" t="n">
        <v>720</v>
      </c>
      <c r="I1828" s="55" t="n">
        <v>690.75</v>
      </c>
      <c r="J1828" s="55" t="n">
        <v>0</v>
      </c>
      <c r="K1828" s="55" t="n">
        <v>20</v>
      </c>
      <c r="L1828" s="55" t="n">
        <v>710.75</v>
      </c>
      <c r="M1828" s="55" t="n">
        <v>-9.25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RXCVSD</t>
        </is>
      </c>
    </row>
    <row r="1829">
      <c r="A1829" s="36" t="inlineStr">
        <is>
          <t>122800</t>
        </is>
      </c>
      <c r="B1829" s="52" t="n">
        <v>46021</v>
      </c>
      <c r="C1829" s="36" t="inlineStr">
        <is>
          <t>24208091112</t>
        </is>
      </c>
      <c r="D1829" s="53" t="inlineStr">
        <is>
          <t>XIIDRA 5 % OPHTHALMIC SOLUTION</t>
        </is>
      </c>
      <c r="E1829" s="36" t="n">
        <v>60</v>
      </c>
      <c r="F1829" s="54" t="n">
        <v>60</v>
      </c>
      <c r="G1829" s="54" t="n">
        <v>1</v>
      </c>
      <c r="H1829" s="55" t="n">
        <v>692</v>
      </c>
      <c r="I1829" s="55" t="n">
        <v>699.8099999999999</v>
      </c>
      <c r="J1829" s="55" t="n">
        <v>0</v>
      </c>
      <c r="K1829" s="55" t="n">
        <v>0</v>
      </c>
      <c r="L1829" s="55" t="n">
        <v>699.8099999999999</v>
      </c>
      <c r="M1829" s="55" t="n">
        <v>7.81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115659</t>
        </is>
      </c>
      <c r="B1830" s="52" t="n">
        <v>46022</v>
      </c>
      <c r="C1830" s="36" t="inlineStr">
        <is>
          <t>24208091112</t>
        </is>
      </c>
      <c r="D1830" s="53" t="inlineStr">
        <is>
          <t>XIIDRA 5 % OPHTHALMIC SOLUTION</t>
        </is>
      </c>
      <c r="E1830" s="36" t="n">
        <v>60</v>
      </c>
      <c r="F1830" s="54" t="n">
        <v>60</v>
      </c>
      <c r="G1830" s="54" t="n">
        <v>1</v>
      </c>
      <c r="H1830" s="55" t="n">
        <v>692</v>
      </c>
      <c r="I1830" s="55" t="n">
        <v>456.83</v>
      </c>
      <c r="J1830" s="55" t="n">
        <v>0</v>
      </c>
      <c r="K1830" s="55" t="n">
        <v>35</v>
      </c>
      <c r="L1830" s="55" t="n">
        <v>491.83</v>
      </c>
      <c r="M1830" s="55" t="n">
        <v>-200.17</v>
      </c>
      <c r="N1830" s="36" t="inlineStr">
        <is>
          <t>610014</t>
        </is>
      </c>
      <c r="O1830" s="36" t="inlineStr">
        <is>
          <t>EXPRESS</t>
        </is>
      </c>
      <c r="P1830" s="36" t="inlineStr">
        <is>
          <t>PEU</t>
        </is>
      </c>
      <c r="Q1830" s="36" t="n">
        <v/>
      </c>
    </row>
    <row r="1831">
      <c r="A1831" s="36" t="inlineStr">
        <is>
          <t>125766</t>
        </is>
      </c>
      <c r="B1831" s="52" t="n">
        <v>46021</v>
      </c>
      <c r="C1831" s="36" t="inlineStr">
        <is>
          <t>24208091112</t>
        </is>
      </c>
      <c r="D1831" s="53" t="inlineStr">
        <is>
          <t>XIIDRA 5 % OPHTHALMIC SOLUTION</t>
        </is>
      </c>
      <c r="E1831" s="36" t="n">
        <v>60</v>
      </c>
      <c r="F1831" s="54" t="n">
        <v>180</v>
      </c>
      <c r="G1831" s="54" t="n">
        <v>3</v>
      </c>
      <c r="H1831" s="55" t="n">
        <v>2076</v>
      </c>
      <c r="I1831" s="55" t="n">
        <v>1970.95</v>
      </c>
      <c r="J1831" s="55" t="n">
        <v>0</v>
      </c>
      <c r="K1831" s="55" t="n">
        <v>35</v>
      </c>
      <c r="L1831" s="55" t="n">
        <v>2005.95</v>
      </c>
      <c r="M1831" s="55" t="n">
        <v>-70.05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125241</t>
        </is>
      </c>
      <c r="B1832" s="52" t="n">
        <v>46048</v>
      </c>
      <c r="C1832" s="36" t="inlineStr">
        <is>
          <t>24208091112</t>
        </is>
      </c>
      <c r="D1832" s="53" t="inlineStr">
        <is>
          <t>XIIDRA 5 % OPHTHALMIC SOLUTION</t>
        </is>
      </c>
      <c r="E1832" s="36" t="n">
        <v>60</v>
      </c>
      <c r="F1832" s="54" t="n">
        <v>60</v>
      </c>
      <c r="G1832" s="54" t="n">
        <v>1</v>
      </c>
      <c r="H1832" s="55" t="n">
        <v>692</v>
      </c>
      <c r="I1832" s="55" t="n">
        <v>720.5</v>
      </c>
      <c r="J1832" s="55" t="n">
        <v>0</v>
      </c>
      <c r="K1832" s="55" t="n">
        <v>0</v>
      </c>
      <c r="L1832" s="55" t="n">
        <v>720.5</v>
      </c>
      <c r="M1832" s="55" t="n">
        <v>28.5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127574</t>
        </is>
      </c>
      <c r="B1833" s="52" t="n">
        <v>46069</v>
      </c>
      <c r="C1833" s="36" t="inlineStr">
        <is>
          <t>24208091112</t>
        </is>
      </c>
      <c r="D1833" s="53" t="inlineStr">
        <is>
          <t>XIIDRA 5 % OPHTHALMIC SOLUTION</t>
        </is>
      </c>
      <c r="E1833" s="36" t="n">
        <v>60</v>
      </c>
      <c r="F1833" s="54" t="n">
        <v>60</v>
      </c>
      <c r="G1833" s="54" t="n">
        <v>1</v>
      </c>
      <c r="H1833" s="55" t="n">
        <v>720</v>
      </c>
      <c r="I1833" s="55" t="n">
        <v>691.9299999999999</v>
      </c>
      <c r="J1833" s="55" t="n">
        <v>0</v>
      </c>
      <c r="K1833" s="55" t="n">
        <v>12.65</v>
      </c>
      <c r="L1833" s="55" t="n">
        <v>704.58</v>
      </c>
      <c r="M1833" s="55" t="n">
        <v>-15.42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115659</t>
        </is>
      </c>
      <c r="B1834" s="52" t="n">
        <v>46048</v>
      </c>
      <c r="C1834" s="36" t="inlineStr">
        <is>
          <t>24208091112</t>
        </is>
      </c>
      <c r="D1834" s="53" t="inlineStr">
        <is>
          <t>XIIDRA 5 % OPHTHALMIC SOLUTION</t>
        </is>
      </c>
      <c r="E1834" s="36" t="n">
        <v>60</v>
      </c>
      <c r="F1834" s="54" t="n">
        <v>60</v>
      </c>
      <c r="G1834" s="54" t="n">
        <v>1</v>
      </c>
      <c r="H1834" s="55" t="n">
        <v>692</v>
      </c>
      <c r="I1834" s="55" t="n">
        <v>468.45</v>
      </c>
      <c r="J1834" s="55" t="n">
        <v>0</v>
      </c>
      <c r="K1834" s="55" t="n">
        <v>35</v>
      </c>
      <c r="L1834" s="55" t="n">
        <v>503.45</v>
      </c>
      <c r="M1834" s="55" t="n">
        <v>-188.55</v>
      </c>
      <c r="N1834" s="36" t="inlineStr">
        <is>
          <t>610014</t>
        </is>
      </c>
      <c r="O1834" s="36" t="inlineStr">
        <is>
          <t>EXPRESS</t>
        </is>
      </c>
      <c r="P1834" s="36" t="n">
        <v/>
      </c>
      <c r="Q1834" s="36" t="inlineStr">
        <is>
          <t>SSEU371</t>
        </is>
      </c>
    </row>
    <row r="1835">
      <c r="A1835" s="36" t="inlineStr">
        <is>
          <t>114389</t>
        </is>
      </c>
      <c r="B1835" s="52" t="n">
        <v>46044</v>
      </c>
      <c r="C1835" s="36" t="inlineStr">
        <is>
          <t>24208091112</t>
        </is>
      </c>
      <c r="D1835" s="53" t="inlineStr">
        <is>
          <t>XIIDRA 5 % OPHTHALMIC SOLUTION</t>
        </is>
      </c>
      <c r="E1835" s="36" t="n">
        <v>60</v>
      </c>
      <c r="F1835" s="54" t="n">
        <v>60</v>
      </c>
      <c r="G1835" s="54" t="n">
        <v>1</v>
      </c>
      <c r="H1835" s="55" t="n">
        <v>692</v>
      </c>
      <c r="I1835" s="55" t="n">
        <v>704.58</v>
      </c>
      <c r="J1835" s="55" t="n">
        <v>0</v>
      </c>
      <c r="K1835" s="55" t="n">
        <v>0</v>
      </c>
      <c r="L1835" s="55" t="n">
        <v>704.58</v>
      </c>
      <c r="M1835" s="55" t="n">
        <v>12.58</v>
      </c>
      <c r="N1835" s="36" t="inlineStr">
        <is>
          <t>004336</t>
        </is>
      </c>
      <c r="O1835" s="36" t="inlineStr">
        <is>
          <t>CAREMARK</t>
        </is>
      </c>
      <c r="P1835" s="36" t="inlineStr">
        <is>
          <t>MEDDADV</t>
        </is>
      </c>
      <c r="Q1835" s="36" t="inlineStr">
        <is>
          <t>RX1110</t>
        </is>
      </c>
    </row>
    <row r="1836">
      <c r="A1836" s="36" t="inlineStr">
        <is>
          <t>140689</t>
        </is>
      </c>
      <c r="B1836" s="52" t="n">
        <v>46049</v>
      </c>
      <c r="C1836" s="36" t="inlineStr">
        <is>
          <t>24208091112</t>
        </is>
      </c>
      <c r="D1836" s="53" t="inlineStr">
        <is>
          <t>XIIDRA 5 % OPHTHALMIC SOLUTION</t>
        </is>
      </c>
      <c r="E1836" s="36" t="n">
        <v>60</v>
      </c>
      <c r="F1836" s="54" t="n">
        <v>60</v>
      </c>
      <c r="G1836" s="54" t="n">
        <v>1</v>
      </c>
      <c r="H1836" s="55" t="n">
        <v>692</v>
      </c>
      <c r="I1836" s="55" t="n">
        <v>699.6799999999999</v>
      </c>
      <c r="J1836" s="55" t="n">
        <v>0</v>
      </c>
      <c r="K1836" s="55" t="n">
        <v>4.9</v>
      </c>
      <c r="L1836" s="55" t="n">
        <v>704.58</v>
      </c>
      <c r="M1836" s="55" t="n">
        <v>12.58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125241</t>
        </is>
      </c>
      <c r="B1837" s="52" t="n">
        <v>46020</v>
      </c>
      <c r="C1837" s="36" t="inlineStr">
        <is>
          <t>24208091112</t>
        </is>
      </c>
      <c r="D1837" s="53" t="inlineStr">
        <is>
          <t>XIIDRA 5 % OPHTHALMIC SOLUTION</t>
        </is>
      </c>
      <c r="E1837" s="36" t="n">
        <v>60</v>
      </c>
      <c r="F1837" s="54" t="n">
        <v>60</v>
      </c>
      <c r="G1837" s="54" t="n">
        <v>1</v>
      </c>
      <c r="H1837" s="55" t="n">
        <v>692</v>
      </c>
      <c r="I1837" s="55" t="n">
        <v>699.8099999999999</v>
      </c>
      <c r="J1837" s="55" t="n">
        <v>0</v>
      </c>
      <c r="K1837" s="55" t="n">
        <v>0</v>
      </c>
      <c r="L1837" s="55" t="n">
        <v>699.8099999999999</v>
      </c>
      <c r="M1837" s="55" t="n">
        <v>7.81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139455</t>
        </is>
      </c>
      <c r="B1838" s="52" t="n">
        <v>46038</v>
      </c>
      <c r="C1838" s="36" t="inlineStr">
        <is>
          <t>24208091112</t>
        </is>
      </c>
      <c r="D1838" s="53" t="inlineStr">
        <is>
          <t>XIIDRA 5 % OPHTHALMIC SOLUTION</t>
        </is>
      </c>
      <c r="E1838" s="36" t="n">
        <v>60</v>
      </c>
      <c r="F1838" s="54" t="n">
        <v>60</v>
      </c>
      <c r="G1838" s="54" t="n">
        <v>1</v>
      </c>
      <c r="H1838" s="55" t="n">
        <v>692</v>
      </c>
      <c r="I1838" s="55" t="n">
        <v>702.3</v>
      </c>
      <c r="J1838" s="55" t="n">
        <v>0</v>
      </c>
      <c r="K1838" s="55" t="n">
        <v>0</v>
      </c>
      <c r="L1838" s="55" t="n">
        <v>702.3</v>
      </c>
      <c r="M1838" s="55" t="n">
        <v>10.3</v>
      </c>
      <c r="N1838" s="36" t="inlineStr">
        <is>
          <t>015574</t>
        </is>
      </c>
      <c r="O1838" s="36" t="inlineStr">
        <is>
          <t>MEDIMP</t>
        </is>
      </c>
      <c r="P1838" s="36" t="inlineStr">
        <is>
          <t>ASPROD1</t>
        </is>
      </c>
      <c r="Q1838" s="36" t="inlineStr">
        <is>
          <t>VNS01</t>
        </is>
      </c>
    </row>
    <row r="1839">
      <c r="A1839" s="36" t="inlineStr">
        <is>
          <t>115776</t>
        </is>
      </c>
      <c r="B1839" s="52" t="n">
        <v>46029</v>
      </c>
      <c r="C1839" s="36" t="inlineStr">
        <is>
          <t>24208091112</t>
        </is>
      </c>
      <c r="D1839" s="53" t="inlineStr">
        <is>
          <t>XIIDRA 5 % OPHTHALMIC SOLUTION</t>
        </is>
      </c>
      <c r="E1839" s="36" t="n">
        <v>60</v>
      </c>
      <c r="F1839" s="54" t="n">
        <v>180</v>
      </c>
      <c r="G1839" s="54" t="n">
        <v>3</v>
      </c>
      <c r="H1839" s="55" t="n">
        <v>2076</v>
      </c>
      <c r="I1839" s="55" t="n">
        <v>2074.55</v>
      </c>
      <c r="J1839" s="55" t="n">
        <v>0</v>
      </c>
      <c r="K1839" s="55" t="n">
        <v>4.9</v>
      </c>
      <c r="L1839" s="55" t="n">
        <v>2079.45</v>
      </c>
      <c r="M1839" s="55" t="n">
        <v>3.45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142493</t>
        </is>
      </c>
      <c r="B1840" s="52" t="n">
        <v>46063</v>
      </c>
      <c r="C1840" s="36" t="inlineStr">
        <is>
          <t>24208091112</t>
        </is>
      </c>
      <c r="D1840" s="53" t="inlineStr">
        <is>
          <t>XIIDRA 5 % OPHTHALMIC SOLUTION</t>
        </is>
      </c>
      <c r="E1840" s="36" t="n">
        <v>60</v>
      </c>
      <c r="F1840" s="54" t="n">
        <v>60</v>
      </c>
      <c r="G1840" s="54" t="n">
        <v>1</v>
      </c>
      <c r="H1840" s="55" t="n">
        <v>720</v>
      </c>
      <c r="I1840" s="55" t="n">
        <v>699.6799999999999</v>
      </c>
      <c r="J1840" s="55" t="n">
        <v>0</v>
      </c>
      <c r="K1840" s="55" t="n">
        <v>4.9</v>
      </c>
      <c r="L1840" s="55" t="n">
        <v>704.58</v>
      </c>
      <c r="M1840" s="55" t="n">
        <v>-15.42</v>
      </c>
      <c r="N1840" s="36" t="inlineStr">
        <is>
          <t>004336</t>
        </is>
      </c>
      <c r="O1840" s="36" t="inlineStr">
        <is>
          <t>CAREMARK</t>
        </is>
      </c>
      <c r="P1840" s="36" t="inlineStr">
        <is>
          <t>MEDDADV</t>
        </is>
      </c>
      <c r="Q1840" s="36" t="inlineStr">
        <is>
          <t>RX1110</t>
        </is>
      </c>
    </row>
    <row r="1841">
      <c r="A1841" s="36" t="inlineStr">
        <is>
          <t>125241</t>
        </is>
      </c>
      <c r="B1841" s="52" t="n">
        <v>46076</v>
      </c>
      <c r="C1841" s="36" t="inlineStr">
        <is>
          <t>24208091112</t>
        </is>
      </c>
      <c r="D1841" s="53" t="inlineStr">
        <is>
          <t>XIIDRA 5 % OPHTHALMIC SOLUTION</t>
        </is>
      </c>
      <c r="E1841" s="36" t="n">
        <v>60</v>
      </c>
      <c r="F1841" s="54" t="n">
        <v>60</v>
      </c>
      <c r="G1841" s="54" t="n">
        <v>1</v>
      </c>
      <c r="H1841" s="55" t="n">
        <v>720</v>
      </c>
      <c r="I1841" s="55" t="n">
        <v>720.5</v>
      </c>
      <c r="J1841" s="55" t="n">
        <v>0</v>
      </c>
      <c r="K1841" s="55" t="n">
        <v>0</v>
      </c>
      <c r="L1841" s="55" t="n">
        <v>720.5</v>
      </c>
      <c r="M1841" s="55" t="n">
        <v>0.5</v>
      </c>
      <c r="N1841" s="36" t="inlineStr">
        <is>
          <t>004740</t>
        </is>
      </c>
      <c r="O1841" s="36" t="inlineStr">
        <is>
          <t>NYM</t>
        </is>
      </c>
      <c r="P1841" s="36" t="inlineStr">
        <is>
          <t>9314DA31</t>
        </is>
      </c>
      <c r="Q1841" s="36" t="n">
        <v/>
      </c>
    </row>
    <row r="1842">
      <c r="A1842" s="36" t="inlineStr">
        <is>
          <t>115659</t>
        </is>
      </c>
      <c r="B1842" s="52" t="n">
        <v>46076</v>
      </c>
      <c r="C1842" s="36" t="inlineStr">
        <is>
          <t>24208091112</t>
        </is>
      </c>
      <c r="D1842" s="53" t="inlineStr">
        <is>
          <t>XIIDRA 5 % OPHTHALMIC SOLUTION</t>
        </is>
      </c>
      <c r="E1842" s="36" t="n">
        <v>60</v>
      </c>
      <c r="F1842" s="54" t="n">
        <v>60</v>
      </c>
      <c r="G1842" s="54" t="n">
        <v>1</v>
      </c>
      <c r="H1842" s="55" t="n">
        <v>720</v>
      </c>
      <c r="I1842" s="55" t="n">
        <v>468.45</v>
      </c>
      <c r="J1842" s="55" t="n">
        <v>0</v>
      </c>
      <c r="K1842" s="55" t="n">
        <v>35</v>
      </c>
      <c r="L1842" s="55" t="n">
        <v>503.45</v>
      </c>
      <c r="M1842" s="55" t="n">
        <v>-216.55</v>
      </c>
      <c r="N1842" s="36" t="inlineStr">
        <is>
          <t>610014</t>
        </is>
      </c>
      <c r="O1842" s="36" t="inlineStr">
        <is>
          <t>EXPRESS</t>
        </is>
      </c>
      <c r="P1842" s="36" t="n">
        <v/>
      </c>
      <c r="Q1842" s="36" t="inlineStr">
        <is>
          <t>SSEU371</t>
        </is>
      </c>
    </row>
    <row r="1843">
      <c r="A1843" s="36" t="inlineStr">
        <is>
          <t>115684</t>
        </is>
      </c>
      <c r="B1843" s="52" t="n">
        <v>46029</v>
      </c>
      <c r="C1843" s="36" t="inlineStr">
        <is>
          <t>24208091112</t>
        </is>
      </c>
      <c r="D1843" s="53" t="inlineStr">
        <is>
          <t>XIIDRA 5 % OPHTHALMIC SOLUTION</t>
        </is>
      </c>
      <c r="E1843" s="36" t="n">
        <v>60</v>
      </c>
      <c r="F1843" s="54" t="n">
        <v>180</v>
      </c>
      <c r="G1843" s="54" t="n">
        <v>3</v>
      </c>
      <c r="H1843" s="55" t="n">
        <v>2076</v>
      </c>
      <c r="I1843" s="55" t="n">
        <v>2079.07</v>
      </c>
      <c r="J1843" s="55" t="n">
        <v>0</v>
      </c>
      <c r="K1843" s="55" t="n">
        <v>0</v>
      </c>
      <c r="L1843" s="55" t="n">
        <v>2079.07</v>
      </c>
      <c r="M1843" s="55" t="n">
        <v>3.07</v>
      </c>
      <c r="N1843" s="36" t="inlineStr">
        <is>
          <t>004740</t>
        </is>
      </c>
      <c r="O1843" s="36" t="inlineStr">
        <is>
          <t>NYM</t>
        </is>
      </c>
      <c r="P1843" s="36" t="inlineStr">
        <is>
          <t>9314DA31</t>
        </is>
      </c>
      <c r="Q1843" s="36" t="n">
        <v/>
      </c>
    </row>
    <row r="1844">
      <c r="A1844" s="36" t="inlineStr">
        <is>
          <t>139777</t>
        </is>
      </c>
      <c r="B1844" s="52" t="n">
        <v>46042</v>
      </c>
      <c r="C1844" s="36" t="inlineStr">
        <is>
          <t>24208091112</t>
        </is>
      </c>
      <c r="D1844" s="53" t="inlineStr">
        <is>
          <t>XIIDRA 5 % OPHTHALMIC SOLUTION</t>
        </is>
      </c>
      <c r="E1844" s="36" t="n">
        <v>60</v>
      </c>
      <c r="F1844" s="54" t="n">
        <v>180</v>
      </c>
      <c r="G1844" s="54" t="n">
        <v>3</v>
      </c>
      <c r="H1844" s="55" t="n">
        <v>2076</v>
      </c>
      <c r="I1844" s="55" t="n">
        <v>2079.45</v>
      </c>
      <c r="J1844" s="55" t="n">
        <v>0</v>
      </c>
      <c r="K1844" s="55" t="n">
        <v>0</v>
      </c>
      <c r="L1844" s="55" t="n">
        <v>2079.45</v>
      </c>
      <c r="M1844" s="55" t="n">
        <v>3.45</v>
      </c>
      <c r="N1844" s="36" t="inlineStr">
        <is>
          <t>004336</t>
        </is>
      </c>
      <c r="O1844" s="36" t="inlineStr">
        <is>
          <t>CAREMARK</t>
        </is>
      </c>
      <c r="P1844" s="36" t="inlineStr">
        <is>
          <t>MEDDADV</t>
        </is>
      </c>
      <c r="Q1844" s="36" t="inlineStr">
        <is>
          <t>RX1110</t>
        </is>
      </c>
    </row>
    <row r="1845">
      <c r="A1845" s="36" t="inlineStr">
        <is>
          <t>122877</t>
        </is>
      </c>
      <c r="B1845" s="52" t="n">
        <v>46024</v>
      </c>
      <c r="C1845" s="36" t="inlineStr">
        <is>
          <t>24208091112</t>
        </is>
      </c>
      <c r="D1845" s="53" t="inlineStr">
        <is>
          <t>XIIDRA 5 % OPHTHALMIC SOLUTION</t>
        </is>
      </c>
      <c r="E1845" s="36" t="n">
        <v>60</v>
      </c>
      <c r="F1845" s="54" t="n">
        <v>60</v>
      </c>
      <c r="G1845" s="54" t="n">
        <v>1</v>
      </c>
      <c r="H1845" s="55" t="n">
        <v>692</v>
      </c>
      <c r="I1845" s="55" t="n">
        <v>691.1799999999999</v>
      </c>
      <c r="J1845" s="55" t="n">
        <v>0</v>
      </c>
      <c r="K1845" s="55" t="n">
        <v>33</v>
      </c>
      <c r="L1845" s="55" t="n">
        <v>724.1799999999999</v>
      </c>
      <c r="M1845" s="55" t="n">
        <v>32.18</v>
      </c>
      <c r="N1845" s="36" t="inlineStr">
        <is>
          <t>610011</t>
        </is>
      </c>
      <c r="O1845" s="36" t="inlineStr">
        <is>
          <t>OPTUM</t>
        </is>
      </c>
      <c r="P1845" s="36" t="inlineStr">
        <is>
          <t>CTRXMEDD</t>
        </is>
      </c>
      <c r="Q1845" s="36" t="inlineStr">
        <is>
          <t>EGWPS062</t>
        </is>
      </c>
    </row>
    <row r="1846">
      <c r="A1846" s="36" t="inlineStr">
        <is>
          <t>139455</t>
        </is>
      </c>
      <c r="B1846" s="52" t="n">
        <v>46065</v>
      </c>
      <c r="C1846" s="36" t="inlineStr">
        <is>
          <t>24208091112</t>
        </is>
      </c>
      <c r="D1846" s="53" t="inlineStr">
        <is>
          <t>XIIDRA 5 % OPHTHALMIC SOLUTION</t>
        </is>
      </c>
      <c r="E1846" s="36" t="n">
        <v>60</v>
      </c>
      <c r="F1846" s="54" t="n">
        <v>60</v>
      </c>
      <c r="G1846" s="54" t="n">
        <v>1</v>
      </c>
      <c r="H1846" s="55" t="n">
        <v>720</v>
      </c>
      <c r="I1846" s="55" t="n">
        <v>702.3</v>
      </c>
      <c r="J1846" s="55" t="n">
        <v>0</v>
      </c>
      <c r="K1846" s="55" t="n">
        <v>0</v>
      </c>
      <c r="L1846" s="55" t="n">
        <v>702.3</v>
      </c>
      <c r="M1846" s="55" t="n">
        <v>-17.7</v>
      </c>
      <c r="N1846" s="36" t="inlineStr">
        <is>
          <t>015574</t>
        </is>
      </c>
      <c r="O1846" s="36" t="inlineStr">
        <is>
          <t>MEDIMP</t>
        </is>
      </c>
      <c r="P1846" s="36" t="inlineStr">
        <is>
          <t>ASPROD1</t>
        </is>
      </c>
      <c r="Q1846" s="36" t="inlineStr">
        <is>
          <t>VNS01</t>
        </is>
      </c>
    </row>
    <row r="1847">
      <c r="A1847" s="36" t="inlineStr">
        <is>
          <t>122800</t>
        </is>
      </c>
      <c r="B1847" s="52" t="n">
        <v>45994</v>
      </c>
      <c r="C1847" s="36" t="inlineStr">
        <is>
          <t>24208091112</t>
        </is>
      </c>
      <c r="D1847" s="53" t="inlineStr">
        <is>
          <t>XIIDRA 5 % OPHTHALMIC SOLUTION</t>
        </is>
      </c>
      <c r="E1847" s="36" t="n">
        <v>60</v>
      </c>
      <c r="F1847" s="54" t="n">
        <v>60</v>
      </c>
      <c r="G1847" s="54" t="n">
        <v>1</v>
      </c>
      <c r="H1847" s="55" t="n">
        <v>692</v>
      </c>
      <c r="I1847" s="55" t="n">
        <v>699.74</v>
      </c>
      <c r="J1847" s="55" t="n">
        <v>0</v>
      </c>
      <c r="K1847" s="55" t="n">
        <v>0</v>
      </c>
      <c r="L1847" s="55" t="n">
        <v>699.74</v>
      </c>
      <c r="M1847" s="55" t="n">
        <v>7.74</v>
      </c>
      <c r="N1847" s="36" t="inlineStr">
        <is>
          <t>004740</t>
        </is>
      </c>
      <c r="O1847" s="36" t="inlineStr">
        <is>
          <t>NYM</t>
        </is>
      </c>
      <c r="P1847" s="36" t="inlineStr">
        <is>
          <t>9314DA31</t>
        </is>
      </c>
      <c r="Q1847" s="36" t="n">
        <v/>
      </c>
    </row>
    <row r="1848">
      <c r="A1848" s="36" t="inlineStr">
        <is>
          <t>122683</t>
        </is>
      </c>
      <c r="B1848" s="52" t="n">
        <v>45999</v>
      </c>
      <c r="C1848" s="36" t="inlineStr">
        <is>
          <t>24208091112</t>
        </is>
      </c>
      <c r="D1848" s="53" t="inlineStr">
        <is>
          <t>XIIDRA 5 % OPHTHALMIC SOLUTION</t>
        </is>
      </c>
      <c r="E1848" s="36" t="n">
        <v>60</v>
      </c>
      <c r="F1848" s="54" t="n">
        <v>180</v>
      </c>
      <c r="G1848" s="54" t="n">
        <v>3</v>
      </c>
      <c r="H1848" s="55" t="n">
        <v>2076</v>
      </c>
      <c r="I1848" s="55" t="n">
        <v>2005.95</v>
      </c>
      <c r="J1848" s="55" t="n">
        <v>0</v>
      </c>
      <c r="K1848" s="55" t="n">
        <v>0</v>
      </c>
      <c r="L1848" s="55" t="n">
        <v>2005.95</v>
      </c>
      <c r="M1848" s="55" t="n">
        <v>-70.05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129434</t>
        </is>
      </c>
      <c r="B1849" s="52" t="n">
        <v>46017</v>
      </c>
      <c r="C1849" s="36" t="inlineStr">
        <is>
          <t>24208091112</t>
        </is>
      </c>
      <c r="D1849" s="53" t="inlineStr">
        <is>
          <t>XIIDRA 5 % OPHTHALMIC SOLUTION</t>
        </is>
      </c>
      <c r="E1849" s="36" t="n">
        <v>60</v>
      </c>
      <c r="F1849" s="54" t="n">
        <v>60</v>
      </c>
      <c r="G1849" s="54" t="n">
        <v>1</v>
      </c>
      <c r="H1849" s="55" t="n">
        <v>692</v>
      </c>
      <c r="I1849" s="55" t="n">
        <v>690.05</v>
      </c>
      <c r="J1849" s="55" t="n">
        <v>0</v>
      </c>
      <c r="K1849" s="55" t="n">
        <v>0</v>
      </c>
      <c r="L1849" s="55" t="n">
        <v>690.05</v>
      </c>
      <c r="M1849" s="55" t="n">
        <v>-1.95</v>
      </c>
      <c r="N1849" s="36" t="inlineStr">
        <is>
          <t>004336</t>
        </is>
      </c>
      <c r="O1849" s="36" t="inlineStr">
        <is>
          <t>CAREMARK</t>
        </is>
      </c>
      <c r="P1849" s="36" t="inlineStr">
        <is>
          <t>MEDDADV</t>
        </is>
      </c>
      <c r="Q1849" s="36" t="inlineStr">
        <is>
          <t>RXCVSD</t>
        </is>
      </c>
    </row>
    <row r="1850">
      <c r="A1850" s="36" t="inlineStr">
        <is>
          <t>103369</t>
        </is>
      </c>
      <c r="B1850" s="52" t="n">
        <v>46017</v>
      </c>
      <c r="C1850" s="36" t="inlineStr">
        <is>
          <t>24208091112</t>
        </is>
      </c>
      <c r="D1850" s="53" t="inlineStr">
        <is>
          <t>XIIDRA 5 % OPHTHALMIC SOLUTION</t>
        </is>
      </c>
      <c r="E1850" s="36" t="n">
        <v>60</v>
      </c>
      <c r="F1850" s="54" t="n">
        <v>180</v>
      </c>
      <c r="G1850" s="54" t="n">
        <v>3</v>
      </c>
      <c r="H1850" s="55" t="n">
        <v>2076</v>
      </c>
      <c r="I1850" s="55" t="n">
        <v>2005.95</v>
      </c>
      <c r="J1850" s="55" t="n">
        <v>0</v>
      </c>
      <c r="K1850" s="55" t="n">
        <v>0</v>
      </c>
      <c r="L1850" s="55" t="n">
        <v>2005.95</v>
      </c>
      <c r="M1850" s="55" t="n">
        <v>-70.05</v>
      </c>
      <c r="N1850" s="36" t="inlineStr">
        <is>
          <t>004336</t>
        </is>
      </c>
      <c r="O1850" s="36" t="inlineStr">
        <is>
          <t>CAREMARK</t>
        </is>
      </c>
      <c r="P1850" s="36" t="inlineStr">
        <is>
          <t>MEDDADV</t>
        </is>
      </c>
      <c r="Q1850" s="36" t="inlineStr">
        <is>
          <t>RX1110</t>
        </is>
      </c>
    </row>
    <row r="1851">
      <c r="A1851" s="36" t="inlineStr">
        <is>
          <t>129642</t>
        </is>
      </c>
      <c r="B1851" s="52" t="n">
        <v>46050</v>
      </c>
      <c r="C1851" s="36" t="inlineStr">
        <is>
          <t>00169291115</t>
        </is>
      </c>
      <c r="D1851" s="53" t="inlineStr">
        <is>
          <t>XULTOPHY 100-3.6UNIT INJECTION</t>
        </is>
      </c>
      <c r="E1851" s="36" t="n">
        <v>15</v>
      </c>
      <c r="F1851" s="54" t="n">
        <v>30</v>
      </c>
      <c r="G1851" s="54" t="n">
        <v>2</v>
      </c>
      <c r="H1851" s="55" t="n">
        <v>2608</v>
      </c>
      <c r="I1851" s="55" t="n">
        <v>2505.21</v>
      </c>
      <c r="J1851" s="55" t="n">
        <v>0</v>
      </c>
      <c r="K1851" s="55" t="n">
        <v>4.9</v>
      </c>
      <c r="L1851" s="55" t="n">
        <v>2510.11</v>
      </c>
      <c r="M1851" s="55" t="n">
        <v>-97.89</v>
      </c>
      <c r="N1851" s="36" t="inlineStr">
        <is>
          <t>004336</t>
        </is>
      </c>
      <c r="O1851" s="36" t="inlineStr">
        <is>
          <t>CAREMARK</t>
        </is>
      </c>
      <c r="P1851" s="36" t="inlineStr">
        <is>
          <t>MEDDADV</t>
        </is>
      </c>
      <c r="Q1851" s="36" t="inlineStr">
        <is>
          <t>RX1110</t>
        </is>
      </c>
    </row>
    <row r="1852">
      <c r="A1852" s="36" t="inlineStr">
        <is>
          <t>129888</t>
        </is>
      </c>
      <c r="B1852" s="52" t="n">
        <v>46048</v>
      </c>
      <c r="C1852" s="36" t="inlineStr">
        <is>
          <t>65162035803</t>
        </is>
      </c>
      <c r="D1852" s="53" t="inlineStr">
        <is>
          <t>ZAFEMY 150-35 MCG/24HR TRANSDERMAL PATCH WEEKLY</t>
        </is>
      </c>
      <c r="E1852" s="36" t="n">
        <v>3</v>
      </c>
      <c r="F1852" s="54" t="n">
        <v>3</v>
      </c>
      <c r="G1852" s="54" t="n">
        <v>1</v>
      </c>
      <c r="H1852" s="55" t="n">
        <v>71</v>
      </c>
      <c r="I1852" s="55" t="n">
        <v>104.53</v>
      </c>
      <c r="J1852" s="55" t="n">
        <v>0</v>
      </c>
      <c r="K1852" s="55" t="n">
        <v>0</v>
      </c>
      <c r="L1852" s="55" t="n">
        <v>104.53</v>
      </c>
      <c r="M1852" s="55" t="n">
        <v>33.53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129888</t>
        </is>
      </c>
      <c r="B1853" s="52" t="n">
        <v>46020</v>
      </c>
      <c r="C1853" s="36" t="inlineStr">
        <is>
          <t>65162035803</t>
        </is>
      </c>
      <c r="D1853" s="53" t="inlineStr">
        <is>
          <t>ZAFEMY 150-35 MCG/24HR TRANSDERMAL PATCH WEEKLY</t>
        </is>
      </c>
      <c r="E1853" s="36" t="n">
        <v>3</v>
      </c>
      <c r="F1853" s="54" t="n">
        <v>3</v>
      </c>
      <c r="G1853" s="54" t="n">
        <v>1</v>
      </c>
      <c r="H1853" s="55" t="n">
        <v>71</v>
      </c>
      <c r="I1853" s="55" t="n">
        <v>104.53</v>
      </c>
      <c r="J1853" s="55" t="n">
        <v>0</v>
      </c>
      <c r="K1853" s="55" t="n">
        <v>0</v>
      </c>
      <c r="L1853" s="55" t="n">
        <v>104.53</v>
      </c>
      <c r="M1853" s="55" t="n">
        <v>33.53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129888</t>
        </is>
      </c>
      <c r="B1854" s="52" t="n">
        <v>46073</v>
      </c>
      <c r="C1854" s="36" t="inlineStr">
        <is>
          <t>65162035803</t>
        </is>
      </c>
      <c r="D1854" s="53" t="inlineStr">
        <is>
          <t>ZAFEMY 150-35 MCG/24HR TRANSDERMAL PATCH WEEKLY</t>
        </is>
      </c>
      <c r="E1854" s="36" t="n">
        <v>3</v>
      </c>
      <c r="F1854" s="54" t="n">
        <v>3</v>
      </c>
      <c r="G1854" s="54" t="n">
        <v>1</v>
      </c>
      <c r="H1854" s="55" t="n">
        <v>71</v>
      </c>
      <c r="I1854" s="55" t="n">
        <v>105.46</v>
      </c>
      <c r="J1854" s="55" t="n">
        <v>0</v>
      </c>
      <c r="K1854" s="55" t="n">
        <v>0</v>
      </c>
      <c r="L1854" s="55" t="n">
        <v>105.46</v>
      </c>
      <c r="M1854" s="55" t="n">
        <v>34.46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135317</t>
        </is>
      </c>
      <c r="B1855" s="52" t="n">
        <v>46007</v>
      </c>
      <c r="C1855" s="36" t="inlineStr">
        <is>
          <t>73562011401</t>
        </is>
      </c>
      <c r="D1855" s="53" t="inlineStr">
        <is>
          <t>ZENPEP 40000-126000U CAPSULE DR</t>
        </is>
      </c>
      <c r="E1855" s="36" t="n">
        <v>100</v>
      </c>
      <c r="F1855" s="54" t="n">
        <v>90</v>
      </c>
      <c r="G1855" s="54" t="n">
        <v>0.9</v>
      </c>
      <c r="H1855" s="55" t="n">
        <v>1471.5</v>
      </c>
      <c r="I1855" s="55" t="n">
        <v>1382.46</v>
      </c>
      <c r="J1855" s="55" t="n">
        <v>0</v>
      </c>
      <c r="K1855" s="55" t="n">
        <v>0</v>
      </c>
      <c r="L1855" s="55" t="n">
        <v>1382.46</v>
      </c>
      <c r="M1855" s="55" t="n">
        <v>-89.04000000000001</v>
      </c>
      <c r="N1855" s="36" t="inlineStr">
        <is>
          <t>004336</t>
        </is>
      </c>
      <c r="O1855" s="36" t="inlineStr">
        <is>
          <t>CAREMARK</t>
        </is>
      </c>
      <c r="P1855" s="36" t="inlineStr">
        <is>
          <t>MEDDADV</t>
        </is>
      </c>
      <c r="Q1855" s="36" t="inlineStr">
        <is>
          <t>RX1110</t>
        </is>
      </c>
    </row>
    <row r="1856">
      <c r="A1856" s="36" t="inlineStr">
        <is>
          <t>139158</t>
        </is>
      </c>
      <c r="B1856" s="52" t="n">
        <v>46037</v>
      </c>
      <c r="C1856" s="36" t="inlineStr">
        <is>
          <t>73562011401</t>
        </is>
      </c>
      <c r="D1856" s="53" t="inlineStr">
        <is>
          <t>ZENPEP 40000-126000U CAPSULE DR</t>
        </is>
      </c>
      <c r="E1856" s="36" t="n">
        <v>100</v>
      </c>
      <c r="F1856" s="54" t="n">
        <v>270</v>
      </c>
      <c r="G1856" s="54" t="n">
        <v>2.7</v>
      </c>
      <c r="H1856" s="55" t="n">
        <v>4414.5</v>
      </c>
      <c r="I1856" s="55" t="n">
        <v>4275.84</v>
      </c>
      <c r="J1856" s="55" t="n">
        <v>0</v>
      </c>
      <c r="K1856" s="55" t="n">
        <v>4.9</v>
      </c>
      <c r="L1856" s="55" t="n">
        <v>4280.74</v>
      </c>
      <c r="M1856" s="55" t="n">
        <v>-133.76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136437</t>
        </is>
      </c>
      <c r="B1857" s="52" t="n">
        <v>46015</v>
      </c>
      <c r="C1857" s="36" t="inlineStr">
        <is>
          <t>00002247180</t>
        </is>
      </c>
      <c r="D1857" s="53" t="inlineStr">
        <is>
          <t>ZEPBOUND 10 MG/0.5ML AUTO-INJECTOR</t>
        </is>
      </c>
      <c r="E1857" s="36" t="n">
        <v>2</v>
      </c>
      <c r="F1857" s="54" t="n">
        <v>2</v>
      </c>
      <c r="G1857" s="54" t="n">
        <v>1</v>
      </c>
      <c r="H1857" s="55" t="n">
        <v>1046</v>
      </c>
      <c r="I1857" s="55" t="n">
        <v>1025.18</v>
      </c>
      <c r="J1857" s="55" t="n">
        <v>0</v>
      </c>
      <c r="K1857" s="55" t="n">
        <v>25</v>
      </c>
      <c r="L1857" s="55" t="n">
        <v>1050.18</v>
      </c>
      <c r="M1857" s="55" t="n">
        <v>4.18</v>
      </c>
      <c r="N1857" s="36" t="inlineStr">
        <is>
          <t>610494</t>
        </is>
      </c>
      <c r="O1857" s="36" t="inlineStr">
        <is>
          <t>OPTUM</t>
        </is>
      </c>
      <c r="P1857" s="36" t="inlineStr">
        <is>
          <t>9999</t>
        </is>
      </c>
      <c r="Q1857" s="36" t="inlineStr">
        <is>
          <t>CURX</t>
        </is>
      </c>
    </row>
    <row r="1858">
      <c r="A1858" s="36" t="inlineStr">
        <is>
          <t>143953</t>
        </is>
      </c>
      <c r="B1858" s="52" t="n">
        <v>46072</v>
      </c>
      <c r="C1858" s="36" t="inlineStr">
        <is>
          <t>00002247180</t>
        </is>
      </c>
      <c r="D1858" s="53" t="inlineStr">
        <is>
          <t>ZEPBOUND 10 MG/0.5ML AUTO-INJECTOR</t>
        </is>
      </c>
      <c r="E1858" s="36" t="n">
        <v>2</v>
      </c>
      <c r="F1858" s="54" t="n">
        <v>2</v>
      </c>
      <c r="G1858" s="54" t="n">
        <v>1</v>
      </c>
      <c r="H1858" s="55" t="n">
        <v>1056</v>
      </c>
      <c r="I1858" s="55" t="n">
        <v>1025.18</v>
      </c>
      <c r="J1858" s="55" t="n">
        <v>0</v>
      </c>
      <c r="K1858" s="55" t="n">
        <v>25</v>
      </c>
      <c r="L1858" s="55" t="n">
        <v>1050.18</v>
      </c>
      <c r="M1858" s="55" t="n">
        <v>-5.82</v>
      </c>
      <c r="N1858" s="36" t="inlineStr">
        <is>
          <t>610494</t>
        </is>
      </c>
      <c r="O1858" s="36" t="inlineStr">
        <is>
          <t>OPTUM</t>
        </is>
      </c>
      <c r="P1858" s="36" t="inlineStr">
        <is>
          <t>9999</t>
        </is>
      </c>
      <c r="Q1858" s="36" t="inlineStr">
        <is>
          <t>CURX</t>
        </is>
      </c>
    </row>
    <row r="1859">
      <c r="A1859" s="36" t="inlineStr">
        <is>
          <t>119135</t>
        </is>
      </c>
      <c r="B1859" s="52" t="n">
        <v>45995</v>
      </c>
      <c r="C1859" s="36" t="inlineStr">
        <is>
          <t>00002247180</t>
        </is>
      </c>
      <c r="D1859" s="53" t="inlineStr">
        <is>
          <t>ZEPBOUND 10 MG/0.5ML AUTO-INJECTOR</t>
        </is>
      </c>
      <c r="E1859" s="36" t="n">
        <v>2</v>
      </c>
      <c r="F1859" s="54" t="n">
        <v>2</v>
      </c>
      <c r="G1859" s="54" t="n">
        <v>1</v>
      </c>
      <c r="H1859" s="55" t="n">
        <v>1046</v>
      </c>
      <c r="I1859" s="55" t="n">
        <v>863.95</v>
      </c>
      <c r="J1859" s="55" t="n">
        <v>0</v>
      </c>
      <c r="K1859" s="55" t="n">
        <v>24.99</v>
      </c>
      <c r="L1859" s="55" t="n">
        <v>888.9400000000001</v>
      </c>
      <c r="M1859" s="55" t="n">
        <v>-157.06</v>
      </c>
      <c r="N1859" s="36" t="inlineStr">
        <is>
          <t>610279</t>
        </is>
      </c>
      <c r="O1859" s="36" t="inlineStr">
        <is>
          <t>OPTUM</t>
        </is>
      </c>
      <c r="P1859" s="36" t="inlineStr">
        <is>
          <t>9999</t>
        </is>
      </c>
      <c r="Q1859" s="36" t="inlineStr">
        <is>
          <t>UNITEDRX</t>
        </is>
      </c>
    </row>
    <row r="1860">
      <c r="A1860" s="36" t="inlineStr">
        <is>
          <t>138620</t>
        </is>
      </c>
      <c r="B1860" s="52" t="n">
        <v>46034</v>
      </c>
      <c r="C1860" s="36" t="inlineStr">
        <is>
          <t>00002247180</t>
        </is>
      </c>
      <c r="D1860" s="53" t="inlineStr">
        <is>
          <t>ZEPBOUND 10 MG/0.5ML AUTO-INJECTOR</t>
        </is>
      </c>
      <c r="E1860" s="36" t="n">
        <v>2</v>
      </c>
      <c r="F1860" s="54" t="n">
        <v>2</v>
      </c>
      <c r="G1860" s="54" t="n">
        <v>1</v>
      </c>
      <c r="H1860" s="55" t="n">
        <v>1048</v>
      </c>
      <c r="I1860" s="55" t="n">
        <v>959.53</v>
      </c>
      <c r="J1860" s="55" t="n">
        <v>0</v>
      </c>
      <c r="K1860" s="55" t="n">
        <v>24.99</v>
      </c>
      <c r="L1860" s="55" t="n">
        <v>984.52</v>
      </c>
      <c r="M1860" s="55" t="n">
        <v>-63.48</v>
      </c>
      <c r="N1860" s="36" t="inlineStr">
        <is>
          <t>610279</t>
        </is>
      </c>
      <c r="O1860" s="36" t="inlineStr">
        <is>
          <t>OPTUM</t>
        </is>
      </c>
      <c r="P1860" s="36" t="inlineStr">
        <is>
          <t>9999</t>
        </is>
      </c>
      <c r="Q1860" s="36" t="inlineStr">
        <is>
          <t>UNITEDRX</t>
        </is>
      </c>
    </row>
    <row r="1861">
      <c r="A1861" s="36" t="inlineStr">
        <is>
          <t>139927</t>
        </is>
      </c>
      <c r="B1861" s="52" t="n">
        <v>46043</v>
      </c>
      <c r="C1861" s="36" t="inlineStr">
        <is>
          <t>00002247180</t>
        </is>
      </c>
      <c r="D1861" s="53" t="inlineStr">
        <is>
          <t>ZEPBOUND 10 MG/0.5ML AUTO-INJECTOR</t>
        </is>
      </c>
      <c r="E1861" s="36" t="n">
        <v>2</v>
      </c>
      <c r="F1861" s="54" t="n">
        <v>2</v>
      </c>
      <c r="G1861" s="54" t="n">
        <v>1</v>
      </c>
      <c r="H1861" s="55" t="n">
        <v>1048</v>
      </c>
      <c r="I1861" s="55" t="n">
        <v>1025.18</v>
      </c>
      <c r="J1861" s="55" t="n">
        <v>0</v>
      </c>
      <c r="K1861" s="55" t="n">
        <v>25</v>
      </c>
      <c r="L1861" s="55" t="n">
        <v>1050.18</v>
      </c>
      <c r="M1861" s="55" t="n">
        <v>2.18</v>
      </c>
      <c r="N1861" s="36" t="inlineStr">
        <is>
          <t>610494</t>
        </is>
      </c>
      <c r="O1861" s="36" t="inlineStr">
        <is>
          <t>OPTUM</t>
        </is>
      </c>
      <c r="P1861" s="36" t="inlineStr">
        <is>
          <t>9999</t>
        </is>
      </c>
      <c r="Q1861" s="36" t="inlineStr">
        <is>
          <t>CURX</t>
        </is>
      </c>
    </row>
    <row r="1862">
      <c r="A1862" s="36" t="inlineStr">
        <is>
          <t>141942</t>
        </is>
      </c>
      <c r="B1862" s="52" t="n">
        <v>46057</v>
      </c>
      <c r="C1862" s="36" t="inlineStr">
        <is>
          <t>00002246080</t>
        </is>
      </c>
      <c r="D1862" s="53" t="inlineStr">
        <is>
          <t>ZEPBOUND 12.5 MG/0.5ML AUTO-INJECTOR</t>
        </is>
      </c>
      <c r="E1862" s="36" t="n">
        <v>2</v>
      </c>
      <c r="F1862" s="54" t="n">
        <v>2</v>
      </c>
      <c r="G1862" s="54" t="n">
        <v>1</v>
      </c>
      <c r="H1862" s="55" t="n">
        <v>1056</v>
      </c>
      <c r="I1862" s="55" t="n">
        <v>959.53</v>
      </c>
      <c r="J1862" s="55" t="n">
        <v>0</v>
      </c>
      <c r="K1862" s="55" t="n">
        <v>24.99</v>
      </c>
      <c r="L1862" s="55" t="n">
        <v>984.52</v>
      </c>
      <c r="M1862" s="55" t="n">
        <v>-71.48</v>
      </c>
      <c r="N1862" s="36" t="inlineStr">
        <is>
          <t>610279</t>
        </is>
      </c>
      <c r="O1862" s="36" t="inlineStr">
        <is>
          <t>OPTUM</t>
        </is>
      </c>
      <c r="P1862" s="36" t="inlineStr">
        <is>
          <t>9999</t>
        </is>
      </c>
      <c r="Q1862" s="36" t="inlineStr">
        <is>
          <t>UNITEDRX</t>
        </is>
      </c>
    </row>
    <row r="1863">
      <c r="A1863" s="36" t="inlineStr">
        <is>
          <t>137672</t>
        </is>
      </c>
      <c r="B1863" s="52" t="n">
        <v>46027</v>
      </c>
      <c r="C1863" s="36" t="inlineStr">
        <is>
          <t>00002250680</t>
        </is>
      </c>
      <c r="D1863" s="53" t="inlineStr">
        <is>
          <t>ZEPBOUND 2.5 MG/0.5ML AUTO-INJECTOR</t>
        </is>
      </c>
      <c r="E1863" s="36" t="n">
        <v>2</v>
      </c>
      <c r="F1863" s="54" t="n">
        <v>2</v>
      </c>
      <c r="G1863" s="54" t="n">
        <v>1</v>
      </c>
      <c r="H1863" s="55" t="n">
        <v>1048</v>
      </c>
      <c r="I1863" s="55" t="n">
        <v>1027.23</v>
      </c>
      <c r="J1863" s="55" t="n">
        <v>0</v>
      </c>
      <c r="K1863" s="55" t="n">
        <v>21</v>
      </c>
      <c r="L1863" s="55" t="n">
        <v>1048.23</v>
      </c>
      <c r="M1863" s="55" t="n">
        <v>0.23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ADV</t>
        </is>
      </c>
      <c r="Q1863" s="36" t="inlineStr">
        <is>
          <t>RX0048</t>
        </is>
      </c>
    </row>
    <row r="1864">
      <c r="A1864" s="36" t="inlineStr">
        <is>
          <t>139325</t>
        </is>
      </c>
      <c r="B1864" s="52" t="n">
        <v>46037</v>
      </c>
      <c r="C1864" s="36" t="inlineStr">
        <is>
          <t>00002249580</t>
        </is>
      </c>
      <c r="D1864" s="53" t="inlineStr">
        <is>
          <t>ZEPBOUND 5 MG/0.5ML AUTO-INJECTOR</t>
        </is>
      </c>
      <c r="E1864" s="36" t="n">
        <v>2</v>
      </c>
      <c r="F1864" s="54" t="n">
        <v>2</v>
      </c>
      <c r="G1864" s="54" t="n">
        <v>1</v>
      </c>
      <c r="H1864" s="55" t="n">
        <v>1048</v>
      </c>
      <c r="I1864" s="55" t="n">
        <v>1027.23</v>
      </c>
      <c r="J1864" s="55" t="n">
        <v>0</v>
      </c>
      <c r="K1864" s="55" t="n">
        <v>21</v>
      </c>
      <c r="L1864" s="55" t="n">
        <v>1048.23</v>
      </c>
      <c r="M1864" s="55" t="n">
        <v>0.23</v>
      </c>
      <c r="N1864" s="36" t="inlineStr">
        <is>
          <t>004336</t>
        </is>
      </c>
      <c r="O1864" s="36" t="inlineStr">
        <is>
          <t>CAREMARK</t>
        </is>
      </c>
      <c r="P1864" s="36" t="inlineStr">
        <is>
          <t>ADV</t>
        </is>
      </c>
      <c r="Q1864" s="36" t="inlineStr">
        <is>
          <t>RX0048</t>
        </is>
      </c>
    </row>
    <row r="1865">
      <c r="A1865" s="36" t="inlineStr">
        <is>
          <t>141379</t>
        </is>
      </c>
      <c r="B1865" s="52" t="n">
        <v>46053</v>
      </c>
      <c r="C1865" s="36" t="inlineStr">
        <is>
          <t>00002248480</t>
        </is>
      </c>
      <c r="D1865" s="53" t="inlineStr">
        <is>
          <t>ZEPBOUND 7.5 MG/0.5ML AUTO-INJECTOR</t>
        </is>
      </c>
      <c r="E1865" s="36" t="n">
        <v>2</v>
      </c>
      <c r="F1865" s="54" t="n">
        <v>2</v>
      </c>
      <c r="G1865" s="54" t="n">
        <v>1</v>
      </c>
      <c r="H1865" s="55" t="n">
        <v>1046</v>
      </c>
      <c r="I1865" s="55" t="n">
        <v>1027.23</v>
      </c>
      <c r="J1865" s="55" t="n">
        <v>0</v>
      </c>
      <c r="K1865" s="55" t="n">
        <v>21</v>
      </c>
      <c r="L1865" s="55" t="n">
        <v>1048.23</v>
      </c>
      <c r="M1865" s="55" t="n">
        <v>2.23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ADV</t>
        </is>
      </c>
      <c r="Q1865" s="36" t="inlineStr">
        <is>
          <t>RX0048</t>
        </is>
      </c>
    </row>
    <row r="1866">
      <c r="A1866" s="36" t="inlineStr">
        <is>
          <t>133081</t>
        </is>
      </c>
      <c r="B1866" s="52" t="n">
        <v>45992</v>
      </c>
      <c r="C1866" s="36" t="inlineStr">
        <is>
          <t>00002248480</t>
        </is>
      </c>
      <c r="D1866" s="53" t="inlineStr">
        <is>
          <t>ZEPBOUND 7.5 MG/0.5ML AUTO-INJECTOR</t>
        </is>
      </c>
      <c r="E1866" s="36" t="n">
        <v>2</v>
      </c>
      <c r="F1866" s="54" t="n">
        <v>2</v>
      </c>
      <c r="G1866" s="54" t="n">
        <v>1</v>
      </c>
      <c r="H1866" s="55" t="n">
        <v>1046</v>
      </c>
      <c r="I1866" s="55" t="n">
        <v>1025.18</v>
      </c>
      <c r="J1866" s="55" t="n">
        <v>0</v>
      </c>
      <c r="K1866" s="55" t="n">
        <v>25</v>
      </c>
      <c r="L1866" s="55" t="n">
        <v>1050.18</v>
      </c>
      <c r="M1866" s="55" t="n">
        <v>4.18</v>
      </c>
      <c r="N1866" s="36" t="inlineStr">
        <is>
          <t>610494</t>
        </is>
      </c>
      <c r="O1866" s="36" t="inlineStr">
        <is>
          <t>OPTUM</t>
        </is>
      </c>
      <c r="P1866" s="36" t="inlineStr">
        <is>
          <t>9999</t>
        </is>
      </c>
      <c r="Q1866" s="36" t="inlineStr">
        <is>
          <t>CURX</t>
        </is>
      </c>
    </row>
    <row r="1867">
      <c r="A1867" s="36" t="inlineStr">
        <is>
          <t>110221</t>
        </is>
      </c>
      <c r="B1867" s="52" t="n">
        <v>45993</v>
      </c>
      <c r="C1867" s="36" t="inlineStr">
        <is>
          <t>80610013060</t>
        </is>
      </c>
      <c r="D1867" s="53" t="inlineStr">
        <is>
          <t>ZORYVE 0.3 % EXTERNAL CREAM</t>
        </is>
      </c>
      <c r="E1867" s="36" t="n">
        <v>60</v>
      </c>
      <c r="F1867" s="54" t="n">
        <v>60</v>
      </c>
      <c r="G1867" s="54" t="n">
        <v>1</v>
      </c>
      <c r="H1867" s="55" t="n">
        <v>932</v>
      </c>
      <c r="I1867" s="55" t="n">
        <v>875.0599999999999</v>
      </c>
      <c r="J1867" s="55" t="n">
        <v>0</v>
      </c>
      <c r="K1867" s="55" t="n">
        <v>0</v>
      </c>
      <c r="L1867" s="55" t="n">
        <v>875.0599999999999</v>
      </c>
      <c r="M1867" s="55" t="n">
        <v>-56.94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141958</t>
        </is>
      </c>
      <c r="B1868" s="52" t="n">
        <v>46058</v>
      </c>
      <c r="C1868" s="36" t="inlineStr">
        <is>
          <t>80610013060</t>
        </is>
      </c>
      <c r="D1868" s="53" t="inlineStr">
        <is>
          <t>ZORYVE 0.3 % EXTERNAL CREAM</t>
        </is>
      </c>
      <c r="E1868" s="36" t="n">
        <v>60</v>
      </c>
      <c r="F1868" s="54" t="n">
        <v>60</v>
      </c>
      <c r="G1868" s="54" t="n">
        <v>1</v>
      </c>
      <c r="H1868" s="55" t="n">
        <v>932</v>
      </c>
      <c r="I1868" s="55" t="n">
        <v>933.5599999999999</v>
      </c>
      <c r="J1868" s="55" t="n">
        <v>0</v>
      </c>
      <c r="K1868" s="55" t="n">
        <v>0</v>
      </c>
      <c r="L1868" s="55" t="n">
        <v>933.5599999999999</v>
      </c>
      <c r="M1868" s="55" t="n">
        <v>1.56</v>
      </c>
      <c r="N1868" s="36" t="inlineStr">
        <is>
          <t>004740</t>
        </is>
      </c>
      <c r="O1868" s="36" t="inlineStr">
        <is>
          <t>NYM</t>
        </is>
      </c>
      <c r="P1868" s="36" t="inlineStr">
        <is>
          <t>9314DA31</t>
        </is>
      </c>
      <c r="Q1868" s="36" t="n">
        <v/>
      </c>
    </row>
    <row r="1869">
      <c r="A1869" s="36" t="inlineStr">
        <is>
          <t>138070</t>
        </is>
      </c>
      <c r="B1869" s="52" t="n">
        <v>46030</v>
      </c>
      <c r="C1869" s="36" t="inlineStr">
        <is>
          <t>80610013060</t>
        </is>
      </c>
      <c r="D1869" s="53" t="inlineStr">
        <is>
          <t>ZORYVE 0.3 % EXTERNAL CREAM</t>
        </is>
      </c>
      <c r="E1869" s="36" t="n">
        <v>60</v>
      </c>
      <c r="F1869" s="54" t="n">
        <v>60</v>
      </c>
      <c r="G1869" s="54" t="n">
        <v>1</v>
      </c>
      <c r="H1869" s="55" t="n">
        <v>932</v>
      </c>
      <c r="I1869" s="55" t="n">
        <v>898.05</v>
      </c>
      <c r="J1869" s="55" t="n">
        <v>0</v>
      </c>
      <c r="K1869" s="55" t="n">
        <v>0</v>
      </c>
      <c r="L1869" s="55" t="n">
        <v>898.05</v>
      </c>
      <c r="M1869" s="55" t="n">
        <v>-33.95</v>
      </c>
      <c r="N1869" s="36" t="inlineStr">
        <is>
          <t>004740</t>
        </is>
      </c>
      <c r="O1869" s="36" t="inlineStr">
        <is>
          <t>NYM</t>
        </is>
      </c>
      <c r="P1869" s="36" t="inlineStr">
        <is>
          <t>9314DA31</t>
        </is>
      </c>
      <c r="Q1869" s="36" t="n">
        <v/>
      </c>
    </row>
    <row r="1870">
      <c r="A1870" s="36" t="inlineStr">
        <is>
          <t>131077</t>
        </is>
      </c>
      <c r="B1870" s="52" t="n">
        <v>46002</v>
      </c>
      <c r="C1870" s="36" t="inlineStr">
        <is>
          <t>80610013060</t>
        </is>
      </c>
      <c r="D1870" s="53" t="inlineStr">
        <is>
          <t>ZORYVE 0.3 % EXTERNAL CREAM</t>
        </is>
      </c>
      <c r="E1870" s="36" t="n">
        <v>60</v>
      </c>
      <c r="F1870" s="54" t="n">
        <v>60</v>
      </c>
      <c r="G1870" s="54" t="n">
        <v>1</v>
      </c>
      <c r="H1870" s="55" t="n">
        <v>932</v>
      </c>
      <c r="I1870" s="55" t="n">
        <v>898.13</v>
      </c>
      <c r="J1870" s="55" t="n">
        <v>0</v>
      </c>
      <c r="K1870" s="55" t="n">
        <v>0</v>
      </c>
      <c r="L1870" s="55" t="n">
        <v>898.13</v>
      </c>
      <c r="M1870" s="55" t="n">
        <v>-33.87</v>
      </c>
      <c r="N1870" s="36" t="inlineStr">
        <is>
          <t>004740</t>
        </is>
      </c>
      <c r="O1870" s="36" t="inlineStr">
        <is>
          <t>NYM</t>
        </is>
      </c>
      <c r="P1870" s="36" t="inlineStr">
        <is>
          <t>9314DA31</t>
        </is>
      </c>
      <c r="Q1870" s="36" t="n">
        <v/>
      </c>
    </row>
    <row r="1871">
      <c r="A1871" s="36" t="inlineStr">
        <is>
          <t>133926</t>
        </is>
      </c>
      <c r="B1871" s="52" t="n">
        <v>46022</v>
      </c>
      <c r="C1871" s="36" t="inlineStr">
        <is>
          <t>80610043060</t>
        </is>
      </c>
      <c r="D1871" s="53" t="inlineStr">
        <is>
          <t>ZORYVE 0.3 % EXTERNAL FOAM</t>
        </is>
      </c>
      <c r="E1871" s="36" t="n">
        <v>60</v>
      </c>
      <c r="F1871" s="54" t="n">
        <v>60</v>
      </c>
      <c r="G1871" s="54" t="n">
        <v>1</v>
      </c>
      <c r="H1871" s="55" t="n">
        <v>0</v>
      </c>
      <c r="I1871" s="55" t="n">
        <v>875.0599999999999</v>
      </c>
      <c r="J1871" s="55" t="n">
        <v>0</v>
      </c>
      <c r="K1871" s="55" t="n">
        <v>0</v>
      </c>
      <c r="L1871" s="55" t="n">
        <v>875.0599999999999</v>
      </c>
      <c r="M1871" s="55" t="n">
        <v>0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RX1110</t>
        </is>
      </c>
    </row>
    <row r="1872">
      <c r="A1872" s="36" t="inlineStr">
        <is>
          <t>133926</t>
        </is>
      </c>
      <c r="B1872" s="52" t="n">
        <v>46050</v>
      </c>
      <c r="C1872" s="36" t="inlineStr">
        <is>
          <t>80610043060</t>
        </is>
      </c>
      <c r="D1872" s="53" t="inlineStr">
        <is>
          <t>ZORYVE 0.3 % EXTERNAL FOAM</t>
        </is>
      </c>
      <c r="E1872" s="36" t="n">
        <v>60</v>
      </c>
      <c r="F1872" s="54" t="n">
        <v>60</v>
      </c>
      <c r="G1872" s="54" t="n">
        <v>1</v>
      </c>
      <c r="H1872" s="55" t="n">
        <v>0</v>
      </c>
      <c r="I1872" s="55" t="n">
        <v>913.28</v>
      </c>
      <c r="J1872" s="55" t="n">
        <v>0</v>
      </c>
      <c r="K1872" s="55" t="n">
        <v>4.9</v>
      </c>
      <c r="L1872" s="55" t="n">
        <v>918.1799999999999</v>
      </c>
      <c r="M1872" s="55" t="n">
        <v>0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128867</t>
        </is>
      </c>
      <c r="B1873" s="52" t="n">
        <v>46013</v>
      </c>
      <c r="C1873" s="36" t="inlineStr">
        <is>
          <t>80610043060</t>
        </is>
      </c>
      <c r="D1873" s="53" t="inlineStr">
        <is>
          <t>ZORYVE 0.3 % EXTERNAL FOAM</t>
        </is>
      </c>
      <c r="E1873" s="36" t="n">
        <v>60</v>
      </c>
      <c r="F1873" s="54" t="n">
        <v>60</v>
      </c>
      <c r="G1873" s="54" t="n">
        <v>1</v>
      </c>
      <c r="H1873" s="55" t="n">
        <v>0</v>
      </c>
      <c r="I1873" s="55" t="n">
        <v>898.0599999999999</v>
      </c>
      <c r="J1873" s="55" t="n">
        <v>0</v>
      </c>
      <c r="K1873" s="55" t="n">
        <v>0</v>
      </c>
      <c r="L1873" s="55" t="n">
        <v>898.0599999999999</v>
      </c>
      <c r="M1873" s="55" t="n">
        <v>0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133926</t>
        </is>
      </c>
      <c r="B1874" s="52" t="n">
        <v>45996</v>
      </c>
      <c r="C1874" s="36" t="inlineStr">
        <is>
          <t>80610043060</t>
        </is>
      </c>
      <c r="D1874" s="53" t="inlineStr">
        <is>
          <t>ZORYVE 0.3 % EXTERNAL FOAM</t>
        </is>
      </c>
      <c r="E1874" s="36" t="n">
        <v>60</v>
      </c>
      <c r="F1874" s="54" t="n">
        <v>60</v>
      </c>
      <c r="G1874" s="54" t="n">
        <v>1</v>
      </c>
      <c r="H1874" s="55" t="n">
        <v>0</v>
      </c>
      <c r="I1874" s="55" t="n">
        <v>875.0599999999999</v>
      </c>
      <c r="J1874" s="55" t="n">
        <v>0</v>
      </c>
      <c r="K1874" s="55" t="n">
        <v>0</v>
      </c>
      <c r="L1874" s="55" t="n">
        <v>875.0599999999999</v>
      </c>
      <c r="M1874" s="55" t="n">
        <v>0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MEDDADV</t>
        </is>
      </c>
      <c r="Q1874" s="36" t="inlineStr">
        <is>
          <t>RX1110</t>
        </is>
      </c>
    </row>
    <row r="1875">
      <c r="A1875" s="36" t="inlineStr">
        <is>
          <t>144516</t>
        </is>
      </c>
      <c r="B1875" s="52" t="n">
        <v>46077</v>
      </c>
      <c r="C1875" s="36" t="inlineStr">
        <is>
          <t>69557011130</t>
        </is>
      </c>
      <c r="D1875" s="53" t="inlineStr">
        <is>
          <t>ZTLIDO 1.8 % EXTERNAL PATCH</t>
        </is>
      </c>
      <c r="E1875" s="36" t="n">
        <v>30</v>
      </c>
      <c r="F1875" s="54" t="n">
        <v>60</v>
      </c>
      <c r="G1875" s="54" t="n">
        <v>2</v>
      </c>
      <c r="H1875" s="55" t="n">
        <v>744</v>
      </c>
      <c r="I1875" s="55" t="n">
        <v>714.83</v>
      </c>
      <c r="J1875" s="55" t="n">
        <v>0</v>
      </c>
      <c r="K1875" s="55" t="n">
        <v>6</v>
      </c>
      <c r="L1875" s="55" t="n">
        <v>720.83</v>
      </c>
      <c r="M1875" s="55" t="n">
        <v>-23.17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ADV</t>
        </is>
      </c>
      <c r="Q1875" s="36" t="inlineStr">
        <is>
          <t>RX24AV</t>
        </is>
      </c>
    </row>
    <row r="1876">
      <c r="A1876" s="36" t="inlineStr">
        <is>
          <t>140464</t>
        </is>
      </c>
      <c r="B1876" s="52" t="n">
        <v>46048</v>
      </c>
      <c r="C1876" s="36" t="inlineStr">
        <is>
          <t>69557011130</t>
        </is>
      </c>
      <c r="D1876" s="53" t="inlineStr">
        <is>
          <t>ZTLIDO 1.8 % EXTERNAL PATCH</t>
        </is>
      </c>
      <c r="E1876" s="36" t="n">
        <v>30</v>
      </c>
      <c r="F1876" s="54" t="n">
        <v>60</v>
      </c>
      <c r="G1876" s="54" t="n">
        <v>2</v>
      </c>
      <c r="H1876" s="55" t="n">
        <v>744</v>
      </c>
      <c r="I1876" s="55" t="n">
        <v>714.83</v>
      </c>
      <c r="J1876" s="55" t="n">
        <v>0</v>
      </c>
      <c r="K1876" s="55" t="n">
        <v>6</v>
      </c>
      <c r="L1876" s="55" t="n">
        <v>720.83</v>
      </c>
      <c r="M1876" s="55" t="n">
        <v>-23.17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RX24AV</t>
        </is>
      </c>
    </row>
    <row r="1877">
      <c r="A1877" s="36" t="inlineStr">
        <is>
          <t>136235</t>
        </is>
      </c>
      <c r="B1877" s="52" t="n">
        <v>46014</v>
      </c>
      <c r="C1877" s="36" t="inlineStr">
        <is>
          <t>69557011130</t>
        </is>
      </c>
      <c r="D1877" s="53" t="inlineStr">
        <is>
          <t>ZTLIDO 1.8 % EXTERNAL PATCH</t>
        </is>
      </c>
      <c r="E1877" s="36" t="n">
        <v>30</v>
      </c>
      <c r="F1877" s="54" t="n">
        <v>60</v>
      </c>
      <c r="G1877" s="54" t="n">
        <v>2</v>
      </c>
      <c r="H1877" s="55" t="n">
        <v>724</v>
      </c>
      <c r="I1877" s="55" t="n">
        <v>696.33</v>
      </c>
      <c r="J1877" s="55" t="n">
        <v>0</v>
      </c>
      <c r="K1877" s="55" t="n">
        <v>6</v>
      </c>
      <c r="L1877" s="55" t="n">
        <v>702.33</v>
      </c>
      <c r="M1877" s="55" t="n">
        <v>-21.67</v>
      </c>
      <c r="N1877" s="36" t="inlineStr">
        <is>
          <t>004336</t>
        </is>
      </c>
      <c r="O1877" s="36" t="inlineStr">
        <is>
          <t>CAREMARK</t>
        </is>
      </c>
      <c r="P1877" s="36" t="inlineStr">
        <is>
          <t>ADV</t>
        </is>
      </c>
      <c r="Q1877" s="36" t="inlineStr">
        <is>
          <t>RX24AV</t>
        </is>
      </c>
    </row>
    <row r="1878">
      <c r="L1878" s="56" t="inlineStr">
        <is>
          <t>Total Difference</t>
        </is>
      </c>
      <c r="M1878" s="56">
        <f>SUBTOTAL(109,M3:M1877)</f>
        <v/>
      </c>
    </row>
  </sheetData>
  <autoFilter ref="A2:Q1877"/>
  <mergeCells count="1">
    <mergeCell ref="A1:Q1"/>
  </mergeCells>
  <conditionalFormatting sqref="M3:M1878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5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133477</t>
        </is>
      </c>
      <c r="B3" s="52" t="n">
        <v>46021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562</v>
      </c>
      <c r="I3" s="55" t="n">
        <v>568.37</v>
      </c>
      <c r="J3" s="55" t="n">
        <v>0</v>
      </c>
      <c r="K3" s="55" t="n">
        <v>0</v>
      </c>
      <c r="L3" s="55" t="n">
        <v>568.37</v>
      </c>
      <c r="M3" s="55" t="n">
        <v>6.37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563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7.77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133477</t>
        </is>
      </c>
      <c r="B5" s="52" t="n">
        <v>45994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562</v>
      </c>
      <c r="I5" s="55" t="n">
        <v>568.37</v>
      </c>
      <c r="J5" s="55" t="n">
        <v>0</v>
      </c>
      <c r="K5" s="55" t="n">
        <v>0</v>
      </c>
      <c r="L5" s="55" t="n">
        <v>568.37</v>
      </c>
      <c r="M5" s="55" t="n">
        <v>6.37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46049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563</v>
      </c>
      <c r="I6" s="55" t="n">
        <v>570.77</v>
      </c>
      <c r="J6" s="55" t="n">
        <v>0</v>
      </c>
      <c r="K6" s="55" t="n">
        <v>0</v>
      </c>
      <c r="L6" s="55" t="n">
        <v>570.77</v>
      </c>
      <c r="M6" s="55" t="n">
        <v>7.77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123286</t>
        </is>
      </c>
      <c r="B7" s="52" t="n">
        <v>46014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40.85</v>
      </c>
      <c r="J7" s="55" t="n">
        <v>0</v>
      </c>
      <c r="K7" s="55" t="n">
        <v>0</v>
      </c>
      <c r="L7" s="55" t="n">
        <v>40.85</v>
      </c>
      <c r="M7" s="55" t="n">
        <v>0.85</v>
      </c>
      <c r="N7" s="36" t="inlineStr">
        <is>
          <t>610097</t>
        </is>
      </c>
      <c r="O7" s="36" t="inlineStr">
        <is>
          <t>OPTUM</t>
        </is>
      </c>
      <c r="P7" s="36" t="inlineStr">
        <is>
          <t>9999</t>
        </is>
      </c>
      <c r="Q7" s="36" t="n">
        <v/>
      </c>
    </row>
    <row r="8">
      <c r="A8" s="36" t="inlineStr">
        <is>
          <t>110585</t>
        </is>
      </c>
      <c r="B8" s="52" t="n">
        <v>46013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100</v>
      </c>
      <c r="G8" s="54" t="n">
        <v>2</v>
      </c>
      <c r="H8" s="55" t="n">
        <v>40</v>
      </c>
      <c r="I8" s="55" t="n">
        <v>15.51</v>
      </c>
      <c r="J8" s="55" t="n">
        <v>0</v>
      </c>
      <c r="K8" s="55" t="n">
        <v>29.99</v>
      </c>
      <c r="L8" s="55" t="n">
        <v>45.5</v>
      </c>
      <c r="M8" s="55" t="n">
        <v>5.5</v>
      </c>
      <c r="N8" s="36" t="inlineStr">
        <is>
          <t>004336</t>
        </is>
      </c>
      <c r="O8" s="36" t="inlineStr">
        <is>
          <t>CAREMARK</t>
        </is>
      </c>
      <c r="P8" s="36" t="inlineStr">
        <is>
          <t>ADV</t>
        </is>
      </c>
      <c r="Q8" s="36" t="inlineStr">
        <is>
          <t>RX7682</t>
        </is>
      </c>
    </row>
    <row r="9">
      <c r="A9" s="36" t="inlineStr">
        <is>
          <t>132679</t>
        </is>
      </c>
      <c r="B9" s="52" t="n">
        <v>46073</v>
      </c>
      <c r="C9" s="36" t="inlineStr">
        <is>
          <t>50242014301</t>
        </is>
      </c>
      <c r="D9" s="53" t="inlineStr">
        <is>
          <t>ACTEMRA ACTPEN 162 MG/0.9ML SUBCUTANEOUS SOLUTION AUTO-INJECTOR</t>
        </is>
      </c>
      <c r="E9" s="36" t="n">
        <v>0.9</v>
      </c>
      <c r="F9" s="54" t="n">
        <v>1.8</v>
      </c>
      <c r="G9" s="54" t="n">
        <v>2</v>
      </c>
      <c r="H9" s="55" t="n">
        <v>2290</v>
      </c>
      <c r="I9" s="55" t="n">
        <v>2312.48</v>
      </c>
      <c r="J9" s="55" t="n">
        <v>0</v>
      </c>
      <c r="K9" s="55" t="n">
        <v>0</v>
      </c>
      <c r="L9" s="55" t="n">
        <v>2312.48</v>
      </c>
      <c r="M9" s="55" t="n">
        <v>22.48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132679</t>
        </is>
      </c>
      <c r="B10" s="52" t="n">
        <v>46010</v>
      </c>
      <c r="C10" s="36" t="inlineStr">
        <is>
          <t>50242014301</t>
        </is>
      </c>
      <c r="D10" s="53" t="inlineStr">
        <is>
          <t>ACTEMRA ACTPEN 162 MG/0.9ML SUBCUTANEOUS SOLUTION AUTO-INJECTOR</t>
        </is>
      </c>
      <c r="E10" s="36" t="n">
        <v>0.9</v>
      </c>
      <c r="F10" s="54" t="n">
        <v>1.8</v>
      </c>
      <c r="G10" s="54" t="n">
        <v>2</v>
      </c>
      <c r="H10" s="55" t="n">
        <v>2290</v>
      </c>
      <c r="I10" s="55" t="n">
        <v>2302.26</v>
      </c>
      <c r="J10" s="55" t="n">
        <v>0</v>
      </c>
      <c r="K10" s="55" t="n">
        <v>0</v>
      </c>
      <c r="L10" s="55" t="n">
        <v>2302.26</v>
      </c>
      <c r="M10" s="55" t="n">
        <v>12.26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132679</t>
        </is>
      </c>
      <c r="B11" s="52" t="n">
        <v>46036</v>
      </c>
      <c r="C11" s="36" t="inlineStr">
        <is>
          <t>50242014301</t>
        </is>
      </c>
      <c r="D11" s="53" t="inlineStr">
        <is>
          <t>ACTEMRA ACTPEN 162 MG/0.9ML SUBCUTANEOUS SOLUTION AUTO-INJECTOR</t>
        </is>
      </c>
      <c r="E11" s="36" t="n">
        <v>0.9</v>
      </c>
      <c r="F11" s="54" t="n">
        <v>1.8</v>
      </c>
      <c r="G11" s="54" t="n">
        <v>2</v>
      </c>
      <c r="H11" s="55" t="n">
        <v>2292</v>
      </c>
      <c r="I11" s="55" t="n">
        <v>2312.48</v>
      </c>
      <c r="J11" s="55" t="n">
        <v>0</v>
      </c>
      <c r="K11" s="55" t="n">
        <v>0</v>
      </c>
      <c r="L11" s="55" t="n">
        <v>2312.48</v>
      </c>
      <c r="M11" s="55" t="n">
        <v>20.48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120744</t>
        </is>
      </c>
      <c r="B12" s="52" t="n">
        <v>46034</v>
      </c>
      <c r="C12" s="36" t="inlineStr">
        <is>
          <t>00173071720</t>
        </is>
      </c>
      <c r="D12" s="53" t="inlineStr">
        <is>
          <t>ADVAIR HFA 230-21 MCG/ACT INHALATION AEROSOL</t>
        </is>
      </c>
      <c r="E12" s="36" t="n">
        <v>12</v>
      </c>
      <c r="F12" s="54" t="n">
        <v>12</v>
      </c>
      <c r="G12" s="54" t="n">
        <v>1</v>
      </c>
      <c r="H12" s="55" t="n">
        <v>424</v>
      </c>
      <c r="I12" s="55" t="n">
        <v>430.86</v>
      </c>
      <c r="J12" s="55" t="n">
        <v>0</v>
      </c>
      <c r="K12" s="55" t="n">
        <v>0</v>
      </c>
      <c r="L12" s="55" t="n">
        <v>430.86</v>
      </c>
      <c r="M12" s="55" t="n">
        <v>6.86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120744</t>
        </is>
      </c>
      <c r="B13" s="52" t="n">
        <v>46007</v>
      </c>
      <c r="C13" s="36" t="inlineStr">
        <is>
          <t>00173071720</t>
        </is>
      </c>
      <c r="D13" s="53" t="inlineStr">
        <is>
          <t>ADVAIR HFA 230-21 MCG/ACT INHALATION AEROSOL</t>
        </is>
      </c>
      <c r="E13" s="36" t="n">
        <v>12</v>
      </c>
      <c r="F13" s="54" t="n">
        <v>12</v>
      </c>
      <c r="G13" s="54" t="n">
        <v>1</v>
      </c>
      <c r="H13" s="55" t="n">
        <v>424</v>
      </c>
      <c r="I13" s="55" t="n">
        <v>430.91</v>
      </c>
      <c r="J13" s="55" t="n">
        <v>0</v>
      </c>
      <c r="K13" s="55" t="n">
        <v>0</v>
      </c>
      <c r="L13" s="55" t="n">
        <v>430.91</v>
      </c>
      <c r="M13" s="55" t="n">
        <v>6.91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143441</t>
        </is>
      </c>
      <c r="B14" s="52" t="n">
        <v>46069</v>
      </c>
      <c r="C14" s="36" t="inlineStr">
        <is>
          <t>00173071720</t>
        </is>
      </c>
      <c r="D14" s="53" t="inlineStr">
        <is>
          <t>ADVAIR HFA 230-21 MCG/ACT INHALATION AEROSOL</t>
        </is>
      </c>
      <c r="E14" s="36" t="n">
        <v>12</v>
      </c>
      <c r="F14" s="54" t="n">
        <v>12</v>
      </c>
      <c r="G14" s="54" t="n">
        <v>1</v>
      </c>
      <c r="H14" s="55" t="n">
        <v>428</v>
      </c>
      <c r="I14" s="55" t="n">
        <v>430.83</v>
      </c>
      <c r="J14" s="55" t="n">
        <v>0</v>
      </c>
      <c r="K14" s="55" t="n">
        <v>0</v>
      </c>
      <c r="L14" s="55" t="n">
        <v>430.83</v>
      </c>
      <c r="M14" s="55" t="n">
        <v>2.83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143556</t>
        </is>
      </c>
      <c r="B15" s="52" t="n">
        <v>46069</v>
      </c>
      <c r="C15" s="36" t="inlineStr">
        <is>
          <t>00310908012</t>
        </is>
      </c>
      <c r="D15" s="53" t="inlineStr">
        <is>
          <t>AIRSUPRA 90-80 MCG/ACT INHALATION AEROSOL</t>
        </is>
      </c>
      <c r="E15" s="36" t="n">
        <v>10.7</v>
      </c>
      <c r="F15" s="54" t="n">
        <v>10.7</v>
      </c>
      <c r="G15" s="54" t="n">
        <v>1</v>
      </c>
      <c r="H15" s="55" t="n">
        <v>490</v>
      </c>
      <c r="I15" s="55" t="n">
        <v>493.53</v>
      </c>
      <c r="J15" s="55" t="n">
        <v>0</v>
      </c>
      <c r="K15" s="55" t="n">
        <v>0</v>
      </c>
      <c r="L15" s="55" t="n">
        <v>493.53</v>
      </c>
      <c r="M15" s="55" t="n">
        <v>3.53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134877</t>
        </is>
      </c>
      <c r="B16" s="52" t="n">
        <v>46003</v>
      </c>
      <c r="C16" s="36" t="inlineStr">
        <is>
          <t>58160084811</t>
        </is>
      </c>
      <c r="D16" s="53" t="inlineStr">
        <is>
          <t>AREXVY 120 MCG/0.5ML INTRAMUSCULAR SUSPENSION RECONSTITUTED</t>
        </is>
      </c>
      <c r="E16" s="36" t="n">
        <v>10</v>
      </c>
      <c r="F16" s="54" t="n">
        <v>1</v>
      </c>
      <c r="G16" s="54" t="n">
        <v>0.1</v>
      </c>
      <c r="H16" s="55" t="n">
        <v>294.9</v>
      </c>
      <c r="I16" s="55" t="n">
        <v>306.19</v>
      </c>
      <c r="J16" s="55" t="n">
        <v>0</v>
      </c>
      <c r="K16" s="55" t="n">
        <v>0</v>
      </c>
      <c r="L16" s="55" t="n">
        <v>306.19</v>
      </c>
      <c r="M16" s="55" t="n">
        <v>11.29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RX23MD</t>
        </is>
      </c>
    </row>
    <row r="17">
      <c r="A17" s="36" t="inlineStr">
        <is>
          <t>111641</t>
        </is>
      </c>
      <c r="B17" s="52" t="n">
        <v>45996</v>
      </c>
      <c r="C17" s="36" t="inlineStr">
        <is>
          <t>00002771559</t>
        </is>
      </c>
      <c r="D17" s="53" t="inlineStr">
        <is>
          <t>BASAGLAR KWIKPEN 100UNIT/ML INJECTION</t>
        </is>
      </c>
      <c r="E17" s="36" t="n">
        <v>15</v>
      </c>
      <c r="F17" s="54" t="n">
        <v>9</v>
      </c>
      <c r="G17" s="54" t="n">
        <v>0.6</v>
      </c>
      <c r="H17" s="55" t="n">
        <v>188.4</v>
      </c>
      <c r="I17" s="55" t="n">
        <v>198.55</v>
      </c>
      <c r="J17" s="55" t="n">
        <v>0</v>
      </c>
      <c r="K17" s="55" t="n">
        <v>0</v>
      </c>
      <c r="L17" s="55" t="n">
        <v>198.55</v>
      </c>
      <c r="M17" s="55" t="n">
        <v>10.15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120446</t>
        </is>
      </c>
      <c r="B18" s="52" t="n">
        <v>46039</v>
      </c>
      <c r="C18" s="36" t="inlineStr">
        <is>
          <t>00002771559</t>
        </is>
      </c>
      <c r="D18" s="53" t="inlineStr">
        <is>
          <t>BASAGLAR KWIKPEN 100UNIT/ML INJECTION</t>
        </is>
      </c>
      <c r="E18" s="36" t="n">
        <v>15</v>
      </c>
      <c r="F18" s="54" t="n">
        <v>3</v>
      </c>
      <c r="G18" s="54" t="n">
        <v>0.2</v>
      </c>
      <c r="H18" s="55" t="n">
        <v>63</v>
      </c>
      <c r="I18" s="55" t="n">
        <v>72.97</v>
      </c>
      <c r="J18" s="55" t="n">
        <v>0</v>
      </c>
      <c r="K18" s="55" t="n">
        <v>0</v>
      </c>
      <c r="L18" s="55" t="n">
        <v>72.97</v>
      </c>
      <c r="M18" s="55" t="n">
        <v>9.970000000000001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143642</t>
        </is>
      </c>
      <c r="B19" s="52" t="n">
        <v>46070</v>
      </c>
      <c r="C19" s="36" t="inlineStr">
        <is>
          <t>00002771559</t>
        </is>
      </c>
      <c r="D19" s="53" t="inlineStr">
        <is>
          <t>BASAGLAR KWIKPEN 100UNIT/ML INJECTION</t>
        </is>
      </c>
      <c r="E19" s="36" t="n">
        <v>15</v>
      </c>
      <c r="F19" s="54" t="n">
        <v>3</v>
      </c>
      <c r="G19" s="54" t="n">
        <v>0.2</v>
      </c>
      <c r="H19" s="55" t="n">
        <v>63.4</v>
      </c>
      <c r="I19" s="55" t="n">
        <v>72.97</v>
      </c>
      <c r="J19" s="55" t="n">
        <v>0</v>
      </c>
      <c r="K19" s="55" t="n">
        <v>0</v>
      </c>
      <c r="L19" s="55" t="n">
        <v>72.97</v>
      </c>
      <c r="M19" s="55" t="n">
        <v>9.57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120446</t>
        </is>
      </c>
      <c r="B20" s="52" t="n">
        <v>46013</v>
      </c>
      <c r="C20" s="36" t="inlineStr">
        <is>
          <t>00002771559</t>
        </is>
      </c>
      <c r="D20" s="53" t="inlineStr">
        <is>
          <t>BASAGLAR KWIKPEN 100UNIT/ML INJECTION</t>
        </is>
      </c>
      <c r="E20" s="36" t="n">
        <v>15</v>
      </c>
      <c r="F20" s="54" t="n">
        <v>3</v>
      </c>
      <c r="G20" s="54" t="n">
        <v>0.2</v>
      </c>
      <c r="H20" s="55" t="n">
        <v>62.8</v>
      </c>
      <c r="I20" s="55" t="n">
        <v>72.97</v>
      </c>
      <c r="J20" s="55" t="n">
        <v>0</v>
      </c>
      <c r="K20" s="55" t="n">
        <v>0</v>
      </c>
      <c r="L20" s="55" t="n">
        <v>72.97</v>
      </c>
      <c r="M20" s="55" t="n">
        <v>10.17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134334</t>
        </is>
      </c>
      <c r="B21" s="52" t="n">
        <v>46000</v>
      </c>
      <c r="C21" s="36" t="inlineStr">
        <is>
          <t>61958250101</t>
        </is>
      </c>
      <c r="D21" s="53" t="inlineStr">
        <is>
          <t>BIKTARVY 50-200-25MG TABLET</t>
        </is>
      </c>
      <c r="E21" s="36" t="n">
        <v>30</v>
      </c>
      <c r="F21" s="54" t="n">
        <v>30</v>
      </c>
      <c r="G21" s="54" t="n">
        <v>1</v>
      </c>
      <c r="H21" s="55" t="n">
        <v>4111</v>
      </c>
      <c r="I21" s="55" t="n">
        <v>4202.74</v>
      </c>
      <c r="J21" s="55" t="n">
        <v>0</v>
      </c>
      <c r="K21" s="55" t="n">
        <v>0</v>
      </c>
      <c r="L21" s="55" t="n">
        <v>4202.74</v>
      </c>
      <c r="M21" s="55" t="n">
        <v>91.73999999999999</v>
      </c>
      <c r="N21" s="36" t="inlineStr">
        <is>
          <t>610490</t>
        </is>
      </c>
      <c r="O21" s="36" t="inlineStr">
        <is>
          <t>RELAYHLTH</t>
        </is>
      </c>
      <c r="P21" s="36" t="inlineStr">
        <is>
          <t>ADAP01</t>
        </is>
      </c>
      <c r="Q21" s="36" t="n">
        <v/>
      </c>
    </row>
    <row r="22">
      <c r="A22" s="36" t="inlineStr">
        <is>
          <t>141611</t>
        </is>
      </c>
      <c r="B22" s="52" t="n">
        <v>46056</v>
      </c>
      <c r="C22" s="36" t="inlineStr">
        <is>
          <t>61958250101</t>
        </is>
      </c>
      <c r="D22" s="53" t="inlineStr">
        <is>
          <t>BIKTARVY 50-200-25MG TABLET</t>
        </is>
      </c>
      <c r="E22" s="36" t="n">
        <v>30</v>
      </c>
      <c r="F22" s="54" t="n">
        <v>30</v>
      </c>
      <c r="G22" s="54" t="n">
        <v>1</v>
      </c>
      <c r="H22" s="55" t="n">
        <v>4111</v>
      </c>
      <c r="I22" s="55" t="n">
        <v>4202.74</v>
      </c>
      <c r="J22" s="55" t="n">
        <v>0</v>
      </c>
      <c r="K22" s="55" t="n">
        <v>0</v>
      </c>
      <c r="L22" s="55" t="n">
        <v>4202.74</v>
      </c>
      <c r="M22" s="55" t="n">
        <v>91.73999999999999</v>
      </c>
      <c r="N22" s="36" t="inlineStr">
        <is>
          <t>610490</t>
        </is>
      </c>
      <c r="O22" s="36" t="inlineStr">
        <is>
          <t>RELAYHLTH</t>
        </is>
      </c>
      <c r="P22" s="36" t="inlineStr">
        <is>
          <t>ADAP01</t>
        </is>
      </c>
      <c r="Q22" s="36" t="n">
        <v/>
      </c>
    </row>
    <row r="23">
      <c r="A23" s="36" t="inlineStr">
        <is>
          <t>103554</t>
        </is>
      </c>
      <c r="B23" s="52" t="n">
        <v>46045</v>
      </c>
      <c r="C23" s="36" t="inlineStr">
        <is>
          <t>61958250101</t>
        </is>
      </c>
      <c r="D23" s="53" t="inlineStr">
        <is>
          <t>BIKTARVY 50-200-25MG TABLET</t>
        </is>
      </c>
      <c r="E23" s="36" t="n">
        <v>30</v>
      </c>
      <c r="F23" s="54" t="n">
        <v>30</v>
      </c>
      <c r="G23" s="54" t="n">
        <v>1</v>
      </c>
      <c r="H23" s="55" t="n">
        <v>4111</v>
      </c>
      <c r="I23" s="55" t="n">
        <v>4111.27</v>
      </c>
      <c r="J23" s="55" t="n">
        <v>0</v>
      </c>
      <c r="K23" s="55" t="n">
        <v>0</v>
      </c>
      <c r="L23" s="55" t="n">
        <v>4111.27</v>
      </c>
      <c r="M23" s="55" t="n">
        <v>0.27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140799</t>
        </is>
      </c>
      <c r="B24" s="52" t="n">
        <v>46050</v>
      </c>
      <c r="C24" s="36" t="inlineStr">
        <is>
          <t>61958250101</t>
        </is>
      </c>
      <c r="D24" s="53" t="inlineStr">
        <is>
          <t>BIKTARVY 50-200-25MG TABLET</t>
        </is>
      </c>
      <c r="E24" s="36" t="n">
        <v>30</v>
      </c>
      <c r="F24" s="54" t="n">
        <v>30</v>
      </c>
      <c r="G24" s="54" t="n">
        <v>1</v>
      </c>
      <c r="H24" s="55" t="n">
        <v>4111</v>
      </c>
      <c r="I24" s="55" t="n">
        <v>4111.27</v>
      </c>
      <c r="J24" s="55" t="n">
        <v>0</v>
      </c>
      <c r="K24" s="55" t="n">
        <v>0</v>
      </c>
      <c r="L24" s="55" t="n">
        <v>4111.27</v>
      </c>
      <c r="M24" s="55" t="n">
        <v>0.27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137695</t>
        </is>
      </c>
      <c r="B25" s="52" t="n">
        <v>46028</v>
      </c>
      <c r="C25" s="36" t="inlineStr">
        <is>
          <t>61958250101</t>
        </is>
      </c>
      <c r="D25" s="53" t="inlineStr">
        <is>
          <t>BIKTARVY 50-200-25MG TABLET</t>
        </is>
      </c>
      <c r="E25" s="36" t="n">
        <v>30</v>
      </c>
      <c r="F25" s="54" t="n">
        <v>30</v>
      </c>
      <c r="G25" s="54" t="n">
        <v>1</v>
      </c>
      <c r="H25" s="55" t="n">
        <v>4111</v>
      </c>
      <c r="I25" s="55" t="n">
        <v>4202.74</v>
      </c>
      <c r="J25" s="55" t="n">
        <v>0</v>
      </c>
      <c r="K25" s="55" t="n">
        <v>0</v>
      </c>
      <c r="L25" s="55" t="n">
        <v>4202.74</v>
      </c>
      <c r="M25" s="55" t="n">
        <v>91.73999999999999</v>
      </c>
      <c r="N25" s="36" t="inlineStr">
        <is>
          <t>610490</t>
        </is>
      </c>
      <c r="O25" s="36" t="inlineStr">
        <is>
          <t>RELAYHLTH</t>
        </is>
      </c>
      <c r="P25" s="36" t="inlineStr">
        <is>
          <t>ADAP01</t>
        </is>
      </c>
      <c r="Q25" s="36" t="n">
        <v/>
      </c>
    </row>
    <row r="26">
      <c r="A26" s="36" t="inlineStr">
        <is>
          <t>129795</t>
        </is>
      </c>
      <c r="B26" s="52" t="n">
        <v>46022</v>
      </c>
      <c r="C26" s="36" t="inlineStr">
        <is>
          <t>61958250101</t>
        </is>
      </c>
      <c r="D26" s="53" t="inlineStr">
        <is>
          <t>BIKTARVY 50-200-25MG TABLET</t>
        </is>
      </c>
      <c r="E26" s="36" t="n">
        <v>30</v>
      </c>
      <c r="F26" s="54" t="n">
        <v>30</v>
      </c>
      <c r="G26" s="54" t="n">
        <v>1</v>
      </c>
      <c r="H26" s="55" t="n">
        <v>4111</v>
      </c>
      <c r="I26" s="55" t="n">
        <v>4111.27</v>
      </c>
      <c r="J26" s="55" t="n">
        <v>0</v>
      </c>
      <c r="K26" s="55" t="n">
        <v>0</v>
      </c>
      <c r="L26" s="55" t="n">
        <v>4111.27</v>
      </c>
      <c r="M26" s="55" t="n">
        <v>0.27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129795</t>
        </is>
      </c>
      <c r="B27" s="52" t="n">
        <v>45994</v>
      </c>
      <c r="C27" s="36" t="inlineStr">
        <is>
          <t>61958250101</t>
        </is>
      </c>
      <c r="D27" s="53" t="inlineStr">
        <is>
          <t>BIKTARVY 50-200-25MG TABLET</t>
        </is>
      </c>
      <c r="E27" s="36" t="n">
        <v>30</v>
      </c>
      <c r="F27" s="54" t="n">
        <v>30</v>
      </c>
      <c r="G27" s="54" t="n">
        <v>1</v>
      </c>
      <c r="H27" s="55" t="n">
        <v>4111</v>
      </c>
      <c r="I27" s="55" t="n">
        <v>4111.21</v>
      </c>
      <c r="J27" s="55" t="n">
        <v>0</v>
      </c>
      <c r="K27" s="55" t="n">
        <v>0</v>
      </c>
      <c r="L27" s="55" t="n">
        <v>4111.21</v>
      </c>
      <c r="M27" s="55" t="n">
        <v>0.21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136231</t>
        </is>
      </c>
      <c r="B28" s="52" t="n">
        <v>46014</v>
      </c>
      <c r="C28" s="36" t="inlineStr">
        <is>
          <t>00310461612</t>
        </is>
      </c>
      <c r="D28" s="53" t="inlineStr">
        <is>
          <t>BREZTRI AEROSPHERE 160-9-4.8 MCG/ACT INHALATION AEROSOL</t>
        </is>
      </c>
      <c r="E28" s="36" t="n">
        <v>10.7</v>
      </c>
      <c r="F28" s="54" t="n">
        <v>10.7</v>
      </c>
      <c r="G28" s="54" t="n">
        <v>1</v>
      </c>
      <c r="H28" s="55" t="n">
        <v>640</v>
      </c>
      <c r="I28" s="55" t="n">
        <v>646.52</v>
      </c>
      <c r="J28" s="55" t="n">
        <v>0</v>
      </c>
      <c r="K28" s="55" t="n">
        <v>0</v>
      </c>
      <c r="L28" s="55" t="n">
        <v>646.52</v>
      </c>
      <c r="M28" s="55" t="n">
        <v>6.52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136231</t>
        </is>
      </c>
      <c r="B29" s="52" t="n">
        <v>46042</v>
      </c>
      <c r="C29" s="36" t="inlineStr">
        <is>
          <t>00310461612</t>
        </is>
      </c>
      <c r="D29" s="53" t="inlineStr">
        <is>
          <t>BREZTRI AEROSPHERE 160-9-4.8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640</v>
      </c>
      <c r="I29" s="55" t="n">
        <v>665.62</v>
      </c>
      <c r="J29" s="55" t="n">
        <v>0</v>
      </c>
      <c r="K29" s="55" t="n">
        <v>0</v>
      </c>
      <c r="L29" s="55" t="n">
        <v>665.62</v>
      </c>
      <c r="M29" s="55" t="n">
        <v>25.62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132695</t>
        </is>
      </c>
      <c r="B30" s="52" t="n">
        <v>45999</v>
      </c>
      <c r="C30" s="36" t="inlineStr">
        <is>
          <t>00310461612</t>
        </is>
      </c>
      <c r="D30" s="53" t="inlineStr">
        <is>
          <t>BREZTRI AEROSPHERE 160-9-4.8 MCG/ACT INHALATION AEROSOL</t>
        </is>
      </c>
      <c r="E30" s="36" t="n">
        <v>10.7</v>
      </c>
      <c r="F30" s="54" t="n">
        <v>32.1</v>
      </c>
      <c r="G30" s="54" t="n">
        <v>3</v>
      </c>
      <c r="H30" s="55" t="n">
        <v>1920</v>
      </c>
      <c r="I30" s="55" t="n">
        <v>1999.41</v>
      </c>
      <c r="J30" s="55" t="n">
        <v>0</v>
      </c>
      <c r="K30" s="55" t="n">
        <v>0</v>
      </c>
      <c r="L30" s="55" t="n">
        <v>1999.41</v>
      </c>
      <c r="M30" s="55" t="n">
        <v>79.41</v>
      </c>
      <c r="N30" s="36" t="inlineStr">
        <is>
          <t>610097</t>
        </is>
      </c>
      <c r="O30" s="36" t="inlineStr">
        <is>
          <t>OPTUM</t>
        </is>
      </c>
      <c r="P30" s="36" t="inlineStr">
        <is>
          <t>9999</t>
        </is>
      </c>
      <c r="Q30" s="36" t="inlineStr">
        <is>
          <t>MPDCSP</t>
        </is>
      </c>
    </row>
    <row r="31">
      <c r="A31" s="36" t="inlineStr">
        <is>
          <t>107350</t>
        </is>
      </c>
      <c r="B31" s="52" t="n">
        <v>46036</v>
      </c>
      <c r="C31" s="36" t="inlineStr">
        <is>
          <t>00310461612</t>
        </is>
      </c>
      <c r="D31" s="53" t="inlineStr">
        <is>
          <t>BREZTRI AEROSPHERE 160-9-4.8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640</v>
      </c>
      <c r="I31" s="55" t="n">
        <v>651.0700000000001</v>
      </c>
      <c r="J31" s="55" t="n">
        <v>0</v>
      </c>
      <c r="K31" s="55" t="n">
        <v>0</v>
      </c>
      <c r="L31" s="55" t="n">
        <v>651.0700000000001</v>
      </c>
      <c r="M31" s="55" t="n">
        <v>11.07</v>
      </c>
      <c r="N31" s="36" t="inlineStr">
        <is>
          <t>004336</t>
        </is>
      </c>
      <c r="O31" s="36" t="inlineStr">
        <is>
          <t>CAREMARK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131361</t>
        </is>
      </c>
      <c r="B32" s="52" t="n">
        <v>46034</v>
      </c>
      <c r="C32" s="36" t="inlineStr">
        <is>
          <t>00310461612</t>
        </is>
      </c>
      <c r="D32" s="53" t="inlineStr">
        <is>
          <t>BREZTRI AEROSPHERE 160-9-4.8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640</v>
      </c>
      <c r="I32" s="55" t="n">
        <v>651.0700000000001</v>
      </c>
      <c r="J32" s="55" t="n">
        <v>0</v>
      </c>
      <c r="K32" s="55" t="n">
        <v>0</v>
      </c>
      <c r="L32" s="55" t="n">
        <v>651.0700000000001</v>
      </c>
      <c r="M32" s="55" t="n">
        <v>11.07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MEDDADV</t>
        </is>
      </c>
      <c r="Q32" s="36" t="inlineStr">
        <is>
          <t>RX1110</t>
        </is>
      </c>
    </row>
    <row r="33">
      <c r="A33" s="36" t="inlineStr">
        <is>
          <t>110250</t>
        </is>
      </c>
      <c r="B33" s="52" t="n">
        <v>46072</v>
      </c>
      <c r="C33" s="36" t="inlineStr">
        <is>
          <t>00310737220</t>
        </is>
      </c>
      <c r="D33" s="53" t="inlineStr">
        <is>
          <t>BUDESONIDE-FORMOTEROL FUMARATE 80-4.5MCG/ACT AEROSOL</t>
        </is>
      </c>
      <c r="E33" s="36" t="n">
        <v>10.2</v>
      </c>
      <c r="F33" s="54" t="n">
        <v>30.6</v>
      </c>
      <c r="G33" s="54" t="n">
        <v>3</v>
      </c>
      <c r="H33" s="55" t="n">
        <v>417</v>
      </c>
      <c r="I33" s="55" t="n">
        <v>453.15</v>
      </c>
      <c r="J33" s="55" t="n">
        <v>0</v>
      </c>
      <c r="K33" s="55" t="n">
        <v>1.6</v>
      </c>
      <c r="L33" s="55" t="n">
        <v>454.75</v>
      </c>
      <c r="M33" s="55" t="n">
        <v>37.75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131073</t>
        </is>
      </c>
      <c r="B34" s="52" t="n">
        <v>46002</v>
      </c>
      <c r="C34" s="36" t="inlineStr">
        <is>
          <t>00310737220</t>
        </is>
      </c>
      <c r="D34" s="53" t="inlineStr">
        <is>
          <t>BUDESONIDE-FORMOTEROL FUMARATE 80-4.5MCG/ACT AEROSOL</t>
        </is>
      </c>
      <c r="E34" s="36" t="n">
        <v>10.2</v>
      </c>
      <c r="F34" s="54" t="n">
        <v>10.2</v>
      </c>
      <c r="G34" s="54" t="n">
        <v>1</v>
      </c>
      <c r="H34" s="55" t="n">
        <v>139</v>
      </c>
      <c r="I34" s="55" t="n">
        <v>156.06</v>
      </c>
      <c r="J34" s="55" t="n">
        <v>0</v>
      </c>
      <c r="K34" s="55" t="n">
        <v>0</v>
      </c>
      <c r="L34" s="55" t="n">
        <v>156.06</v>
      </c>
      <c r="M34" s="55" t="n">
        <v>17.06</v>
      </c>
      <c r="N34" s="36" t="inlineStr">
        <is>
          <t>015574</t>
        </is>
      </c>
      <c r="O34" s="36" t="inlineStr">
        <is>
          <t>MEDIMP</t>
        </is>
      </c>
      <c r="P34" s="36" t="inlineStr">
        <is>
          <t>ASPROD1</t>
        </is>
      </c>
      <c r="Q34" s="36" t="inlineStr">
        <is>
          <t>VNS01</t>
        </is>
      </c>
    </row>
    <row r="35">
      <c r="A35" s="36" t="inlineStr">
        <is>
          <t>137969</t>
        </is>
      </c>
      <c r="B35" s="52" t="n">
        <v>46029</v>
      </c>
      <c r="C35" s="36" t="inlineStr">
        <is>
          <t>00310737220</t>
        </is>
      </c>
      <c r="D35" s="53" t="inlineStr">
        <is>
          <t>BUDESONIDE-FORMOTEROL FUMARATE 80-4.5MCG/ACT AEROSOL</t>
        </is>
      </c>
      <c r="E35" s="36" t="n">
        <v>10.2</v>
      </c>
      <c r="F35" s="54" t="n">
        <v>10.2</v>
      </c>
      <c r="G35" s="54" t="n">
        <v>1</v>
      </c>
      <c r="H35" s="55" t="n">
        <v>139</v>
      </c>
      <c r="I35" s="55" t="n">
        <v>135.1</v>
      </c>
      <c r="J35" s="55" t="n">
        <v>0</v>
      </c>
      <c r="K35" s="55" t="n">
        <v>6</v>
      </c>
      <c r="L35" s="55" t="n">
        <v>141.1</v>
      </c>
      <c r="M35" s="55" t="n">
        <v>2.1</v>
      </c>
      <c r="N35" s="36" t="inlineStr">
        <is>
          <t>004336</t>
        </is>
      </c>
      <c r="O35" s="36" t="inlineStr">
        <is>
          <t>CAREMARK</t>
        </is>
      </c>
      <c r="P35" s="36" t="inlineStr">
        <is>
          <t>ADV</t>
        </is>
      </c>
      <c r="Q35" s="36" t="inlineStr">
        <is>
          <t>RX1103</t>
        </is>
      </c>
    </row>
    <row r="36">
      <c r="A36" s="36" t="inlineStr">
        <is>
          <t>134075</t>
        </is>
      </c>
      <c r="B36" s="52" t="n">
        <v>45997</v>
      </c>
      <c r="C36" s="36" t="inlineStr">
        <is>
          <t>00310737220</t>
        </is>
      </c>
      <c r="D36" s="53" t="inlineStr">
        <is>
          <t>BUDESONIDE-FORMOTEROL FUMARATE 80-4.5MCG/ACT AEROSOL</t>
        </is>
      </c>
      <c r="E36" s="36" t="n">
        <v>10.2</v>
      </c>
      <c r="F36" s="54" t="n">
        <v>10.2</v>
      </c>
      <c r="G36" s="54" t="n">
        <v>1</v>
      </c>
      <c r="H36" s="55" t="n">
        <v>139</v>
      </c>
      <c r="I36" s="55" t="n">
        <v>190.61</v>
      </c>
      <c r="J36" s="55" t="n">
        <v>0</v>
      </c>
      <c r="K36" s="55" t="n">
        <v>0</v>
      </c>
      <c r="L36" s="55" t="n">
        <v>190.61</v>
      </c>
      <c r="M36" s="55" t="n">
        <v>51.61</v>
      </c>
      <c r="N36" s="36" t="inlineStr">
        <is>
          <t>610502</t>
        </is>
      </c>
      <c r="O36" s="36" t="inlineStr">
        <is>
          <t>CAREMARK</t>
        </is>
      </c>
      <c r="P36" s="36" t="inlineStr">
        <is>
          <t>MEDDAET</t>
        </is>
      </c>
      <c r="Q36" s="36" t="inlineStr">
        <is>
          <t>RXAETD</t>
        </is>
      </c>
    </row>
    <row r="37">
      <c r="A37" s="36" t="inlineStr">
        <is>
          <t>131073</t>
        </is>
      </c>
      <c r="B37" s="52" t="n">
        <v>46030</v>
      </c>
      <c r="C37" s="36" t="inlineStr">
        <is>
          <t>00310737220</t>
        </is>
      </c>
      <c r="D37" s="53" t="inlineStr">
        <is>
          <t>BUDESONIDE-FORMOTEROL FUMARATE 80-4.5MCG/ACT AEROSOL</t>
        </is>
      </c>
      <c r="E37" s="36" t="n">
        <v>10.2</v>
      </c>
      <c r="F37" s="54" t="n">
        <v>10.2</v>
      </c>
      <c r="G37" s="54" t="n">
        <v>1</v>
      </c>
      <c r="H37" s="55" t="n">
        <v>139</v>
      </c>
      <c r="I37" s="55" t="n">
        <v>154.41</v>
      </c>
      <c r="J37" s="55" t="n">
        <v>0</v>
      </c>
      <c r="K37" s="55" t="n">
        <v>1.6</v>
      </c>
      <c r="L37" s="55" t="n">
        <v>156.01</v>
      </c>
      <c r="M37" s="55" t="n">
        <v>17.01</v>
      </c>
      <c r="N37" s="36" t="inlineStr">
        <is>
          <t>015574</t>
        </is>
      </c>
      <c r="O37" s="36" t="inlineStr">
        <is>
          <t>MEDIMP</t>
        </is>
      </c>
      <c r="P37" s="36" t="inlineStr">
        <is>
          <t>ASPROD1</t>
        </is>
      </c>
      <c r="Q37" s="36" t="inlineStr">
        <is>
          <t>VNS01</t>
        </is>
      </c>
    </row>
    <row r="38">
      <c r="A38" s="36" t="inlineStr">
        <is>
          <t>131073</t>
        </is>
      </c>
      <c r="B38" s="52" t="n">
        <v>46058</v>
      </c>
      <c r="C38" s="36" t="inlineStr">
        <is>
          <t>00310737220</t>
        </is>
      </c>
      <c r="D38" s="53" t="inlineStr">
        <is>
          <t>BUDESONIDE-FORMOTEROL FUMARATE 80-4.5MCG/ACT AEROSOL</t>
        </is>
      </c>
      <c r="E38" s="36" t="n">
        <v>10.2</v>
      </c>
      <c r="F38" s="54" t="n">
        <v>10.2</v>
      </c>
      <c r="G38" s="54" t="n">
        <v>1</v>
      </c>
      <c r="H38" s="55" t="n">
        <v>139</v>
      </c>
      <c r="I38" s="55" t="n">
        <v>154.41</v>
      </c>
      <c r="J38" s="55" t="n">
        <v>0</v>
      </c>
      <c r="K38" s="55" t="n">
        <v>1.6</v>
      </c>
      <c r="L38" s="55" t="n">
        <v>156.01</v>
      </c>
      <c r="M38" s="55" t="n">
        <v>17.01</v>
      </c>
      <c r="N38" s="36" t="inlineStr">
        <is>
          <t>015574</t>
        </is>
      </c>
      <c r="O38" s="36" t="inlineStr">
        <is>
          <t>MEDIMP</t>
        </is>
      </c>
      <c r="P38" s="36" t="inlineStr">
        <is>
          <t>ASPROD1</t>
        </is>
      </c>
      <c r="Q38" s="36" t="inlineStr">
        <is>
          <t>VNS01</t>
        </is>
      </c>
    </row>
    <row r="39">
      <c r="A39" s="36" t="inlineStr">
        <is>
          <t>137969</t>
        </is>
      </c>
      <c r="B39" s="52" t="n">
        <v>46057</v>
      </c>
      <c r="C39" s="36" t="inlineStr">
        <is>
          <t>00310737220</t>
        </is>
      </c>
      <c r="D39" s="53" t="inlineStr">
        <is>
          <t>BUDESONIDE-FORMOTEROL FUMARATE 80-4.5MCG/ACT AEROSOL</t>
        </is>
      </c>
      <c r="E39" s="36" t="n">
        <v>10.2</v>
      </c>
      <c r="F39" s="54" t="n">
        <v>10.2</v>
      </c>
      <c r="G39" s="54" t="n">
        <v>1</v>
      </c>
      <c r="H39" s="55" t="n">
        <v>139</v>
      </c>
      <c r="I39" s="55" t="n">
        <v>140.1</v>
      </c>
      <c r="J39" s="55" t="n">
        <v>0</v>
      </c>
      <c r="K39" s="55" t="n">
        <v>1</v>
      </c>
      <c r="L39" s="55" t="n">
        <v>141.1</v>
      </c>
      <c r="M39" s="55" t="n">
        <v>2.1</v>
      </c>
      <c r="N39" s="36" t="inlineStr">
        <is>
          <t>004336</t>
        </is>
      </c>
      <c r="O39" s="36" t="inlineStr">
        <is>
          <t>CAREMARK</t>
        </is>
      </c>
      <c r="P39" s="36" t="inlineStr">
        <is>
          <t>ADV</t>
        </is>
      </c>
      <c r="Q39" s="36" t="inlineStr">
        <is>
          <t>RX1103</t>
        </is>
      </c>
    </row>
    <row r="40">
      <c r="A40" s="36" t="inlineStr">
        <is>
          <t>137336</t>
        </is>
      </c>
      <c r="B40" s="52" t="n">
        <v>46024</v>
      </c>
      <c r="C40" s="36" t="inlineStr">
        <is>
          <t>00310737220</t>
        </is>
      </c>
      <c r="D40" s="53" t="inlineStr">
        <is>
          <t>BUDESONIDE-FORMOTEROL FUMARATE 80-4.5MCG/ACT AEROSOL</t>
        </is>
      </c>
      <c r="E40" s="36" t="n">
        <v>10.2</v>
      </c>
      <c r="F40" s="54" t="n">
        <v>10.2</v>
      </c>
      <c r="G40" s="54" t="n">
        <v>1</v>
      </c>
      <c r="H40" s="55" t="n">
        <v>139</v>
      </c>
      <c r="I40" s="55" t="n">
        <v>80.84999999999999</v>
      </c>
      <c r="J40" s="55" t="n">
        <v>357.59</v>
      </c>
      <c r="K40" s="55" t="n">
        <v>15</v>
      </c>
      <c r="L40" s="55" t="n">
        <v>453.44</v>
      </c>
      <c r="M40" s="55" t="n">
        <v>314.44</v>
      </c>
      <c r="N40" s="36" t="inlineStr">
        <is>
          <t>020099</t>
        </is>
      </c>
      <c r="O40" s="36" t="inlineStr">
        <is>
          <t>CAREMARK</t>
        </is>
      </c>
      <c r="P40" s="36" t="inlineStr">
        <is>
          <t>WG</t>
        </is>
      </c>
      <c r="Q40" s="36" t="inlineStr">
        <is>
          <t>WLDA</t>
        </is>
      </c>
    </row>
    <row r="41">
      <c r="A41" s="36" t="inlineStr">
        <is>
          <t>134340</t>
        </is>
      </c>
      <c r="B41" s="52" t="n">
        <v>46056</v>
      </c>
      <c r="C41" s="36" t="inlineStr">
        <is>
          <t>00310737020</t>
        </is>
      </c>
      <c r="D41" s="53" t="inlineStr">
        <is>
          <t>BUDESONIDE/FORMOTEROL 160 /4.5 MCG (SYMBICORT)</t>
        </is>
      </c>
      <c r="E41" s="36" t="n">
        <v>10.2</v>
      </c>
      <c r="F41" s="54" t="n">
        <v>10.2</v>
      </c>
      <c r="G41" s="54" t="n">
        <v>1</v>
      </c>
      <c r="H41" s="55" t="n">
        <v>180</v>
      </c>
      <c r="I41" s="55" t="n">
        <v>209.2</v>
      </c>
      <c r="J41" s="55" t="n">
        <v>0</v>
      </c>
      <c r="K41" s="55" t="n">
        <v>10</v>
      </c>
      <c r="L41" s="55" t="n">
        <v>219.2</v>
      </c>
      <c r="M41" s="55" t="n">
        <v>39.2</v>
      </c>
      <c r="N41" s="36" t="inlineStr">
        <is>
          <t>004336</t>
        </is>
      </c>
      <c r="O41" s="36" t="inlineStr">
        <is>
          <t>CAREMARK</t>
        </is>
      </c>
      <c r="P41" s="36" t="inlineStr">
        <is>
          <t>MEDDADV</t>
        </is>
      </c>
      <c r="Q41" s="36" t="inlineStr">
        <is>
          <t>RXCVSD</t>
        </is>
      </c>
    </row>
    <row r="42">
      <c r="A42" s="36" t="inlineStr">
        <is>
          <t>143119</t>
        </is>
      </c>
      <c r="B42" s="52" t="n">
        <v>46065</v>
      </c>
      <c r="C42" s="36" t="inlineStr">
        <is>
          <t>00310737020</t>
        </is>
      </c>
      <c r="D42" s="53" t="inlineStr">
        <is>
          <t>BUDESONIDE/FORMOTEROL 160 /4.5 MCG (SYMBICORT)</t>
        </is>
      </c>
      <c r="E42" s="36" t="n">
        <v>10.2</v>
      </c>
      <c r="F42" s="54" t="n">
        <v>30.6</v>
      </c>
      <c r="G42" s="54" t="n">
        <v>3</v>
      </c>
      <c r="H42" s="55" t="n">
        <v>540</v>
      </c>
      <c r="I42" s="55" t="n">
        <v>544.13</v>
      </c>
      <c r="J42" s="55" t="n">
        <v>0</v>
      </c>
      <c r="K42" s="55" t="n">
        <v>18</v>
      </c>
      <c r="L42" s="55" t="n">
        <v>562.13</v>
      </c>
      <c r="M42" s="55" t="n">
        <v>22.13</v>
      </c>
      <c r="N42" s="36" t="inlineStr">
        <is>
          <t>003858</t>
        </is>
      </c>
      <c r="O42" s="36" t="inlineStr">
        <is>
          <t>EXPRESS</t>
        </is>
      </c>
      <c r="P42" s="36" t="inlineStr">
        <is>
          <t>A4</t>
        </is>
      </c>
      <c r="Q42" s="36" t="inlineStr">
        <is>
          <t>2GKA</t>
        </is>
      </c>
    </row>
    <row r="43">
      <c r="A43" s="36" t="inlineStr">
        <is>
          <t>107813</t>
        </is>
      </c>
      <c r="B43" s="52" t="n">
        <v>46076</v>
      </c>
      <c r="C43" s="36" t="inlineStr">
        <is>
          <t>00310737020</t>
        </is>
      </c>
      <c r="D43" s="53" t="inlineStr">
        <is>
          <t>BUDESONIDE/FORMOTEROL 160 /4.5 MCG (SYMBICORT)</t>
        </is>
      </c>
      <c r="E43" s="36" t="n">
        <v>10.2</v>
      </c>
      <c r="F43" s="54" t="n">
        <v>10.2</v>
      </c>
      <c r="G43" s="54" t="n">
        <v>1</v>
      </c>
      <c r="H43" s="55" t="n">
        <v>180</v>
      </c>
      <c r="I43" s="55" t="n">
        <v>182.38</v>
      </c>
      <c r="J43" s="55" t="n">
        <v>0</v>
      </c>
      <c r="K43" s="55" t="n">
        <v>5</v>
      </c>
      <c r="L43" s="55" t="n">
        <v>187.38</v>
      </c>
      <c r="M43" s="55" t="n">
        <v>7.38</v>
      </c>
      <c r="N43" s="36" t="inlineStr">
        <is>
          <t>610014</t>
        </is>
      </c>
      <c r="O43" s="36" t="inlineStr">
        <is>
          <t>EXPRESS</t>
        </is>
      </c>
      <c r="P43" s="36" t="inlineStr">
        <is>
          <t>PEU</t>
        </is>
      </c>
      <c r="Q43" s="36" t="inlineStr">
        <is>
          <t>SSEU371</t>
        </is>
      </c>
    </row>
    <row r="44">
      <c r="A44" s="36" t="inlineStr">
        <is>
          <t>143747</t>
        </is>
      </c>
      <c r="B44" s="52" t="n">
        <v>46071</v>
      </c>
      <c r="C44" s="36" t="inlineStr">
        <is>
          <t>00074732713</t>
        </is>
      </c>
      <c r="D44" s="53" t="inlineStr">
        <is>
          <t>DEPAKOTE 500MG TABLET DELAYED RELEASE</t>
        </is>
      </c>
      <c r="E44" s="36" t="n">
        <v>100</v>
      </c>
      <c r="F44" s="54" t="n">
        <v>60</v>
      </c>
      <c r="G44" s="54" t="n">
        <v>0.6</v>
      </c>
      <c r="H44" s="55" t="n">
        <v>430.2</v>
      </c>
      <c r="I44" s="55" t="n">
        <v>458.27</v>
      </c>
      <c r="J44" s="55" t="n">
        <v>0</v>
      </c>
      <c r="K44" s="55" t="n">
        <v>0</v>
      </c>
      <c r="L44" s="55" t="n">
        <v>458.27</v>
      </c>
      <c r="M44" s="55" t="n">
        <v>28.07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129248</t>
        </is>
      </c>
      <c r="B45" s="52" t="n">
        <v>46015</v>
      </c>
      <c r="C45" s="36" t="inlineStr">
        <is>
          <t>00074732713</t>
        </is>
      </c>
      <c r="D45" s="53" t="inlineStr">
        <is>
          <t>DEPAKOTE 500MG TABLET DELAYED RELEASE</t>
        </is>
      </c>
      <c r="E45" s="36" t="n">
        <v>100</v>
      </c>
      <c r="F45" s="54" t="n">
        <v>60</v>
      </c>
      <c r="G45" s="54" t="n">
        <v>0.6</v>
      </c>
      <c r="H45" s="55" t="n">
        <v>430.2</v>
      </c>
      <c r="I45" s="55" t="n">
        <v>436.93</v>
      </c>
      <c r="J45" s="55" t="n">
        <v>0</v>
      </c>
      <c r="K45" s="55" t="n">
        <v>0</v>
      </c>
      <c r="L45" s="55" t="n">
        <v>436.93</v>
      </c>
      <c r="M45" s="55" t="n">
        <v>6.73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129248</t>
        </is>
      </c>
      <c r="B46" s="52" t="n">
        <v>46043</v>
      </c>
      <c r="C46" s="36" t="inlineStr">
        <is>
          <t>00074732713</t>
        </is>
      </c>
      <c r="D46" s="53" t="inlineStr">
        <is>
          <t>DEPAKOTE 500MG TABLET DELAYED RELEASE</t>
        </is>
      </c>
      <c r="E46" s="36" t="n">
        <v>100</v>
      </c>
      <c r="F46" s="54" t="n">
        <v>60</v>
      </c>
      <c r="G46" s="54" t="n">
        <v>0.6</v>
      </c>
      <c r="H46" s="55" t="n">
        <v>430.2</v>
      </c>
      <c r="I46" s="55" t="n">
        <v>458.27</v>
      </c>
      <c r="J46" s="55" t="n">
        <v>0</v>
      </c>
      <c r="K46" s="55" t="n">
        <v>0</v>
      </c>
      <c r="L46" s="55" t="n">
        <v>458.27</v>
      </c>
      <c r="M46" s="55" t="n">
        <v>28.07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129247</t>
        </is>
      </c>
      <c r="B47" s="52" t="n">
        <v>46015</v>
      </c>
      <c r="C47" s="36" t="inlineStr">
        <is>
          <t>00074740113</t>
        </is>
      </c>
      <c r="D47" s="53" t="inlineStr">
        <is>
          <t>DEPAKOTE ER 250 MG TABLET</t>
        </is>
      </c>
      <c r="E47" s="36" t="n">
        <v>100</v>
      </c>
      <c r="F47" s="54" t="n">
        <v>30</v>
      </c>
      <c r="G47" s="54" t="n">
        <v>0.3</v>
      </c>
      <c r="H47" s="55" t="n">
        <v>105.9</v>
      </c>
      <c r="I47" s="55" t="n">
        <v>115.53</v>
      </c>
      <c r="J47" s="55" t="n">
        <v>0</v>
      </c>
      <c r="K47" s="55" t="n">
        <v>0</v>
      </c>
      <c r="L47" s="55" t="n">
        <v>115.53</v>
      </c>
      <c r="M47" s="55" t="n">
        <v>9.630000000000001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143746</t>
        </is>
      </c>
      <c r="B48" s="52" t="n">
        <v>46071</v>
      </c>
      <c r="C48" s="36" t="inlineStr">
        <is>
          <t>00074740113</t>
        </is>
      </c>
      <c r="D48" s="53" t="inlineStr">
        <is>
          <t>DEPAKOTE ER 250 MG TABLET</t>
        </is>
      </c>
      <c r="E48" s="36" t="n">
        <v>100</v>
      </c>
      <c r="F48" s="54" t="n">
        <v>30</v>
      </c>
      <c r="G48" s="54" t="n">
        <v>0.3</v>
      </c>
      <c r="H48" s="55" t="n">
        <v>105.9</v>
      </c>
      <c r="I48" s="55" t="n">
        <v>120.79</v>
      </c>
      <c r="J48" s="55" t="n">
        <v>0</v>
      </c>
      <c r="K48" s="55" t="n">
        <v>0</v>
      </c>
      <c r="L48" s="55" t="n">
        <v>120.79</v>
      </c>
      <c r="M48" s="55" t="n">
        <v>14.89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129247</t>
        </is>
      </c>
      <c r="B49" s="52" t="n">
        <v>46043</v>
      </c>
      <c r="C49" s="36" t="inlineStr">
        <is>
          <t>00074740113</t>
        </is>
      </c>
      <c r="D49" s="53" t="inlineStr">
        <is>
          <t>DEPAKOTE ER 250 MG TABLET</t>
        </is>
      </c>
      <c r="E49" s="36" t="n">
        <v>100</v>
      </c>
      <c r="F49" s="54" t="n">
        <v>30</v>
      </c>
      <c r="G49" s="54" t="n">
        <v>0.3</v>
      </c>
      <c r="H49" s="55" t="n">
        <v>105.9</v>
      </c>
      <c r="I49" s="55" t="n">
        <v>120.79</v>
      </c>
      <c r="J49" s="55" t="n">
        <v>0</v>
      </c>
      <c r="K49" s="55" t="n">
        <v>0</v>
      </c>
      <c r="L49" s="55" t="n">
        <v>120.79</v>
      </c>
      <c r="M49" s="55" t="n">
        <v>14.89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140651</t>
        </is>
      </c>
      <c r="B50" s="52" t="n">
        <v>46049</v>
      </c>
      <c r="C50" s="36" t="inlineStr">
        <is>
          <t>08627007701</t>
        </is>
      </c>
      <c r="D50" s="53" t="inlineStr">
        <is>
          <t>DEXCOM G7 SENSOR</t>
        </is>
      </c>
      <c r="E50" s="36" t="n">
        <v>1</v>
      </c>
      <c r="F50" s="54" t="n">
        <v>3</v>
      </c>
      <c r="G50" s="54" t="n">
        <v>3</v>
      </c>
      <c r="H50" s="55" t="n">
        <v>387</v>
      </c>
      <c r="I50" s="55" t="n">
        <v>387.87</v>
      </c>
      <c r="J50" s="55" t="n">
        <v>0</v>
      </c>
      <c r="K50" s="55" t="n">
        <v>0</v>
      </c>
      <c r="L50" s="55" t="n">
        <v>387.87</v>
      </c>
      <c r="M50" s="55" t="n">
        <v>0.87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140651</t>
        </is>
      </c>
      <c r="B51" s="52" t="n">
        <v>46077</v>
      </c>
      <c r="C51" s="36" t="inlineStr">
        <is>
          <t>08627007701</t>
        </is>
      </c>
      <c r="D51" s="53" t="inlineStr">
        <is>
          <t>DEXCOM G7 SENSOR</t>
        </is>
      </c>
      <c r="E51" s="36" t="n">
        <v>1</v>
      </c>
      <c r="F51" s="54" t="n">
        <v>3</v>
      </c>
      <c r="G51" s="54" t="n">
        <v>3</v>
      </c>
      <c r="H51" s="55" t="n">
        <v>387</v>
      </c>
      <c r="I51" s="55" t="n">
        <v>387.87</v>
      </c>
      <c r="J51" s="55" t="n">
        <v>0</v>
      </c>
      <c r="K51" s="55" t="n">
        <v>0</v>
      </c>
      <c r="L51" s="55" t="n">
        <v>387.87</v>
      </c>
      <c r="M51" s="55" t="n">
        <v>0.87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126260</t>
        </is>
      </c>
      <c r="B52" s="52" t="n">
        <v>45993</v>
      </c>
      <c r="C52" s="36" t="inlineStr">
        <is>
          <t>08627007701</t>
        </is>
      </c>
      <c r="D52" s="53" t="inlineStr">
        <is>
          <t>DEXCOM G7 SENSOR</t>
        </is>
      </c>
      <c r="E52" s="36" t="n">
        <v>1</v>
      </c>
      <c r="F52" s="54" t="n">
        <v>3</v>
      </c>
      <c r="G52" s="54" t="n">
        <v>3</v>
      </c>
      <c r="H52" s="55" t="n">
        <v>378</v>
      </c>
      <c r="I52" s="55" t="n">
        <v>349.71</v>
      </c>
      <c r="J52" s="55" t="n">
        <v>0</v>
      </c>
      <c r="K52" s="55" t="n">
        <v>30</v>
      </c>
      <c r="L52" s="55" t="n">
        <v>379.71</v>
      </c>
      <c r="M52" s="55" t="n">
        <v>1.71</v>
      </c>
      <c r="N52" s="36" t="inlineStr">
        <is>
          <t>610011</t>
        </is>
      </c>
      <c r="O52" s="36" t="inlineStr">
        <is>
          <t>OPTUM</t>
        </is>
      </c>
      <c r="P52" s="36" t="inlineStr">
        <is>
          <t>IRX</t>
        </is>
      </c>
      <c r="Q52" s="36" t="inlineStr">
        <is>
          <t>32BJRX</t>
        </is>
      </c>
    </row>
    <row r="53">
      <c r="A53" s="36" t="inlineStr">
        <is>
          <t>129582</t>
        </is>
      </c>
      <c r="B53" s="52" t="n">
        <v>46056</v>
      </c>
      <c r="C53" s="36" t="inlineStr">
        <is>
          <t>08627007701</t>
        </is>
      </c>
      <c r="D53" s="53" t="inlineStr">
        <is>
          <t>DEXCOM G7 SENSOR</t>
        </is>
      </c>
      <c r="E53" s="36" t="n">
        <v>1</v>
      </c>
      <c r="F53" s="54" t="n">
        <v>3</v>
      </c>
      <c r="G53" s="54" t="n">
        <v>3</v>
      </c>
      <c r="H53" s="55" t="n">
        <v>387</v>
      </c>
      <c r="I53" s="55" t="n">
        <v>387.87</v>
      </c>
      <c r="J53" s="55" t="n">
        <v>0</v>
      </c>
      <c r="K53" s="55" t="n">
        <v>0</v>
      </c>
      <c r="L53" s="55" t="n">
        <v>387.87</v>
      </c>
      <c r="M53" s="55" t="n">
        <v>0.87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126260</t>
        </is>
      </c>
      <c r="B54" s="52" t="n">
        <v>46021</v>
      </c>
      <c r="C54" s="36" t="inlineStr">
        <is>
          <t>08627007701</t>
        </is>
      </c>
      <c r="D54" s="53" t="inlineStr">
        <is>
          <t>DEXCOM G7 SENSOR</t>
        </is>
      </c>
      <c r="E54" s="36" t="n">
        <v>1</v>
      </c>
      <c r="F54" s="54" t="n">
        <v>3</v>
      </c>
      <c r="G54" s="54" t="n">
        <v>3</v>
      </c>
      <c r="H54" s="55" t="n">
        <v>378</v>
      </c>
      <c r="I54" s="55" t="n">
        <v>349.71</v>
      </c>
      <c r="J54" s="55" t="n">
        <v>0</v>
      </c>
      <c r="K54" s="55" t="n">
        <v>30</v>
      </c>
      <c r="L54" s="55" t="n">
        <v>379.71</v>
      </c>
      <c r="M54" s="55" t="n">
        <v>1.71</v>
      </c>
      <c r="N54" s="36" t="inlineStr">
        <is>
          <t>610011</t>
        </is>
      </c>
      <c r="O54" s="36" t="inlineStr">
        <is>
          <t>OPTUM</t>
        </is>
      </c>
      <c r="P54" s="36" t="inlineStr">
        <is>
          <t>IRX</t>
        </is>
      </c>
      <c r="Q54" s="36" t="inlineStr">
        <is>
          <t>32BJRX</t>
        </is>
      </c>
    </row>
    <row r="55">
      <c r="A55" s="36" t="inlineStr">
        <is>
          <t>129582</t>
        </is>
      </c>
      <c r="B55" s="52" t="n">
        <v>46028</v>
      </c>
      <c r="C55" s="36" t="inlineStr">
        <is>
          <t>08627007701</t>
        </is>
      </c>
      <c r="D55" s="53" t="inlineStr">
        <is>
          <t>DEXCOM G7 SENSOR</t>
        </is>
      </c>
      <c r="E55" s="36" t="n">
        <v>1</v>
      </c>
      <c r="F55" s="54" t="n">
        <v>3</v>
      </c>
      <c r="G55" s="54" t="n">
        <v>3</v>
      </c>
      <c r="H55" s="55" t="n">
        <v>387</v>
      </c>
      <c r="I55" s="55" t="n">
        <v>387.87</v>
      </c>
      <c r="J55" s="55" t="n">
        <v>0</v>
      </c>
      <c r="K55" s="55" t="n">
        <v>0</v>
      </c>
      <c r="L55" s="55" t="n">
        <v>387.87</v>
      </c>
      <c r="M55" s="55" t="n">
        <v>0.87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136063</t>
        </is>
      </c>
      <c r="B56" s="52" t="n">
        <v>46013</v>
      </c>
      <c r="C56" s="36" t="inlineStr">
        <is>
          <t>65162099708</t>
        </is>
      </c>
      <c r="D56" s="53" t="inlineStr">
        <is>
          <t>DOTTI 0.1 MG/24HR TRANSDERMAL PATCH TWICE WEEKLY</t>
        </is>
      </c>
      <c r="E56" s="36" t="n">
        <v>8</v>
      </c>
      <c r="F56" s="54" t="n">
        <v>8</v>
      </c>
      <c r="G56" s="54" t="n">
        <v>1</v>
      </c>
      <c r="H56" s="55" t="n">
        <v>49</v>
      </c>
      <c r="I56" s="55" t="n">
        <v>63.39</v>
      </c>
      <c r="J56" s="55" t="n">
        <v>0</v>
      </c>
      <c r="K56" s="55" t="n">
        <v>1</v>
      </c>
      <c r="L56" s="55" t="n">
        <v>64.39</v>
      </c>
      <c r="M56" s="55" t="n">
        <v>15.39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116500</t>
        </is>
      </c>
      <c r="B57" s="52" t="n">
        <v>46065</v>
      </c>
      <c r="C57" s="36" t="inlineStr">
        <is>
          <t>49702024613</t>
        </is>
      </c>
      <c r="D57" s="53" t="inlineStr">
        <is>
          <t>DOVATO 50-300 MG ORAL TABLET</t>
        </is>
      </c>
      <c r="E57" s="36" t="n">
        <v>30</v>
      </c>
      <c r="F57" s="54" t="n">
        <v>30</v>
      </c>
      <c r="G57" s="54" t="n">
        <v>1</v>
      </c>
      <c r="H57" s="55" t="n">
        <v>3018</v>
      </c>
      <c r="I57" s="55" t="n">
        <v>3092.9</v>
      </c>
      <c r="J57" s="55" t="n">
        <v>0</v>
      </c>
      <c r="K57" s="55" t="n">
        <v>0</v>
      </c>
      <c r="L57" s="55" t="n">
        <v>3092.9</v>
      </c>
      <c r="M57" s="55" t="n">
        <v>74.90000000000001</v>
      </c>
      <c r="N57" s="36" t="inlineStr">
        <is>
          <t>004336</t>
        </is>
      </c>
      <c r="O57" s="36" t="inlineStr">
        <is>
          <t>CAREMARK</t>
        </is>
      </c>
      <c r="P57" s="36" t="inlineStr">
        <is>
          <t>MEDDADV</t>
        </is>
      </c>
      <c r="Q57" s="36" t="inlineStr">
        <is>
          <t>RX1110</t>
        </is>
      </c>
    </row>
    <row r="58">
      <c r="A58" s="36" t="inlineStr">
        <is>
          <t>116500</t>
        </is>
      </c>
      <c r="B58" s="52" t="n">
        <v>46037</v>
      </c>
      <c r="C58" s="36" t="inlineStr">
        <is>
          <t>49702024613</t>
        </is>
      </c>
      <c r="D58" s="53" t="inlineStr">
        <is>
          <t>DOVATO 50-300 MG ORAL TABLET</t>
        </is>
      </c>
      <c r="E58" s="36" t="n">
        <v>30</v>
      </c>
      <c r="F58" s="54" t="n">
        <v>30</v>
      </c>
      <c r="G58" s="54" t="n">
        <v>1</v>
      </c>
      <c r="H58" s="55" t="n">
        <v>3018</v>
      </c>
      <c r="I58" s="55" t="n">
        <v>3081.59</v>
      </c>
      <c r="J58" s="55" t="n">
        <v>0</v>
      </c>
      <c r="K58" s="55" t="n">
        <v>0</v>
      </c>
      <c r="L58" s="55" t="n">
        <v>3081.59</v>
      </c>
      <c r="M58" s="55" t="n">
        <v>63.59</v>
      </c>
      <c r="N58" s="36" t="inlineStr">
        <is>
          <t>015574</t>
        </is>
      </c>
      <c r="O58" s="36" t="inlineStr">
        <is>
          <t>MEDIMP</t>
        </is>
      </c>
      <c r="P58" s="36" t="inlineStr">
        <is>
          <t>ASPROD1</t>
        </is>
      </c>
      <c r="Q58" s="36" t="n">
        <v/>
      </c>
    </row>
    <row r="59">
      <c r="A59" s="36" t="inlineStr">
        <is>
          <t>138836</t>
        </is>
      </c>
      <c r="B59" s="52" t="n">
        <v>46035</v>
      </c>
      <c r="C59" s="36" t="inlineStr">
        <is>
          <t>78206012601</t>
        </is>
      </c>
      <c r="D59" s="53" t="inlineStr">
        <is>
          <t>DULERA 200-5 MCG/ACT INH AEROSOL 13GM</t>
        </is>
      </c>
      <c r="E59" s="36" t="n">
        <v>13</v>
      </c>
      <c r="F59" s="54" t="n">
        <v>39</v>
      </c>
      <c r="G59" s="54" t="n">
        <v>3</v>
      </c>
      <c r="H59" s="55" t="n">
        <v>993</v>
      </c>
      <c r="I59" s="55" t="n">
        <v>994.52</v>
      </c>
      <c r="J59" s="55" t="n">
        <v>0</v>
      </c>
      <c r="K59" s="55" t="n">
        <v>0</v>
      </c>
      <c r="L59" s="55" t="n">
        <v>994.52</v>
      </c>
      <c r="M59" s="55" t="n">
        <v>1.52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123970</t>
        </is>
      </c>
      <c r="B60" s="52" t="n">
        <v>46006</v>
      </c>
      <c r="C60" s="36" t="inlineStr">
        <is>
          <t>00003089321</t>
        </is>
      </c>
      <c r="D60" s="53" t="inlineStr">
        <is>
          <t xml:space="preserve">ELIQUIS 2.5MG TAB </t>
        </is>
      </c>
      <c r="E60" s="36" t="n">
        <v>60</v>
      </c>
      <c r="F60" s="54" t="n">
        <v>60</v>
      </c>
      <c r="G60" s="54" t="n">
        <v>1</v>
      </c>
      <c r="H60" s="55" t="n">
        <v>333</v>
      </c>
      <c r="I60" s="55" t="n">
        <v>579.62</v>
      </c>
      <c r="J60" s="55" t="n">
        <v>0</v>
      </c>
      <c r="K60" s="55" t="n">
        <v>0</v>
      </c>
      <c r="L60" s="55" t="n">
        <v>579.62</v>
      </c>
      <c r="M60" s="55" t="n">
        <v>246.62</v>
      </c>
      <c r="N60" s="36" t="inlineStr">
        <is>
          <t>004336</t>
        </is>
      </c>
      <c r="O60" s="36" t="inlineStr">
        <is>
          <t>CAREMARK</t>
        </is>
      </c>
      <c r="P60" s="36" t="inlineStr">
        <is>
          <t>MEDDADV</t>
        </is>
      </c>
      <c r="Q60" s="36" t="inlineStr">
        <is>
          <t>RX8541</t>
        </is>
      </c>
    </row>
    <row r="61">
      <c r="A61" s="36" t="inlineStr">
        <is>
          <t>135385</t>
        </is>
      </c>
      <c r="B61" s="52" t="n">
        <v>46007</v>
      </c>
      <c r="C61" s="36" t="inlineStr">
        <is>
          <t>00003089321</t>
        </is>
      </c>
      <c r="D61" s="53" t="inlineStr">
        <is>
          <t xml:space="preserve">ELIQUIS 2.5MG TAB </t>
        </is>
      </c>
      <c r="E61" s="36" t="n">
        <v>60</v>
      </c>
      <c r="F61" s="54" t="n">
        <v>60</v>
      </c>
      <c r="G61" s="54" t="n">
        <v>1</v>
      </c>
      <c r="H61" s="55" t="n">
        <v>333</v>
      </c>
      <c r="I61" s="55" t="n">
        <v>591.49</v>
      </c>
      <c r="J61" s="55" t="n">
        <v>0</v>
      </c>
      <c r="K61" s="55" t="n">
        <v>0</v>
      </c>
      <c r="L61" s="55" t="n">
        <v>591.49</v>
      </c>
      <c r="M61" s="55" t="n">
        <v>258.49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140937</t>
        </is>
      </c>
      <c r="B62" s="52" t="n">
        <v>46050</v>
      </c>
      <c r="C62" s="36" t="inlineStr">
        <is>
          <t>00003089321</t>
        </is>
      </c>
      <c r="D62" s="53" t="inlineStr">
        <is>
          <t xml:space="preserve">ELIQUIS 2.5MG TAB </t>
        </is>
      </c>
      <c r="E62" s="36" t="n">
        <v>60</v>
      </c>
      <c r="F62" s="54" t="n">
        <v>60</v>
      </c>
      <c r="G62" s="54" t="n">
        <v>1</v>
      </c>
      <c r="H62" s="55" t="n">
        <v>333</v>
      </c>
      <c r="I62" s="55" t="n">
        <v>341.57</v>
      </c>
      <c r="J62" s="55" t="n">
        <v>0</v>
      </c>
      <c r="K62" s="55" t="n">
        <v>0</v>
      </c>
      <c r="L62" s="55" t="n">
        <v>341.57</v>
      </c>
      <c r="M62" s="55" t="n">
        <v>8.57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118173</t>
        </is>
      </c>
      <c r="B63" s="52" t="n">
        <v>46015</v>
      </c>
      <c r="C63" s="36" t="inlineStr">
        <is>
          <t>00003089321</t>
        </is>
      </c>
      <c r="D63" s="53" t="inlineStr">
        <is>
          <t xml:space="preserve">ELIQUIS 2.5MG TAB </t>
        </is>
      </c>
      <c r="E63" s="36" t="n">
        <v>60</v>
      </c>
      <c r="F63" s="54" t="n">
        <v>60</v>
      </c>
      <c r="G63" s="54" t="n">
        <v>1</v>
      </c>
      <c r="H63" s="55" t="n">
        <v>333</v>
      </c>
      <c r="I63" s="55" t="n">
        <v>591.5599999999999</v>
      </c>
      <c r="J63" s="55" t="n">
        <v>0</v>
      </c>
      <c r="K63" s="55" t="n">
        <v>0</v>
      </c>
      <c r="L63" s="55" t="n">
        <v>591.5599999999999</v>
      </c>
      <c r="M63" s="55" t="n">
        <v>258.56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123970</t>
        </is>
      </c>
      <c r="B64" s="52" t="n">
        <v>46062</v>
      </c>
      <c r="C64" s="36" t="inlineStr">
        <is>
          <t>00003089321</t>
        </is>
      </c>
      <c r="D64" s="53" t="inlineStr">
        <is>
          <t xml:space="preserve">ELIQUIS 2.5MG TAB </t>
        </is>
      </c>
      <c r="E64" s="36" t="n">
        <v>60</v>
      </c>
      <c r="F64" s="54" t="n">
        <v>60</v>
      </c>
      <c r="G64" s="54" t="n">
        <v>1</v>
      </c>
      <c r="H64" s="55" t="n">
        <v>336</v>
      </c>
      <c r="I64" s="55" t="n">
        <v>243.56</v>
      </c>
      <c r="J64" s="55" t="n">
        <v>96.89</v>
      </c>
      <c r="K64" s="55" t="n">
        <v>4.9</v>
      </c>
      <c r="L64" s="55" t="n">
        <v>345.35</v>
      </c>
      <c r="M64" s="55" t="n">
        <v>9.35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RX8541</t>
        </is>
      </c>
    </row>
    <row r="65">
      <c r="A65" s="36" t="inlineStr">
        <is>
          <t>137077</t>
        </is>
      </c>
      <c r="B65" s="52" t="n">
        <v>46022</v>
      </c>
      <c r="C65" s="36" t="inlineStr">
        <is>
          <t>00003089321</t>
        </is>
      </c>
      <c r="D65" s="53" t="inlineStr">
        <is>
          <t xml:space="preserve">ELIQUIS 2.5MG TAB </t>
        </is>
      </c>
      <c r="E65" s="36" t="n">
        <v>60</v>
      </c>
      <c r="F65" s="54" t="n">
        <v>180</v>
      </c>
      <c r="G65" s="54" t="n">
        <v>3</v>
      </c>
      <c r="H65" s="55" t="n">
        <v>999</v>
      </c>
      <c r="I65" s="55" t="n">
        <v>1691.21</v>
      </c>
      <c r="J65" s="55" t="n">
        <v>0</v>
      </c>
      <c r="K65" s="55" t="n">
        <v>0</v>
      </c>
      <c r="L65" s="55" t="n">
        <v>1691.21</v>
      </c>
      <c r="M65" s="55" t="n">
        <v>692.21</v>
      </c>
      <c r="N65" s="36" t="inlineStr">
        <is>
          <t>004336</t>
        </is>
      </c>
      <c r="O65" s="36" t="inlineStr">
        <is>
          <t>CAREMARK</t>
        </is>
      </c>
      <c r="P65" s="36" t="inlineStr">
        <is>
          <t>MEDDADV</t>
        </is>
      </c>
      <c r="Q65" s="36" t="inlineStr">
        <is>
          <t>RX1110</t>
        </is>
      </c>
    </row>
    <row r="66">
      <c r="A66" s="36" t="inlineStr">
        <is>
          <t>126266</t>
        </is>
      </c>
      <c r="B66" s="52" t="n">
        <v>46017</v>
      </c>
      <c r="C66" s="36" t="inlineStr">
        <is>
          <t>00003089321</t>
        </is>
      </c>
      <c r="D66" s="53" t="inlineStr">
        <is>
          <t xml:space="preserve">ELIQUIS 2.5MG TAB </t>
        </is>
      </c>
      <c r="E66" s="36" t="n">
        <v>60</v>
      </c>
      <c r="F66" s="54" t="n">
        <v>180</v>
      </c>
      <c r="G66" s="54" t="n">
        <v>3</v>
      </c>
      <c r="H66" s="55" t="n">
        <v>999</v>
      </c>
      <c r="I66" s="55" t="n">
        <v>1754.31</v>
      </c>
      <c r="J66" s="55" t="n">
        <v>0</v>
      </c>
      <c r="K66" s="55" t="n">
        <v>0</v>
      </c>
      <c r="L66" s="55" t="n">
        <v>1754.31</v>
      </c>
      <c r="M66" s="55" t="n">
        <v>755.3099999999999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123970</t>
        </is>
      </c>
      <c r="B67" s="52" t="n">
        <v>46034</v>
      </c>
      <c r="C67" s="36" t="inlineStr">
        <is>
          <t>00003089321</t>
        </is>
      </c>
      <c r="D67" s="53" t="inlineStr">
        <is>
          <t xml:space="preserve">ELIQUIS 2.5MG TAB </t>
        </is>
      </c>
      <c r="E67" s="36" t="n">
        <v>60</v>
      </c>
      <c r="F67" s="54" t="n">
        <v>60</v>
      </c>
      <c r="G67" s="54" t="n">
        <v>1</v>
      </c>
      <c r="H67" s="55" t="n">
        <v>333</v>
      </c>
      <c r="I67" s="55" t="n">
        <v>243.56</v>
      </c>
      <c r="J67" s="55" t="n">
        <v>96.89</v>
      </c>
      <c r="K67" s="55" t="n">
        <v>4.9</v>
      </c>
      <c r="L67" s="55" t="n">
        <v>345.35</v>
      </c>
      <c r="M67" s="55" t="n">
        <v>12.35</v>
      </c>
      <c r="N67" s="36" t="inlineStr">
        <is>
          <t>004336</t>
        </is>
      </c>
      <c r="O67" s="36" t="inlineStr">
        <is>
          <t>CAREMARK</t>
        </is>
      </c>
      <c r="P67" s="36" t="inlineStr">
        <is>
          <t>MEDDADV</t>
        </is>
      </c>
      <c r="Q67" s="36" t="inlineStr">
        <is>
          <t>RX8541</t>
        </is>
      </c>
    </row>
    <row r="68">
      <c r="A68" s="36" t="inlineStr">
        <is>
          <t>129627</t>
        </is>
      </c>
      <c r="B68" s="52" t="n">
        <v>45994</v>
      </c>
      <c r="C68" s="36" t="inlineStr">
        <is>
          <t>00003089321</t>
        </is>
      </c>
      <c r="D68" s="53" t="inlineStr">
        <is>
          <t xml:space="preserve">ELIQUIS 2.5MG TAB </t>
        </is>
      </c>
      <c r="E68" s="36" t="n">
        <v>60</v>
      </c>
      <c r="F68" s="54" t="n">
        <v>60</v>
      </c>
      <c r="G68" s="54" t="n">
        <v>1</v>
      </c>
      <c r="H68" s="55" t="n">
        <v>333</v>
      </c>
      <c r="I68" s="55" t="n">
        <v>571.61</v>
      </c>
      <c r="J68" s="55" t="n">
        <v>0</v>
      </c>
      <c r="K68" s="55" t="n">
        <v>0</v>
      </c>
      <c r="L68" s="55" t="n">
        <v>571.61</v>
      </c>
      <c r="M68" s="55" t="n">
        <v>238.61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MEDDADV</t>
        </is>
      </c>
      <c r="Q68" s="36" t="inlineStr">
        <is>
          <t>RX1110</t>
        </is>
      </c>
    </row>
    <row r="69">
      <c r="A69" s="36" t="inlineStr">
        <is>
          <t>132589</t>
        </is>
      </c>
      <c r="B69" s="52" t="n">
        <v>46073</v>
      </c>
      <c r="C69" s="36" t="inlineStr">
        <is>
          <t>00003089321</t>
        </is>
      </c>
      <c r="D69" s="53" t="inlineStr">
        <is>
          <t xml:space="preserve">ELIQUIS 2.5MG TAB </t>
        </is>
      </c>
      <c r="E69" s="36" t="n">
        <v>60</v>
      </c>
      <c r="F69" s="54" t="n">
        <v>180</v>
      </c>
      <c r="G69" s="54" t="n">
        <v>3</v>
      </c>
      <c r="H69" s="55" t="n">
        <v>1008</v>
      </c>
      <c r="I69" s="55" t="n">
        <v>740.87</v>
      </c>
      <c r="J69" s="55" t="n">
        <v>290.66</v>
      </c>
      <c r="K69" s="55" t="n">
        <v>4.9</v>
      </c>
      <c r="L69" s="55" t="n">
        <v>1036.43</v>
      </c>
      <c r="M69" s="55" t="n">
        <v>28.43</v>
      </c>
      <c r="N69" s="36" t="inlineStr">
        <is>
          <t>004336</t>
        </is>
      </c>
      <c r="O69" s="36" t="inlineStr">
        <is>
          <t>CAREMARK</t>
        </is>
      </c>
      <c r="P69" s="36" t="inlineStr">
        <is>
          <t>MEDDADV</t>
        </is>
      </c>
      <c r="Q69" s="36" t="inlineStr">
        <is>
          <t>RX1110</t>
        </is>
      </c>
    </row>
    <row r="70">
      <c r="A70" s="36" t="inlineStr">
        <is>
          <t>120419</t>
        </is>
      </c>
      <c r="B70" s="52" t="n">
        <v>46066</v>
      </c>
      <c r="C70" s="36" t="inlineStr">
        <is>
          <t>00003089321</t>
        </is>
      </c>
      <c r="D70" s="53" t="inlineStr">
        <is>
          <t xml:space="preserve">ELIQUIS 2.5MG TAB </t>
        </is>
      </c>
      <c r="E70" s="36" t="n">
        <v>60</v>
      </c>
      <c r="F70" s="54" t="n">
        <v>180</v>
      </c>
      <c r="G70" s="54" t="n">
        <v>3</v>
      </c>
      <c r="H70" s="55" t="n">
        <v>1008</v>
      </c>
      <c r="I70" s="55" t="n">
        <v>745.77</v>
      </c>
      <c r="J70" s="55" t="n">
        <v>290.66</v>
      </c>
      <c r="K70" s="55" t="n">
        <v>0</v>
      </c>
      <c r="L70" s="55" t="n">
        <v>1036.43</v>
      </c>
      <c r="M70" s="55" t="n">
        <v>28.43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RX8585</t>
        </is>
      </c>
    </row>
    <row r="71">
      <c r="A71" s="36" t="inlineStr">
        <is>
          <t>115384</t>
        </is>
      </c>
      <c r="B71" s="52" t="n">
        <v>46036</v>
      </c>
      <c r="C71" s="36" t="inlineStr">
        <is>
          <t>00003089321</t>
        </is>
      </c>
      <c r="D71" s="53" t="inlineStr">
        <is>
          <t xml:space="preserve">ELIQUIS 2.5MG TAB </t>
        </is>
      </c>
      <c r="E71" s="36" t="n">
        <v>60</v>
      </c>
      <c r="F71" s="54" t="n">
        <v>180</v>
      </c>
      <c r="G71" s="54" t="n">
        <v>3</v>
      </c>
      <c r="H71" s="55" t="n">
        <v>999</v>
      </c>
      <c r="I71" s="55" t="n">
        <v>745.77</v>
      </c>
      <c r="J71" s="55" t="n">
        <v>290.66</v>
      </c>
      <c r="K71" s="55" t="n">
        <v>0</v>
      </c>
      <c r="L71" s="55" t="n">
        <v>1036.43</v>
      </c>
      <c r="M71" s="55" t="n">
        <v>37.43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137248</t>
        </is>
      </c>
      <c r="B72" s="52" t="n">
        <v>46024</v>
      </c>
      <c r="C72" s="36" t="inlineStr">
        <is>
          <t>00003089421</t>
        </is>
      </c>
      <c r="D72" s="53" t="inlineStr">
        <is>
          <t xml:space="preserve">ELIQUIS 5MG TAB </t>
        </is>
      </c>
      <c r="E72" s="36" t="n">
        <v>60</v>
      </c>
      <c r="F72" s="54" t="n">
        <v>60</v>
      </c>
      <c r="G72" s="54" t="n">
        <v>1</v>
      </c>
      <c r="H72" s="55" t="n">
        <v>333</v>
      </c>
      <c r="I72" s="55" t="n">
        <v>248.49</v>
      </c>
      <c r="J72" s="55" t="n">
        <v>96.89</v>
      </c>
      <c r="K72" s="55" t="n">
        <v>4.9</v>
      </c>
      <c r="L72" s="55" t="n">
        <v>350.28</v>
      </c>
      <c r="M72" s="55" t="n">
        <v>17.28</v>
      </c>
      <c r="N72" s="36" t="inlineStr">
        <is>
          <t>015574</t>
        </is>
      </c>
      <c r="O72" s="36" t="inlineStr">
        <is>
          <t>MEDIMP</t>
        </is>
      </c>
      <c r="P72" s="36" t="inlineStr">
        <is>
          <t>ASPROD1</t>
        </is>
      </c>
      <c r="Q72" s="36" t="inlineStr">
        <is>
          <t>VNS01</t>
        </is>
      </c>
    </row>
    <row r="73">
      <c r="A73" s="36" t="inlineStr">
        <is>
          <t>141828</t>
        </is>
      </c>
      <c r="B73" s="52" t="n">
        <v>46059</v>
      </c>
      <c r="C73" s="36" t="inlineStr">
        <is>
          <t>00003089421</t>
        </is>
      </c>
      <c r="D73" s="53" t="inlineStr">
        <is>
          <t xml:space="preserve">ELIQUIS 5MG TAB </t>
        </is>
      </c>
      <c r="E73" s="36" t="n">
        <v>60</v>
      </c>
      <c r="F73" s="54" t="n">
        <v>180</v>
      </c>
      <c r="G73" s="54" t="n">
        <v>3</v>
      </c>
      <c r="H73" s="55" t="n">
        <v>1008</v>
      </c>
      <c r="I73" s="55" t="n">
        <v>740.87</v>
      </c>
      <c r="J73" s="55" t="n">
        <v>290.66</v>
      </c>
      <c r="K73" s="55" t="n">
        <v>4.9</v>
      </c>
      <c r="L73" s="55" t="n">
        <v>1036.43</v>
      </c>
      <c r="M73" s="55" t="n">
        <v>28.43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122107</t>
        </is>
      </c>
      <c r="B74" s="52" t="n">
        <v>46024</v>
      </c>
      <c r="C74" s="36" t="inlineStr">
        <is>
          <t>00003089421</t>
        </is>
      </c>
      <c r="D74" s="53" t="inlineStr">
        <is>
          <t xml:space="preserve">ELIQUIS 5MG TAB </t>
        </is>
      </c>
      <c r="E74" s="36" t="n">
        <v>60</v>
      </c>
      <c r="F74" s="54" t="n">
        <v>60</v>
      </c>
      <c r="G74" s="54" t="n">
        <v>1</v>
      </c>
      <c r="H74" s="55" t="n">
        <v>333</v>
      </c>
      <c r="I74" s="55" t="n">
        <v>248.46</v>
      </c>
      <c r="J74" s="55" t="n">
        <v>96.89</v>
      </c>
      <c r="K74" s="55" t="n">
        <v>0</v>
      </c>
      <c r="L74" s="55" t="n">
        <v>345.35</v>
      </c>
      <c r="M74" s="55" t="n">
        <v>12.35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142332</t>
        </is>
      </c>
      <c r="B75" s="52" t="n">
        <v>46062</v>
      </c>
      <c r="C75" s="36" t="inlineStr">
        <is>
          <t>00003089421</t>
        </is>
      </c>
      <c r="D75" s="53" t="inlineStr">
        <is>
          <t xml:space="preserve">ELIQUIS 5MG TAB </t>
        </is>
      </c>
      <c r="E75" s="36" t="n">
        <v>60</v>
      </c>
      <c r="F75" s="54" t="n">
        <v>180</v>
      </c>
      <c r="G75" s="54" t="n">
        <v>3</v>
      </c>
      <c r="H75" s="55" t="n">
        <v>1008</v>
      </c>
      <c r="I75" s="55" t="n">
        <v>740.87</v>
      </c>
      <c r="J75" s="55" t="n">
        <v>290.66</v>
      </c>
      <c r="K75" s="55" t="n">
        <v>4.9</v>
      </c>
      <c r="L75" s="55" t="n">
        <v>1036.43</v>
      </c>
      <c r="M75" s="55" t="n">
        <v>28.43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130287</t>
        </is>
      </c>
      <c r="B76" s="52" t="n">
        <v>46056</v>
      </c>
      <c r="C76" s="36" t="inlineStr">
        <is>
          <t>00003089421</t>
        </is>
      </c>
      <c r="D76" s="53" t="inlineStr">
        <is>
          <t xml:space="preserve">ELIQUIS 5MG TAB </t>
        </is>
      </c>
      <c r="E76" s="36" t="n">
        <v>60</v>
      </c>
      <c r="F76" s="54" t="n">
        <v>180</v>
      </c>
      <c r="G76" s="54" t="n">
        <v>3</v>
      </c>
      <c r="H76" s="55" t="n">
        <v>1008</v>
      </c>
      <c r="I76" s="55" t="n">
        <v>734.46</v>
      </c>
      <c r="J76" s="55" t="n">
        <v>290.66</v>
      </c>
      <c r="K76" s="55" t="n">
        <v>12.65</v>
      </c>
      <c r="L76" s="55" t="n">
        <v>1037.77</v>
      </c>
      <c r="M76" s="55" t="n">
        <v>29.77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MEDDPRIME</t>
        </is>
      </c>
      <c r="Q76" s="36" t="inlineStr">
        <is>
          <t>2FFA</t>
        </is>
      </c>
    </row>
    <row r="77">
      <c r="A77" s="36" t="inlineStr">
        <is>
          <t>109682</t>
        </is>
      </c>
      <c r="B77" s="52" t="n">
        <v>46027</v>
      </c>
      <c r="C77" s="36" t="inlineStr">
        <is>
          <t>00003089421</t>
        </is>
      </c>
      <c r="D77" s="53" t="inlineStr">
        <is>
          <t xml:space="preserve">ELIQUIS 5MG TAB </t>
        </is>
      </c>
      <c r="E77" s="36" t="n">
        <v>60</v>
      </c>
      <c r="F77" s="54" t="n">
        <v>60</v>
      </c>
      <c r="G77" s="54" t="n">
        <v>1</v>
      </c>
      <c r="H77" s="55" t="n">
        <v>333</v>
      </c>
      <c r="I77" s="55" t="n">
        <v>248.46</v>
      </c>
      <c r="J77" s="55" t="n">
        <v>96.89</v>
      </c>
      <c r="K77" s="55" t="n">
        <v>0</v>
      </c>
      <c r="L77" s="55" t="n">
        <v>345.35</v>
      </c>
      <c r="M77" s="55" t="n">
        <v>12.35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RX1110</t>
        </is>
      </c>
    </row>
    <row r="78">
      <c r="A78" s="36" t="inlineStr">
        <is>
          <t>123581</t>
        </is>
      </c>
      <c r="B78" s="52" t="n">
        <v>46057</v>
      </c>
      <c r="C78" s="36" t="inlineStr">
        <is>
          <t>00003089421</t>
        </is>
      </c>
      <c r="D78" s="53" t="inlineStr">
        <is>
          <t xml:space="preserve">ELIQUIS 5MG TAB </t>
        </is>
      </c>
      <c r="E78" s="36" t="n">
        <v>60</v>
      </c>
      <c r="F78" s="54" t="n">
        <v>60</v>
      </c>
      <c r="G78" s="54" t="n">
        <v>1</v>
      </c>
      <c r="H78" s="55" t="n">
        <v>336</v>
      </c>
      <c r="I78" s="55" t="n">
        <v>341.77</v>
      </c>
      <c r="J78" s="55" t="n">
        <v>0</v>
      </c>
      <c r="K78" s="55" t="n">
        <v>0</v>
      </c>
      <c r="L78" s="55" t="n">
        <v>341.77</v>
      </c>
      <c r="M78" s="55" t="n">
        <v>5.77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130641</t>
        </is>
      </c>
      <c r="B79" s="52" t="n">
        <v>46059</v>
      </c>
      <c r="C79" s="36" t="inlineStr">
        <is>
          <t>00003089421</t>
        </is>
      </c>
      <c r="D79" s="53" t="inlineStr">
        <is>
          <t xml:space="preserve">ELIQUIS 5MG TAB </t>
        </is>
      </c>
      <c r="E79" s="36" t="n">
        <v>60</v>
      </c>
      <c r="F79" s="54" t="n">
        <v>180</v>
      </c>
      <c r="G79" s="54" t="n">
        <v>3</v>
      </c>
      <c r="H79" s="55" t="n">
        <v>1008</v>
      </c>
      <c r="I79" s="55" t="n">
        <v>740.87</v>
      </c>
      <c r="J79" s="55" t="n">
        <v>290.66</v>
      </c>
      <c r="K79" s="55" t="n">
        <v>4.9</v>
      </c>
      <c r="L79" s="55" t="n">
        <v>1036.43</v>
      </c>
      <c r="M79" s="55" t="n">
        <v>28.43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123048</t>
        </is>
      </c>
      <c r="B80" s="52" t="n">
        <v>46027</v>
      </c>
      <c r="C80" s="36" t="inlineStr">
        <is>
          <t>00003089421</t>
        </is>
      </c>
      <c r="D80" s="53" t="inlineStr">
        <is>
          <t xml:space="preserve">ELIQUIS 5MG TAB </t>
        </is>
      </c>
      <c r="E80" s="36" t="n">
        <v>60</v>
      </c>
      <c r="F80" s="54" t="n">
        <v>60</v>
      </c>
      <c r="G80" s="54" t="n">
        <v>1</v>
      </c>
      <c r="H80" s="55" t="n">
        <v>333</v>
      </c>
      <c r="I80" s="55" t="n">
        <v>248.46</v>
      </c>
      <c r="J80" s="55" t="n">
        <v>96.89</v>
      </c>
      <c r="K80" s="55" t="n">
        <v>0</v>
      </c>
      <c r="L80" s="55" t="n">
        <v>345.35</v>
      </c>
      <c r="M80" s="55" t="n">
        <v>12.35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119916</t>
        </is>
      </c>
      <c r="B81" s="52" t="n">
        <v>46024</v>
      </c>
      <c r="C81" s="36" t="inlineStr">
        <is>
          <t>00003089421</t>
        </is>
      </c>
      <c r="D81" s="53" t="inlineStr">
        <is>
          <t xml:space="preserve">ELIQUIS 5MG TAB </t>
        </is>
      </c>
      <c r="E81" s="36" t="n">
        <v>60</v>
      </c>
      <c r="F81" s="54" t="n">
        <v>180</v>
      </c>
      <c r="G81" s="54" t="n">
        <v>3</v>
      </c>
      <c r="H81" s="55" t="n">
        <v>999</v>
      </c>
      <c r="I81" s="55" t="n">
        <v>589.16</v>
      </c>
      <c r="J81" s="55" t="n">
        <v>290.66</v>
      </c>
      <c r="K81" s="55" t="n">
        <v>156.61</v>
      </c>
      <c r="L81" s="55" t="n">
        <v>1036.43</v>
      </c>
      <c r="M81" s="55" t="n">
        <v>37.43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143964</t>
        </is>
      </c>
      <c r="B82" s="52" t="n">
        <v>46072</v>
      </c>
      <c r="C82" s="36" t="inlineStr">
        <is>
          <t>00003089421</t>
        </is>
      </c>
      <c r="D82" s="53" t="inlineStr">
        <is>
          <t xml:space="preserve">ELIQUIS 5MG TAB </t>
        </is>
      </c>
      <c r="E82" s="36" t="n">
        <v>60</v>
      </c>
      <c r="F82" s="54" t="n">
        <v>180</v>
      </c>
      <c r="G82" s="54" t="n">
        <v>3</v>
      </c>
      <c r="H82" s="55" t="n">
        <v>1008</v>
      </c>
      <c r="I82" s="55" t="n">
        <v>750.8</v>
      </c>
      <c r="J82" s="55" t="n">
        <v>290.66</v>
      </c>
      <c r="K82" s="55" t="n">
        <v>0</v>
      </c>
      <c r="L82" s="55" t="n">
        <v>1041.46</v>
      </c>
      <c r="M82" s="55" t="n">
        <v>33.46</v>
      </c>
      <c r="N82" s="36" t="inlineStr">
        <is>
          <t>015574</t>
        </is>
      </c>
      <c r="O82" s="36" t="inlineStr">
        <is>
          <t>MEDIMP</t>
        </is>
      </c>
      <c r="P82" s="36" t="inlineStr">
        <is>
          <t>ASPROD1</t>
        </is>
      </c>
      <c r="Q82" s="36" t="inlineStr">
        <is>
          <t>VNS01</t>
        </is>
      </c>
    </row>
    <row r="83">
      <c r="A83" s="36" t="inlineStr">
        <is>
          <t>127615</t>
        </is>
      </c>
      <c r="B83" s="52" t="n">
        <v>46041</v>
      </c>
      <c r="C83" s="36" t="inlineStr">
        <is>
          <t>00003089421</t>
        </is>
      </c>
      <c r="D83" s="53" t="inlineStr">
        <is>
          <t xml:space="preserve">ELIQUIS 5MG TAB </t>
        </is>
      </c>
      <c r="E83" s="36" t="n">
        <v>60</v>
      </c>
      <c r="F83" s="54" t="n">
        <v>180</v>
      </c>
      <c r="G83" s="54" t="n">
        <v>3</v>
      </c>
      <c r="H83" s="55" t="n">
        <v>999</v>
      </c>
      <c r="I83" s="55" t="n">
        <v>740.87</v>
      </c>
      <c r="J83" s="55" t="n">
        <v>290.66</v>
      </c>
      <c r="K83" s="55" t="n">
        <v>4.9</v>
      </c>
      <c r="L83" s="55" t="n">
        <v>1036.43</v>
      </c>
      <c r="M83" s="55" t="n">
        <v>37.43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MEDDADV</t>
        </is>
      </c>
      <c r="Q83" s="36" t="inlineStr">
        <is>
          <t>RX1110</t>
        </is>
      </c>
    </row>
    <row r="84">
      <c r="A84" s="36" t="inlineStr">
        <is>
          <t>133556</t>
        </is>
      </c>
      <c r="B84" s="52" t="n">
        <v>46077</v>
      </c>
      <c r="C84" s="36" t="inlineStr">
        <is>
          <t>00003089421</t>
        </is>
      </c>
      <c r="D84" s="53" t="inlineStr">
        <is>
          <t xml:space="preserve">ELIQUIS 5MG TAB </t>
        </is>
      </c>
      <c r="E84" s="36" t="n">
        <v>60</v>
      </c>
      <c r="F84" s="54" t="n">
        <v>60</v>
      </c>
      <c r="G84" s="54" t="n">
        <v>1</v>
      </c>
      <c r="H84" s="55" t="n">
        <v>336</v>
      </c>
      <c r="I84" s="55" t="n">
        <v>218.46</v>
      </c>
      <c r="J84" s="55" t="n">
        <v>96.89</v>
      </c>
      <c r="K84" s="55" t="n">
        <v>30</v>
      </c>
      <c r="L84" s="55" t="n">
        <v>345.35</v>
      </c>
      <c r="M84" s="55" t="n">
        <v>9.35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140318</t>
        </is>
      </c>
      <c r="B85" s="52" t="n">
        <v>46045</v>
      </c>
      <c r="C85" s="36" t="inlineStr">
        <is>
          <t>00003089421</t>
        </is>
      </c>
      <c r="D85" s="53" t="inlineStr">
        <is>
          <t xml:space="preserve">ELIQUIS 5MG TAB </t>
        </is>
      </c>
      <c r="E85" s="36" t="n">
        <v>60</v>
      </c>
      <c r="F85" s="54" t="n">
        <v>180</v>
      </c>
      <c r="G85" s="54" t="n">
        <v>3</v>
      </c>
      <c r="H85" s="55" t="n">
        <v>999</v>
      </c>
      <c r="I85" s="55" t="n">
        <v>745.77</v>
      </c>
      <c r="J85" s="55" t="n">
        <v>290.66</v>
      </c>
      <c r="K85" s="55" t="n">
        <v>0</v>
      </c>
      <c r="L85" s="55" t="n">
        <v>1036.43</v>
      </c>
      <c r="M85" s="55" t="n">
        <v>37.43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96294</t>
        </is>
      </c>
      <c r="B86" s="52" t="n">
        <v>46048</v>
      </c>
      <c r="C86" s="36" t="inlineStr">
        <is>
          <t>00003089421</t>
        </is>
      </c>
      <c r="D86" s="53" t="inlineStr">
        <is>
          <t xml:space="preserve">ELIQUIS 5MG TAB </t>
        </is>
      </c>
      <c r="E86" s="36" t="n">
        <v>60</v>
      </c>
      <c r="F86" s="54" t="n">
        <v>180</v>
      </c>
      <c r="G86" s="54" t="n">
        <v>3</v>
      </c>
      <c r="H86" s="55" t="n">
        <v>999</v>
      </c>
      <c r="I86" s="55" t="n">
        <v>745.77</v>
      </c>
      <c r="J86" s="55" t="n">
        <v>290.66</v>
      </c>
      <c r="K86" s="55" t="n">
        <v>0</v>
      </c>
      <c r="L86" s="55" t="n">
        <v>1036.43</v>
      </c>
      <c r="M86" s="55" t="n">
        <v>37.43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129391</t>
        </is>
      </c>
      <c r="B87" s="52" t="n">
        <v>46048</v>
      </c>
      <c r="C87" s="36" t="inlineStr">
        <is>
          <t>00003089421</t>
        </is>
      </c>
      <c r="D87" s="53" t="inlineStr">
        <is>
          <t xml:space="preserve">ELIQUIS 5MG TAB </t>
        </is>
      </c>
      <c r="E87" s="36" t="n">
        <v>60</v>
      </c>
      <c r="F87" s="54" t="n">
        <v>180</v>
      </c>
      <c r="G87" s="54" t="n">
        <v>3</v>
      </c>
      <c r="H87" s="55" t="n">
        <v>999</v>
      </c>
      <c r="I87" s="55" t="n">
        <v>745.77</v>
      </c>
      <c r="J87" s="55" t="n">
        <v>290.66</v>
      </c>
      <c r="K87" s="55" t="n">
        <v>0</v>
      </c>
      <c r="L87" s="55" t="n">
        <v>1036.43</v>
      </c>
      <c r="M87" s="55" t="n">
        <v>37.43</v>
      </c>
      <c r="N87" s="36" t="inlineStr">
        <is>
          <t>004336</t>
        </is>
      </c>
      <c r="O87" s="36" t="inlineStr">
        <is>
          <t>CAREMARK</t>
        </is>
      </c>
      <c r="P87" s="36" t="inlineStr">
        <is>
          <t>MEDDADV</t>
        </is>
      </c>
      <c r="Q87" s="36" t="inlineStr">
        <is>
          <t>RX1110</t>
        </is>
      </c>
    </row>
    <row r="88">
      <c r="A88" s="36" t="inlineStr">
        <is>
          <t>123048</t>
        </is>
      </c>
      <c r="B88" s="52" t="n">
        <v>46055</v>
      </c>
      <c r="C88" s="36" t="inlineStr">
        <is>
          <t>00003089421</t>
        </is>
      </c>
      <c r="D88" s="53" t="inlineStr">
        <is>
          <t xml:space="preserve">ELIQUIS 5MG TAB </t>
        </is>
      </c>
      <c r="E88" s="36" t="n">
        <v>60</v>
      </c>
      <c r="F88" s="54" t="n">
        <v>60</v>
      </c>
      <c r="G88" s="54" t="n">
        <v>1</v>
      </c>
      <c r="H88" s="55" t="n">
        <v>336</v>
      </c>
      <c r="I88" s="55" t="n">
        <v>248.46</v>
      </c>
      <c r="J88" s="55" t="n">
        <v>96.89</v>
      </c>
      <c r="K88" s="55" t="n">
        <v>0</v>
      </c>
      <c r="L88" s="55" t="n">
        <v>345.35</v>
      </c>
      <c r="M88" s="55" t="n">
        <v>9.35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131193</t>
        </is>
      </c>
      <c r="B89" s="52" t="n">
        <v>46034</v>
      </c>
      <c r="C89" s="36" t="inlineStr">
        <is>
          <t>00003089421</t>
        </is>
      </c>
      <c r="D89" s="53" t="inlineStr">
        <is>
          <t xml:space="preserve">ELIQUIS 5MG TAB </t>
        </is>
      </c>
      <c r="E89" s="36" t="n">
        <v>60</v>
      </c>
      <c r="F89" s="54" t="n">
        <v>60</v>
      </c>
      <c r="G89" s="54" t="n">
        <v>1</v>
      </c>
      <c r="H89" s="55" t="n">
        <v>333</v>
      </c>
      <c r="I89" s="55" t="n">
        <v>591.91</v>
      </c>
      <c r="J89" s="55" t="n">
        <v>0</v>
      </c>
      <c r="K89" s="55" t="n">
        <v>0</v>
      </c>
      <c r="L89" s="55" t="n">
        <v>591.91</v>
      </c>
      <c r="M89" s="55" t="n">
        <v>258.91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116765</t>
        </is>
      </c>
      <c r="B90" s="52" t="n">
        <v>46034</v>
      </c>
      <c r="C90" s="36" t="inlineStr">
        <is>
          <t>00003089421</t>
        </is>
      </c>
      <c r="D90" s="53" t="inlineStr">
        <is>
          <t xml:space="preserve">ELIQUIS 5MG TAB </t>
        </is>
      </c>
      <c r="E90" s="36" t="n">
        <v>60</v>
      </c>
      <c r="F90" s="54" t="n">
        <v>60</v>
      </c>
      <c r="G90" s="54" t="n">
        <v>1</v>
      </c>
      <c r="H90" s="55" t="n">
        <v>333</v>
      </c>
      <c r="I90" s="55" t="n">
        <v>0</v>
      </c>
      <c r="J90" s="55" t="n">
        <v>96.89</v>
      </c>
      <c r="K90" s="55" t="n">
        <v>248.46</v>
      </c>
      <c r="L90" s="55" t="n">
        <v>345.35</v>
      </c>
      <c r="M90" s="55" t="n">
        <v>12.35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138346</t>
        </is>
      </c>
      <c r="B91" s="52" t="n">
        <v>46031</v>
      </c>
      <c r="C91" s="36" t="inlineStr">
        <is>
          <t>00003089421</t>
        </is>
      </c>
      <c r="D91" s="53" t="inlineStr">
        <is>
          <t xml:space="preserve">ELIQUIS 5MG TAB </t>
        </is>
      </c>
      <c r="E91" s="36" t="n">
        <v>60</v>
      </c>
      <c r="F91" s="54" t="n">
        <v>180</v>
      </c>
      <c r="G91" s="54" t="n">
        <v>3</v>
      </c>
      <c r="H91" s="55" t="n">
        <v>999</v>
      </c>
      <c r="I91" s="55" t="n">
        <v>745.77</v>
      </c>
      <c r="J91" s="55" t="n">
        <v>290.66</v>
      </c>
      <c r="K91" s="55" t="n">
        <v>0</v>
      </c>
      <c r="L91" s="55" t="n">
        <v>1036.43</v>
      </c>
      <c r="M91" s="55" t="n">
        <v>37.43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RX1110</t>
        </is>
      </c>
    </row>
    <row r="92">
      <c r="A92" s="36" t="inlineStr">
        <is>
          <t>143572</t>
        </is>
      </c>
      <c r="B92" s="52" t="n">
        <v>46070</v>
      </c>
      <c r="C92" s="36" t="inlineStr">
        <is>
          <t>00003089421</t>
        </is>
      </c>
      <c r="D92" s="53" t="inlineStr">
        <is>
          <t xml:space="preserve">ELIQUIS 5MG TAB </t>
        </is>
      </c>
      <c r="E92" s="36" t="n">
        <v>60</v>
      </c>
      <c r="F92" s="54" t="n">
        <v>180</v>
      </c>
      <c r="G92" s="54" t="n">
        <v>3</v>
      </c>
      <c r="H92" s="55" t="n">
        <v>1008</v>
      </c>
      <c r="I92" s="55" t="n">
        <v>740.87</v>
      </c>
      <c r="J92" s="55" t="n">
        <v>290.66</v>
      </c>
      <c r="K92" s="55" t="n">
        <v>4.9</v>
      </c>
      <c r="L92" s="55" t="n">
        <v>1036.43</v>
      </c>
      <c r="M92" s="55" t="n">
        <v>28.43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140717</t>
        </is>
      </c>
      <c r="B93" s="52" t="n">
        <v>46049</v>
      </c>
      <c r="C93" s="36" t="inlineStr">
        <is>
          <t>00003089421</t>
        </is>
      </c>
      <c r="D93" s="53" t="inlineStr">
        <is>
          <t xml:space="preserve">ELIQUIS 5MG TAB </t>
        </is>
      </c>
      <c r="E93" s="36" t="n">
        <v>60</v>
      </c>
      <c r="F93" s="54" t="n">
        <v>180</v>
      </c>
      <c r="G93" s="54" t="n">
        <v>3</v>
      </c>
      <c r="H93" s="55" t="n">
        <v>999</v>
      </c>
      <c r="I93" s="55" t="n">
        <v>141.29</v>
      </c>
      <c r="J93" s="55" t="n">
        <v>290.66</v>
      </c>
      <c r="K93" s="55" t="n">
        <v>604.48</v>
      </c>
      <c r="L93" s="55" t="n">
        <v>1036.43</v>
      </c>
      <c r="M93" s="55" t="n">
        <v>37.43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inlineStr">
        <is>
          <t>RX1110</t>
        </is>
      </c>
    </row>
    <row r="94">
      <c r="A94" s="36" t="inlineStr">
        <is>
          <t>131193</t>
        </is>
      </c>
      <c r="B94" s="52" t="n">
        <v>46006</v>
      </c>
      <c r="C94" s="36" t="inlineStr">
        <is>
          <t>00003089421</t>
        </is>
      </c>
      <c r="D94" s="53" t="inlineStr">
        <is>
          <t xml:space="preserve">ELIQUIS 5MG TAB </t>
        </is>
      </c>
      <c r="E94" s="36" t="n">
        <v>60</v>
      </c>
      <c r="F94" s="54" t="n">
        <v>60</v>
      </c>
      <c r="G94" s="54" t="n">
        <v>1</v>
      </c>
      <c r="H94" s="55" t="n">
        <v>584</v>
      </c>
      <c r="I94" s="55" t="n">
        <v>591.83</v>
      </c>
      <c r="J94" s="55" t="n">
        <v>0</v>
      </c>
      <c r="K94" s="55" t="n">
        <v>0</v>
      </c>
      <c r="L94" s="55" t="n">
        <v>591.83</v>
      </c>
      <c r="M94" s="55" t="n">
        <v>7.83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133745</t>
        </is>
      </c>
      <c r="B95" s="52" t="n">
        <v>46006</v>
      </c>
      <c r="C95" s="36" t="inlineStr">
        <is>
          <t>00003089421</t>
        </is>
      </c>
      <c r="D95" s="53" t="inlineStr">
        <is>
          <t xml:space="preserve">ELIQUIS 5MG TAB </t>
        </is>
      </c>
      <c r="E95" s="36" t="n">
        <v>60</v>
      </c>
      <c r="F95" s="54" t="n">
        <v>180</v>
      </c>
      <c r="G95" s="54" t="n">
        <v>3</v>
      </c>
      <c r="H95" s="55" t="n">
        <v>1752</v>
      </c>
      <c r="I95" s="55" t="n">
        <v>1833.14</v>
      </c>
      <c r="J95" s="55" t="n">
        <v>0</v>
      </c>
      <c r="K95" s="55" t="n">
        <v>0</v>
      </c>
      <c r="L95" s="55" t="n">
        <v>1833.14</v>
      </c>
      <c r="M95" s="55" t="n">
        <v>81.14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RXCVSD</t>
        </is>
      </c>
    </row>
    <row r="96">
      <c r="A96" s="36" t="inlineStr">
        <is>
          <t>109682</t>
        </is>
      </c>
      <c r="B96" s="52" t="n">
        <v>46055</v>
      </c>
      <c r="C96" s="36" t="inlineStr">
        <is>
          <t>00003089421</t>
        </is>
      </c>
      <c r="D96" s="53" t="inlineStr">
        <is>
          <t xml:space="preserve">ELIQUIS 5MG TAB </t>
        </is>
      </c>
      <c r="E96" s="36" t="n">
        <v>60</v>
      </c>
      <c r="F96" s="54" t="n">
        <v>60</v>
      </c>
      <c r="G96" s="54" t="n">
        <v>1</v>
      </c>
      <c r="H96" s="55" t="n">
        <v>336</v>
      </c>
      <c r="I96" s="55" t="n">
        <v>248.46</v>
      </c>
      <c r="J96" s="55" t="n">
        <v>96.89</v>
      </c>
      <c r="K96" s="55" t="n">
        <v>0</v>
      </c>
      <c r="L96" s="55" t="n">
        <v>345.35</v>
      </c>
      <c r="M96" s="55" t="n">
        <v>9.35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RX1110</t>
        </is>
      </c>
    </row>
    <row r="97">
      <c r="A97" s="36" t="inlineStr">
        <is>
          <t>141178</t>
        </is>
      </c>
      <c r="B97" s="52" t="n">
        <v>46052</v>
      </c>
      <c r="C97" s="36" t="inlineStr">
        <is>
          <t>00003089421</t>
        </is>
      </c>
      <c r="D97" s="53" t="inlineStr">
        <is>
          <t xml:space="preserve">ELIQUIS 5MG TAB </t>
        </is>
      </c>
      <c r="E97" s="36" t="n">
        <v>60</v>
      </c>
      <c r="F97" s="54" t="n">
        <v>180</v>
      </c>
      <c r="G97" s="54" t="n">
        <v>3</v>
      </c>
      <c r="H97" s="55" t="n">
        <v>999</v>
      </c>
      <c r="I97" s="55" t="n">
        <v>745.9</v>
      </c>
      <c r="J97" s="55" t="n">
        <v>290.66</v>
      </c>
      <c r="K97" s="55" t="n">
        <v>4.9</v>
      </c>
      <c r="L97" s="55" t="n">
        <v>1041.46</v>
      </c>
      <c r="M97" s="55" t="n">
        <v>42.46</v>
      </c>
      <c r="N97" s="36" t="inlineStr">
        <is>
          <t>015574</t>
        </is>
      </c>
      <c r="O97" s="36" t="inlineStr">
        <is>
          <t>MEDIMP</t>
        </is>
      </c>
      <c r="P97" s="36" t="inlineStr">
        <is>
          <t>ASPROD1</t>
        </is>
      </c>
      <c r="Q97" s="36" t="inlineStr">
        <is>
          <t>VNS01</t>
        </is>
      </c>
    </row>
    <row r="98">
      <c r="A98" s="36" t="inlineStr">
        <is>
          <t>141179</t>
        </is>
      </c>
      <c r="B98" s="52" t="n">
        <v>46052</v>
      </c>
      <c r="C98" s="36" t="inlineStr">
        <is>
          <t>00003089421</t>
        </is>
      </c>
      <c r="D98" s="53" t="inlineStr">
        <is>
          <t xml:space="preserve">ELIQUIS 5MG TAB </t>
        </is>
      </c>
      <c r="E98" s="36" t="n">
        <v>60</v>
      </c>
      <c r="F98" s="54" t="n">
        <v>180</v>
      </c>
      <c r="G98" s="54" t="n">
        <v>3</v>
      </c>
      <c r="H98" s="55" t="n">
        <v>999</v>
      </c>
      <c r="I98" s="55" t="n">
        <v>745.77</v>
      </c>
      <c r="J98" s="55" t="n">
        <v>290.66</v>
      </c>
      <c r="K98" s="55" t="n">
        <v>0</v>
      </c>
      <c r="L98" s="55" t="n">
        <v>1036.43</v>
      </c>
      <c r="M98" s="55" t="n">
        <v>37.43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133556</t>
        </is>
      </c>
      <c r="B99" s="52" t="n">
        <v>46049</v>
      </c>
      <c r="C99" s="36" t="inlineStr">
        <is>
          <t>00003089421</t>
        </is>
      </c>
      <c r="D99" s="53" t="inlineStr">
        <is>
          <t xml:space="preserve">ELIQUIS 5MG TAB </t>
        </is>
      </c>
      <c r="E99" s="36" t="n">
        <v>60</v>
      </c>
      <c r="F99" s="54" t="n">
        <v>60</v>
      </c>
      <c r="G99" s="54" t="n">
        <v>1</v>
      </c>
      <c r="H99" s="55" t="n">
        <v>333</v>
      </c>
      <c r="I99" s="55" t="n">
        <v>218.46</v>
      </c>
      <c r="J99" s="55" t="n">
        <v>96.89</v>
      </c>
      <c r="K99" s="55" t="n">
        <v>30</v>
      </c>
      <c r="L99" s="55" t="n">
        <v>345.35</v>
      </c>
      <c r="M99" s="55" t="n">
        <v>12.35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RXCVSD</t>
        </is>
      </c>
    </row>
    <row r="100">
      <c r="A100" s="36" t="inlineStr">
        <is>
          <t>128729</t>
        </is>
      </c>
      <c r="B100" s="52" t="n">
        <v>46041</v>
      </c>
      <c r="C100" s="36" t="inlineStr">
        <is>
          <t>00310621030</t>
        </is>
      </c>
      <c r="D100" s="53" t="inlineStr">
        <is>
          <t>FARXIGA 10MG TABLET</t>
        </is>
      </c>
      <c r="E100" s="36" t="n">
        <v>30</v>
      </c>
      <c r="F100" s="54" t="n">
        <v>30</v>
      </c>
      <c r="G100" s="54" t="n">
        <v>1</v>
      </c>
      <c r="H100" s="55" t="n">
        <v>365</v>
      </c>
      <c r="I100" s="55" t="n">
        <v>585.3099999999999</v>
      </c>
      <c r="J100" s="55" t="n">
        <v>0</v>
      </c>
      <c r="K100" s="55" t="n">
        <v>0</v>
      </c>
      <c r="L100" s="55" t="n">
        <v>585.3099999999999</v>
      </c>
      <c r="M100" s="55" t="n">
        <v>220.31</v>
      </c>
      <c r="N100" s="36" t="inlineStr">
        <is>
          <t>004740</t>
        </is>
      </c>
      <c r="O100" s="36" t="inlineStr">
        <is>
          <t>NYM</t>
        </is>
      </c>
      <c r="P100" s="36" t="inlineStr">
        <is>
          <t>9314DA31</t>
        </is>
      </c>
      <c r="Q100" s="36" t="n">
        <v/>
      </c>
    </row>
    <row r="101">
      <c r="A101" s="36" t="inlineStr">
        <is>
          <t>139347</t>
        </is>
      </c>
      <c r="B101" s="52" t="n">
        <v>46038</v>
      </c>
      <c r="C101" s="36" t="inlineStr">
        <is>
          <t>00310621030</t>
        </is>
      </c>
      <c r="D101" s="53" t="inlineStr">
        <is>
          <t>FARXIGA 10MG TABLET</t>
        </is>
      </c>
      <c r="E101" s="36" t="n">
        <v>30</v>
      </c>
      <c r="F101" s="54" t="n">
        <v>90</v>
      </c>
      <c r="G101" s="54" t="n">
        <v>3</v>
      </c>
      <c r="H101" s="55" t="n">
        <v>1095</v>
      </c>
      <c r="I101" s="55" t="n">
        <v>1735.57</v>
      </c>
      <c r="J101" s="55" t="n">
        <v>0</v>
      </c>
      <c r="K101" s="55" t="n">
        <v>0</v>
      </c>
      <c r="L101" s="55" t="n">
        <v>1735.57</v>
      </c>
      <c r="M101" s="55" t="n">
        <v>640.5700000000001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128113</t>
        </is>
      </c>
      <c r="B102" s="52" t="n">
        <v>46038</v>
      </c>
      <c r="C102" s="36" t="inlineStr">
        <is>
          <t>00310621030</t>
        </is>
      </c>
      <c r="D102" s="53" t="inlineStr">
        <is>
          <t>FARXIGA 10MG TABLET</t>
        </is>
      </c>
      <c r="E102" s="36" t="n">
        <v>30</v>
      </c>
      <c r="F102" s="54" t="n">
        <v>90</v>
      </c>
      <c r="G102" s="54" t="n">
        <v>3</v>
      </c>
      <c r="H102" s="55" t="n">
        <v>1095</v>
      </c>
      <c r="I102" s="55" t="n">
        <v>542.8200000000001</v>
      </c>
      <c r="J102" s="55" t="n">
        <v>588.7</v>
      </c>
      <c r="K102" s="55" t="n">
        <v>1.6</v>
      </c>
      <c r="L102" s="55" t="n">
        <v>1133.12</v>
      </c>
      <c r="M102" s="55" t="n">
        <v>38.12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128729</t>
        </is>
      </c>
      <c r="B103" s="52" t="n">
        <v>46013</v>
      </c>
      <c r="C103" s="36" t="inlineStr">
        <is>
          <t>00310621030</t>
        </is>
      </c>
      <c r="D103" s="53" t="inlineStr">
        <is>
          <t>FARXIGA 10MG TABLET</t>
        </is>
      </c>
      <c r="E103" s="36" t="n">
        <v>30</v>
      </c>
      <c r="F103" s="54" t="n">
        <v>30</v>
      </c>
      <c r="G103" s="54" t="n">
        <v>1</v>
      </c>
      <c r="H103" s="55" t="n">
        <v>577</v>
      </c>
      <c r="I103" s="55" t="n">
        <v>585.22</v>
      </c>
      <c r="J103" s="55" t="n">
        <v>0</v>
      </c>
      <c r="K103" s="55" t="n">
        <v>0</v>
      </c>
      <c r="L103" s="55" t="n">
        <v>585.22</v>
      </c>
      <c r="M103" s="55" t="n">
        <v>8.220000000000001</v>
      </c>
      <c r="N103" s="36" t="inlineStr">
        <is>
          <t>004740</t>
        </is>
      </c>
      <c r="O103" s="36" t="inlineStr">
        <is>
          <t>NYM</t>
        </is>
      </c>
      <c r="P103" s="36" t="inlineStr">
        <is>
          <t>9314DA31</t>
        </is>
      </c>
      <c r="Q103" s="36" t="n">
        <v/>
      </c>
    </row>
    <row r="104">
      <c r="A104" s="36" t="inlineStr">
        <is>
          <t>140180</t>
        </is>
      </c>
      <c r="B104" s="52" t="n">
        <v>46044</v>
      </c>
      <c r="C104" s="36" t="inlineStr">
        <is>
          <t>00310621030</t>
        </is>
      </c>
      <c r="D104" s="53" t="inlineStr">
        <is>
          <t>FARXIGA 10MG TABLET</t>
        </is>
      </c>
      <c r="E104" s="36" t="n">
        <v>30</v>
      </c>
      <c r="F104" s="54" t="n">
        <v>90</v>
      </c>
      <c r="G104" s="54" t="n">
        <v>3</v>
      </c>
      <c r="H104" s="55" t="n">
        <v>1095</v>
      </c>
      <c r="I104" s="55" t="n">
        <v>542.8200000000001</v>
      </c>
      <c r="J104" s="55" t="n">
        <v>588.7</v>
      </c>
      <c r="K104" s="55" t="n">
        <v>1.6</v>
      </c>
      <c r="L104" s="55" t="n">
        <v>1133.12</v>
      </c>
      <c r="M104" s="55" t="n">
        <v>38.12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138950</t>
        </is>
      </c>
      <c r="B105" s="52" t="n">
        <v>46035</v>
      </c>
      <c r="C105" s="36" t="inlineStr">
        <is>
          <t>00310621030</t>
        </is>
      </c>
      <c r="D105" s="53" t="inlineStr">
        <is>
          <t>FARXIGA 10MG TABLET</t>
        </is>
      </c>
      <c r="E105" s="36" t="n">
        <v>30</v>
      </c>
      <c r="F105" s="54" t="n">
        <v>90</v>
      </c>
      <c r="G105" s="54" t="n">
        <v>3</v>
      </c>
      <c r="H105" s="55" t="n">
        <v>1095</v>
      </c>
      <c r="I105" s="55" t="n">
        <v>549.45</v>
      </c>
      <c r="J105" s="55" t="n">
        <v>588.7</v>
      </c>
      <c r="K105" s="55" t="n">
        <v>0</v>
      </c>
      <c r="L105" s="55" t="n">
        <v>1138.15</v>
      </c>
      <c r="M105" s="55" t="n">
        <v>43.15</v>
      </c>
      <c r="N105" s="36" t="inlineStr">
        <is>
          <t>015574</t>
        </is>
      </c>
      <c r="O105" s="36" t="inlineStr">
        <is>
          <t>MEDIMP</t>
        </is>
      </c>
      <c r="P105" s="36" t="inlineStr">
        <is>
          <t>ASPROD1</t>
        </is>
      </c>
      <c r="Q105" s="36" t="inlineStr">
        <is>
          <t>VNS01</t>
        </is>
      </c>
    </row>
    <row r="106">
      <c r="A106" s="36" t="inlineStr">
        <is>
          <t>121812</t>
        </is>
      </c>
      <c r="B106" s="52" t="n">
        <v>46024</v>
      </c>
      <c r="C106" s="36" t="inlineStr">
        <is>
          <t>00310621030</t>
        </is>
      </c>
      <c r="D106" s="53" t="inlineStr">
        <is>
          <t>FARXIGA 10MG TABLET</t>
        </is>
      </c>
      <c r="E106" s="36" t="n">
        <v>30</v>
      </c>
      <c r="F106" s="54" t="n">
        <v>30</v>
      </c>
      <c r="G106" s="54" t="n">
        <v>1</v>
      </c>
      <c r="H106" s="55" t="n">
        <v>365</v>
      </c>
      <c r="I106" s="55" t="n">
        <v>181.38</v>
      </c>
      <c r="J106" s="55" t="n">
        <v>196.23</v>
      </c>
      <c r="K106" s="55" t="n">
        <v>4.9</v>
      </c>
      <c r="L106" s="55" t="n">
        <v>382.51</v>
      </c>
      <c r="M106" s="55" t="n">
        <v>17.51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126072</t>
        </is>
      </c>
      <c r="B107" s="52" t="n">
        <v>46035</v>
      </c>
      <c r="C107" s="36" t="inlineStr">
        <is>
          <t>00310621030</t>
        </is>
      </c>
      <c r="D107" s="53" t="inlineStr">
        <is>
          <t>FARXIGA 10MG TABLET</t>
        </is>
      </c>
      <c r="E107" s="36" t="n">
        <v>30</v>
      </c>
      <c r="F107" s="54" t="n">
        <v>90</v>
      </c>
      <c r="G107" s="54" t="n">
        <v>3</v>
      </c>
      <c r="H107" s="55" t="n">
        <v>1095</v>
      </c>
      <c r="I107" s="55" t="n">
        <v>544.42</v>
      </c>
      <c r="J107" s="55" t="n">
        <v>588.7</v>
      </c>
      <c r="K107" s="55" t="n">
        <v>0</v>
      </c>
      <c r="L107" s="55" t="n">
        <v>1133.12</v>
      </c>
      <c r="M107" s="55" t="n">
        <v>38.12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141159</t>
        </is>
      </c>
      <c r="B108" s="52" t="n">
        <v>46052</v>
      </c>
      <c r="C108" s="36" t="inlineStr">
        <is>
          <t>00310621030</t>
        </is>
      </c>
      <c r="D108" s="53" t="inlineStr">
        <is>
          <t>FARXIGA 10MG TABLET</t>
        </is>
      </c>
      <c r="E108" s="36" t="n">
        <v>30</v>
      </c>
      <c r="F108" s="54" t="n">
        <v>90</v>
      </c>
      <c r="G108" s="54" t="n">
        <v>3</v>
      </c>
      <c r="H108" s="55" t="n">
        <v>1095</v>
      </c>
      <c r="I108" s="55" t="n">
        <v>542.8200000000001</v>
      </c>
      <c r="J108" s="55" t="n">
        <v>588.7</v>
      </c>
      <c r="K108" s="55" t="n">
        <v>1.6</v>
      </c>
      <c r="L108" s="55" t="n">
        <v>1133.12</v>
      </c>
      <c r="M108" s="55" t="n">
        <v>38.12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140537</t>
        </is>
      </c>
      <c r="B109" s="52" t="n">
        <v>46048</v>
      </c>
      <c r="C109" s="36" t="inlineStr">
        <is>
          <t>00310621030</t>
        </is>
      </c>
      <c r="D109" s="53" t="inlineStr">
        <is>
          <t>FARXIGA 10MG TABLET</t>
        </is>
      </c>
      <c r="E109" s="36" t="n">
        <v>30</v>
      </c>
      <c r="F109" s="54" t="n">
        <v>90</v>
      </c>
      <c r="G109" s="54" t="n">
        <v>3</v>
      </c>
      <c r="H109" s="55" t="n">
        <v>1095</v>
      </c>
      <c r="I109" s="55" t="n">
        <v>430.1</v>
      </c>
      <c r="J109" s="55" t="n">
        <v>588.7</v>
      </c>
      <c r="K109" s="55" t="n">
        <v>114.32</v>
      </c>
      <c r="L109" s="55" t="n">
        <v>1133.12</v>
      </c>
      <c r="M109" s="55" t="n">
        <v>38.12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140829</t>
        </is>
      </c>
      <c r="B110" s="52" t="n">
        <v>46050</v>
      </c>
      <c r="C110" s="36" t="inlineStr">
        <is>
          <t>00310621030</t>
        </is>
      </c>
      <c r="D110" s="53" t="inlineStr">
        <is>
          <t>FARXIGA 10MG TABLET</t>
        </is>
      </c>
      <c r="E110" s="36" t="n">
        <v>30</v>
      </c>
      <c r="F110" s="54" t="n">
        <v>90</v>
      </c>
      <c r="G110" s="54" t="n">
        <v>3</v>
      </c>
      <c r="H110" s="55" t="n">
        <v>1095</v>
      </c>
      <c r="I110" s="55" t="n">
        <v>542.8200000000001</v>
      </c>
      <c r="J110" s="55" t="n">
        <v>588.7</v>
      </c>
      <c r="K110" s="55" t="n">
        <v>1.6</v>
      </c>
      <c r="L110" s="55" t="n">
        <v>1133.12</v>
      </c>
      <c r="M110" s="55" t="n">
        <v>38.12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128729</t>
        </is>
      </c>
      <c r="B111" s="52" t="n">
        <v>46069</v>
      </c>
      <c r="C111" s="36" t="inlineStr">
        <is>
          <t>00310621030</t>
        </is>
      </c>
      <c r="D111" s="53" t="inlineStr">
        <is>
          <t>FARXIGA 10MG TABLET</t>
        </is>
      </c>
      <c r="E111" s="36" t="n">
        <v>30</v>
      </c>
      <c r="F111" s="54" t="n">
        <v>30</v>
      </c>
      <c r="G111" s="54" t="n">
        <v>1</v>
      </c>
      <c r="H111" s="55" t="n">
        <v>367</v>
      </c>
      <c r="I111" s="55" t="n">
        <v>372.51</v>
      </c>
      <c r="J111" s="55" t="n">
        <v>0</v>
      </c>
      <c r="K111" s="55" t="n">
        <v>0</v>
      </c>
      <c r="L111" s="55" t="n">
        <v>372.51</v>
      </c>
      <c r="M111" s="55" t="n">
        <v>5.51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129765</t>
        </is>
      </c>
      <c r="B112" s="52" t="n">
        <v>46050</v>
      </c>
      <c r="C112" s="36" t="inlineStr">
        <is>
          <t>00310621030</t>
        </is>
      </c>
      <c r="D112" s="53" t="inlineStr">
        <is>
          <t>FARXIGA 10MG TABLET</t>
        </is>
      </c>
      <c r="E112" s="36" t="n">
        <v>30</v>
      </c>
      <c r="F112" s="54" t="n">
        <v>90</v>
      </c>
      <c r="G112" s="54" t="n">
        <v>3</v>
      </c>
      <c r="H112" s="55" t="n">
        <v>1095</v>
      </c>
      <c r="I112" s="55" t="n">
        <v>544.55</v>
      </c>
      <c r="J112" s="55" t="n">
        <v>588.7</v>
      </c>
      <c r="K112" s="55" t="n">
        <v>4.9</v>
      </c>
      <c r="L112" s="55" t="n">
        <v>1138.15</v>
      </c>
      <c r="M112" s="55" t="n">
        <v>43.15</v>
      </c>
      <c r="N112" s="36" t="inlineStr">
        <is>
          <t>015574</t>
        </is>
      </c>
      <c r="O112" s="36" t="inlineStr">
        <is>
          <t>MEDIMP</t>
        </is>
      </c>
      <c r="P112" s="36" t="inlineStr">
        <is>
          <t>ASPROD1</t>
        </is>
      </c>
      <c r="Q112" s="36" t="n">
        <v/>
      </c>
    </row>
    <row r="113">
      <c r="A113" s="36" t="inlineStr">
        <is>
          <t>138948</t>
        </is>
      </c>
      <c r="B113" s="52" t="n">
        <v>46035</v>
      </c>
      <c r="C113" s="36" t="inlineStr">
        <is>
          <t>00310621030</t>
        </is>
      </c>
      <c r="D113" s="53" t="inlineStr">
        <is>
          <t>FARXIGA 10MG TABLET</t>
        </is>
      </c>
      <c r="E113" s="36" t="n">
        <v>30</v>
      </c>
      <c r="F113" s="54" t="n">
        <v>90</v>
      </c>
      <c r="G113" s="54" t="n">
        <v>3</v>
      </c>
      <c r="H113" s="55" t="n">
        <v>1095</v>
      </c>
      <c r="I113" s="55" t="n">
        <v>545.76</v>
      </c>
      <c r="J113" s="55" t="n">
        <v>588.7</v>
      </c>
      <c r="K113" s="55" t="n">
        <v>0</v>
      </c>
      <c r="L113" s="55" t="n">
        <v>1134.46</v>
      </c>
      <c r="M113" s="55" t="n">
        <v>39.46</v>
      </c>
      <c r="N113" s="36" t="inlineStr">
        <is>
          <t>610014</t>
        </is>
      </c>
      <c r="O113" s="36" t="inlineStr">
        <is>
          <t>EXPRESS</t>
        </is>
      </c>
      <c r="P113" s="36" t="inlineStr">
        <is>
          <t>MEDDPRIME</t>
        </is>
      </c>
      <c r="Q113" s="36" t="inlineStr">
        <is>
          <t>2FFA</t>
        </is>
      </c>
    </row>
    <row r="114">
      <c r="A114" s="36" t="inlineStr">
        <is>
          <t>121812</t>
        </is>
      </c>
      <c r="B114" s="52" t="n">
        <v>46055</v>
      </c>
      <c r="C114" s="36" t="inlineStr">
        <is>
          <t>00310621030</t>
        </is>
      </c>
      <c r="D114" s="53" t="inlineStr">
        <is>
          <t>FARXIGA 10MG TABLET</t>
        </is>
      </c>
      <c r="E114" s="36" t="n">
        <v>30</v>
      </c>
      <c r="F114" s="54" t="n">
        <v>30</v>
      </c>
      <c r="G114" s="54" t="n">
        <v>1</v>
      </c>
      <c r="H114" s="55" t="n">
        <v>367</v>
      </c>
      <c r="I114" s="55" t="n">
        <v>181.38</v>
      </c>
      <c r="J114" s="55" t="n">
        <v>196.23</v>
      </c>
      <c r="K114" s="55" t="n">
        <v>4.9</v>
      </c>
      <c r="L114" s="55" t="n">
        <v>382.51</v>
      </c>
      <c r="M114" s="55" t="n">
        <v>15.51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inlineStr">
        <is>
          <t>VNS01</t>
        </is>
      </c>
    </row>
    <row r="115">
      <c r="A115" s="36" t="inlineStr">
        <is>
          <t>135058</t>
        </is>
      </c>
      <c r="B115" s="52" t="n">
        <v>46035</v>
      </c>
      <c r="C115" s="36" t="inlineStr">
        <is>
          <t>00310620530</t>
        </is>
      </c>
      <c r="D115" s="53" t="inlineStr">
        <is>
          <t>FARXIGA 5MG TABLET</t>
        </is>
      </c>
      <c r="E115" s="36" t="n">
        <v>30</v>
      </c>
      <c r="F115" s="54" t="n">
        <v>30</v>
      </c>
      <c r="G115" s="54" t="n">
        <v>1</v>
      </c>
      <c r="H115" s="55" t="n">
        <v>365</v>
      </c>
      <c r="I115" s="55" t="n">
        <v>181.35</v>
      </c>
      <c r="J115" s="55" t="n">
        <v>196.23</v>
      </c>
      <c r="K115" s="55" t="n">
        <v>0</v>
      </c>
      <c r="L115" s="55" t="n">
        <v>377.58</v>
      </c>
      <c r="M115" s="55" t="n">
        <v>12.58</v>
      </c>
      <c r="N115" s="36" t="inlineStr">
        <is>
          <t>004336</t>
        </is>
      </c>
      <c r="O115" s="36" t="inlineStr">
        <is>
          <t>CAREMARK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125671</t>
        </is>
      </c>
      <c r="B116" s="52" t="n">
        <v>46021</v>
      </c>
      <c r="C116" s="36" t="inlineStr">
        <is>
          <t>00310620530</t>
        </is>
      </c>
      <c r="D116" s="53" t="inlineStr">
        <is>
          <t>FARXIGA 5MG TABLET</t>
        </is>
      </c>
      <c r="E116" s="36" t="n">
        <v>30</v>
      </c>
      <c r="F116" s="54" t="n">
        <v>90</v>
      </c>
      <c r="G116" s="54" t="n">
        <v>3</v>
      </c>
      <c r="H116" s="55" t="n">
        <v>1095</v>
      </c>
      <c r="I116" s="55" t="n">
        <v>1655.6</v>
      </c>
      <c r="J116" s="55" t="n">
        <v>0</v>
      </c>
      <c r="K116" s="55" t="n">
        <v>0</v>
      </c>
      <c r="L116" s="55" t="n">
        <v>1655.6</v>
      </c>
      <c r="M116" s="55" t="n">
        <v>560.6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RX8585</t>
        </is>
      </c>
    </row>
    <row r="117">
      <c r="A117" s="36" t="inlineStr">
        <is>
          <t>139593</t>
        </is>
      </c>
      <c r="B117" s="52" t="n">
        <v>46041</v>
      </c>
      <c r="C117" s="36" t="inlineStr">
        <is>
          <t>00310620530</t>
        </is>
      </c>
      <c r="D117" s="53" t="inlineStr">
        <is>
          <t>FARXIGA 5MG TABLET</t>
        </is>
      </c>
      <c r="E117" s="36" t="n">
        <v>30</v>
      </c>
      <c r="F117" s="54" t="n">
        <v>90</v>
      </c>
      <c r="G117" s="54" t="n">
        <v>3</v>
      </c>
      <c r="H117" s="55" t="n">
        <v>1095</v>
      </c>
      <c r="I117" s="55" t="n">
        <v>544.42</v>
      </c>
      <c r="J117" s="55" t="n">
        <v>588.7</v>
      </c>
      <c r="K117" s="55" t="n">
        <v>0</v>
      </c>
      <c r="L117" s="55" t="n">
        <v>1133.12</v>
      </c>
      <c r="M117" s="55" t="n">
        <v>38.12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RX8585</t>
        </is>
      </c>
    </row>
    <row r="118">
      <c r="A118" s="36" t="inlineStr">
        <is>
          <t>135058</t>
        </is>
      </c>
      <c r="B118" s="52" t="n">
        <v>46006</v>
      </c>
      <c r="C118" s="36" t="inlineStr">
        <is>
          <t>00310620530</t>
        </is>
      </c>
      <c r="D118" s="53" t="inlineStr">
        <is>
          <t>FARXIGA 5MG TABLET</t>
        </is>
      </c>
      <c r="E118" s="36" t="n">
        <v>30</v>
      </c>
      <c r="F118" s="54" t="n">
        <v>30</v>
      </c>
      <c r="G118" s="54" t="n">
        <v>1</v>
      </c>
      <c r="H118" s="55" t="n">
        <v>365</v>
      </c>
      <c r="I118" s="55" t="n">
        <v>565.41</v>
      </c>
      <c r="J118" s="55" t="n">
        <v>0</v>
      </c>
      <c r="K118" s="55" t="n">
        <v>0</v>
      </c>
      <c r="L118" s="55" t="n">
        <v>565.41</v>
      </c>
      <c r="M118" s="55" t="n">
        <v>200.41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111296</t>
        </is>
      </c>
      <c r="B119" s="52" t="n">
        <v>45993</v>
      </c>
      <c r="C119" s="36" t="inlineStr">
        <is>
          <t>00310620530</t>
        </is>
      </c>
      <c r="D119" s="53" t="inlineStr">
        <is>
          <t>FARXIGA 5MG TABLET</t>
        </is>
      </c>
      <c r="E119" s="36" t="n">
        <v>30</v>
      </c>
      <c r="F119" s="54" t="n">
        <v>90</v>
      </c>
      <c r="G119" s="54" t="n">
        <v>3</v>
      </c>
      <c r="H119" s="55" t="n">
        <v>1095</v>
      </c>
      <c r="I119" s="55" t="n">
        <v>1672.87</v>
      </c>
      <c r="J119" s="55" t="n">
        <v>0</v>
      </c>
      <c r="K119" s="55" t="n">
        <v>0</v>
      </c>
      <c r="L119" s="55" t="n">
        <v>1672.87</v>
      </c>
      <c r="M119" s="55" t="n">
        <v>577.87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127589</t>
        </is>
      </c>
      <c r="B120" s="52" t="n">
        <v>46002</v>
      </c>
      <c r="C120" s="36" t="inlineStr">
        <is>
          <t>00054032756</t>
        </is>
      </c>
      <c r="D120" s="53" t="inlineStr">
        <is>
          <t>FLUTICASONE-SALMETEROL 250-50 MCG/ACT INH AEROSOL</t>
        </is>
      </c>
      <c r="E120" s="36" t="n">
        <v>60</v>
      </c>
      <c r="F120" s="54" t="n">
        <v>60</v>
      </c>
      <c r="G120" s="54" t="n">
        <v>1</v>
      </c>
      <c r="H120" s="55" t="n">
        <v>47</v>
      </c>
      <c r="I120" s="55" t="n">
        <v>105.82</v>
      </c>
      <c r="J120" s="55" t="n">
        <v>0</v>
      </c>
      <c r="K120" s="55" t="n">
        <v>6</v>
      </c>
      <c r="L120" s="55" t="n">
        <v>111.82</v>
      </c>
      <c r="M120" s="55" t="n">
        <v>64.81999999999999</v>
      </c>
      <c r="N120" s="36" t="inlineStr">
        <is>
          <t>003858</t>
        </is>
      </c>
      <c r="O120" s="36" t="inlineStr">
        <is>
          <t>EXPRESS</t>
        </is>
      </c>
      <c r="P120" s="36" t="inlineStr">
        <is>
          <t>A4</t>
        </is>
      </c>
      <c r="Q120" s="36" t="inlineStr">
        <is>
          <t>2GKA</t>
        </is>
      </c>
    </row>
    <row r="121">
      <c r="A121" s="36" t="inlineStr">
        <is>
          <t>139218</t>
        </is>
      </c>
      <c r="B121" s="52" t="n">
        <v>46037</v>
      </c>
      <c r="C121" s="36" t="inlineStr">
        <is>
          <t>00054032756</t>
        </is>
      </c>
      <c r="D121" s="53" t="inlineStr">
        <is>
          <t>FLUTICASONE-SALMETEROL 250-50 MCG/ACT INH AEROSOL</t>
        </is>
      </c>
      <c r="E121" s="36" t="n">
        <v>60</v>
      </c>
      <c r="F121" s="54" t="n">
        <v>180</v>
      </c>
      <c r="G121" s="54" t="n">
        <v>3</v>
      </c>
      <c r="H121" s="55" t="n">
        <v>141</v>
      </c>
      <c r="I121" s="55" t="n">
        <v>177.93</v>
      </c>
      <c r="J121" s="55" t="n">
        <v>0</v>
      </c>
      <c r="K121" s="55" t="n">
        <v>0</v>
      </c>
      <c r="L121" s="55" t="n">
        <v>177.93</v>
      </c>
      <c r="M121" s="55" t="n">
        <v>36.93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RXCVSD</t>
        </is>
      </c>
    </row>
    <row r="122">
      <c r="A122" s="36" t="inlineStr">
        <is>
          <t>123654</t>
        </is>
      </c>
      <c r="B122" s="52" t="n">
        <v>46006</v>
      </c>
      <c r="C122" s="36" t="inlineStr">
        <is>
          <t>00054032756</t>
        </is>
      </c>
      <c r="D122" s="53" t="inlineStr">
        <is>
          <t>FLUTICASONE-SALMETEROL 250-50 MCG/ACT INH AEROSOL</t>
        </is>
      </c>
      <c r="E122" s="36" t="n">
        <v>60</v>
      </c>
      <c r="F122" s="54" t="n">
        <v>180</v>
      </c>
      <c r="G122" s="54" t="n">
        <v>3</v>
      </c>
      <c r="H122" s="55" t="n">
        <v>141</v>
      </c>
      <c r="I122" s="55" t="n">
        <v>220.23</v>
      </c>
      <c r="J122" s="55" t="n">
        <v>0</v>
      </c>
      <c r="K122" s="55" t="n">
        <v>0</v>
      </c>
      <c r="L122" s="55" t="n">
        <v>220.23</v>
      </c>
      <c r="M122" s="55" t="n">
        <v>79.23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RX8585</t>
        </is>
      </c>
    </row>
    <row r="123">
      <c r="A123" s="36" t="inlineStr">
        <is>
          <t>139750</t>
        </is>
      </c>
      <c r="B123" s="52" t="n">
        <v>46042</v>
      </c>
      <c r="C123" s="36" t="inlineStr">
        <is>
          <t>00054032756</t>
        </is>
      </c>
      <c r="D123" s="53" t="inlineStr">
        <is>
          <t>FLUTICASONE-SALMETEROL 250-50 MCG/ACT INH AEROSOL</t>
        </is>
      </c>
      <c r="E123" s="36" t="n">
        <v>60</v>
      </c>
      <c r="F123" s="54" t="n">
        <v>60</v>
      </c>
      <c r="G123" s="54" t="n">
        <v>1</v>
      </c>
      <c r="H123" s="55" t="n">
        <v>47</v>
      </c>
      <c r="I123" s="55" t="n">
        <v>74.91</v>
      </c>
      <c r="J123" s="55" t="n">
        <v>0</v>
      </c>
      <c r="K123" s="55" t="n">
        <v>6</v>
      </c>
      <c r="L123" s="55" t="n">
        <v>80.91</v>
      </c>
      <c r="M123" s="55" t="n">
        <v>33.91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ADV</t>
        </is>
      </c>
      <c r="Q123" s="36" t="inlineStr">
        <is>
          <t>RX1103</t>
        </is>
      </c>
    </row>
    <row r="124">
      <c r="A124" s="36" t="inlineStr">
        <is>
          <t>142266</t>
        </is>
      </c>
      <c r="B124" s="52" t="n">
        <v>46060</v>
      </c>
      <c r="C124" s="36" t="inlineStr">
        <is>
          <t>00054032756</t>
        </is>
      </c>
      <c r="D124" s="53" t="inlineStr">
        <is>
          <t>FLUTICASONE-SALMETEROL 250-50 MCG/ACT INH AEROSOL</t>
        </is>
      </c>
      <c r="E124" s="36" t="n">
        <v>60</v>
      </c>
      <c r="F124" s="54" t="n">
        <v>60</v>
      </c>
      <c r="G124" s="54" t="n">
        <v>1</v>
      </c>
      <c r="H124" s="55" t="n">
        <v>69</v>
      </c>
      <c r="I124" s="55" t="n">
        <v>103.58</v>
      </c>
      <c r="J124" s="55" t="n">
        <v>0</v>
      </c>
      <c r="K124" s="55" t="n">
        <v>6</v>
      </c>
      <c r="L124" s="55" t="n">
        <v>109.58</v>
      </c>
      <c r="M124" s="55" t="n">
        <v>40.58</v>
      </c>
      <c r="N124" s="36" t="inlineStr">
        <is>
          <t>003858</t>
        </is>
      </c>
      <c r="O124" s="36" t="inlineStr">
        <is>
          <t>EXPRESS</t>
        </is>
      </c>
      <c r="P124" s="36" t="inlineStr">
        <is>
          <t>A4</t>
        </is>
      </c>
      <c r="Q124" s="36" t="inlineStr">
        <is>
          <t>2GKA</t>
        </is>
      </c>
    </row>
    <row r="125">
      <c r="A125" s="36" t="inlineStr">
        <is>
          <t>137644</t>
        </is>
      </c>
      <c r="B125" s="52" t="n">
        <v>46027</v>
      </c>
      <c r="C125" s="36" t="inlineStr">
        <is>
          <t>00054032756</t>
        </is>
      </c>
      <c r="D125" s="53" t="inlineStr">
        <is>
          <t>FLUTICASONE-SALMETEROL 250-50 MCG/ACT INH AEROSOL</t>
        </is>
      </c>
      <c r="E125" s="36" t="n">
        <v>60</v>
      </c>
      <c r="F125" s="54" t="n">
        <v>180</v>
      </c>
      <c r="G125" s="54" t="n">
        <v>3</v>
      </c>
      <c r="H125" s="55" t="n">
        <v>141</v>
      </c>
      <c r="I125" s="55" t="n">
        <v>230.6</v>
      </c>
      <c r="J125" s="55" t="n">
        <v>0</v>
      </c>
      <c r="K125" s="55" t="n">
        <v>1.6</v>
      </c>
      <c r="L125" s="55" t="n">
        <v>232.2</v>
      </c>
      <c r="M125" s="55" t="n">
        <v>91.2</v>
      </c>
      <c r="N125" s="36" t="inlineStr">
        <is>
          <t>015574</t>
        </is>
      </c>
      <c r="O125" s="36" t="inlineStr">
        <is>
          <t>MEDIMP</t>
        </is>
      </c>
      <c r="P125" s="36" t="inlineStr">
        <is>
          <t>ASPROD1</t>
        </is>
      </c>
      <c r="Q125" s="36" t="inlineStr">
        <is>
          <t>VNS01</t>
        </is>
      </c>
    </row>
    <row r="126">
      <c r="A126" s="36" t="inlineStr">
        <is>
          <t>127589</t>
        </is>
      </c>
      <c r="B126" s="52" t="n">
        <v>46030</v>
      </c>
      <c r="C126" s="36" t="inlineStr">
        <is>
          <t>00054032756</t>
        </is>
      </c>
      <c r="D126" s="53" t="inlineStr">
        <is>
          <t>FLUTICASONE-SALMETEROL 250-50 MCG/ACT INH AEROSOL</t>
        </is>
      </c>
      <c r="E126" s="36" t="n">
        <v>60</v>
      </c>
      <c r="F126" s="54" t="n">
        <v>60</v>
      </c>
      <c r="G126" s="54" t="n">
        <v>1</v>
      </c>
      <c r="H126" s="55" t="n">
        <v>47</v>
      </c>
      <c r="I126" s="55" t="n">
        <v>103.58</v>
      </c>
      <c r="J126" s="55" t="n">
        <v>0</v>
      </c>
      <c r="K126" s="55" t="n">
        <v>6</v>
      </c>
      <c r="L126" s="55" t="n">
        <v>109.58</v>
      </c>
      <c r="M126" s="55" t="n">
        <v>62.58</v>
      </c>
      <c r="N126" s="36" t="inlineStr">
        <is>
          <t>003858</t>
        </is>
      </c>
      <c r="O126" s="36" t="inlineStr">
        <is>
          <t>EXPRESS</t>
        </is>
      </c>
      <c r="P126" s="36" t="inlineStr">
        <is>
          <t>A4</t>
        </is>
      </c>
      <c r="Q126" s="36" t="inlineStr">
        <is>
          <t>2GKA</t>
        </is>
      </c>
    </row>
    <row r="127">
      <c r="A127" s="36" t="inlineStr">
        <is>
          <t>133447</t>
        </is>
      </c>
      <c r="B127" s="52" t="n">
        <v>45994</v>
      </c>
      <c r="C127" s="36" t="inlineStr">
        <is>
          <t>57599081800</t>
        </is>
      </c>
      <c r="D127" s="53" t="inlineStr">
        <is>
          <t>FREESTYLE LIBRE 3 SENSOR</t>
        </is>
      </c>
      <c r="E127" s="36" t="n">
        <v>1</v>
      </c>
      <c r="F127" s="54" t="n">
        <v>2</v>
      </c>
      <c r="G127" s="54" t="n">
        <v>2</v>
      </c>
      <c r="H127" s="55" t="n">
        <v>144</v>
      </c>
      <c r="I127" s="55" t="n">
        <v>144.3</v>
      </c>
      <c r="J127" s="55" t="n">
        <v>0</v>
      </c>
      <c r="K127" s="55" t="n">
        <v>0</v>
      </c>
      <c r="L127" s="55" t="n">
        <v>144.3</v>
      </c>
      <c r="M127" s="55" t="n">
        <v>0.3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133447</t>
        </is>
      </c>
      <c r="B128" s="52" t="n">
        <v>46022</v>
      </c>
      <c r="C128" s="36" t="inlineStr">
        <is>
          <t>57599081800</t>
        </is>
      </c>
      <c r="D128" s="53" t="inlineStr">
        <is>
          <t>FREESTYLE LIBRE 3 SENSOR</t>
        </is>
      </c>
      <c r="E128" s="36" t="n">
        <v>1</v>
      </c>
      <c r="F128" s="54" t="n">
        <v>2</v>
      </c>
      <c r="G128" s="54" t="n">
        <v>2</v>
      </c>
      <c r="H128" s="55" t="n">
        <v>144</v>
      </c>
      <c r="I128" s="55" t="n">
        <v>144.3</v>
      </c>
      <c r="J128" s="55" t="n">
        <v>0</v>
      </c>
      <c r="K128" s="55" t="n">
        <v>0</v>
      </c>
      <c r="L128" s="55" t="n">
        <v>144.3</v>
      </c>
      <c r="M128" s="55" t="n">
        <v>0.3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115413</t>
        </is>
      </c>
      <c r="B129" s="52" t="n">
        <v>45995</v>
      </c>
      <c r="C129" s="36" t="inlineStr">
        <is>
          <t>57599081800</t>
        </is>
      </c>
      <c r="D129" s="53" t="inlineStr">
        <is>
          <t>FREESTYLE LIBRE 3 SENSOR</t>
        </is>
      </c>
      <c r="E129" s="36" t="n">
        <v>1</v>
      </c>
      <c r="F129" s="54" t="n">
        <v>2</v>
      </c>
      <c r="G129" s="54" t="n">
        <v>2</v>
      </c>
      <c r="H129" s="55" t="n">
        <v>144</v>
      </c>
      <c r="I129" s="55" t="n">
        <v>144.3</v>
      </c>
      <c r="J129" s="55" t="n">
        <v>0</v>
      </c>
      <c r="K129" s="55" t="n">
        <v>0</v>
      </c>
      <c r="L129" s="55" t="n">
        <v>144.3</v>
      </c>
      <c r="M129" s="55" t="n">
        <v>0.3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121328</t>
        </is>
      </c>
      <c r="B130" s="52" t="n">
        <v>45995</v>
      </c>
      <c r="C130" s="36" t="inlineStr">
        <is>
          <t>57599081800</t>
        </is>
      </c>
      <c r="D130" s="53" t="inlineStr">
        <is>
          <t>FREESTYLE LIBRE 3 SENSOR</t>
        </is>
      </c>
      <c r="E130" s="36" t="n">
        <v>1</v>
      </c>
      <c r="F130" s="54" t="n">
        <v>2</v>
      </c>
      <c r="G130" s="54" t="n">
        <v>2</v>
      </c>
      <c r="H130" s="55" t="n">
        <v>144</v>
      </c>
      <c r="I130" s="55" t="n">
        <v>82.63</v>
      </c>
      <c r="J130" s="55" t="n">
        <v>0</v>
      </c>
      <c r="K130" s="55" t="n">
        <v>74.98999999999999</v>
      </c>
      <c r="L130" s="55" t="n">
        <v>157.62</v>
      </c>
      <c r="M130" s="55" t="n">
        <v>13.62</v>
      </c>
      <c r="N130" s="36" t="inlineStr">
        <is>
          <t>004336</t>
        </is>
      </c>
      <c r="O130" s="36" t="inlineStr">
        <is>
          <t>CAREMARK</t>
        </is>
      </c>
      <c r="P130" s="36" t="inlineStr">
        <is>
          <t>ADV</t>
        </is>
      </c>
      <c r="Q130" s="36" t="inlineStr">
        <is>
          <t>RX3175</t>
        </is>
      </c>
    </row>
    <row r="131">
      <c r="A131" s="36" t="inlineStr">
        <is>
          <t>115458</t>
        </is>
      </c>
      <c r="B131" s="52" t="n">
        <v>46007</v>
      </c>
      <c r="C131" s="36" t="inlineStr">
        <is>
          <t>57599081800</t>
        </is>
      </c>
      <c r="D131" s="53" t="inlineStr">
        <is>
          <t>FREESTYLE LIBRE 3 SENSOR</t>
        </is>
      </c>
      <c r="E131" s="36" t="n">
        <v>1</v>
      </c>
      <c r="F131" s="54" t="n">
        <v>2</v>
      </c>
      <c r="G131" s="54" t="n">
        <v>2</v>
      </c>
      <c r="H131" s="55" t="n">
        <v>144</v>
      </c>
      <c r="I131" s="55" t="n">
        <v>82.63</v>
      </c>
      <c r="J131" s="55" t="n">
        <v>0</v>
      </c>
      <c r="K131" s="55" t="n">
        <v>74.98999999999999</v>
      </c>
      <c r="L131" s="55" t="n">
        <v>157.62</v>
      </c>
      <c r="M131" s="55" t="n">
        <v>13.62</v>
      </c>
      <c r="N131" s="36" t="inlineStr">
        <is>
          <t>017010</t>
        </is>
      </c>
      <c r="O131" s="36" t="inlineStr">
        <is>
          <t>EXPRESS</t>
        </is>
      </c>
      <c r="P131" s="36" t="inlineStr">
        <is>
          <t>0215COMM</t>
        </is>
      </c>
      <c r="Q131" s="36" t="inlineStr">
        <is>
          <t>CIGUG0000637726</t>
        </is>
      </c>
    </row>
    <row r="132">
      <c r="A132" s="36" t="inlineStr">
        <is>
          <t>137318</t>
        </is>
      </c>
      <c r="B132" s="52" t="n">
        <v>46024</v>
      </c>
      <c r="C132" s="36" t="inlineStr">
        <is>
          <t>57599081800</t>
        </is>
      </c>
      <c r="D132" s="53" t="inlineStr">
        <is>
          <t>FREESTYLE LIBRE 3 SENSOR</t>
        </is>
      </c>
      <c r="E132" s="36" t="n">
        <v>1</v>
      </c>
      <c r="F132" s="54" t="n">
        <v>2</v>
      </c>
      <c r="G132" s="54" t="n">
        <v>2</v>
      </c>
      <c r="H132" s="55" t="n">
        <v>144</v>
      </c>
      <c r="I132" s="55" t="n">
        <v>144.3</v>
      </c>
      <c r="J132" s="55" t="n">
        <v>0</v>
      </c>
      <c r="K132" s="55" t="n">
        <v>0</v>
      </c>
      <c r="L132" s="55" t="n">
        <v>144.3</v>
      </c>
      <c r="M132" s="55" t="n">
        <v>0.3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139507</t>
        </is>
      </c>
      <c r="B133" s="52" t="n">
        <v>46038</v>
      </c>
      <c r="C133" s="36" t="inlineStr">
        <is>
          <t>57599081800</t>
        </is>
      </c>
      <c r="D133" s="53" t="inlineStr">
        <is>
          <t>FREESTYLE LIBRE 3 SENSOR</t>
        </is>
      </c>
      <c r="E133" s="36" t="n">
        <v>1</v>
      </c>
      <c r="F133" s="54" t="n">
        <v>2</v>
      </c>
      <c r="G133" s="54" t="n">
        <v>2</v>
      </c>
      <c r="H133" s="55" t="n">
        <v>144</v>
      </c>
      <c r="I133" s="55" t="n">
        <v>144.3</v>
      </c>
      <c r="J133" s="55" t="n">
        <v>0</v>
      </c>
      <c r="K133" s="55" t="n">
        <v>0</v>
      </c>
      <c r="L133" s="55" t="n">
        <v>144.3</v>
      </c>
      <c r="M133" s="55" t="n">
        <v>0.3</v>
      </c>
      <c r="N133" s="36" t="inlineStr">
        <is>
          <t>004740</t>
        </is>
      </c>
      <c r="O133" s="36" t="inlineStr">
        <is>
          <t>NYM</t>
        </is>
      </c>
      <c r="P133" s="36" t="inlineStr">
        <is>
          <t>9314DA31</t>
        </is>
      </c>
      <c r="Q133" s="36" t="n">
        <v/>
      </c>
    </row>
    <row r="134">
      <c r="A134" s="36" t="inlineStr">
        <is>
          <t>133447</t>
        </is>
      </c>
      <c r="B134" s="52" t="n">
        <v>46069</v>
      </c>
      <c r="C134" s="36" t="inlineStr">
        <is>
          <t>57599081800</t>
        </is>
      </c>
      <c r="D134" s="53" t="inlineStr">
        <is>
          <t>FREESTYLE LIBRE 3 SENSOR</t>
        </is>
      </c>
      <c r="E134" s="36" t="n">
        <v>1</v>
      </c>
      <c r="F134" s="54" t="n">
        <v>2</v>
      </c>
      <c r="G134" s="54" t="n">
        <v>2</v>
      </c>
      <c r="H134" s="55" t="n">
        <v>144</v>
      </c>
      <c r="I134" s="55" t="n">
        <v>152.96</v>
      </c>
      <c r="J134" s="55" t="n">
        <v>0</v>
      </c>
      <c r="K134" s="55" t="n">
        <v>0</v>
      </c>
      <c r="L134" s="55" t="n">
        <v>152.96</v>
      </c>
      <c r="M134" s="55" t="n">
        <v>8.960000000000001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137318</t>
        </is>
      </c>
      <c r="B135" s="52" t="n">
        <v>46051</v>
      </c>
      <c r="C135" s="36" t="inlineStr">
        <is>
          <t>57599081800</t>
        </is>
      </c>
      <c r="D135" s="53" t="inlineStr">
        <is>
          <t>FREESTYLE LIBRE 3 SENSOR</t>
        </is>
      </c>
      <c r="E135" s="36" t="n">
        <v>1</v>
      </c>
      <c r="F135" s="54" t="n">
        <v>2</v>
      </c>
      <c r="G135" s="54" t="n">
        <v>2</v>
      </c>
      <c r="H135" s="55" t="n">
        <v>144</v>
      </c>
      <c r="I135" s="55" t="n">
        <v>144.3</v>
      </c>
      <c r="J135" s="55" t="n">
        <v>0</v>
      </c>
      <c r="K135" s="55" t="n">
        <v>0</v>
      </c>
      <c r="L135" s="55" t="n">
        <v>144.3</v>
      </c>
      <c r="M135" s="55" t="n">
        <v>0.3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133447</t>
        </is>
      </c>
      <c r="B136" s="52" t="n">
        <v>46043</v>
      </c>
      <c r="C136" s="36" t="inlineStr">
        <is>
          <t>57599081800</t>
        </is>
      </c>
      <c r="D136" s="53" t="inlineStr">
        <is>
          <t>FREESTYLE LIBRE 3 SENSOR</t>
        </is>
      </c>
      <c r="E136" s="36" t="n">
        <v>1</v>
      </c>
      <c r="F136" s="54" t="n">
        <v>2</v>
      </c>
      <c r="G136" s="54" t="n">
        <v>2</v>
      </c>
      <c r="H136" s="55" t="n">
        <v>144</v>
      </c>
      <c r="I136" s="55" t="n">
        <v>144.3</v>
      </c>
      <c r="J136" s="55" t="n">
        <v>0</v>
      </c>
      <c r="K136" s="55" t="n">
        <v>0</v>
      </c>
      <c r="L136" s="55" t="n">
        <v>144.3</v>
      </c>
      <c r="M136" s="55" t="n">
        <v>0.3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137318</t>
        </is>
      </c>
      <c r="B137" s="52" t="n">
        <v>46077</v>
      </c>
      <c r="C137" s="36" t="inlineStr">
        <is>
          <t>57599081800</t>
        </is>
      </c>
      <c r="D137" s="53" t="inlineStr">
        <is>
          <t>FREESTYLE LIBRE 3 SENSOR</t>
        </is>
      </c>
      <c r="E137" s="36" t="n">
        <v>1</v>
      </c>
      <c r="F137" s="54" t="n">
        <v>2</v>
      </c>
      <c r="G137" s="54" t="n">
        <v>2</v>
      </c>
      <c r="H137" s="55" t="n">
        <v>144</v>
      </c>
      <c r="I137" s="55" t="n">
        <v>152.96</v>
      </c>
      <c r="J137" s="55" t="n">
        <v>0</v>
      </c>
      <c r="K137" s="55" t="n">
        <v>0</v>
      </c>
      <c r="L137" s="55" t="n">
        <v>152.96</v>
      </c>
      <c r="M137" s="55" t="n">
        <v>8.960000000000001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117513</t>
        </is>
      </c>
      <c r="B138" s="52" t="n">
        <v>46049</v>
      </c>
      <c r="C138" s="36" t="inlineStr">
        <is>
          <t>73336007530</t>
        </is>
      </c>
      <c r="D138" s="53" t="inlineStr">
        <is>
          <t>GEMTESA 75MG TABLET</t>
        </is>
      </c>
      <c r="E138" s="36" t="n">
        <v>30</v>
      </c>
      <c r="F138" s="54" t="n">
        <v>30</v>
      </c>
      <c r="G138" s="54" t="n">
        <v>1</v>
      </c>
      <c r="H138" s="55" t="n">
        <v>482</v>
      </c>
      <c r="I138" s="55" t="n">
        <v>489.24</v>
      </c>
      <c r="J138" s="55" t="n">
        <v>0</v>
      </c>
      <c r="K138" s="55" t="n">
        <v>0</v>
      </c>
      <c r="L138" s="55" t="n">
        <v>489.24</v>
      </c>
      <c r="M138" s="55" t="n">
        <v>7.24</v>
      </c>
      <c r="N138" s="36" t="inlineStr">
        <is>
          <t>015574</t>
        </is>
      </c>
      <c r="O138" s="36" t="inlineStr">
        <is>
          <t>MEDIMP</t>
        </is>
      </c>
      <c r="P138" s="36" t="inlineStr">
        <is>
          <t>ASPROD1</t>
        </is>
      </c>
      <c r="Q138" s="36" t="inlineStr">
        <is>
          <t>VNS01</t>
        </is>
      </c>
    </row>
    <row r="139">
      <c r="A139" s="36" t="inlineStr">
        <is>
          <t>140098</t>
        </is>
      </c>
      <c r="B139" s="52" t="n">
        <v>46044</v>
      </c>
      <c r="C139" s="36" t="inlineStr">
        <is>
          <t>73336007530</t>
        </is>
      </c>
      <c r="D139" s="53" t="inlineStr">
        <is>
          <t>GEMTESA 75MG TABLET</t>
        </is>
      </c>
      <c r="E139" s="36" t="n">
        <v>30</v>
      </c>
      <c r="F139" s="54" t="n">
        <v>90</v>
      </c>
      <c r="G139" s="54" t="n">
        <v>3</v>
      </c>
      <c r="H139" s="55" t="n">
        <v>1446</v>
      </c>
      <c r="I139" s="55" t="n">
        <v>1443.45</v>
      </c>
      <c r="J139" s="55" t="n">
        <v>0</v>
      </c>
      <c r="K139" s="55" t="n">
        <v>4.9</v>
      </c>
      <c r="L139" s="55" t="n">
        <v>1448.35</v>
      </c>
      <c r="M139" s="55" t="n">
        <v>2.35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139456</t>
        </is>
      </c>
      <c r="B140" s="52" t="n">
        <v>46038</v>
      </c>
      <c r="C140" s="36" t="inlineStr">
        <is>
          <t>73336007530</t>
        </is>
      </c>
      <c r="D140" s="53" t="inlineStr">
        <is>
          <t>GEMTESA 75MG TABLET</t>
        </is>
      </c>
      <c r="E140" s="36" t="n">
        <v>30</v>
      </c>
      <c r="F140" s="54" t="n">
        <v>90</v>
      </c>
      <c r="G140" s="54" t="n">
        <v>3</v>
      </c>
      <c r="H140" s="55" t="n">
        <v>1446</v>
      </c>
      <c r="I140" s="55" t="n">
        <v>1443.45</v>
      </c>
      <c r="J140" s="55" t="n">
        <v>0</v>
      </c>
      <c r="K140" s="55" t="n">
        <v>4.9</v>
      </c>
      <c r="L140" s="55" t="n">
        <v>1448.35</v>
      </c>
      <c r="M140" s="55" t="n">
        <v>2.35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139882</t>
        </is>
      </c>
      <c r="B141" s="52" t="n">
        <v>46042</v>
      </c>
      <c r="C141" s="36" t="inlineStr">
        <is>
          <t>73336007530</t>
        </is>
      </c>
      <c r="D141" s="53" t="inlineStr">
        <is>
          <t>GEMTESA 75MG TABLET</t>
        </is>
      </c>
      <c r="E141" s="36" t="n">
        <v>30</v>
      </c>
      <c r="F141" s="54" t="n">
        <v>30</v>
      </c>
      <c r="G141" s="54" t="n">
        <v>1</v>
      </c>
      <c r="H141" s="55" t="n">
        <v>482</v>
      </c>
      <c r="I141" s="55" t="n">
        <v>485.81</v>
      </c>
      <c r="J141" s="55" t="n">
        <v>0</v>
      </c>
      <c r="K141" s="55" t="n">
        <v>4.9</v>
      </c>
      <c r="L141" s="55" t="n">
        <v>490.71</v>
      </c>
      <c r="M141" s="55" t="n">
        <v>8.710000000000001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105470</t>
        </is>
      </c>
      <c r="B142" s="52" t="n">
        <v>46030</v>
      </c>
      <c r="C142" s="36" t="inlineStr">
        <is>
          <t>73336007530</t>
        </is>
      </c>
      <c r="D142" s="53" t="inlineStr">
        <is>
          <t>GEMTESA 75MG TABLET</t>
        </is>
      </c>
      <c r="E142" s="36" t="n">
        <v>30</v>
      </c>
      <c r="F142" s="54" t="n">
        <v>90</v>
      </c>
      <c r="G142" s="54" t="n">
        <v>3</v>
      </c>
      <c r="H142" s="55" t="n">
        <v>1446</v>
      </c>
      <c r="I142" s="55" t="n">
        <v>1448.35</v>
      </c>
      <c r="J142" s="55" t="n">
        <v>0</v>
      </c>
      <c r="K142" s="55" t="n">
        <v>0</v>
      </c>
      <c r="L142" s="55" t="n">
        <v>1448.35</v>
      </c>
      <c r="M142" s="55" t="n">
        <v>2.35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118472</t>
        </is>
      </c>
      <c r="B143" s="52" t="n">
        <v>46055</v>
      </c>
      <c r="C143" s="36" t="inlineStr">
        <is>
          <t>00173087310</t>
        </is>
      </c>
      <c r="D143" s="53" t="inlineStr">
        <is>
          <t>INCRUSE ELLIPTA 62.5MCG/INH AEROSOL</t>
        </is>
      </c>
      <c r="E143" s="36" t="n">
        <v>30</v>
      </c>
      <c r="F143" s="54" t="n">
        <v>90</v>
      </c>
      <c r="G143" s="54" t="n">
        <v>3</v>
      </c>
      <c r="H143" s="55" t="n">
        <v>1023</v>
      </c>
      <c r="I143" s="55" t="n">
        <v>1028.05</v>
      </c>
      <c r="J143" s="55" t="n">
        <v>0</v>
      </c>
      <c r="K143" s="55" t="n">
        <v>0</v>
      </c>
      <c r="L143" s="55" t="n">
        <v>1028.05</v>
      </c>
      <c r="M143" s="55" t="n">
        <v>5.05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133742</t>
        </is>
      </c>
      <c r="B144" s="52" t="n">
        <v>46006</v>
      </c>
      <c r="C144" s="36" t="inlineStr">
        <is>
          <t>00006057761</t>
        </is>
      </c>
      <c r="D144" s="53" t="inlineStr">
        <is>
          <t>JANUMET 50-1000MG TABLET</t>
        </is>
      </c>
      <c r="E144" s="36" t="n">
        <v>60</v>
      </c>
      <c r="F144" s="54" t="n">
        <v>180</v>
      </c>
      <c r="G144" s="54" t="n">
        <v>3</v>
      </c>
      <c r="H144" s="55" t="n">
        <v>954</v>
      </c>
      <c r="I144" s="55" t="n">
        <v>973.87</v>
      </c>
      <c r="J144" s="55" t="n">
        <v>0</v>
      </c>
      <c r="K144" s="55" t="n">
        <v>0</v>
      </c>
      <c r="L144" s="55" t="n">
        <v>973.87</v>
      </c>
      <c r="M144" s="55" t="n">
        <v>19.87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RXCVSD</t>
        </is>
      </c>
    </row>
    <row r="145">
      <c r="A145" s="36" t="inlineStr">
        <is>
          <t>137032</t>
        </is>
      </c>
      <c r="B145" s="52" t="n">
        <v>46021</v>
      </c>
      <c r="C145" s="36" t="inlineStr">
        <is>
          <t>00006057561</t>
        </is>
      </c>
      <c r="D145" s="53" t="inlineStr">
        <is>
          <t>JANUMET 50-500 MG ORAL TABLET</t>
        </is>
      </c>
      <c r="E145" s="36" t="n">
        <v>60</v>
      </c>
      <c r="F145" s="54" t="n">
        <v>180</v>
      </c>
      <c r="G145" s="54" t="n">
        <v>3</v>
      </c>
      <c r="H145" s="55" t="n">
        <v>954</v>
      </c>
      <c r="I145" s="55" t="n">
        <v>961.33</v>
      </c>
      <c r="J145" s="55" t="n">
        <v>0</v>
      </c>
      <c r="K145" s="55" t="n">
        <v>0</v>
      </c>
      <c r="L145" s="55" t="n">
        <v>961.33</v>
      </c>
      <c r="M145" s="55" t="n">
        <v>7.33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133674</t>
        </is>
      </c>
      <c r="B146" s="52" t="n">
        <v>46027</v>
      </c>
      <c r="C146" s="36" t="inlineStr">
        <is>
          <t>00006027731</t>
        </is>
      </c>
      <c r="D146" s="53" t="inlineStr">
        <is>
          <t>JANUVIA 100MG TAB</t>
        </is>
      </c>
      <c r="E146" s="36" t="n">
        <v>30</v>
      </c>
      <c r="F146" s="54" t="n">
        <v>90</v>
      </c>
      <c r="G146" s="54" t="n">
        <v>3</v>
      </c>
      <c r="H146" s="55" t="n">
        <v>954</v>
      </c>
      <c r="I146" s="55" t="n">
        <v>356.4</v>
      </c>
      <c r="J146" s="55" t="n">
        <v>638.29</v>
      </c>
      <c r="K146" s="55" t="n">
        <v>0</v>
      </c>
      <c r="L146" s="55" t="n">
        <v>994.6900000000001</v>
      </c>
      <c r="M146" s="55" t="n">
        <v>40.69</v>
      </c>
      <c r="N146" s="36" t="inlineStr">
        <is>
          <t>015574</t>
        </is>
      </c>
      <c r="O146" s="36" t="inlineStr">
        <is>
          <t>MEDIMP</t>
        </is>
      </c>
      <c r="P146" s="36" t="inlineStr">
        <is>
          <t>ASPROD1</t>
        </is>
      </c>
      <c r="Q146" s="36" t="n">
        <v/>
      </c>
    </row>
    <row r="147">
      <c r="A147" s="36" t="inlineStr">
        <is>
          <t>138331</t>
        </is>
      </c>
      <c r="B147" s="52" t="n">
        <v>46031</v>
      </c>
      <c r="C147" s="36" t="inlineStr">
        <is>
          <t>00006027731</t>
        </is>
      </c>
      <c r="D147" s="53" t="inlineStr">
        <is>
          <t>JANUVIA 100MG TAB</t>
        </is>
      </c>
      <c r="E147" s="36" t="n">
        <v>30</v>
      </c>
      <c r="F147" s="54" t="n">
        <v>90</v>
      </c>
      <c r="G147" s="54" t="n">
        <v>3</v>
      </c>
      <c r="H147" s="55" t="n">
        <v>954</v>
      </c>
      <c r="I147" s="55" t="n">
        <v>352.71</v>
      </c>
      <c r="J147" s="55" t="n">
        <v>638.29</v>
      </c>
      <c r="K147" s="55" t="n">
        <v>0</v>
      </c>
      <c r="L147" s="55" t="n">
        <v>991</v>
      </c>
      <c r="M147" s="55" t="n">
        <v>37</v>
      </c>
      <c r="N147" s="36" t="inlineStr">
        <is>
          <t>610014</t>
        </is>
      </c>
      <c r="O147" s="36" t="inlineStr">
        <is>
          <t>EXPRESS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137417</t>
        </is>
      </c>
      <c r="B148" s="52" t="n">
        <v>46027</v>
      </c>
      <c r="C148" s="36" t="inlineStr">
        <is>
          <t>00006027731</t>
        </is>
      </c>
      <c r="D148" s="53" t="inlineStr">
        <is>
          <t>JANUVIA 100MG TAB</t>
        </is>
      </c>
      <c r="E148" s="36" t="n">
        <v>30</v>
      </c>
      <c r="F148" s="54" t="n">
        <v>90</v>
      </c>
      <c r="G148" s="54" t="n">
        <v>3</v>
      </c>
      <c r="H148" s="55" t="n">
        <v>954</v>
      </c>
      <c r="I148" s="55" t="n">
        <v>346.47</v>
      </c>
      <c r="J148" s="55" t="n">
        <v>638.29</v>
      </c>
      <c r="K148" s="55" t="n">
        <v>4.9</v>
      </c>
      <c r="L148" s="55" t="n">
        <v>989.66</v>
      </c>
      <c r="M148" s="55" t="n">
        <v>35.66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137451</t>
        </is>
      </c>
      <c r="B149" s="52" t="n">
        <v>46027</v>
      </c>
      <c r="C149" s="36" t="inlineStr">
        <is>
          <t>00006027731</t>
        </is>
      </c>
      <c r="D149" s="53" t="inlineStr">
        <is>
          <t>JANUVIA 100MG TAB</t>
        </is>
      </c>
      <c r="E149" s="36" t="n">
        <v>30</v>
      </c>
      <c r="F149" s="54" t="n">
        <v>90</v>
      </c>
      <c r="G149" s="54" t="n">
        <v>3</v>
      </c>
      <c r="H149" s="55" t="n">
        <v>954</v>
      </c>
      <c r="I149" s="55" t="n">
        <v>346.47</v>
      </c>
      <c r="J149" s="55" t="n">
        <v>638.29</v>
      </c>
      <c r="K149" s="55" t="n">
        <v>4.9</v>
      </c>
      <c r="L149" s="55" t="n">
        <v>989.66</v>
      </c>
      <c r="M149" s="55" t="n">
        <v>35.66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138331</t>
        </is>
      </c>
      <c r="B150" s="52" t="n">
        <v>46064</v>
      </c>
      <c r="C150" s="36" t="inlineStr">
        <is>
          <t>00006027731</t>
        </is>
      </c>
      <c r="D150" s="53" t="inlineStr">
        <is>
          <t>JANUVIA 100MG TAB</t>
        </is>
      </c>
      <c r="E150" s="36" t="n">
        <v>30</v>
      </c>
      <c r="F150" s="54" t="n">
        <v>90</v>
      </c>
      <c r="G150" s="54" t="n">
        <v>3</v>
      </c>
      <c r="H150" s="55" t="n">
        <v>963</v>
      </c>
      <c r="I150" s="55" t="n">
        <v>351.37</v>
      </c>
      <c r="J150" s="55" t="n">
        <v>638.29</v>
      </c>
      <c r="K150" s="55" t="n">
        <v>0</v>
      </c>
      <c r="L150" s="55" t="n">
        <v>989.66</v>
      </c>
      <c r="M150" s="55" t="n">
        <v>26.66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RX8585</t>
        </is>
      </c>
    </row>
    <row r="151">
      <c r="A151" s="36" t="inlineStr">
        <is>
          <t>139180</t>
        </is>
      </c>
      <c r="B151" s="52" t="n">
        <v>46037</v>
      </c>
      <c r="C151" s="36" t="inlineStr">
        <is>
          <t>00006027731</t>
        </is>
      </c>
      <c r="D151" s="53" t="inlineStr">
        <is>
          <t>JANUVIA 100MG TAB</t>
        </is>
      </c>
      <c r="E151" s="36" t="n">
        <v>30</v>
      </c>
      <c r="F151" s="54" t="n">
        <v>90</v>
      </c>
      <c r="G151" s="54" t="n">
        <v>3</v>
      </c>
      <c r="H151" s="55" t="n">
        <v>954</v>
      </c>
      <c r="I151" s="55" t="n">
        <v>346.47</v>
      </c>
      <c r="J151" s="55" t="n">
        <v>638.29</v>
      </c>
      <c r="K151" s="55" t="n">
        <v>4.9</v>
      </c>
      <c r="L151" s="55" t="n">
        <v>989.66</v>
      </c>
      <c r="M151" s="55" t="n">
        <v>35.66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143116</t>
        </is>
      </c>
      <c r="B152" s="52" t="n">
        <v>46065</v>
      </c>
      <c r="C152" s="36" t="inlineStr">
        <is>
          <t>00006027731</t>
        </is>
      </c>
      <c r="D152" s="53" t="inlineStr">
        <is>
          <t>JANUVIA 100MG TAB</t>
        </is>
      </c>
      <c r="E152" s="36" t="n">
        <v>30</v>
      </c>
      <c r="F152" s="54" t="n">
        <v>90</v>
      </c>
      <c r="G152" s="54" t="n">
        <v>3</v>
      </c>
      <c r="H152" s="55" t="n">
        <v>963</v>
      </c>
      <c r="I152" s="55" t="n">
        <v>346.47</v>
      </c>
      <c r="J152" s="55" t="n">
        <v>638.29</v>
      </c>
      <c r="K152" s="55" t="n">
        <v>4.9</v>
      </c>
      <c r="L152" s="55" t="n">
        <v>989.66</v>
      </c>
      <c r="M152" s="55" t="n">
        <v>26.66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119371</t>
        </is>
      </c>
      <c r="B153" s="52" t="n">
        <v>46059</v>
      </c>
      <c r="C153" s="36" t="inlineStr">
        <is>
          <t>00006027731</t>
        </is>
      </c>
      <c r="D153" s="53" t="inlineStr">
        <is>
          <t>JANUVIA 100MG TAB</t>
        </is>
      </c>
      <c r="E153" s="36" t="n">
        <v>30</v>
      </c>
      <c r="F153" s="54" t="n">
        <v>90</v>
      </c>
      <c r="G153" s="54" t="n">
        <v>3</v>
      </c>
      <c r="H153" s="55" t="n">
        <v>963</v>
      </c>
      <c r="I153" s="55" t="n">
        <v>346.47</v>
      </c>
      <c r="J153" s="55" t="n">
        <v>638.29</v>
      </c>
      <c r="K153" s="55" t="n">
        <v>4.9</v>
      </c>
      <c r="L153" s="55" t="n">
        <v>989.66</v>
      </c>
      <c r="M153" s="55" t="n">
        <v>26.66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137678</t>
        </is>
      </c>
      <c r="B154" s="52" t="n">
        <v>46056</v>
      </c>
      <c r="C154" s="36" t="inlineStr">
        <is>
          <t>00006027731</t>
        </is>
      </c>
      <c r="D154" s="53" t="inlineStr">
        <is>
          <t>JANUVIA 100MG TAB</t>
        </is>
      </c>
      <c r="E154" s="36" t="n">
        <v>30</v>
      </c>
      <c r="F154" s="54" t="n">
        <v>30</v>
      </c>
      <c r="G154" s="54" t="n">
        <v>1</v>
      </c>
      <c r="H154" s="55" t="n">
        <v>321</v>
      </c>
      <c r="I154" s="55" t="n">
        <v>117</v>
      </c>
      <c r="J154" s="55" t="n">
        <v>212.76</v>
      </c>
      <c r="K154" s="55" t="n">
        <v>0</v>
      </c>
      <c r="L154" s="55" t="n">
        <v>329.76</v>
      </c>
      <c r="M154" s="55" t="n">
        <v>8.76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139890</t>
        </is>
      </c>
      <c r="B155" s="52" t="n">
        <v>46042</v>
      </c>
      <c r="C155" s="36" t="inlineStr">
        <is>
          <t>00006027731</t>
        </is>
      </c>
      <c r="D155" s="53" t="inlineStr">
        <is>
          <t>JANUVIA 100MG TAB</t>
        </is>
      </c>
      <c r="E155" s="36" t="n">
        <v>30</v>
      </c>
      <c r="F155" s="54" t="n">
        <v>90</v>
      </c>
      <c r="G155" s="54" t="n">
        <v>3</v>
      </c>
      <c r="H155" s="55" t="n">
        <v>954</v>
      </c>
      <c r="I155" s="55" t="n">
        <v>346.47</v>
      </c>
      <c r="J155" s="55" t="n">
        <v>638.29</v>
      </c>
      <c r="K155" s="55" t="n">
        <v>4.9</v>
      </c>
      <c r="L155" s="55" t="n">
        <v>989.66</v>
      </c>
      <c r="M155" s="55" t="n">
        <v>35.66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126112</t>
        </is>
      </c>
      <c r="B156" s="52" t="n">
        <v>46043</v>
      </c>
      <c r="C156" s="36" t="inlineStr">
        <is>
          <t>00006027731</t>
        </is>
      </c>
      <c r="D156" s="53" t="inlineStr">
        <is>
          <t>JANUVIA 100MG TAB</t>
        </is>
      </c>
      <c r="E156" s="36" t="n">
        <v>30</v>
      </c>
      <c r="F156" s="54" t="n">
        <v>90</v>
      </c>
      <c r="G156" s="54" t="n">
        <v>3</v>
      </c>
      <c r="H156" s="55" t="n">
        <v>954</v>
      </c>
      <c r="I156" s="55" t="n">
        <v>343.75</v>
      </c>
      <c r="J156" s="55" t="n">
        <v>638.29</v>
      </c>
      <c r="K156" s="55" t="n">
        <v>12.65</v>
      </c>
      <c r="L156" s="55" t="n">
        <v>994.6900000000001</v>
      </c>
      <c r="M156" s="55" t="n">
        <v>40.69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inlineStr">
        <is>
          <t>VNS01</t>
        </is>
      </c>
    </row>
    <row r="157">
      <c r="A157" s="36" t="inlineStr">
        <is>
          <t>137678</t>
        </is>
      </c>
      <c r="B157" s="52" t="n">
        <v>46028</v>
      </c>
      <c r="C157" s="36" t="inlineStr">
        <is>
          <t>00006027731</t>
        </is>
      </c>
      <c r="D157" s="53" t="inlineStr">
        <is>
          <t>JANUVIA 100MG TAB</t>
        </is>
      </c>
      <c r="E157" s="36" t="n">
        <v>30</v>
      </c>
      <c r="F157" s="54" t="n">
        <v>30</v>
      </c>
      <c r="G157" s="54" t="n">
        <v>1</v>
      </c>
      <c r="H157" s="55" t="n">
        <v>318</v>
      </c>
      <c r="I157" s="55" t="n">
        <v>117</v>
      </c>
      <c r="J157" s="55" t="n">
        <v>212.76</v>
      </c>
      <c r="K157" s="55" t="n">
        <v>0</v>
      </c>
      <c r="L157" s="55" t="n">
        <v>329.76</v>
      </c>
      <c r="M157" s="55" t="n">
        <v>11.76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135046</t>
        </is>
      </c>
      <c r="B158" s="52" t="n">
        <v>46006</v>
      </c>
      <c r="C158" s="36" t="inlineStr">
        <is>
          <t>00006027731</t>
        </is>
      </c>
      <c r="D158" s="53" t="inlineStr">
        <is>
          <t>JANUVIA 100MG TAB</t>
        </is>
      </c>
      <c r="E158" s="36" t="n">
        <v>30</v>
      </c>
      <c r="F158" s="54" t="n">
        <v>90</v>
      </c>
      <c r="G158" s="54" t="n">
        <v>3</v>
      </c>
      <c r="H158" s="55" t="n">
        <v>954</v>
      </c>
      <c r="I158" s="55" t="n">
        <v>959.9400000000001</v>
      </c>
      <c r="J158" s="55" t="n">
        <v>0</v>
      </c>
      <c r="K158" s="55" t="n">
        <v>0</v>
      </c>
      <c r="L158" s="55" t="n">
        <v>959.9400000000001</v>
      </c>
      <c r="M158" s="55" t="n">
        <v>5.94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141186</t>
        </is>
      </c>
      <c r="B159" s="52" t="n">
        <v>46052</v>
      </c>
      <c r="C159" s="36" t="inlineStr">
        <is>
          <t>00006027731</t>
        </is>
      </c>
      <c r="D159" s="53" t="inlineStr">
        <is>
          <t>JANUVIA 100MG TAB</t>
        </is>
      </c>
      <c r="E159" s="36" t="n">
        <v>30</v>
      </c>
      <c r="F159" s="54" t="n">
        <v>90</v>
      </c>
      <c r="G159" s="54" t="n">
        <v>3</v>
      </c>
      <c r="H159" s="55" t="n">
        <v>954</v>
      </c>
      <c r="I159" s="55" t="n">
        <v>351.5</v>
      </c>
      <c r="J159" s="55" t="n">
        <v>638.29</v>
      </c>
      <c r="K159" s="55" t="n">
        <v>4.9</v>
      </c>
      <c r="L159" s="55" t="n">
        <v>994.6900000000001</v>
      </c>
      <c r="M159" s="55" t="n">
        <v>40.69</v>
      </c>
      <c r="N159" s="36" t="inlineStr">
        <is>
          <t>015574</t>
        </is>
      </c>
      <c r="O159" s="36" t="inlineStr">
        <is>
          <t>MEDIMP</t>
        </is>
      </c>
      <c r="P159" s="36" t="inlineStr">
        <is>
          <t>ASPROD1</t>
        </is>
      </c>
      <c r="Q159" s="36" t="inlineStr">
        <is>
          <t>VNS01</t>
        </is>
      </c>
    </row>
    <row r="160">
      <c r="A160" s="36" t="inlineStr">
        <is>
          <t>138531</t>
        </is>
      </c>
      <c r="B160" s="52" t="n">
        <v>46034</v>
      </c>
      <c r="C160" s="36" t="inlineStr">
        <is>
          <t>00006027731</t>
        </is>
      </c>
      <c r="D160" s="53" t="inlineStr">
        <is>
          <t>JANUVIA 100MG TAB</t>
        </is>
      </c>
      <c r="E160" s="36" t="n">
        <v>30</v>
      </c>
      <c r="F160" s="54" t="n">
        <v>90</v>
      </c>
      <c r="G160" s="54" t="n">
        <v>3</v>
      </c>
      <c r="H160" s="55" t="n">
        <v>954</v>
      </c>
      <c r="I160" s="55" t="n">
        <v>346.47</v>
      </c>
      <c r="J160" s="55" t="n">
        <v>638.29</v>
      </c>
      <c r="K160" s="55" t="n">
        <v>4.9</v>
      </c>
      <c r="L160" s="55" t="n">
        <v>989.66</v>
      </c>
      <c r="M160" s="55" t="n">
        <v>35.66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141204</t>
        </is>
      </c>
      <c r="B161" s="52" t="n">
        <v>46052</v>
      </c>
      <c r="C161" s="36" t="inlineStr">
        <is>
          <t>00006027731</t>
        </is>
      </c>
      <c r="D161" s="53" t="inlineStr">
        <is>
          <t>JANUVIA 100MG TAB</t>
        </is>
      </c>
      <c r="E161" s="36" t="n">
        <v>30</v>
      </c>
      <c r="F161" s="54" t="n">
        <v>90</v>
      </c>
      <c r="G161" s="54" t="n">
        <v>3</v>
      </c>
      <c r="H161" s="55" t="n">
        <v>954</v>
      </c>
      <c r="I161" s="55" t="n">
        <v>960.09</v>
      </c>
      <c r="J161" s="55" t="n">
        <v>0</v>
      </c>
      <c r="K161" s="55" t="n">
        <v>0</v>
      </c>
      <c r="L161" s="55" t="n">
        <v>960.09</v>
      </c>
      <c r="M161" s="55" t="n">
        <v>6.09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130807</t>
        </is>
      </c>
      <c r="B162" s="52" t="n">
        <v>46060</v>
      </c>
      <c r="C162" s="36" t="inlineStr">
        <is>
          <t>00006027731</t>
        </is>
      </c>
      <c r="D162" s="53" t="inlineStr">
        <is>
          <t>JANUVIA 100MG TAB</t>
        </is>
      </c>
      <c r="E162" s="36" t="n">
        <v>30</v>
      </c>
      <c r="F162" s="54" t="n">
        <v>90</v>
      </c>
      <c r="G162" s="54" t="n">
        <v>3</v>
      </c>
      <c r="H162" s="55" t="n">
        <v>963</v>
      </c>
      <c r="I162" s="55" t="n">
        <v>351.37</v>
      </c>
      <c r="J162" s="55" t="n">
        <v>638.29</v>
      </c>
      <c r="K162" s="55" t="n">
        <v>0</v>
      </c>
      <c r="L162" s="55" t="n">
        <v>989.66</v>
      </c>
      <c r="M162" s="55" t="n">
        <v>26.66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115240</t>
        </is>
      </c>
      <c r="B163" s="52" t="n">
        <v>46027</v>
      </c>
      <c r="C163" s="36" t="inlineStr">
        <is>
          <t>00006027731</t>
        </is>
      </c>
      <c r="D163" s="53" t="inlineStr">
        <is>
          <t>JANUVIA 100MG TAB</t>
        </is>
      </c>
      <c r="E163" s="36" t="n">
        <v>30</v>
      </c>
      <c r="F163" s="54" t="n">
        <v>90</v>
      </c>
      <c r="G163" s="54" t="n">
        <v>3</v>
      </c>
      <c r="H163" s="55" t="n">
        <v>954</v>
      </c>
      <c r="I163" s="55" t="n">
        <v>351.37</v>
      </c>
      <c r="J163" s="55" t="n">
        <v>638.29</v>
      </c>
      <c r="K163" s="55" t="n">
        <v>0</v>
      </c>
      <c r="L163" s="55" t="n">
        <v>989.66</v>
      </c>
      <c r="M163" s="55" t="n">
        <v>35.66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140578</t>
        </is>
      </c>
      <c r="B164" s="52" t="n">
        <v>46049</v>
      </c>
      <c r="C164" s="36" t="inlineStr">
        <is>
          <t>00006022131</t>
        </is>
      </c>
      <c r="D164" s="53" t="inlineStr">
        <is>
          <t>JANUVIA 25MG TABLET</t>
        </is>
      </c>
      <c r="E164" s="36" t="n">
        <v>30</v>
      </c>
      <c r="F164" s="54" t="n">
        <v>30</v>
      </c>
      <c r="G164" s="54" t="n">
        <v>1</v>
      </c>
      <c r="H164" s="55" t="n">
        <v>318</v>
      </c>
      <c r="I164" s="55" t="n">
        <v>127.74</v>
      </c>
      <c r="J164" s="55" t="n">
        <v>212.76</v>
      </c>
      <c r="K164" s="55" t="n">
        <v>0</v>
      </c>
      <c r="L164" s="55" t="n">
        <v>340.5</v>
      </c>
      <c r="M164" s="55" t="n">
        <v>22.5</v>
      </c>
      <c r="N164" s="36" t="inlineStr">
        <is>
          <t>017010</t>
        </is>
      </c>
      <c r="O164" s="36" t="inlineStr">
        <is>
          <t>EXPRESS</t>
        </is>
      </c>
      <c r="P164" s="36" t="inlineStr">
        <is>
          <t>CIMCARE</t>
        </is>
      </c>
      <c r="Q164" s="36" t="inlineStr">
        <is>
          <t>CIGPDPRX</t>
        </is>
      </c>
    </row>
    <row r="165">
      <c r="A165" s="36" t="inlineStr">
        <is>
          <t>144507</t>
        </is>
      </c>
      <c r="B165" s="52" t="n">
        <v>46077</v>
      </c>
      <c r="C165" s="36" t="inlineStr">
        <is>
          <t>00006022131</t>
        </is>
      </c>
      <c r="D165" s="53" t="inlineStr">
        <is>
          <t>JANUVIA 25MG TABLET</t>
        </is>
      </c>
      <c r="E165" s="36" t="n">
        <v>30</v>
      </c>
      <c r="F165" s="54" t="n">
        <v>30</v>
      </c>
      <c r="G165" s="54" t="n">
        <v>1</v>
      </c>
      <c r="H165" s="55" t="n">
        <v>318</v>
      </c>
      <c r="I165" s="55" t="n">
        <v>127.74</v>
      </c>
      <c r="J165" s="55" t="n">
        <v>212.76</v>
      </c>
      <c r="K165" s="55" t="n">
        <v>0</v>
      </c>
      <c r="L165" s="55" t="n">
        <v>340.5</v>
      </c>
      <c r="M165" s="55" t="n">
        <v>22.5</v>
      </c>
      <c r="N165" s="36" t="inlineStr">
        <is>
          <t>017010</t>
        </is>
      </c>
      <c r="O165" s="36" t="inlineStr">
        <is>
          <t>EXPRESS</t>
        </is>
      </c>
      <c r="P165" s="36" t="inlineStr">
        <is>
          <t>CIMCARE</t>
        </is>
      </c>
      <c r="Q165" s="36" t="inlineStr">
        <is>
          <t>CIGPDPRX</t>
        </is>
      </c>
    </row>
    <row r="166">
      <c r="A166" s="36" t="inlineStr">
        <is>
          <t>137603</t>
        </is>
      </c>
      <c r="B166" s="52" t="n">
        <v>46027</v>
      </c>
      <c r="C166" s="36" t="inlineStr">
        <is>
          <t>00006011231</t>
        </is>
      </c>
      <c r="D166" s="53" t="inlineStr">
        <is>
          <t>JANUVIA 50MG TABLET</t>
        </is>
      </c>
      <c r="E166" s="36" t="n">
        <v>30</v>
      </c>
      <c r="F166" s="54" t="n">
        <v>90</v>
      </c>
      <c r="G166" s="54" t="n">
        <v>3</v>
      </c>
      <c r="H166" s="55" t="n">
        <v>954</v>
      </c>
      <c r="I166" s="55" t="n">
        <v>351.37</v>
      </c>
      <c r="J166" s="55" t="n">
        <v>638.29</v>
      </c>
      <c r="K166" s="55" t="n">
        <v>0</v>
      </c>
      <c r="L166" s="55" t="n">
        <v>989.66</v>
      </c>
      <c r="M166" s="55" t="n">
        <v>35.66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138446</t>
        </is>
      </c>
      <c r="B167" s="52" t="n">
        <v>46032</v>
      </c>
      <c r="C167" s="36" t="inlineStr">
        <is>
          <t>00006011231</t>
        </is>
      </c>
      <c r="D167" s="53" t="inlineStr">
        <is>
          <t>JANUVIA 50MG TABLET</t>
        </is>
      </c>
      <c r="E167" s="36" t="n">
        <v>30</v>
      </c>
      <c r="F167" s="54" t="n">
        <v>90</v>
      </c>
      <c r="G167" s="54" t="n">
        <v>3</v>
      </c>
      <c r="H167" s="55" t="n">
        <v>954</v>
      </c>
      <c r="I167" s="55" t="n">
        <v>346.47</v>
      </c>
      <c r="J167" s="55" t="n">
        <v>638.29</v>
      </c>
      <c r="K167" s="55" t="n">
        <v>4.9</v>
      </c>
      <c r="L167" s="55" t="n">
        <v>989.66</v>
      </c>
      <c r="M167" s="55" t="n">
        <v>35.66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142886</t>
        </is>
      </c>
      <c r="B168" s="52" t="n">
        <v>46064</v>
      </c>
      <c r="C168" s="36" t="inlineStr">
        <is>
          <t>00006011231</t>
        </is>
      </c>
      <c r="D168" s="53" t="inlineStr">
        <is>
          <t>JANUVIA 50MG TABLET</t>
        </is>
      </c>
      <c r="E168" s="36" t="n">
        <v>30</v>
      </c>
      <c r="F168" s="54" t="n">
        <v>60</v>
      </c>
      <c r="G168" s="54" t="n">
        <v>2</v>
      </c>
      <c r="H168" s="55" t="n">
        <v>642</v>
      </c>
      <c r="I168" s="55" t="n">
        <v>234.77</v>
      </c>
      <c r="J168" s="55" t="n">
        <v>425.53</v>
      </c>
      <c r="K168" s="55" t="n">
        <v>0</v>
      </c>
      <c r="L168" s="55" t="n">
        <v>660.3</v>
      </c>
      <c r="M168" s="55" t="n">
        <v>18.3</v>
      </c>
      <c r="N168" s="36" t="inlineStr">
        <is>
          <t>015599</t>
        </is>
      </c>
      <c r="O168" s="36" t="inlineStr">
        <is>
          <t>ARG/HUM</t>
        </is>
      </c>
      <c r="P168" s="36" t="inlineStr">
        <is>
          <t>05440000</t>
        </is>
      </c>
      <c r="Q168" s="36" t="n">
        <v/>
      </c>
    </row>
    <row r="169">
      <c r="A169" s="36" t="inlineStr">
        <is>
          <t>116072</t>
        </is>
      </c>
      <c r="B169" s="52" t="n">
        <v>46049</v>
      </c>
      <c r="C169" s="36" t="inlineStr">
        <is>
          <t>00006011231</t>
        </is>
      </c>
      <c r="D169" s="53" t="inlineStr">
        <is>
          <t>JANUVIA 50MG TABLET</t>
        </is>
      </c>
      <c r="E169" s="36" t="n">
        <v>30</v>
      </c>
      <c r="F169" s="54" t="n">
        <v>30</v>
      </c>
      <c r="G169" s="54" t="n">
        <v>1</v>
      </c>
      <c r="H169" s="55" t="n">
        <v>318</v>
      </c>
      <c r="I169" s="55" t="n">
        <v>113.34</v>
      </c>
      <c r="J169" s="55" t="n">
        <v>212.76</v>
      </c>
      <c r="K169" s="55" t="n">
        <v>4.9</v>
      </c>
      <c r="L169" s="55" t="n">
        <v>331</v>
      </c>
      <c r="M169" s="55" t="n">
        <v>13</v>
      </c>
      <c r="N169" s="36" t="inlineStr">
        <is>
          <t>610014</t>
        </is>
      </c>
      <c r="O169" s="36" t="inlineStr">
        <is>
          <t>EXPRESS</t>
        </is>
      </c>
      <c r="P169" s="36" t="inlineStr">
        <is>
          <t>MEDDPRIME</t>
        </is>
      </c>
      <c r="Q169" s="36" t="inlineStr">
        <is>
          <t>2FFA</t>
        </is>
      </c>
    </row>
    <row r="170">
      <c r="A170" s="36" t="inlineStr">
        <is>
          <t>142710</t>
        </is>
      </c>
      <c r="B170" s="52" t="n">
        <v>46064</v>
      </c>
      <c r="C170" s="36" t="inlineStr">
        <is>
          <t>00006011231</t>
        </is>
      </c>
      <c r="D170" s="53" t="inlineStr">
        <is>
          <t>JANUVIA 50MG TABLET</t>
        </is>
      </c>
      <c r="E170" s="36" t="n">
        <v>30</v>
      </c>
      <c r="F170" s="54" t="n">
        <v>90</v>
      </c>
      <c r="G170" s="54" t="n">
        <v>3</v>
      </c>
      <c r="H170" s="55" t="n">
        <v>963</v>
      </c>
      <c r="I170" s="55" t="n">
        <v>351.37</v>
      </c>
      <c r="J170" s="55" t="n">
        <v>638.29</v>
      </c>
      <c r="K170" s="55" t="n">
        <v>0</v>
      </c>
      <c r="L170" s="55" t="n">
        <v>989.66</v>
      </c>
      <c r="M170" s="55" t="n">
        <v>26.66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116072</t>
        </is>
      </c>
      <c r="B171" s="52" t="n">
        <v>46077</v>
      </c>
      <c r="C171" s="36" t="inlineStr">
        <is>
          <t>00006011231</t>
        </is>
      </c>
      <c r="D171" s="53" t="inlineStr">
        <is>
          <t>JANUVIA 50MG TABLET</t>
        </is>
      </c>
      <c r="E171" s="36" t="n">
        <v>30</v>
      </c>
      <c r="F171" s="54" t="n">
        <v>30</v>
      </c>
      <c r="G171" s="54" t="n">
        <v>1</v>
      </c>
      <c r="H171" s="55" t="n">
        <v>321</v>
      </c>
      <c r="I171" s="55" t="n">
        <v>113.34</v>
      </c>
      <c r="J171" s="55" t="n">
        <v>212.76</v>
      </c>
      <c r="K171" s="55" t="n">
        <v>4.9</v>
      </c>
      <c r="L171" s="55" t="n">
        <v>331</v>
      </c>
      <c r="M171" s="55" t="n">
        <v>10</v>
      </c>
      <c r="N171" s="36" t="inlineStr">
        <is>
          <t>610014</t>
        </is>
      </c>
      <c r="O171" s="36" t="inlineStr">
        <is>
          <t>EXPRESS</t>
        </is>
      </c>
      <c r="P171" s="36" t="inlineStr">
        <is>
          <t>MEDDPRIME</t>
        </is>
      </c>
      <c r="Q171" s="36" t="inlineStr">
        <is>
          <t>2FFA</t>
        </is>
      </c>
    </row>
    <row r="172">
      <c r="A172" s="36" t="inlineStr">
        <is>
          <t>135049</t>
        </is>
      </c>
      <c r="B172" s="52" t="n">
        <v>46034</v>
      </c>
      <c r="C172" s="36" t="inlineStr">
        <is>
          <t>00006011231</t>
        </is>
      </c>
      <c r="D172" s="53" t="inlineStr">
        <is>
          <t>JANUVIA 50MG TABLET</t>
        </is>
      </c>
      <c r="E172" s="36" t="n">
        <v>30</v>
      </c>
      <c r="F172" s="54" t="n">
        <v>30</v>
      </c>
      <c r="G172" s="54" t="n">
        <v>1</v>
      </c>
      <c r="H172" s="55" t="n">
        <v>318</v>
      </c>
      <c r="I172" s="55" t="n">
        <v>326.82</v>
      </c>
      <c r="J172" s="55" t="n">
        <v>0</v>
      </c>
      <c r="K172" s="55" t="n">
        <v>0</v>
      </c>
      <c r="L172" s="55" t="n">
        <v>326.82</v>
      </c>
      <c r="M172" s="55" t="n">
        <v>8.82</v>
      </c>
      <c r="N172" s="36" t="inlineStr">
        <is>
          <t>004740</t>
        </is>
      </c>
      <c r="O172" s="36" t="inlineStr">
        <is>
          <t>NYM</t>
        </is>
      </c>
      <c r="P172" s="36" t="inlineStr">
        <is>
          <t>9314DA31</t>
        </is>
      </c>
      <c r="Q172" s="36" t="n">
        <v/>
      </c>
    </row>
    <row r="173">
      <c r="A173" s="36" t="inlineStr">
        <is>
          <t>135049</t>
        </is>
      </c>
      <c r="B173" s="52" t="n">
        <v>46006</v>
      </c>
      <c r="C173" s="36" t="inlineStr">
        <is>
          <t>00006011231</t>
        </is>
      </c>
      <c r="D173" s="53" t="inlineStr">
        <is>
          <t>JANUVIA 50MG TABLET</t>
        </is>
      </c>
      <c r="E173" s="36" t="n">
        <v>30</v>
      </c>
      <c r="F173" s="54" t="n">
        <v>30</v>
      </c>
      <c r="G173" s="54" t="n">
        <v>1</v>
      </c>
      <c r="H173" s="55" t="n">
        <v>318</v>
      </c>
      <c r="I173" s="55" t="n">
        <v>326.78</v>
      </c>
      <c r="J173" s="55" t="n">
        <v>0</v>
      </c>
      <c r="K173" s="55" t="n">
        <v>0</v>
      </c>
      <c r="L173" s="55" t="n">
        <v>326.78</v>
      </c>
      <c r="M173" s="55" t="n">
        <v>8.779999999999999</v>
      </c>
      <c r="N173" s="36" t="inlineStr">
        <is>
          <t>004740</t>
        </is>
      </c>
      <c r="O173" s="36" t="inlineStr">
        <is>
          <t>NYM</t>
        </is>
      </c>
      <c r="P173" s="36" t="inlineStr">
        <is>
          <t>9314DA31</t>
        </is>
      </c>
      <c r="Q173" s="36" t="n">
        <v/>
      </c>
    </row>
    <row r="174">
      <c r="A174" s="36" t="inlineStr">
        <is>
          <t>131732</t>
        </is>
      </c>
      <c r="B174" s="52" t="n">
        <v>46069</v>
      </c>
      <c r="C174" s="36" t="inlineStr">
        <is>
          <t>00006011231</t>
        </is>
      </c>
      <c r="D174" s="53" t="inlineStr">
        <is>
          <t>JANUVIA 50MG TABLET</t>
        </is>
      </c>
      <c r="E174" s="36" t="n">
        <v>30</v>
      </c>
      <c r="F174" s="54" t="n">
        <v>90</v>
      </c>
      <c r="G174" s="54" t="n">
        <v>3</v>
      </c>
      <c r="H174" s="55" t="n">
        <v>963</v>
      </c>
      <c r="I174" s="55" t="n">
        <v>316.71</v>
      </c>
      <c r="J174" s="55" t="n">
        <v>638.29</v>
      </c>
      <c r="K174" s="55" t="n">
        <v>45</v>
      </c>
      <c r="L174" s="55" t="n">
        <v>1000</v>
      </c>
      <c r="M174" s="55" t="n">
        <v>37</v>
      </c>
      <c r="N174" s="36" t="inlineStr">
        <is>
          <t>610455</t>
        </is>
      </c>
      <c r="O174" s="36" t="inlineStr">
        <is>
          <t>PRIMECAPRX</t>
        </is>
      </c>
      <c r="P174" s="36" t="inlineStr">
        <is>
          <t>NY4000</t>
        </is>
      </c>
      <c r="Q174" s="36" t="inlineStr">
        <is>
          <t>MAPD</t>
        </is>
      </c>
    </row>
    <row r="175">
      <c r="A175" s="36" t="inlineStr">
        <is>
          <t>107980</t>
        </is>
      </c>
      <c r="B175" s="52" t="n">
        <v>46048</v>
      </c>
      <c r="C175" s="36" t="inlineStr">
        <is>
          <t>00006011231</t>
        </is>
      </c>
      <c r="D175" s="53" t="inlineStr">
        <is>
          <t>JANUVIA 50MG TABLET</t>
        </is>
      </c>
      <c r="E175" s="36" t="n">
        <v>30</v>
      </c>
      <c r="F175" s="54" t="n">
        <v>90</v>
      </c>
      <c r="G175" s="54" t="n">
        <v>3</v>
      </c>
      <c r="H175" s="55" t="n">
        <v>954</v>
      </c>
      <c r="I175" s="55" t="n">
        <v>346.47</v>
      </c>
      <c r="J175" s="55" t="n">
        <v>638.29</v>
      </c>
      <c r="K175" s="55" t="n">
        <v>4.9</v>
      </c>
      <c r="L175" s="55" t="n">
        <v>989.66</v>
      </c>
      <c r="M175" s="55" t="n">
        <v>35.66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138860</t>
        </is>
      </c>
      <c r="B176" s="52" t="n">
        <v>46035</v>
      </c>
      <c r="C176" s="36" t="inlineStr">
        <is>
          <t>00006011231</t>
        </is>
      </c>
      <c r="D176" s="53" t="inlineStr">
        <is>
          <t>JANUVIA 50MG TABLET</t>
        </is>
      </c>
      <c r="E176" s="36" t="n">
        <v>30</v>
      </c>
      <c r="F176" s="54" t="n">
        <v>90</v>
      </c>
      <c r="G176" s="54" t="n">
        <v>3</v>
      </c>
      <c r="H176" s="55" t="n">
        <v>954</v>
      </c>
      <c r="I176" s="55" t="n">
        <v>351.37</v>
      </c>
      <c r="J176" s="55" t="n">
        <v>638.29</v>
      </c>
      <c r="K176" s="55" t="n">
        <v>0</v>
      </c>
      <c r="L176" s="55" t="n">
        <v>989.66</v>
      </c>
      <c r="M176" s="55" t="n">
        <v>35.66</v>
      </c>
      <c r="N176" s="36" t="inlineStr">
        <is>
          <t>004336</t>
        </is>
      </c>
      <c r="O176" s="36" t="inlineStr">
        <is>
          <t>CAREMARK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142289</t>
        </is>
      </c>
      <c r="B177" s="52" t="n">
        <v>46062</v>
      </c>
      <c r="C177" s="36" t="inlineStr">
        <is>
          <t>00006011231</t>
        </is>
      </c>
      <c r="D177" s="53" t="inlineStr">
        <is>
          <t>JANUVIA 50MG TABLET</t>
        </is>
      </c>
      <c r="E177" s="36" t="n">
        <v>30</v>
      </c>
      <c r="F177" s="54" t="n">
        <v>90</v>
      </c>
      <c r="G177" s="54" t="n">
        <v>3</v>
      </c>
      <c r="H177" s="55" t="n">
        <v>963</v>
      </c>
      <c r="I177" s="55" t="n">
        <v>351.37</v>
      </c>
      <c r="J177" s="55" t="n">
        <v>638.29</v>
      </c>
      <c r="K177" s="55" t="n">
        <v>0</v>
      </c>
      <c r="L177" s="55" t="n">
        <v>989.66</v>
      </c>
      <c r="M177" s="55" t="n">
        <v>26.66</v>
      </c>
      <c r="N177" s="36" t="inlineStr">
        <is>
          <t>004336</t>
        </is>
      </c>
      <c r="O177" s="36" t="inlineStr">
        <is>
          <t>CAREMARK</t>
        </is>
      </c>
      <c r="P177" s="36" t="inlineStr">
        <is>
          <t>MEDDADV</t>
        </is>
      </c>
      <c r="Q177" s="36" t="inlineStr">
        <is>
          <t>RX1110</t>
        </is>
      </c>
    </row>
    <row r="178">
      <c r="A178" s="36" t="inlineStr">
        <is>
          <t>144564</t>
        </is>
      </c>
      <c r="B178" s="52" t="n">
        <v>46077</v>
      </c>
      <c r="C178" s="36" t="inlineStr">
        <is>
          <t>00597015230</t>
        </is>
      </c>
      <c r="D178" s="53" t="inlineStr">
        <is>
          <t xml:space="preserve">JARDIANCE 10MG TAB </t>
        </is>
      </c>
      <c r="E178" s="36" t="n">
        <v>30</v>
      </c>
      <c r="F178" s="54" t="n">
        <v>90</v>
      </c>
      <c r="G178" s="54" t="n">
        <v>3</v>
      </c>
      <c r="H178" s="55" t="n">
        <v>1020</v>
      </c>
      <c r="I178" s="55" t="n">
        <v>606.22</v>
      </c>
      <c r="J178" s="55" t="n">
        <v>438.54</v>
      </c>
      <c r="K178" s="55" t="n">
        <v>4.9</v>
      </c>
      <c r="L178" s="55" t="n">
        <v>1049.66</v>
      </c>
      <c r="M178" s="55" t="n">
        <v>29.66</v>
      </c>
      <c r="N178" s="36" t="inlineStr">
        <is>
          <t>004336</t>
        </is>
      </c>
      <c r="O178" s="36" t="inlineStr">
        <is>
          <t>CAREMARK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134591</t>
        </is>
      </c>
      <c r="B179" s="52" t="n">
        <v>46001</v>
      </c>
      <c r="C179" s="36" t="inlineStr">
        <is>
          <t>00597015230</t>
        </is>
      </c>
      <c r="D179" s="53" t="inlineStr">
        <is>
          <t xml:space="preserve">JARDIANCE 10MG TAB </t>
        </is>
      </c>
      <c r="E179" s="36" t="n">
        <v>30</v>
      </c>
      <c r="F179" s="54" t="n">
        <v>90</v>
      </c>
      <c r="G179" s="54" t="n">
        <v>3</v>
      </c>
      <c r="H179" s="55" t="n">
        <v>1818</v>
      </c>
      <c r="I179" s="55" t="n">
        <v>1822.03</v>
      </c>
      <c r="J179" s="55" t="n">
        <v>0</v>
      </c>
      <c r="K179" s="55" t="n">
        <v>0</v>
      </c>
      <c r="L179" s="55" t="n">
        <v>1822.03</v>
      </c>
      <c r="M179" s="55" t="n">
        <v>4.03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144530</t>
        </is>
      </c>
      <c r="B180" s="52" t="n">
        <v>46077</v>
      </c>
      <c r="C180" s="36" t="inlineStr">
        <is>
          <t>00597015230</t>
        </is>
      </c>
      <c r="D180" s="53" t="inlineStr">
        <is>
          <t xml:space="preserve">JARDIANCE 10MG TAB </t>
        </is>
      </c>
      <c r="E180" s="36" t="n">
        <v>30</v>
      </c>
      <c r="F180" s="54" t="n">
        <v>30</v>
      </c>
      <c r="G180" s="54" t="n">
        <v>1</v>
      </c>
      <c r="H180" s="55" t="n">
        <v>340</v>
      </c>
      <c r="I180" s="55" t="n">
        <v>346.07</v>
      </c>
      <c r="J180" s="55" t="n">
        <v>0</v>
      </c>
      <c r="K180" s="55" t="n">
        <v>0</v>
      </c>
      <c r="L180" s="55" t="n">
        <v>346.07</v>
      </c>
      <c r="M180" s="55" t="n">
        <v>6.07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115248</t>
        </is>
      </c>
      <c r="B181" s="52" t="n">
        <v>45993</v>
      </c>
      <c r="C181" s="36" t="inlineStr">
        <is>
          <t>00597015230</t>
        </is>
      </c>
      <c r="D181" s="53" t="inlineStr">
        <is>
          <t xml:space="preserve">JARDIANCE 10MG TAB </t>
        </is>
      </c>
      <c r="E181" s="36" t="n">
        <v>30</v>
      </c>
      <c r="F181" s="54" t="n">
        <v>30</v>
      </c>
      <c r="G181" s="54" t="n">
        <v>1</v>
      </c>
      <c r="H181" s="55" t="n">
        <v>606</v>
      </c>
      <c r="I181" s="55" t="n">
        <v>613.13</v>
      </c>
      <c r="J181" s="55" t="n">
        <v>0</v>
      </c>
      <c r="K181" s="55" t="n">
        <v>1</v>
      </c>
      <c r="L181" s="55" t="n">
        <v>614.13</v>
      </c>
      <c r="M181" s="55" t="n">
        <v>8.130000000000001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122141</t>
        </is>
      </c>
      <c r="B182" s="52" t="n">
        <v>45993</v>
      </c>
      <c r="C182" s="36" t="inlineStr">
        <is>
          <t>00597015230</t>
        </is>
      </c>
      <c r="D182" s="53" t="inlineStr">
        <is>
          <t xml:space="preserve">JARDIANCE 10MG TAB </t>
        </is>
      </c>
      <c r="E182" s="36" t="n">
        <v>30</v>
      </c>
      <c r="F182" s="54" t="n">
        <v>90</v>
      </c>
      <c r="G182" s="54" t="n">
        <v>3</v>
      </c>
      <c r="H182" s="55" t="n">
        <v>1818</v>
      </c>
      <c r="I182" s="55" t="n">
        <v>1822.03</v>
      </c>
      <c r="J182" s="55" t="n">
        <v>0</v>
      </c>
      <c r="K182" s="55" t="n">
        <v>0</v>
      </c>
      <c r="L182" s="55" t="n">
        <v>1822.03</v>
      </c>
      <c r="M182" s="55" t="n">
        <v>4.03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140621</t>
        </is>
      </c>
      <c r="B183" s="52" t="n">
        <v>46077</v>
      </c>
      <c r="C183" s="36" t="inlineStr">
        <is>
          <t>00597015230</t>
        </is>
      </c>
      <c r="D183" s="53" t="inlineStr">
        <is>
          <t xml:space="preserve">JARDIANCE 10MG TAB </t>
        </is>
      </c>
      <c r="E183" s="36" t="n">
        <v>30</v>
      </c>
      <c r="F183" s="54" t="n">
        <v>30</v>
      </c>
      <c r="G183" s="54" t="n">
        <v>1</v>
      </c>
      <c r="H183" s="55" t="n">
        <v>340</v>
      </c>
      <c r="I183" s="55" t="n">
        <v>345.07</v>
      </c>
      <c r="J183" s="55" t="n">
        <v>0</v>
      </c>
      <c r="K183" s="55" t="n">
        <v>1</v>
      </c>
      <c r="L183" s="55" t="n">
        <v>346.07</v>
      </c>
      <c r="M183" s="55" t="n">
        <v>6.07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142225</t>
        </is>
      </c>
      <c r="B184" s="52" t="n">
        <v>46059</v>
      </c>
      <c r="C184" s="36" t="inlineStr">
        <is>
          <t>00597015230</t>
        </is>
      </c>
      <c r="D184" s="53" t="inlineStr">
        <is>
          <t xml:space="preserve">JARDIANCE 10MG TAB </t>
        </is>
      </c>
      <c r="E184" s="36" t="n">
        <v>30</v>
      </c>
      <c r="F184" s="54" t="n">
        <v>90</v>
      </c>
      <c r="G184" s="54" t="n">
        <v>3</v>
      </c>
      <c r="H184" s="55" t="n">
        <v>1020</v>
      </c>
      <c r="I184" s="55" t="n">
        <v>621.96</v>
      </c>
      <c r="J184" s="55" t="n">
        <v>438.54</v>
      </c>
      <c r="K184" s="55" t="n">
        <v>0</v>
      </c>
      <c r="L184" s="55" t="n">
        <v>1060.5</v>
      </c>
      <c r="M184" s="55" t="n">
        <v>40.5</v>
      </c>
      <c r="N184" s="36" t="inlineStr">
        <is>
          <t>017010</t>
        </is>
      </c>
      <c r="O184" s="36" t="inlineStr">
        <is>
          <t>EXPRESS</t>
        </is>
      </c>
      <c r="P184" s="36" t="inlineStr">
        <is>
          <t>CIMCARE</t>
        </is>
      </c>
      <c r="Q184" s="36" t="inlineStr">
        <is>
          <t>CIGPDPRX</t>
        </is>
      </c>
    </row>
    <row r="185">
      <c r="A185" s="36" t="inlineStr">
        <is>
          <t>139186</t>
        </is>
      </c>
      <c r="B185" s="52" t="n">
        <v>46037</v>
      </c>
      <c r="C185" s="36" t="inlineStr">
        <is>
          <t>00597015230</t>
        </is>
      </c>
      <c r="D185" s="53" t="inlineStr">
        <is>
          <t xml:space="preserve">JARDIANCE 10MG TAB </t>
        </is>
      </c>
      <c r="E185" s="36" t="n">
        <v>30</v>
      </c>
      <c r="F185" s="54" t="n">
        <v>90</v>
      </c>
      <c r="G185" s="54" t="n">
        <v>3</v>
      </c>
      <c r="H185" s="55" t="n">
        <v>1014</v>
      </c>
      <c r="I185" s="55" t="n">
        <v>606.27</v>
      </c>
      <c r="J185" s="55" t="n">
        <v>438.54</v>
      </c>
      <c r="K185" s="55" t="n">
        <v>4.9</v>
      </c>
      <c r="L185" s="55" t="n">
        <v>1049.71</v>
      </c>
      <c r="M185" s="55" t="n">
        <v>35.71</v>
      </c>
      <c r="N185" s="36" t="inlineStr">
        <is>
          <t>004336</t>
        </is>
      </c>
      <c r="O185" s="36" t="inlineStr">
        <is>
          <t>CAREMARK</t>
        </is>
      </c>
      <c r="P185" s="36" t="inlineStr">
        <is>
          <t>MEDDADV</t>
        </is>
      </c>
      <c r="Q185" s="36" t="inlineStr">
        <is>
          <t>RXCVSD</t>
        </is>
      </c>
    </row>
    <row r="186">
      <c r="A186" s="36" t="inlineStr">
        <is>
          <t>139138</t>
        </is>
      </c>
      <c r="B186" s="52" t="n">
        <v>46037</v>
      </c>
      <c r="C186" s="36" t="inlineStr">
        <is>
          <t>00597015230</t>
        </is>
      </c>
      <c r="D186" s="53" t="inlineStr">
        <is>
          <t xml:space="preserve">JARDIANCE 10MG TAB </t>
        </is>
      </c>
      <c r="E186" s="36" t="n">
        <v>30</v>
      </c>
      <c r="F186" s="54" t="n">
        <v>90</v>
      </c>
      <c r="G186" s="54" t="n">
        <v>3</v>
      </c>
      <c r="H186" s="55" t="n">
        <v>1014</v>
      </c>
      <c r="I186" s="55" t="n">
        <v>611.12</v>
      </c>
      <c r="J186" s="55" t="n">
        <v>438.54</v>
      </c>
      <c r="K186" s="55" t="n">
        <v>0</v>
      </c>
      <c r="L186" s="55" t="n">
        <v>1049.66</v>
      </c>
      <c r="M186" s="55" t="n">
        <v>35.66</v>
      </c>
      <c r="N186" s="36" t="inlineStr">
        <is>
          <t>004336</t>
        </is>
      </c>
      <c r="O186" s="36" t="inlineStr">
        <is>
          <t>CAREMARK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110099</t>
        </is>
      </c>
      <c r="B187" s="52" t="n">
        <v>46072</v>
      </c>
      <c r="C187" s="36" t="inlineStr">
        <is>
          <t>00597015230</t>
        </is>
      </c>
      <c r="D187" s="53" t="inlineStr">
        <is>
          <t xml:space="preserve">JARDIANCE 10MG TAB </t>
        </is>
      </c>
      <c r="E187" s="36" t="n">
        <v>30</v>
      </c>
      <c r="F187" s="54" t="n">
        <v>90</v>
      </c>
      <c r="G187" s="54" t="n">
        <v>3</v>
      </c>
      <c r="H187" s="55" t="n">
        <v>1020</v>
      </c>
      <c r="I187" s="55" t="n">
        <v>606.22</v>
      </c>
      <c r="J187" s="55" t="n">
        <v>438.54</v>
      </c>
      <c r="K187" s="55" t="n">
        <v>4.9</v>
      </c>
      <c r="L187" s="55" t="n">
        <v>1049.66</v>
      </c>
      <c r="M187" s="55" t="n">
        <v>29.66</v>
      </c>
      <c r="N187" s="36" t="inlineStr">
        <is>
          <t>004336</t>
        </is>
      </c>
      <c r="O187" s="36" t="inlineStr">
        <is>
          <t>CAREMARK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131954</t>
        </is>
      </c>
      <c r="B188" s="52" t="n">
        <v>46036</v>
      </c>
      <c r="C188" s="36" t="inlineStr">
        <is>
          <t>00597015230</t>
        </is>
      </c>
      <c r="D188" s="53" t="inlineStr">
        <is>
          <t xml:space="preserve">JARDIANCE 10MG TAB </t>
        </is>
      </c>
      <c r="E188" s="36" t="n">
        <v>30</v>
      </c>
      <c r="F188" s="54" t="n">
        <v>30</v>
      </c>
      <c r="G188" s="54" t="n">
        <v>1</v>
      </c>
      <c r="H188" s="55" t="n">
        <v>338</v>
      </c>
      <c r="I188" s="55" t="n">
        <v>345.07</v>
      </c>
      <c r="J188" s="55" t="n">
        <v>0</v>
      </c>
      <c r="K188" s="55" t="n">
        <v>1</v>
      </c>
      <c r="L188" s="55" t="n">
        <v>346.07</v>
      </c>
      <c r="M188" s="55" t="n">
        <v>8.07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140562</t>
        </is>
      </c>
      <c r="B189" s="52" t="n">
        <v>46048</v>
      </c>
      <c r="C189" s="36" t="inlineStr">
        <is>
          <t>00597015230</t>
        </is>
      </c>
      <c r="D189" s="53" t="inlineStr">
        <is>
          <t xml:space="preserve">JARDIANCE 10MG TAB </t>
        </is>
      </c>
      <c r="E189" s="36" t="n">
        <v>30</v>
      </c>
      <c r="F189" s="54" t="n">
        <v>30</v>
      </c>
      <c r="G189" s="54" t="n">
        <v>1</v>
      </c>
      <c r="H189" s="55" t="n">
        <v>338</v>
      </c>
      <c r="I189" s="55" t="n">
        <v>203.61</v>
      </c>
      <c r="J189" s="55" t="n">
        <v>146.18</v>
      </c>
      <c r="K189" s="55" t="n">
        <v>4.9</v>
      </c>
      <c r="L189" s="55" t="n">
        <v>354.69</v>
      </c>
      <c r="M189" s="55" t="n">
        <v>16.69</v>
      </c>
      <c r="N189" s="36" t="inlineStr">
        <is>
          <t>015574</t>
        </is>
      </c>
      <c r="O189" s="36" t="inlineStr">
        <is>
          <t>MEDIMP</t>
        </is>
      </c>
      <c r="P189" s="36" t="inlineStr">
        <is>
          <t>ASPROD1</t>
        </is>
      </c>
      <c r="Q189" s="36" t="inlineStr">
        <is>
          <t>VNS01</t>
        </is>
      </c>
    </row>
    <row r="190">
      <c r="A190" s="36" t="inlineStr">
        <is>
          <t>138951</t>
        </is>
      </c>
      <c r="B190" s="52" t="n">
        <v>46035</v>
      </c>
      <c r="C190" s="36" t="inlineStr">
        <is>
          <t>00597015230</t>
        </is>
      </c>
      <c r="D190" s="53" t="inlineStr">
        <is>
          <t xml:space="preserve">JARDIANCE 10MG TAB </t>
        </is>
      </c>
      <c r="E190" s="36" t="n">
        <v>30</v>
      </c>
      <c r="F190" s="54" t="n">
        <v>90</v>
      </c>
      <c r="G190" s="54" t="n">
        <v>3</v>
      </c>
      <c r="H190" s="55" t="n">
        <v>1014</v>
      </c>
      <c r="I190" s="55" t="n">
        <v>611.12</v>
      </c>
      <c r="J190" s="55" t="n">
        <v>438.54</v>
      </c>
      <c r="K190" s="55" t="n">
        <v>0</v>
      </c>
      <c r="L190" s="55" t="n">
        <v>1049.66</v>
      </c>
      <c r="M190" s="55" t="n">
        <v>35.66</v>
      </c>
      <c r="N190" s="36" t="inlineStr">
        <is>
          <t>004336</t>
        </is>
      </c>
      <c r="O190" s="36" t="inlineStr">
        <is>
          <t>CAREMARK</t>
        </is>
      </c>
      <c r="P190" s="36" t="inlineStr">
        <is>
          <t>MEDDADV</t>
        </is>
      </c>
      <c r="Q190" s="36" t="inlineStr">
        <is>
          <t>RX1110</t>
        </is>
      </c>
    </row>
    <row r="191">
      <c r="A191" s="36" t="inlineStr">
        <is>
          <t>143416</t>
        </is>
      </c>
      <c r="B191" s="52" t="n">
        <v>46069</v>
      </c>
      <c r="C191" s="36" t="inlineStr">
        <is>
          <t>00597015230</t>
        </is>
      </c>
      <c r="D191" s="53" t="inlineStr">
        <is>
          <t xml:space="preserve">JARDIANCE 10MG TAB </t>
        </is>
      </c>
      <c r="E191" s="36" t="n">
        <v>30</v>
      </c>
      <c r="F191" s="54" t="n">
        <v>90</v>
      </c>
      <c r="G191" s="54" t="n">
        <v>3</v>
      </c>
      <c r="H191" s="55" t="n">
        <v>1020</v>
      </c>
      <c r="I191" s="55" t="n">
        <v>458.34</v>
      </c>
      <c r="J191" s="55" t="n">
        <v>438.54</v>
      </c>
      <c r="K191" s="55" t="n">
        <v>152.78</v>
      </c>
      <c r="L191" s="55" t="n">
        <v>1049.66</v>
      </c>
      <c r="M191" s="55" t="n">
        <v>29.66</v>
      </c>
      <c r="N191" s="36" t="inlineStr">
        <is>
          <t>004336</t>
        </is>
      </c>
      <c r="O191" s="36" t="inlineStr">
        <is>
          <t>CAREMARK</t>
        </is>
      </c>
      <c r="P191" s="36" t="inlineStr">
        <is>
          <t>MEDDADV</t>
        </is>
      </c>
      <c r="Q191" s="36" t="inlineStr">
        <is>
          <t>RXCVSD</t>
        </is>
      </c>
    </row>
    <row r="192">
      <c r="A192" s="36" t="inlineStr">
        <is>
          <t>122702</t>
        </is>
      </c>
      <c r="B192" s="52" t="n">
        <v>45995</v>
      </c>
      <c r="C192" s="36" t="inlineStr">
        <is>
          <t>00597015230</t>
        </is>
      </c>
      <c r="D192" s="53" t="inlineStr">
        <is>
          <t xml:space="preserve">JARDIANCE 10MG TAB </t>
        </is>
      </c>
      <c r="E192" s="36" t="n">
        <v>30</v>
      </c>
      <c r="F192" s="54" t="n">
        <v>30</v>
      </c>
      <c r="G192" s="54" t="n">
        <v>1</v>
      </c>
      <c r="H192" s="55" t="n">
        <v>606</v>
      </c>
      <c r="I192" s="55" t="n">
        <v>614.13</v>
      </c>
      <c r="J192" s="55" t="n">
        <v>0</v>
      </c>
      <c r="K192" s="55" t="n">
        <v>0</v>
      </c>
      <c r="L192" s="55" t="n">
        <v>614.13</v>
      </c>
      <c r="M192" s="55" t="n">
        <v>8.130000000000001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144395</t>
        </is>
      </c>
      <c r="B193" s="52" t="n">
        <v>46076</v>
      </c>
      <c r="C193" s="36" t="inlineStr">
        <is>
          <t>00597015230</t>
        </is>
      </c>
      <c r="D193" s="53" t="inlineStr">
        <is>
          <t xml:space="preserve">JARDIANCE 10MG TAB </t>
        </is>
      </c>
      <c r="E193" s="36" t="n">
        <v>30</v>
      </c>
      <c r="F193" s="54" t="n">
        <v>30</v>
      </c>
      <c r="G193" s="54" t="n">
        <v>1</v>
      </c>
      <c r="H193" s="55" t="n">
        <v>340</v>
      </c>
      <c r="I193" s="55" t="n">
        <v>203.61</v>
      </c>
      <c r="J193" s="55" t="n">
        <v>146.18</v>
      </c>
      <c r="K193" s="55" t="n">
        <v>4.9</v>
      </c>
      <c r="L193" s="55" t="n">
        <v>354.69</v>
      </c>
      <c r="M193" s="55" t="n">
        <v>14.69</v>
      </c>
      <c r="N193" s="36" t="inlineStr">
        <is>
          <t>015574</t>
        </is>
      </c>
      <c r="O193" s="36" t="inlineStr">
        <is>
          <t>MEDIMP</t>
        </is>
      </c>
      <c r="P193" s="36" t="inlineStr">
        <is>
          <t>ASPROD1</t>
        </is>
      </c>
      <c r="Q193" s="36" t="inlineStr">
        <is>
          <t>VNS01</t>
        </is>
      </c>
    </row>
    <row r="194">
      <c r="A194" s="36" t="inlineStr">
        <is>
          <t>107982</t>
        </is>
      </c>
      <c r="B194" s="52" t="n">
        <v>46048</v>
      </c>
      <c r="C194" s="36" t="inlineStr">
        <is>
          <t>00597015230</t>
        </is>
      </c>
      <c r="D194" s="53" t="inlineStr">
        <is>
          <t xml:space="preserve">JARDIANCE 10MG TAB </t>
        </is>
      </c>
      <c r="E194" s="36" t="n">
        <v>30</v>
      </c>
      <c r="F194" s="54" t="n">
        <v>90</v>
      </c>
      <c r="G194" s="54" t="n">
        <v>3</v>
      </c>
      <c r="H194" s="55" t="n">
        <v>1014</v>
      </c>
      <c r="I194" s="55" t="n">
        <v>606.22</v>
      </c>
      <c r="J194" s="55" t="n">
        <v>438.54</v>
      </c>
      <c r="K194" s="55" t="n">
        <v>4.9</v>
      </c>
      <c r="L194" s="55" t="n">
        <v>1049.66</v>
      </c>
      <c r="M194" s="55" t="n">
        <v>35.66</v>
      </c>
      <c r="N194" s="36" t="inlineStr">
        <is>
          <t>004336</t>
        </is>
      </c>
      <c r="O194" s="36" t="inlineStr">
        <is>
          <t>CAREMARK</t>
        </is>
      </c>
      <c r="P194" s="36" t="inlineStr">
        <is>
          <t>MEDDADV</t>
        </is>
      </c>
      <c r="Q194" s="36" t="inlineStr">
        <is>
          <t>RX1110</t>
        </is>
      </c>
    </row>
    <row r="195">
      <c r="A195" s="36" t="inlineStr">
        <is>
          <t>122702</t>
        </is>
      </c>
      <c r="B195" s="52" t="n">
        <v>46049</v>
      </c>
      <c r="C195" s="36" t="inlineStr">
        <is>
          <t>00597015230</t>
        </is>
      </c>
      <c r="D195" s="53" t="inlineStr">
        <is>
          <t xml:space="preserve">JARDIANCE 10MG TAB </t>
        </is>
      </c>
      <c r="E195" s="36" t="n">
        <v>30</v>
      </c>
      <c r="F195" s="54" t="n">
        <v>30</v>
      </c>
      <c r="G195" s="54" t="n">
        <v>1</v>
      </c>
      <c r="H195" s="55" t="n">
        <v>338</v>
      </c>
      <c r="I195" s="55" t="n">
        <v>346.07</v>
      </c>
      <c r="J195" s="55" t="n">
        <v>0</v>
      </c>
      <c r="K195" s="55" t="n">
        <v>0</v>
      </c>
      <c r="L195" s="55" t="n">
        <v>346.07</v>
      </c>
      <c r="M195" s="55" t="n">
        <v>8.07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133948</t>
        </is>
      </c>
      <c r="B196" s="52" t="n">
        <v>45996</v>
      </c>
      <c r="C196" s="36" t="inlineStr">
        <is>
          <t>00597015230</t>
        </is>
      </c>
      <c r="D196" s="53" t="inlineStr">
        <is>
          <t xml:space="preserve">JARDIANCE 10MG TAB </t>
        </is>
      </c>
      <c r="E196" s="36" t="n">
        <v>30</v>
      </c>
      <c r="F196" s="54" t="n">
        <v>90</v>
      </c>
      <c r="G196" s="54" t="n">
        <v>3</v>
      </c>
      <c r="H196" s="55" t="n">
        <v>1818</v>
      </c>
      <c r="I196" s="55" t="n">
        <v>1821.03</v>
      </c>
      <c r="J196" s="55" t="n">
        <v>0</v>
      </c>
      <c r="K196" s="55" t="n">
        <v>1</v>
      </c>
      <c r="L196" s="55" t="n">
        <v>1822.03</v>
      </c>
      <c r="M196" s="55" t="n">
        <v>4.03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128876</t>
        </is>
      </c>
      <c r="B197" s="52" t="n">
        <v>46044</v>
      </c>
      <c r="C197" s="36" t="inlineStr">
        <is>
          <t>00597015230</t>
        </is>
      </c>
      <c r="D197" s="53" t="inlineStr">
        <is>
          <t xml:space="preserve">JARDIANCE 10MG TAB </t>
        </is>
      </c>
      <c r="E197" s="36" t="n">
        <v>30</v>
      </c>
      <c r="F197" s="54" t="n">
        <v>90</v>
      </c>
      <c r="G197" s="54" t="n">
        <v>3</v>
      </c>
      <c r="H197" s="55" t="n">
        <v>1014</v>
      </c>
      <c r="I197" s="55" t="n">
        <v>606.22</v>
      </c>
      <c r="J197" s="55" t="n">
        <v>438.54</v>
      </c>
      <c r="K197" s="55" t="n">
        <v>4.9</v>
      </c>
      <c r="L197" s="55" t="n">
        <v>1049.66</v>
      </c>
      <c r="M197" s="55" t="n">
        <v>35.66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RX8541</t>
        </is>
      </c>
    </row>
    <row r="198">
      <c r="A198" s="36" t="inlineStr">
        <is>
          <t>140621</t>
        </is>
      </c>
      <c r="B198" s="52" t="n">
        <v>46049</v>
      </c>
      <c r="C198" s="36" t="inlineStr">
        <is>
          <t>00597015230</t>
        </is>
      </c>
      <c r="D198" s="53" t="inlineStr">
        <is>
          <t xml:space="preserve">JARDIANCE 10MG TAB </t>
        </is>
      </c>
      <c r="E198" s="36" t="n">
        <v>30</v>
      </c>
      <c r="F198" s="54" t="n">
        <v>30</v>
      </c>
      <c r="G198" s="54" t="n">
        <v>1</v>
      </c>
      <c r="H198" s="55" t="n">
        <v>338</v>
      </c>
      <c r="I198" s="55" t="n">
        <v>345.07</v>
      </c>
      <c r="J198" s="55" t="n">
        <v>0</v>
      </c>
      <c r="K198" s="55" t="n">
        <v>1</v>
      </c>
      <c r="L198" s="55" t="n">
        <v>346.07</v>
      </c>
      <c r="M198" s="55" t="n">
        <v>8.07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139219</t>
        </is>
      </c>
      <c r="B199" s="52" t="n">
        <v>46037</v>
      </c>
      <c r="C199" s="36" t="inlineStr">
        <is>
          <t>00597015230</t>
        </is>
      </c>
      <c r="D199" s="53" t="inlineStr">
        <is>
          <t xml:space="preserve">JARDIANCE 10MG TAB </t>
        </is>
      </c>
      <c r="E199" s="36" t="n">
        <v>30</v>
      </c>
      <c r="F199" s="54" t="n">
        <v>90</v>
      </c>
      <c r="G199" s="54" t="n">
        <v>3</v>
      </c>
      <c r="H199" s="55" t="n">
        <v>1014</v>
      </c>
      <c r="I199" s="55" t="n">
        <v>607.5599999999999</v>
      </c>
      <c r="J199" s="55" t="n">
        <v>438.54</v>
      </c>
      <c r="K199" s="55" t="n">
        <v>4.9</v>
      </c>
      <c r="L199" s="55" t="n">
        <v>1051</v>
      </c>
      <c r="M199" s="55" t="n">
        <v>37</v>
      </c>
      <c r="N199" s="36" t="inlineStr">
        <is>
          <t>610014</t>
        </is>
      </c>
      <c r="O199" s="36" t="inlineStr">
        <is>
          <t>EXPRESS</t>
        </is>
      </c>
      <c r="P199" s="36" t="inlineStr">
        <is>
          <t>MEDDPRIME</t>
        </is>
      </c>
      <c r="Q199" s="36" t="inlineStr">
        <is>
          <t>2FFA</t>
        </is>
      </c>
    </row>
    <row r="200">
      <c r="A200" s="36" t="inlineStr">
        <is>
          <t>142421</t>
        </is>
      </c>
      <c r="B200" s="52" t="n">
        <v>46062</v>
      </c>
      <c r="C200" s="36" t="inlineStr">
        <is>
          <t>00597015230</t>
        </is>
      </c>
      <c r="D200" s="53" t="inlineStr">
        <is>
          <t xml:space="preserve">JARDIANCE 10MG TAB </t>
        </is>
      </c>
      <c r="E200" s="36" t="n">
        <v>30</v>
      </c>
      <c r="F200" s="54" t="n">
        <v>90</v>
      </c>
      <c r="G200" s="54" t="n">
        <v>3</v>
      </c>
      <c r="H200" s="55" t="n">
        <v>1020</v>
      </c>
      <c r="I200" s="55" t="n">
        <v>612.46</v>
      </c>
      <c r="J200" s="55" t="n">
        <v>438.54</v>
      </c>
      <c r="K200" s="55" t="n">
        <v>0</v>
      </c>
      <c r="L200" s="55" t="n">
        <v>1051</v>
      </c>
      <c r="M200" s="55" t="n">
        <v>31</v>
      </c>
      <c r="N200" s="36" t="inlineStr">
        <is>
          <t>610014</t>
        </is>
      </c>
      <c r="O200" s="36" t="inlineStr">
        <is>
          <t>EXPRESS</t>
        </is>
      </c>
      <c r="P200" s="36" t="inlineStr">
        <is>
          <t>MEDDPRIME</t>
        </is>
      </c>
      <c r="Q200" s="36" t="inlineStr">
        <is>
          <t>2FFA</t>
        </is>
      </c>
    </row>
    <row r="201">
      <c r="A201" s="36" t="inlineStr">
        <is>
          <t>140806</t>
        </is>
      </c>
      <c r="B201" s="52" t="n">
        <v>46050</v>
      </c>
      <c r="C201" s="36" t="inlineStr">
        <is>
          <t>00597015230</t>
        </is>
      </c>
      <c r="D201" s="53" t="inlineStr">
        <is>
          <t xml:space="preserve">JARDIANCE 10MG TAB </t>
        </is>
      </c>
      <c r="E201" s="36" t="n">
        <v>30</v>
      </c>
      <c r="F201" s="54" t="n">
        <v>90</v>
      </c>
      <c r="G201" s="54" t="n">
        <v>3</v>
      </c>
      <c r="H201" s="55" t="n">
        <v>1014</v>
      </c>
      <c r="I201" s="55" t="n">
        <v>1017.84</v>
      </c>
      <c r="J201" s="55" t="n">
        <v>0</v>
      </c>
      <c r="K201" s="55" t="n">
        <v>0</v>
      </c>
      <c r="L201" s="55" t="n">
        <v>1017.84</v>
      </c>
      <c r="M201" s="55" t="n">
        <v>3.84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131954</t>
        </is>
      </c>
      <c r="B202" s="52" t="n">
        <v>46064</v>
      </c>
      <c r="C202" s="36" t="inlineStr">
        <is>
          <t>00597015230</t>
        </is>
      </c>
      <c r="D202" s="53" t="inlineStr">
        <is>
          <t xml:space="preserve">JARDIANCE 10MG TAB </t>
        </is>
      </c>
      <c r="E202" s="36" t="n">
        <v>30</v>
      </c>
      <c r="F202" s="54" t="n">
        <v>30</v>
      </c>
      <c r="G202" s="54" t="n">
        <v>1</v>
      </c>
      <c r="H202" s="55" t="n">
        <v>340</v>
      </c>
      <c r="I202" s="55" t="n">
        <v>345.07</v>
      </c>
      <c r="J202" s="55" t="n">
        <v>0</v>
      </c>
      <c r="K202" s="55" t="n">
        <v>1</v>
      </c>
      <c r="L202" s="55" t="n">
        <v>346.07</v>
      </c>
      <c r="M202" s="55" t="n">
        <v>6.07</v>
      </c>
      <c r="N202" s="36" t="inlineStr">
        <is>
          <t>004740</t>
        </is>
      </c>
      <c r="O202" s="36" t="inlineStr">
        <is>
          <t>NYM</t>
        </is>
      </c>
      <c r="P202" s="36" t="inlineStr">
        <is>
          <t>9314DA31</t>
        </is>
      </c>
      <c r="Q202" s="36" t="n">
        <v/>
      </c>
    </row>
    <row r="203">
      <c r="A203" s="36" t="inlineStr">
        <is>
          <t>126424</t>
        </is>
      </c>
      <c r="B203" s="52" t="n">
        <v>46027</v>
      </c>
      <c r="C203" s="36" t="inlineStr">
        <is>
          <t>00597015230</t>
        </is>
      </c>
      <c r="D203" s="53" t="inlineStr">
        <is>
          <t xml:space="preserve">JARDIANCE 10MG TAB </t>
        </is>
      </c>
      <c r="E203" s="36" t="n">
        <v>30</v>
      </c>
      <c r="F203" s="54" t="n">
        <v>90</v>
      </c>
      <c r="G203" s="54" t="n">
        <v>3</v>
      </c>
      <c r="H203" s="55" t="n">
        <v>1014</v>
      </c>
      <c r="I203" s="55" t="n">
        <v>18.65</v>
      </c>
      <c r="J203" s="55" t="n">
        <v>438.54</v>
      </c>
      <c r="K203" s="55" t="n">
        <v>592.47</v>
      </c>
      <c r="L203" s="55" t="n">
        <v>1049.66</v>
      </c>
      <c r="M203" s="55" t="n">
        <v>35.66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126746</t>
        </is>
      </c>
      <c r="B204" s="52" t="n">
        <v>46027</v>
      </c>
      <c r="C204" s="36" t="inlineStr">
        <is>
          <t>00597015230</t>
        </is>
      </c>
      <c r="D204" s="53" t="inlineStr">
        <is>
          <t xml:space="preserve">JARDIANCE 10MG TAB </t>
        </is>
      </c>
      <c r="E204" s="36" t="n">
        <v>30</v>
      </c>
      <c r="F204" s="54" t="n">
        <v>90</v>
      </c>
      <c r="G204" s="54" t="n">
        <v>3</v>
      </c>
      <c r="H204" s="55" t="n">
        <v>1014</v>
      </c>
      <c r="I204" s="55" t="n">
        <v>606.22</v>
      </c>
      <c r="J204" s="55" t="n">
        <v>438.54</v>
      </c>
      <c r="K204" s="55" t="n">
        <v>4.9</v>
      </c>
      <c r="L204" s="55" t="n">
        <v>1049.66</v>
      </c>
      <c r="M204" s="55" t="n">
        <v>35.66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131954</t>
        </is>
      </c>
      <c r="B205" s="52" t="n">
        <v>46008</v>
      </c>
      <c r="C205" s="36" t="inlineStr">
        <is>
          <t>00597015230</t>
        </is>
      </c>
      <c r="D205" s="53" t="inlineStr">
        <is>
          <t xml:space="preserve">JARDIANCE 10MG TAB </t>
        </is>
      </c>
      <c r="E205" s="36" t="n">
        <v>30</v>
      </c>
      <c r="F205" s="54" t="n">
        <v>30</v>
      </c>
      <c r="G205" s="54" t="n">
        <v>1</v>
      </c>
      <c r="H205" s="55" t="n">
        <v>606</v>
      </c>
      <c r="I205" s="55" t="n">
        <v>613.13</v>
      </c>
      <c r="J205" s="55" t="n">
        <v>0</v>
      </c>
      <c r="K205" s="55" t="n">
        <v>1</v>
      </c>
      <c r="L205" s="55" t="n">
        <v>614.13</v>
      </c>
      <c r="M205" s="55" t="n">
        <v>8.130000000000001</v>
      </c>
      <c r="N205" s="36" t="inlineStr">
        <is>
          <t>004740</t>
        </is>
      </c>
      <c r="O205" s="36" t="inlineStr">
        <is>
          <t>NYM</t>
        </is>
      </c>
      <c r="P205" s="36" t="inlineStr">
        <is>
          <t>9314DA31</t>
        </is>
      </c>
      <c r="Q205" s="36" t="n">
        <v/>
      </c>
    </row>
    <row r="206">
      <c r="A206" s="36" t="inlineStr">
        <is>
          <t>141487</t>
        </is>
      </c>
      <c r="B206" s="52" t="n">
        <v>46055</v>
      </c>
      <c r="C206" s="36" t="inlineStr">
        <is>
          <t>00597015230</t>
        </is>
      </c>
      <c r="D206" s="53" t="inlineStr">
        <is>
          <t xml:space="preserve">JARDIANCE 10MG TAB </t>
        </is>
      </c>
      <c r="E206" s="36" t="n">
        <v>30</v>
      </c>
      <c r="F206" s="54" t="n">
        <v>90</v>
      </c>
      <c r="G206" s="54" t="n">
        <v>3</v>
      </c>
      <c r="H206" s="55" t="n">
        <v>1020</v>
      </c>
      <c r="I206" s="55" t="n">
        <v>611.12</v>
      </c>
      <c r="J206" s="55" t="n">
        <v>438.54</v>
      </c>
      <c r="K206" s="55" t="n">
        <v>0</v>
      </c>
      <c r="L206" s="55" t="n">
        <v>1049.66</v>
      </c>
      <c r="M206" s="55" t="n">
        <v>29.66</v>
      </c>
      <c r="N206" s="36" t="inlineStr">
        <is>
          <t>004336</t>
        </is>
      </c>
      <c r="O206" s="36" t="inlineStr">
        <is>
          <t>CAREMARK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142599</t>
        </is>
      </c>
      <c r="B207" s="52" t="n">
        <v>46063</v>
      </c>
      <c r="C207" s="36" t="inlineStr">
        <is>
          <t>00597015230</t>
        </is>
      </c>
      <c r="D207" s="53" t="inlineStr">
        <is>
          <t xml:space="preserve">JARDIANCE 10MG TAB </t>
        </is>
      </c>
      <c r="E207" s="36" t="n">
        <v>30</v>
      </c>
      <c r="F207" s="54" t="n">
        <v>90</v>
      </c>
      <c r="G207" s="54" t="n">
        <v>3</v>
      </c>
      <c r="H207" s="55" t="n">
        <v>1020</v>
      </c>
      <c r="I207" s="55" t="n">
        <v>606.22</v>
      </c>
      <c r="J207" s="55" t="n">
        <v>438.54</v>
      </c>
      <c r="K207" s="55" t="n">
        <v>4.9</v>
      </c>
      <c r="L207" s="55" t="n">
        <v>1049.66</v>
      </c>
      <c r="M207" s="55" t="n">
        <v>29.66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122708</t>
        </is>
      </c>
      <c r="B208" s="52" t="n">
        <v>46063</v>
      </c>
      <c r="C208" s="36" t="inlineStr">
        <is>
          <t>00597015230</t>
        </is>
      </c>
      <c r="D208" s="53" t="inlineStr">
        <is>
          <t xml:space="preserve">JARDIANCE 10MG TAB </t>
        </is>
      </c>
      <c r="E208" s="36" t="n">
        <v>30</v>
      </c>
      <c r="F208" s="54" t="n">
        <v>60</v>
      </c>
      <c r="G208" s="54" t="n">
        <v>2</v>
      </c>
      <c r="H208" s="55" t="n">
        <v>680</v>
      </c>
      <c r="I208" s="55" t="n">
        <v>407.4</v>
      </c>
      <c r="J208" s="55" t="n">
        <v>292.36</v>
      </c>
      <c r="K208" s="55" t="n">
        <v>0</v>
      </c>
      <c r="L208" s="55" t="n">
        <v>699.76</v>
      </c>
      <c r="M208" s="55" t="n">
        <v>19.76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MEDDADV</t>
        </is>
      </c>
      <c r="Q208" s="36" t="inlineStr">
        <is>
          <t>RX8585</t>
        </is>
      </c>
    </row>
    <row r="209">
      <c r="A209" s="36" t="inlineStr">
        <is>
          <t>141668</t>
        </is>
      </c>
      <c r="B209" s="52" t="n">
        <v>46056</v>
      </c>
      <c r="C209" s="36" t="inlineStr">
        <is>
          <t>00597015230</t>
        </is>
      </c>
      <c r="D209" s="53" t="inlineStr">
        <is>
          <t xml:space="preserve">JARDIANCE 10MG TAB </t>
        </is>
      </c>
      <c r="E209" s="36" t="n">
        <v>30</v>
      </c>
      <c r="F209" s="54" t="n">
        <v>90</v>
      </c>
      <c r="G209" s="54" t="n">
        <v>3</v>
      </c>
      <c r="H209" s="55" t="n">
        <v>1020</v>
      </c>
      <c r="I209" s="55" t="n">
        <v>611.17</v>
      </c>
      <c r="J209" s="55" t="n">
        <v>438.54</v>
      </c>
      <c r="K209" s="55" t="n">
        <v>0</v>
      </c>
      <c r="L209" s="55" t="n">
        <v>1049.71</v>
      </c>
      <c r="M209" s="55" t="n">
        <v>29.71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137349</t>
        </is>
      </c>
      <c r="B210" s="52" t="n">
        <v>46024</v>
      </c>
      <c r="C210" s="36" t="inlineStr">
        <is>
          <t>00597015230</t>
        </is>
      </c>
      <c r="D210" s="53" t="inlineStr">
        <is>
          <t xml:space="preserve">JARDIANCE 10MG TAB </t>
        </is>
      </c>
      <c r="E210" s="36" t="n">
        <v>30</v>
      </c>
      <c r="F210" s="54" t="n">
        <v>30</v>
      </c>
      <c r="G210" s="54" t="n">
        <v>1</v>
      </c>
      <c r="H210" s="55" t="n">
        <v>338</v>
      </c>
      <c r="I210" s="55" t="n">
        <v>203.58</v>
      </c>
      <c r="J210" s="55" t="n">
        <v>146.18</v>
      </c>
      <c r="K210" s="55" t="n">
        <v>0</v>
      </c>
      <c r="L210" s="55" t="n">
        <v>349.76</v>
      </c>
      <c r="M210" s="55" t="n">
        <v>11.76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RXCVSD</t>
        </is>
      </c>
    </row>
    <row r="211">
      <c r="A211" s="36" t="inlineStr">
        <is>
          <t>122702</t>
        </is>
      </c>
      <c r="B211" s="52" t="n">
        <v>46021</v>
      </c>
      <c r="C211" s="36" t="inlineStr">
        <is>
          <t>00597015230</t>
        </is>
      </c>
      <c r="D211" s="53" t="inlineStr">
        <is>
          <t xml:space="preserve">JARDIANCE 10MG TAB </t>
        </is>
      </c>
      <c r="E211" s="36" t="n">
        <v>30</v>
      </c>
      <c r="F211" s="54" t="n">
        <v>30</v>
      </c>
      <c r="G211" s="54" t="n">
        <v>1</v>
      </c>
      <c r="H211" s="55" t="n">
        <v>606</v>
      </c>
      <c r="I211" s="55" t="n">
        <v>614.23</v>
      </c>
      <c r="J211" s="55" t="n">
        <v>0</v>
      </c>
      <c r="K211" s="55" t="n">
        <v>0</v>
      </c>
      <c r="L211" s="55" t="n">
        <v>614.23</v>
      </c>
      <c r="M211" s="55" t="n">
        <v>8.23</v>
      </c>
      <c r="N211" s="36" t="inlineStr">
        <is>
          <t>004740</t>
        </is>
      </c>
      <c r="O211" s="36" t="inlineStr">
        <is>
          <t>NYM</t>
        </is>
      </c>
      <c r="P211" s="36" t="inlineStr">
        <is>
          <t>9314DA31</t>
        </is>
      </c>
      <c r="Q211" s="36" t="n">
        <v/>
      </c>
    </row>
    <row r="212">
      <c r="A212" s="36" t="inlineStr">
        <is>
          <t>115248</t>
        </is>
      </c>
      <c r="B212" s="52" t="n">
        <v>46021</v>
      </c>
      <c r="C212" s="36" t="inlineStr">
        <is>
          <t>00597015230</t>
        </is>
      </c>
      <c r="D212" s="53" t="inlineStr">
        <is>
          <t xml:space="preserve">JARDIANCE 10MG TAB </t>
        </is>
      </c>
      <c r="E212" s="36" t="n">
        <v>30</v>
      </c>
      <c r="F212" s="54" t="n">
        <v>30</v>
      </c>
      <c r="G212" s="54" t="n">
        <v>1</v>
      </c>
      <c r="H212" s="55" t="n">
        <v>606</v>
      </c>
      <c r="I212" s="55" t="n">
        <v>613.23</v>
      </c>
      <c r="J212" s="55" t="n">
        <v>0</v>
      </c>
      <c r="K212" s="55" t="n">
        <v>1</v>
      </c>
      <c r="L212" s="55" t="n">
        <v>614.23</v>
      </c>
      <c r="M212" s="55" t="n">
        <v>8.23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130404</t>
        </is>
      </c>
      <c r="B213" s="52" t="n">
        <v>46056</v>
      </c>
      <c r="C213" s="36" t="inlineStr">
        <is>
          <t>00597015230</t>
        </is>
      </c>
      <c r="D213" s="53" t="inlineStr">
        <is>
          <t xml:space="preserve">JARDIANCE 10MG TAB </t>
        </is>
      </c>
      <c r="E213" s="36" t="n">
        <v>30</v>
      </c>
      <c r="F213" s="54" t="n">
        <v>90</v>
      </c>
      <c r="G213" s="54" t="n">
        <v>3</v>
      </c>
      <c r="H213" s="55" t="n">
        <v>1020</v>
      </c>
      <c r="I213" s="55" t="n">
        <v>611.12</v>
      </c>
      <c r="J213" s="55" t="n">
        <v>438.54</v>
      </c>
      <c r="K213" s="55" t="n">
        <v>0</v>
      </c>
      <c r="L213" s="55" t="n">
        <v>1049.66</v>
      </c>
      <c r="M213" s="55" t="n">
        <v>29.66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RX8585</t>
        </is>
      </c>
    </row>
    <row r="214">
      <c r="A214" s="36" t="inlineStr">
        <is>
          <t>142175</t>
        </is>
      </c>
      <c r="B214" s="52" t="n">
        <v>46059</v>
      </c>
      <c r="C214" s="36" t="inlineStr">
        <is>
          <t>00597015230</t>
        </is>
      </c>
      <c r="D214" s="53" t="inlineStr">
        <is>
          <t xml:space="preserve">JARDIANCE 10MG TAB </t>
        </is>
      </c>
      <c r="E214" s="36" t="n">
        <v>30</v>
      </c>
      <c r="F214" s="54" t="n">
        <v>90</v>
      </c>
      <c r="G214" s="54" t="n">
        <v>3</v>
      </c>
      <c r="H214" s="55" t="n">
        <v>1020</v>
      </c>
      <c r="I214" s="55" t="n">
        <v>606.22</v>
      </c>
      <c r="J214" s="55" t="n">
        <v>438.54</v>
      </c>
      <c r="K214" s="55" t="n">
        <v>4.9</v>
      </c>
      <c r="L214" s="55" t="n">
        <v>1049.66</v>
      </c>
      <c r="M214" s="55" t="n">
        <v>29.66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RX8585</t>
        </is>
      </c>
    </row>
    <row r="215">
      <c r="A215" s="36" t="inlineStr">
        <is>
          <t>125110</t>
        </is>
      </c>
      <c r="B215" s="52" t="n">
        <v>46017</v>
      </c>
      <c r="C215" s="36" t="inlineStr">
        <is>
          <t>00597015230</t>
        </is>
      </c>
      <c r="D215" s="53" t="inlineStr">
        <is>
          <t xml:space="preserve">JARDIANCE 10MG TAB </t>
        </is>
      </c>
      <c r="E215" s="36" t="n">
        <v>30</v>
      </c>
      <c r="F215" s="54" t="n">
        <v>90</v>
      </c>
      <c r="G215" s="54" t="n">
        <v>3</v>
      </c>
      <c r="H215" s="55" t="n">
        <v>1818</v>
      </c>
      <c r="I215" s="55" t="n">
        <v>1893.96</v>
      </c>
      <c r="J215" s="55" t="n">
        <v>0</v>
      </c>
      <c r="K215" s="55" t="n">
        <v>0</v>
      </c>
      <c r="L215" s="55" t="n">
        <v>1893.96</v>
      </c>
      <c r="M215" s="55" t="n">
        <v>75.95999999999999</v>
      </c>
      <c r="N215" s="36" t="inlineStr">
        <is>
          <t>610097</t>
        </is>
      </c>
      <c r="O215" s="36" t="inlineStr">
        <is>
          <t>OPTUM</t>
        </is>
      </c>
      <c r="P215" s="36" t="inlineStr">
        <is>
          <t>9999</t>
        </is>
      </c>
      <c r="Q215" s="36" t="inlineStr">
        <is>
          <t>PDPIND</t>
        </is>
      </c>
    </row>
    <row r="216">
      <c r="A216" s="36" t="inlineStr">
        <is>
          <t>142130</t>
        </is>
      </c>
      <c r="B216" s="52" t="n">
        <v>46059</v>
      </c>
      <c r="C216" s="36" t="inlineStr">
        <is>
          <t>00597015230</t>
        </is>
      </c>
      <c r="D216" s="53" t="inlineStr">
        <is>
          <t xml:space="preserve">JARDIANCE 10MG TAB </t>
        </is>
      </c>
      <c r="E216" s="36" t="n">
        <v>30</v>
      </c>
      <c r="F216" s="54" t="n">
        <v>90</v>
      </c>
      <c r="G216" s="54" t="n">
        <v>3</v>
      </c>
      <c r="H216" s="55" t="n">
        <v>1020</v>
      </c>
      <c r="I216" s="55" t="n">
        <v>571.17</v>
      </c>
      <c r="J216" s="55" t="n">
        <v>438.54</v>
      </c>
      <c r="K216" s="55" t="n">
        <v>40</v>
      </c>
      <c r="L216" s="55" t="n">
        <v>1049.71</v>
      </c>
      <c r="M216" s="55" t="n">
        <v>29.71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RXCVSD</t>
        </is>
      </c>
    </row>
    <row r="217">
      <c r="A217" s="36" t="inlineStr">
        <is>
          <t>137349</t>
        </is>
      </c>
      <c r="B217" s="52" t="n">
        <v>46051</v>
      </c>
      <c r="C217" s="36" t="inlineStr">
        <is>
          <t>00597015230</t>
        </is>
      </c>
      <c r="D217" s="53" t="inlineStr">
        <is>
          <t xml:space="preserve">JARDIANCE 10MG TAB </t>
        </is>
      </c>
      <c r="E217" s="36" t="n">
        <v>30</v>
      </c>
      <c r="F217" s="54" t="n">
        <v>30</v>
      </c>
      <c r="G217" s="54" t="n">
        <v>1</v>
      </c>
      <c r="H217" s="55" t="n">
        <v>338</v>
      </c>
      <c r="I217" s="55" t="n">
        <v>203.58</v>
      </c>
      <c r="J217" s="55" t="n">
        <v>146.18</v>
      </c>
      <c r="K217" s="55" t="n">
        <v>0</v>
      </c>
      <c r="L217" s="55" t="n">
        <v>349.76</v>
      </c>
      <c r="M217" s="55" t="n">
        <v>11.76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RXCVSD</t>
        </is>
      </c>
    </row>
    <row r="218">
      <c r="A218" s="36" t="inlineStr">
        <is>
          <t>130931</t>
        </is>
      </c>
      <c r="B218" s="52" t="n">
        <v>46060</v>
      </c>
      <c r="C218" s="36" t="inlineStr">
        <is>
          <t>00597015230</t>
        </is>
      </c>
      <c r="D218" s="53" t="inlineStr">
        <is>
          <t xml:space="preserve">JARDIANCE 10MG TAB </t>
        </is>
      </c>
      <c r="E218" s="36" t="n">
        <v>30</v>
      </c>
      <c r="F218" s="54" t="n">
        <v>90</v>
      </c>
      <c r="G218" s="54" t="n">
        <v>3</v>
      </c>
      <c r="H218" s="55" t="n">
        <v>1020</v>
      </c>
      <c r="I218" s="55" t="n">
        <v>606.22</v>
      </c>
      <c r="J218" s="55" t="n">
        <v>438.54</v>
      </c>
      <c r="K218" s="55" t="n">
        <v>4.9</v>
      </c>
      <c r="L218" s="55" t="n">
        <v>1049.66</v>
      </c>
      <c r="M218" s="55" t="n">
        <v>29.66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133376</t>
        </is>
      </c>
      <c r="B219" s="52" t="n">
        <v>45993</v>
      </c>
      <c r="C219" s="36" t="inlineStr">
        <is>
          <t>00597015330</t>
        </is>
      </c>
      <c r="D219" s="53" t="inlineStr">
        <is>
          <t xml:space="preserve">JARDIANCE 25MG TAB </t>
        </is>
      </c>
      <c r="E219" s="36" t="n">
        <v>30</v>
      </c>
      <c r="F219" s="54" t="n">
        <v>90</v>
      </c>
      <c r="G219" s="54" t="n">
        <v>3</v>
      </c>
      <c r="H219" s="55" t="n">
        <v>1818</v>
      </c>
      <c r="I219" s="55" t="n">
        <v>1822.07</v>
      </c>
      <c r="J219" s="55" t="n">
        <v>0</v>
      </c>
      <c r="K219" s="55" t="n">
        <v>0</v>
      </c>
      <c r="L219" s="55" t="n">
        <v>1822.07</v>
      </c>
      <c r="M219" s="55" t="n">
        <v>4.07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143966</t>
        </is>
      </c>
      <c r="B220" s="52" t="n">
        <v>46072</v>
      </c>
      <c r="C220" s="36" t="inlineStr">
        <is>
          <t>00597015330</t>
        </is>
      </c>
      <c r="D220" s="53" t="inlineStr">
        <is>
          <t xml:space="preserve">JARDIANCE 25MG TAB </t>
        </is>
      </c>
      <c r="E220" s="36" t="n">
        <v>30</v>
      </c>
      <c r="F220" s="54" t="n">
        <v>90</v>
      </c>
      <c r="G220" s="54" t="n">
        <v>3</v>
      </c>
      <c r="H220" s="55" t="n">
        <v>1020</v>
      </c>
      <c r="I220" s="55" t="n">
        <v>598.47</v>
      </c>
      <c r="J220" s="55" t="n">
        <v>438.54</v>
      </c>
      <c r="K220" s="55" t="n">
        <v>12.65</v>
      </c>
      <c r="L220" s="55" t="n">
        <v>1049.66</v>
      </c>
      <c r="M220" s="55" t="n">
        <v>29.66</v>
      </c>
      <c r="N220" s="36" t="inlineStr">
        <is>
          <t>004336</t>
        </is>
      </c>
      <c r="O220" s="36" t="inlineStr">
        <is>
          <t>CAREMARK</t>
        </is>
      </c>
      <c r="P220" s="36" t="inlineStr">
        <is>
          <t>MEDDADV</t>
        </is>
      </c>
      <c r="Q220" s="36" t="inlineStr">
        <is>
          <t>RX1110</t>
        </is>
      </c>
    </row>
    <row r="221">
      <c r="A221" s="36" t="inlineStr">
        <is>
          <t>127603</t>
        </is>
      </c>
      <c r="B221" s="52" t="n">
        <v>46035</v>
      </c>
      <c r="C221" s="36" t="inlineStr">
        <is>
          <t>00597015330</t>
        </is>
      </c>
      <c r="D221" s="53" t="inlineStr">
        <is>
          <t xml:space="preserve">JARDIANCE 25MG TAB </t>
        </is>
      </c>
      <c r="E221" s="36" t="n">
        <v>30</v>
      </c>
      <c r="F221" s="54" t="n">
        <v>90</v>
      </c>
      <c r="G221" s="54" t="n">
        <v>3</v>
      </c>
      <c r="H221" s="55" t="n">
        <v>1014</v>
      </c>
      <c r="I221" s="55" t="n">
        <v>1017.87</v>
      </c>
      <c r="J221" s="55" t="n">
        <v>0</v>
      </c>
      <c r="K221" s="55" t="n">
        <v>0</v>
      </c>
      <c r="L221" s="55" t="n">
        <v>1017.87</v>
      </c>
      <c r="M221" s="55" t="n">
        <v>3.87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127562</t>
        </is>
      </c>
      <c r="B222" s="52" t="n">
        <v>46076</v>
      </c>
      <c r="C222" s="36" t="inlineStr">
        <is>
          <t>00597015330</t>
        </is>
      </c>
      <c r="D222" s="53" t="inlineStr">
        <is>
          <t xml:space="preserve">JARDIANCE 25MG TAB </t>
        </is>
      </c>
      <c r="E222" s="36" t="n">
        <v>30</v>
      </c>
      <c r="F222" s="54" t="n">
        <v>30</v>
      </c>
      <c r="G222" s="54" t="n">
        <v>1</v>
      </c>
      <c r="H222" s="55" t="n">
        <v>340</v>
      </c>
      <c r="I222" s="55" t="n">
        <v>198.68</v>
      </c>
      <c r="J222" s="55" t="n">
        <v>146.18</v>
      </c>
      <c r="K222" s="55" t="n">
        <v>4.9</v>
      </c>
      <c r="L222" s="55" t="n">
        <v>349.76</v>
      </c>
      <c r="M222" s="55" t="n">
        <v>9.76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138809</t>
        </is>
      </c>
      <c r="B223" s="52" t="n">
        <v>46035</v>
      </c>
      <c r="C223" s="36" t="inlineStr">
        <is>
          <t>00597015330</t>
        </is>
      </c>
      <c r="D223" s="53" t="inlineStr">
        <is>
          <t xml:space="preserve">JARDIANCE 25MG TAB </t>
        </is>
      </c>
      <c r="E223" s="36" t="n">
        <v>30</v>
      </c>
      <c r="F223" s="54" t="n">
        <v>90</v>
      </c>
      <c r="G223" s="54" t="n">
        <v>3</v>
      </c>
      <c r="H223" s="55" t="n">
        <v>1014</v>
      </c>
      <c r="I223" s="55" t="n">
        <v>611.12</v>
      </c>
      <c r="J223" s="55" t="n">
        <v>438.54</v>
      </c>
      <c r="K223" s="55" t="n">
        <v>0</v>
      </c>
      <c r="L223" s="55" t="n">
        <v>1049.66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130031</t>
        </is>
      </c>
      <c r="B224" s="52" t="n">
        <v>46060</v>
      </c>
      <c r="C224" s="36" t="inlineStr">
        <is>
          <t>00597015330</t>
        </is>
      </c>
      <c r="D224" s="53" t="inlineStr">
        <is>
          <t xml:space="preserve">JARDIANCE 25MG TAB </t>
        </is>
      </c>
      <c r="E224" s="36" t="n">
        <v>30</v>
      </c>
      <c r="F224" s="54" t="n">
        <v>90</v>
      </c>
      <c r="G224" s="54" t="n">
        <v>3</v>
      </c>
      <c r="H224" s="55" t="n">
        <v>1020</v>
      </c>
      <c r="I224" s="55" t="n">
        <v>611.12</v>
      </c>
      <c r="J224" s="55" t="n">
        <v>438.54</v>
      </c>
      <c r="K224" s="55" t="n">
        <v>0</v>
      </c>
      <c r="L224" s="55" t="n">
        <v>1049.66</v>
      </c>
      <c r="M224" s="55" t="n">
        <v>29.66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138876</t>
        </is>
      </c>
      <c r="B225" s="52" t="n">
        <v>46035</v>
      </c>
      <c r="C225" s="36" t="inlineStr">
        <is>
          <t>00597015330</t>
        </is>
      </c>
      <c r="D225" s="53" t="inlineStr">
        <is>
          <t xml:space="preserve">JARDIANCE 25MG TAB </t>
        </is>
      </c>
      <c r="E225" s="36" t="n">
        <v>30</v>
      </c>
      <c r="F225" s="54" t="n">
        <v>90</v>
      </c>
      <c r="G225" s="54" t="n">
        <v>3</v>
      </c>
      <c r="H225" s="55" t="n">
        <v>1014</v>
      </c>
      <c r="I225" s="55" t="n">
        <v>606.22</v>
      </c>
      <c r="J225" s="55" t="n">
        <v>438.54</v>
      </c>
      <c r="K225" s="55" t="n">
        <v>4.9</v>
      </c>
      <c r="L225" s="55" t="n">
        <v>1049.66</v>
      </c>
      <c r="M225" s="55" t="n">
        <v>35.66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RX8585</t>
        </is>
      </c>
    </row>
    <row r="226">
      <c r="A226" s="36" t="inlineStr">
        <is>
          <t>142141</t>
        </is>
      </c>
      <c r="B226" s="52" t="n">
        <v>46059</v>
      </c>
      <c r="C226" s="36" t="inlineStr">
        <is>
          <t>00597015330</t>
        </is>
      </c>
      <c r="D226" s="53" t="inlineStr">
        <is>
          <t xml:space="preserve">JARDIANCE 25MG TAB </t>
        </is>
      </c>
      <c r="E226" s="36" t="n">
        <v>30</v>
      </c>
      <c r="F226" s="54" t="n">
        <v>90</v>
      </c>
      <c r="G226" s="54" t="n">
        <v>3</v>
      </c>
      <c r="H226" s="55" t="n">
        <v>1020</v>
      </c>
      <c r="I226" s="55" t="n">
        <v>611.12</v>
      </c>
      <c r="J226" s="55" t="n">
        <v>438.54</v>
      </c>
      <c r="K226" s="55" t="n">
        <v>0</v>
      </c>
      <c r="L226" s="55" t="n">
        <v>1049.66</v>
      </c>
      <c r="M226" s="55" t="n">
        <v>29.66</v>
      </c>
      <c r="N226" s="36" t="inlineStr">
        <is>
          <t>004336</t>
        </is>
      </c>
      <c r="O226" s="36" t="inlineStr">
        <is>
          <t>CAREMARK</t>
        </is>
      </c>
      <c r="P226" s="36" t="inlineStr">
        <is>
          <t>MEDDADV</t>
        </is>
      </c>
      <c r="Q226" s="36" t="inlineStr">
        <is>
          <t>RX1110</t>
        </is>
      </c>
    </row>
    <row r="227">
      <c r="A227" s="36" t="inlineStr">
        <is>
          <t>138900</t>
        </is>
      </c>
      <c r="B227" s="52" t="n">
        <v>46035</v>
      </c>
      <c r="C227" s="36" t="inlineStr">
        <is>
          <t>00597015330</t>
        </is>
      </c>
      <c r="D227" s="53" t="inlineStr">
        <is>
          <t xml:space="preserve">JARDIANCE 25MG TAB </t>
        </is>
      </c>
      <c r="E227" s="36" t="n">
        <v>30</v>
      </c>
      <c r="F227" s="54" t="n">
        <v>90</v>
      </c>
      <c r="G227" s="54" t="n">
        <v>3</v>
      </c>
      <c r="H227" s="55" t="n">
        <v>1014</v>
      </c>
      <c r="I227" s="55" t="n">
        <v>606.22</v>
      </c>
      <c r="J227" s="55" t="n">
        <v>438.54</v>
      </c>
      <c r="K227" s="55" t="n">
        <v>4.9</v>
      </c>
      <c r="L227" s="55" t="n">
        <v>1049.66</v>
      </c>
      <c r="M227" s="55" t="n">
        <v>35.66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137242</t>
        </is>
      </c>
      <c r="B228" s="52" t="n">
        <v>46022</v>
      </c>
      <c r="C228" s="36" t="inlineStr">
        <is>
          <t>00597015330</t>
        </is>
      </c>
      <c r="D228" s="53" t="inlineStr">
        <is>
          <t xml:space="preserve">JARDIANCE 25MG TAB </t>
        </is>
      </c>
      <c r="E228" s="36" t="n">
        <v>30</v>
      </c>
      <c r="F228" s="54" t="n">
        <v>90</v>
      </c>
      <c r="G228" s="54" t="n">
        <v>3</v>
      </c>
      <c r="H228" s="55" t="n">
        <v>1818</v>
      </c>
      <c r="I228" s="55" t="n">
        <v>1812.48</v>
      </c>
      <c r="J228" s="55" t="n">
        <v>438.54</v>
      </c>
      <c r="K228" s="55" t="n">
        <v>0</v>
      </c>
      <c r="L228" s="55" t="n">
        <v>2251.02</v>
      </c>
      <c r="M228" s="55" t="n">
        <v>433.02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RXCVSD</t>
        </is>
      </c>
    </row>
    <row r="229">
      <c r="A229" s="36" t="inlineStr">
        <is>
          <t>117435</t>
        </is>
      </c>
      <c r="B229" s="52" t="n">
        <v>46039</v>
      </c>
      <c r="C229" s="36" t="inlineStr">
        <is>
          <t>00597015330</t>
        </is>
      </c>
      <c r="D229" s="53" t="inlineStr">
        <is>
          <t xml:space="preserve">JARDIANCE 25MG TAB </t>
        </is>
      </c>
      <c r="E229" s="36" t="n">
        <v>30</v>
      </c>
      <c r="F229" s="54" t="n">
        <v>90</v>
      </c>
      <c r="G229" s="54" t="n">
        <v>3</v>
      </c>
      <c r="H229" s="55" t="n">
        <v>1014</v>
      </c>
      <c r="I229" s="55" t="n">
        <v>611.12</v>
      </c>
      <c r="J229" s="55" t="n">
        <v>438.54</v>
      </c>
      <c r="K229" s="55" t="n">
        <v>0</v>
      </c>
      <c r="L229" s="55" t="n">
        <v>1049.66</v>
      </c>
      <c r="M229" s="55" t="n">
        <v>35.66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139746</t>
        </is>
      </c>
      <c r="B230" s="52" t="n">
        <v>46042</v>
      </c>
      <c r="C230" s="36" t="inlineStr">
        <is>
          <t>00597015330</t>
        </is>
      </c>
      <c r="D230" s="53" t="inlineStr">
        <is>
          <t xml:space="preserve">JARDIANCE 25MG TAB </t>
        </is>
      </c>
      <c r="E230" s="36" t="n">
        <v>30</v>
      </c>
      <c r="F230" s="54" t="n">
        <v>90</v>
      </c>
      <c r="G230" s="54" t="n">
        <v>3</v>
      </c>
      <c r="H230" s="55" t="n">
        <v>1014</v>
      </c>
      <c r="I230" s="55" t="n">
        <v>606.22</v>
      </c>
      <c r="J230" s="55" t="n">
        <v>438.54</v>
      </c>
      <c r="K230" s="55" t="n">
        <v>4.9</v>
      </c>
      <c r="L230" s="55" t="n">
        <v>1049.66</v>
      </c>
      <c r="M230" s="55" t="n">
        <v>35.66</v>
      </c>
      <c r="N230" s="36" t="inlineStr">
        <is>
          <t>004336</t>
        </is>
      </c>
      <c r="O230" s="36" t="inlineStr">
        <is>
          <t>CAREMARK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138969</t>
        </is>
      </c>
      <c r="B231" s="52" t="n">
        <v>46036</v>
      </c>
      <c r="C231" s="36" t="inlineStr">
        <is>
          <t>00597015330</t>
        </is>
      </c>
      <c r="D231" s="53" t="inlineStr">
        <is>
          <t xml:space="preserve">JARDIANCE 25MG TAB </t>
        </is>
      </c>
      <c r="E231" s="36" t="n">
        <v>30</v>
      </c>
      <c r="F231" s="54" t="n">
        <v>90</v>
      </c>
      <c r="G231" s="54" t="n">
        <v>3</v>
      </c>
      <c r="H231" s="55" t="n">
        <v>1014</v>
      </c>
      <c r="I231" s="55" t="n">
        <v>611.12</v>
      </c>
      <c r="J231" s="55" t="n">
        <v>438.54</v>
      </c>
      <c r="K231" s="55" t="n">
        <v>0</v>
      </c>
      <c r="L231" s="55" t="n">
        <v>1049.66</v>
      </c>
      <c r="M231" s="55" t="n">
        <v>35.66</v>
      </c>
      <c r="N231" s="36" t="inlineStr">
        <is>
          <t>004336</t>
        </is>
      </c>
      <c r="O231" s="36" t="inlineStr">
        <is>
          <t>CAREMARK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140100</t>
        </is>
      </c>
      <c r="B232" s="52" t="n">
        <v>46044</v>
      </c>
      <c r="C232" s="36" t="inlineStr">
        <is>
          <t>00597015330</t>
        </is>
      </c>
      <c r="D232" s="53" t="inlineStr">
        <is>
          <t xml:space="preserve">JARDIANCE 25MG TAB </t>
        </is>
      </c>
      <c r="E232" s="36" t="n">
        <v>30</v>
      </c>
      <c r="F232" s="54" t="n">
        <v>90</v>
      </c>
      <c r="G232" s="54" t="n">
        <v>3</v>
      </c>
      <c r="H232" s="55" t="n">
        <v>1014</v>
      </c>
      <c r="I232" s="55" t="n">
        <v>606.22</v>
      </c>
      <c r="J232" s="55" t="n">
        <v>438.54</v>
      </c>
      <c r="K232" s="55" t="n">
        <v>4.9</v>
      </c>
      <c r="L232" s="55" t="n">
        <v>1049.66</v>
      </c>
      <c r="M232" s="55" t="n">
        <v>35.66</v>
      </c>
      <c r="N232" s="36" t="inlineStr">
        <is>
          <t>004336</t>
        </is>
      </c>
      <c r="O232" s="36" t="inlineStr">
        <is>
          <t>CAREMARK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132244</t>
        </is>
      </c>
      <c r="B233" s="52" t="n">
        <v>46037</v>
      </c>
      <c r="C233" s="36" t="inlineStr">
        <is>
          <t>00597015330</t>
        </is>
      </c>
      <c r="D233" s="53" t="inlineStr">
        <is>
          <t xml:space="preserve">JARDIANCE 25MG TAB </t>
        </is>
      </c>
      <c r="E233" s="36" t="n">
        <v>30</v>
      </c>
      <c r="F233" s="54" t="n">
        <v>30</v>
      </c>
      <c r="G233" s="54" t="n">
        <v>1</v>
      </c>
      <c r="H233" s="55" t="n">
        <v>338</v>
      </c>
      <c r="I233" s="55" t="n">
        <v>203.61</v>
      </c>
      <c r="J233" s="55" t="n">
        <v>146.18</v>
      </c>
      <c r="K233" s="55" t="n">
        <v>4.9</v>
      </c>
      <c r="L233" s="55" t="n">
        <v>354.69</v>
      </c>
      <c r="M233" s="55" t="n">
        <v>16.69</v>
      </c>
      <c r="N233" s="36" t="inlineStr">
        <is>
          <t>015574</t>
        </is>
      </c>
      <c r="O233" s="36" t="inlineStr">
        <is>
          <t>MEDIMP</t>
        </is>
      </c>
      <c r="P233" s="36" t="inlineStr">
        <is>
          <t>ASPROD1</t>
        </is>
      </c>
      <c r="Q233" s="36" t="inlineStr">
        <is>
          <t>VNS01</t>
        </is>
      </c>
    </row>
    <row r="234">
      <c r="A234" s="36" t="inlineStr">
        <is>
          <t>118839</t>
        </is>
      </c>
      <c r="B234" s="52" t="n">
        <v>46013</v>
      </c>
      <c r="C234" s="36" t="inlineStr">
        <is>
          <t>00597015330</t>
        </is>
      </c>
      <c r="D234" s="53" t="inlineStr">
        <is>
          <t xml:space="preserve">JARDIANCE 25MG TAB </t>
        </is>
      </c>
      <c r="E234" s="36" t="n">
        <v>30</v>
      </c>
      <c r="F234" s="54" t="n">
        <v>90</v>
      </c>
      <c r="G234" s="54" t="n">
        <v>3</v>
      </c>
      <c r="H234" s="55" t="n">
        <v>1818</v>
      </c>
      <c r="I234" s="55" t="n">
        <v>1893.96</v>
      </c>
      <c r="J234" s="55" t="n">
        <v>0</v>
      </c>
      <c r="K234" s="55" t="n">
        <v>0</v>
      </c>
      <c r="L234" s="55" t="n">
        <v>1893.96</v>
      </c>
      <c r="M234" s="55" t="n">
        <v>75.95999999999999</v>
      </c>
      <c r="N234" s="36" t="inlineStr">
        <is>
          <t>610097</t>
        </is>
      </c>
      <c r="O234" s="36" t="inlineStr">
        <is>
          <t>OPTUM</t>
        </is>
      </c>
      <c r="P234" s="36" t="inlineStr">
        <is>
          <t>9999</t>
        </is>
      </c>
      <c r="Q234" s="36" t="inlineStr">
        <is>
          <t>PDPIND</t>
        </is>
      </c>
    </row>
    <row r="235">
      <c r="A235" s="36" t="inlineStr">
        <is>
          <t>124280</t>
        </is>
      </c>
      <c r="B235" s="52" t="n">
        <v>46010</v>
      </c>
      <c r="C235" s="36" t="inlineStr">
        <is>
          <t>00597015330</t>
        </is>
      </c>
      <c r="D235" s="53" t="inlineStr">
        <is>
          <t xml:space="preserve">JARDIANCE 25MG TAB </t>
        </is>
      </c>
      <c r="E235" s="36" t="n">
        <v>30</v>
      </c>
      <c r="F235" s="54" t="n">
        <v>90</v>
      </c>
      <c r="G235" s="54" t="n">
        <v>3</v>
      </c>
      <c r="H235" s="55" t="n">
        <v>1818</v>
      </c>
      <c r="I235" s="55" t="n">
        <v>1821.07</v>
      </c>
      <c r="J235" s="55" t="n">
        <v>0</v>
      </c>
      <c r="K235" s="55" t="n">
        <v>1</v>
      </c>
      <c r="L235" s="55" t="n">
        <v>1822.07</v>
      </c>
      <c r="M235" s="55" t="n">
        <v>4.07</v>
      </c>
      <c r="N235" s="36" t="inlineStr">
        <is>
          <t>004740</t>
        </is>
      </c>
      <c r="O235" s="36" t="inlineStr">
        <is>
          <t>NYM</t>
        </is>
      </c>
      <c r="P235" s="36" t="inlineStr">
        <is>
          <t>9314DA31</t>
        </is>
      </c>
      <c r="Q235" s="36" t="n">
        <v/>
      </c>
    </row>
    <row r="236">
      <c r="A236" s="36" t="inlineStr">
        <is>
          <t>142333</t>
        </is>
      </c>
      <c r="B236" s="52" t="n">
        <v>46062</v>
      </c>
      <c r="C236" s="36" t="inlineStr">
        <is>
          <t>00597015330</t>
        </is>
      </c>
      <c r="D236" s="53" t="inlineStr">
        <is>
          <t xml:space="preserve">JARDIANCE 25MG TAB </t>
        </is>
      </c>
      <c r="E236" s="36" t="n">
        <v>30</v>
      </c>
      <c r="F236" s="54" t="n">
        <v>90</v>
      </c>
      <c r="G236" s="54" t="n">
        <v>3</v>
      </c>
      <c r="H236" s="55" t="n">
        <v>1020</v>
      </c>
      <c r="I236" s="55" t="n">
        <v>611.12</v>
      </c>
      <c r="J236" s="55" t="n">
        <v>438.54</v>
      </c>
      <c r="K236" s="55" t="n">
        <v>0</v>
      </c>
      <c r="L236" s="55" t="n">
        <v>1049.66</v>
      </c>
      <c r="M236" s="55" t="n">
        <v>29.66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122086</t>
        </is>
      </c>
      <c r="B237" s="52" t="n">
        <v>46044</v>
      </c>
      <c r="C237" s="36" t="inlineStr">
        <is>
          <t>00597015330</t>
        </is>
      </c>
      <c r="D237" s="53" t="inlineStr">
        <is>
          <t xml:space="preserve">JARDIANCE 25MG TAB </t>
        </is>
      </c>
      <c r="E237" s="36" t="n">
        <v>30</v>
      </c>
      <c r="F237" s="54" t="n">
        <v>30</v>
      </c>
      <c r="G237" s="54" t="n">
        <v>1</v>
      </c>
      <c r="H237" s="55" t="n">
        <v>338</v>
      </c>
      <c r="I237" s="55" t="n">
        <v>208.51</v>
      </c>
      <c r="J237" s="55" t="n">
        <v>146.18</v>
      </c>
      <c r="K237" s="55" t="n">
        <v>0</v>
      </c>
      <c r="L237" s="55" t="n">
        <v>354.69</v>
      </c>
      <c r="M237" s="55" t="n">
        <v>16.69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139157</t>
        </is>
      </c>
      <c r="B238" s="52" t="n">
        <v>46037</v>
      </c>
      <c r="C238" s="36" t="inlineStr">
        <is>
          <t>00597015330</t>
        </is>
      </c>
      <c r="D238" s="53" t="inlineStr">
        <is>
          <t xml:space="preserve">JARDIANCE 25MG TAB </t>
        </is>
      </c>
      <c r="E238" s="36" t="n">
        <v>30</v>
      </c>
      <c r="F238" s="54" t="n">
        <v>90</v>
      </c>
      <c r="G238" s="54" t="n">
        <v>3</v>
      </c>
      <c r="H238" s="55" t="n">
        <v>1014</v>
      </c>
      <c r="I238" s="55" t="n">
        <v>606.22</v>
      </c>
      <c r="J238" s="55" t="n">
        <v>438.54</v>
      </c>
      <c r="K238" s="55" t="n">
        <v>4.9</v>
      </c>
      <c r="L238" s="55" t="n">
        <v>1049.66</v>
      </c>
      <c r="M238" s="55" t="n">
        <v>35.66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130635</t>
        </is>
      </c>
      <c r="B239" s="52" t="n">
        <v>46059</v>
      </c>
      <c r="C239" s="36" t="inlineStr">
        <is>
          <t>00597015330</t>
        </is>
      </c>
      <c r="D239" s="53" t="inlineStr">
        <is>
          <t xml:space="preserve">JARDIANCE 25MG TAB </t>
        </is>
      </c>
      <c r="E239" s="36" t="n">
        <v>30</v>
      </c>
      <c r="F239" s="54" t="n">
        <v>90</v>
      </c>
      <c r="G239" s="54" t="n">
        <v>3</v>
      </c>
      <c r="H239" s="55" t="n">
        <v>1020</v>
      </c>
      <c r="I239" s="55" t="n">
        <v>611.12</v>
      </c>
      <c r="J239" s="55" t="n">
        <v>438.54</v>
      </c>
      <c r="K239" s="55" t="n">
        <v>0</v>
      </c>
      <c r="L239" s="55" t="n">
        <v>1049.66</v>
      </c>
      <c r="M239" s="55" t="n">
        <v>29.66</v>
      </c>
      <c r="N239" s="36" t="inlineStr">
        <is>
          <t>004336</t>
        </is>
      </c>
      <c r="O239" s="36" t="inlineStr">
        <is>
          <t>CAREMARK</t>
        </is>
      </c>
      <c r="P239" s="36" t="inlineStr">
        <is>
          <t>MEDDADV</t>
        </is>
      </c>
      <c r="Q239" s="36" t="inlineStr">
        <is>
          <t>RX1110</t>
        </is>
      </c>
    </row>
    <row r="240">
      <c r="A240" s="36" t="inlineStr">
        <is>
          <t>139194</t>
        </is>
      </c>
      <c r="B240" s="52" t="n">
        <v>46037</v>
      </c>
      <c r="C240" s="36" t="inlineStr">
        <is>
          <t>00597015330</t>
        </is>
      </c>
      <c r="D240" s="53" t="inlineStr">
        <is>
          <t xml:space="preserve">JARDIANCE 25MG TAB </t>
        </is>
      </c>
      <c r="E240" s="36" t="n">
        <v>30</v>
      </c>
      <c r="F240" s="54" t="n">
        <v>90</v>
      </c>
      <c r="G240" s="54" t="n">
        <v>3</v>
      </c>
      <c r="H240" s="55" t="n">
        <v>1014</v>
      </c>
      <c r="I240" s="55" t="n">
        <v>606.22</v>
      </c>
      <c r="J240" s="55" t="n">
        <v>438.54</v>
      </c>
      <c r="K240" s="55" t="n">
        <v>4.9</v>
      </c>
      <c r="L240" s="55" t="n">
        <v>1049.66</v>
      </c>
      <c r="M240" s="55" t="n">
        <v>35.66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144641</t>
        </is>
      </c>
      <c r="B241" s="52" t="n">
        <v>46077</v>
      </c>
      <c r="C241" s="36" t="inlineStr">
        <is>
          <t>00597015330</t>
        </is>
      </c>
      <c r="D241" s="53" t="inlineStr">
        <is>
          <t xml:space="preserve">JARDIANCE 25MG TAB </t>
        </is>
      </c>
      <c r="E241" s="36" t="n">
        <v>30</v>
      </c>
      <c r="F241" s="54" t="n">
        <v>30</v>
      </c>
      <c r="G241" s="54" t="n">
        <v>1</v>
      </c>
      <c r="H241" s="55" t="n">
        <v>340</v>
      </c>
      <c r="I241" s="55" t="n">
        <v>198.68</v>
      </c>
      <c r="J241" s="55" t="n">
        <v>146.18</v>
      </c>
      <c r="K241" s="55" t="n">
        <v>4.9</v>
      </c>
      <c r="L241" s="55" t="n">
        <v>349.76</v>
      </c>
      <c r="M241" s="55" t="n">
        <v>9.76</v>
      </c>
      <c r="N241" s="36" t="inlineStr">
        <is>
          <t>004336</t>
        </is>
      </c>
      <c r="O241" s="36" t="inlineStr">
        <is>
          <t>CAREMARK</t>
        </is>
      </c>
      <c r="P241" s="36" t="inlineStr">
        <is>
          <t>MEDDADV</t>
        </is>
      </c>
      <c r="Q241" s="36" t="inlineStr">
        <is>
          <t>RX1110</t>
        </is>
      </c>
    </row>
    <row r="242">
      <c r="A242" s="36" t="inlineStr">
        <is>
          <t>125797</t>
        </is>
      </c>
      <c r="B242" s="52" t="n">
        <v>46024</v>
      </c>
      <c r="C242" s="36" t="inlineStr">
        <is>
          <t>00597015330</t>
        </is>
      </c>
      <c r="D242" s="53" t="inlineStr">
        <is>
          <t xml:space="preserve">JARDIANCE 25MG TAB </t>
        </is>
      </c>
      <c r="E242" s="36" t="n">
        <v>30</v>
      </c>
      <c r="F242" s="54" t="n">
        <v>90</v>
      </c>
      <c r="G242" s="54" t="n">
        <v>3</v>
      </c>
      <c r="H242" s="55" t="n">
        <v>1014</v>
      </c>
      <c r="I242" s="55" t="n">
        <v>1822.37</v>
      </c>
      <c r="J242" s="55" t="n">
        <v>0</v>
      </c>
      <c r="K242" s="55" t="n">
        <v>0</v>
      </c>
      <c r="L242" s="55" t="n">
        <v>1822.37</v>
      </c>
      <c r="M242" s="55" t="n">
        <v>808.37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124872</t>
        </is>
      </c>
      <c r="B243" s="52" t="n">
        <v>46015</v>
      </c>
      <c r="C243" s="36" t="inlineStr">
        <is>
          <t>00597015330</t>
        </is>
      </c>
      <c r="D243" s="53" t="inlineStr">
        <is>
          <t xml:space="preserve">JARDIANCE 25MG TAB </t>
        </is>
      </c>
      <c r="E243" s="36" t="n">
        <v>30</v>
      </c>
      <c r="F243" s="54" t="n">
        <v>90</v>
      </c>
      <c r="G243" s="54" t="n">
        <v>3</v>
      </c>
      <c r="H243" s="55" t="n">
        <v>1818</v>
      </c>
      <c r="I243" s="55" t="n">
        <v>1822.37</v>
      </c>
      <c r="J243" s="55" t="n">
        <v>0</v>
      </c>
      <c r="K243" s="55" t="n">
        <v>0</v>
      </c>
      <c r="L243" s="55" t="n">
        <v>1822.37</v>
      </c>
      <c r="M243" s="55" t="n">
        <v>4.37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127136</t>
        </is>
      </c>
      <c r="B244" s="52" t="n">
        <v>46031</v>
      </c>
      <c r="C244" s="36" t="inlineStr">
        <is>
          <t>00597015330</t>
        </is>
      </c>
      <c r="D244" s="53" t="inlineStr">
        <is>
          <t xml:space="preserve">JARDIANCE 25MG TAB </t>
        </is>
      </c>
      <c r="E244" s="36" t="n">
        <v>30</v>
      </c>
      <c r="F244" s="54" t="n">
        <v>90</v>
      </c>
      <c r="G244" s="54" t="n">
        <v>3</v>
      </c>
      <c r="H244" s="55" t="n">
        <v>1014</v>
      </c>
      <c r="I244" s="55" t="n">
        <v>611.12</v>
      </c>
      <c r="J244" s="55" t="n">
        <v>438.54</v>
      </c>
      <c r="K244" s="55" t="n">
        <v>0</v>
      </c>
      <c r="L244" s="55" t="n">
        <v>1049.66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142863</t>
        </is>
      </c>
      <c r="B245" s="52" t="n">
        <v>46064</v>
      </c>
      <c r="C245" s="36" t="inlineStr">
        <is>
          <t>00597015330</t>
        </is>
      </c>
      <c r="D245" s="53" t="inlineStr">
        <is>
          <t xml:space="preserve">JARDIANCE 25MG TAB </t>
        </is>
      </c>
      <c r="E245" s="36" t="n">
        <v>30</v>
      </c>
      <c r="F245" s="54" t="n">
        <v>90</v>
      </c>
      <c r="G245" s="54" t="n">
        <v>3</v>
      </c>
      <c r="H245" s="55" t="n">
        <v>1020</v>
      </c>
      <c r="I245" s="55" t="n">
        <v>611.12</v>
      </c>
      <c r="J245" s="55" t="n">
        <v>438.54</v>
      </c>
      <c r="K245" s="55" t="n">
        <v>0</v>
      </c>
      <c r="L245" s="55" t="n">
        <v>1049.66</v>
      </c>
      <c r="M245" s="55" t="n">
        <v>29.66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137418</t>
        </is>
      </c>
      <c r="B246" s="52" t="n">
        <v>46027</v>
      </c>
      <c r="C246" s="36" t="inlineStr">
        <is>
          <t>00597015330</t>
        </is>
      </c>
      <c r="D246" s="53" t="inlineStr">
        <is>
          <t xml:space="preserve">JARDIANCE 25MG TAB </t>
        </is>
      </c>
      <c r="E246" s="36" t="n">
        <v>30</v>
      </c>
      <c r="F246" s="54" t="n">
        <v>90</v>
      </c>
      <c r="G246" s="54" t="n">
        <v>3</v>
      </c>
      <c r="H246" s="55" t="n">
        <v>1014</v>
      </c>
      <c r="I246" s="55" t="n">
        <v>606.22</v>
      </c>
      <c r="J246" s="55" t="n">
        <v>438.54</v>
      </c>
      <c r="K246" s="55" t="n">
        <v>4.9</v>
      </c>
      <c r="L246" s="55" t="n">
        <v>1049.66</v>
      </c>
      <c r="M246" s="55" t="n">
        <v>35.66</v>
      </c>
      <c r="N246" s="36" t="inlineStr">
        <is>
          <t>004336</t>
        </is>
      </c>
      <c r="O246" s="36" t="inlineStr">
        <is>
          <t>CAREMARK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109458</t>
        </is>
      </c>
      <c r="B247" s="52" t="n">
        <v>46065</v>
      </c>
      <c r="C247" s="36" t="inlineStr">
        <is>
          <t>00597015330</t>
        </is>
      </c>
      <c r="D247" s="53" t="inlineStr">
        <is>
          <t xml:space="preserve">JARDIANCE 25MG TAB </t>
        </is>
      </c>
      <c r="E247" s="36" t="n">
        <v>30</v>
      </c>
      <c r="F247" s="54" t="n">
        <v>90</v>
      </c>
      <c r="G247" s="54" t="n">
        <v>3</v>
      </c>
      <c r="H247" s="55" t="n">
        <v>1020</v>
      </c>
      <c r="I247" s="55" t="n">
        <v>606.22</v>
      </c>
      <c r="J247" s="55" t="n">
        <v>438.54</v>
      </c>
      <c r="K247" s="55" t="n">
        <v>4.9</v>
      </c>
      <c r="L247" s="55" t="n">
        <v>1049.66</v>
      </c>
      <c r="M247" s="55" t="n">
        <v>29.66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138051</t>
        </is>
      </c>
      <c r="B248" s="52" t="n">
        <v>46030</v>
      </c>
      <c r="C248" s="36" t="inlineStr">
        <is>
          <t>00597015330</t>
        </is>
      </c>
      <c r="D248" s="53" t="inlineStr">
        <is>
          <t xml:space="preserve">JARDIANCE 25MG TAB </t>
        </is>
      </c>
      <c r="E248" s="36" t="n">
        <v>30</v>
      </c>
      <c r="F248" s="54" t="n">
        <v>90</v>
      </c>
      <c r="G248" s="54" t="n">
        <v>3</v>
      </c>
      <c r="H248" s="55" t="n">
        <v>1014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35.66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143510</t>
        </is>
      </c>
      <c r="B249" s="52" t="n">
        <v>46069</v>
      </c>
      <c r="C249" s="36" t="inlineStr">
        <is>
          <t>00597015330</t>
        </is>
      </c>
      <c r="D249" s="53" t="inlineStr">
        <is>
          <t xml:space="preserve">JARDIANCE 25MG TAB </t>
        </is>
      </c>
      <c r="E249" s="36" t="n">
        <v>30</v>
      </c>
      <c r="F249" s="54" t="n">
        <v>90</v>
      </c>
      <c r="G249" s="54" t="n">
        <v>3</v>
      </c>
      <c r="H249" s="55" t="n">
        <v>1020</v>
      </c>
      <c r="I249" s="55" t="n">
        <v>606.22</v>
      </c>
      <c r="J249" s="55" t="n">
        <v>438.54</v>
      </c>
      <c r="K249" s="55" t="n">
        <v>4.9</v>
      </c>
      <c r="L249" s="55" t="n">
        <v>1049.66</v>
      </c>
      <c r="M249" s="55" t="n">
        <v>29.66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138172</t>
        </is>
      </c>
      <c r="B250" s="52" t="n">
        <v>46030</v>
      </c>
      <c r="C250" s="36" t="inlineStr">
        <is>
          <t>00597015330</t>
        </is>
      </c>
      <c r="D250" s="53" t="inlineStr">
        <is>
          <t xml:space="preserve">JARDIANCE 25MG TAB </t>
        </is>
      </c>
      <c r="E250" s="36" t="n">
        <v>30</v>
      </c>
      <c r="F250" s="54" t="n">
        <v>90</v>
      </c>
      <c r="G250" s="54" t="n">
        <v>3</v>
      </c>
      <c r="H250" s="55" t="n">
        <v>1014</v>
      </c>
      <c r="I250" s="55" t="n">
        <v>1822.37</v>
      </c>
      <c r="J250" s="55" t="n">
        <v>0</v>
      </c>
      <c r="K250" s="55" t="n">
        <v>0</v>
      </c>
      <c r="L250" s="55" t="n">
        <v>1822.37</v>
      </c>
      <c r="M250" s="55" t="n">
        <v>808.37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138680</t>
        </is>
      </c>
      <c r="B251" s="52" t="n">
        <v>46034</v>
      </c>
      <c r="C251" s="36" t="inlineStr">
        <is>
          <t>00597015330</t>
        </is>
      </c>
      <c r="D251" s="53" t="inlineStr">
        <is>
          <t xml:space="preserve">JARDIANCE 25MG TAB </t>
        </is>
      </c>
      <c r="E251" s="36" t="n">
        <v>30</v>
      </c>
      <c r="F251" s="54" t="n">
        <v>90</v>
      </c>
      <c r="G251" s="54" t="n">
        <v>3</v>
      </c>
      <c r="H251" s="55" t="n">
        <v>1014</v>
      </c>
      <c r="I251" s="55" t="n">
        <v>606.22</v>
      </c>
      <c r="J251" s="55" t="n">
        <v>438.54</v>
      </c>
      <c r="K251" s="55" t="n">
        <v>4.9</v>
      </c>
      <c r="L251" s="55" t="n">
        <v>1049.66</v>
      </c>
      <c r="M251" s="55" t="n">
        <v>35.66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143566</t>
        </is>
      </c>
      <c r="B252" s="52" t="n">
        <v>46070</v>
      </c>
      <c r="C252" s="36" t="inlineStr">
        <is>
          <t>00597015330</t>
        </is>
      </c>
      <c r="D252" s="53" t="inlineStr">
        <is>
          <t xml:space="preserve">JARDIANCE 25MG TAB </t>
        </is>
      </c>
      <c r="E252" s="36" t="n">
        <v>30</v>
      </c>
      <c r="F252" s="54" t="n">
        <v>90</v>
      </c>
      <c r="G252" s="54" t="n">
        <v>3</v>
      </c>
      <c r="H252" s="55" t="n">
        <v>1020</v>
      </c>
      <c r="I252" s="55" t="n">
        <v>606.47</v>
      </c>
      <c r="J252" s="55" t="n">
        <v>438.54</v>
      </c>
      <c r="K252" s="55" t="n">
        <v>4.9</v>
      </c>
      <c r="L252" s="55" t="n">
        <v>1049.91</v>
      </c>
      <c r="M252" s="55" t="n">
        <v>29.91</v>
      </c>
      <c r="N252" s="36" t="inlineStr">
        <is>
          <t>020115</t>
        </is>
      </c>
      <c r="O252" s="36" t="inlineStr">
        <is>
          <t>CAREMARK</t>
        </is>
      </c>
      <c r="P252" s="36" t="inlineStr">
        <is>
          <t>IS</t>
        </is>
      </c>
      <c r="Q252" s="36" t="inlineStr">
        <is>
          <t>WM2A</t>
        </is>
      </c>
    </row>
    <row r="253">
      <c r="A253" s="36" t="inlineStr">
        <is>
          <t>129542</t>
        </is>
      </c>
      <c r="B253" s="52" t="n">
        <v>46049</v>
      </c>
      <c r="C253" s="36" t="inlineStr">
        <is>
          <t>00597015330</t>
        </is>
      </c>
      <c r="D253" s="53" t="inlineStr">
        <is>
          <t xml:space="preserve">JARDIANCE 25MG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606.22</v>
      </c>
      <c r="J253" s="55" t="n">
        <v>438.54</v>
      </c>
      <c r="K253" s="55" t="n">
        <v>4.9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123052</t>
        </is>
      </c>
      <c r="B254" s="52" t="n">
        <v>46055</v>
      </c>
      <c r="C254" s="36" t="inlineStr">
        <is>
          <t>00597015330</t>
        </is>
      </c>
      <c r="D254" s="53" t="inlineStr">
        <is>
          <t xml:space="preserve">JARDIANCE 25MG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RX1110</t>
        </is>
      </c>
    </row>
    <row r="255">
      <c r="A255" s="36" t="inlineStr">
        <is>
          <t>138352</t>
        </is>
      </c>
      <c r="B255" s="52" t="n">
        <v>46031</v>
      </c>
      <c r="C255" s="36" t="inlineStr">
        <is>
          <t>00597015330</t>
        </is>
      </c>
      <c r="D255" s="53" t="inlineStr">
        <is>
          <t xml:space="preserve">JARDIANCE 25MG TAB </t>
        </is>
      </c>
      <c r="E255" s="36" t="n">
        <v>30</v>
      </c>
      <c r="F255" s="54" t="n">
        <v>90</v>
      </c>
      <c r="G255" s="54" t="n">
        <v>3</v>
      </c>
      <c r="H255" s="55" t="n">
        <v>1014</v>
      </c>
      <c r="I255" s="55" t="n">
        <v>1822.37</v>
      </c>
      <c r="J255" s="55" t="n">
        <v>0</v>
      </c>
      <c r="K255" s="55" t="n">
        <v>0</v>
      </c>
      <c r="L255" s="55" t="n">
        <v>1822.37</v>
      </c>
      <c r="M255" s="55" t="n">
        <v>808.37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126980</t>
        </is>
      </c>
      <c r="B256" s="52" t="n">
        <v>46032</v>
      </c>
      <c r="C256" s="36" t="inlineStr">
        <is>
          <t>00597015330</t>
        </is>
      </c>
      <c r="D256" s="53" t="inlineStr">
        <is>
          <t xml:space="preserve">JARDIANCE 25MG TAB </t>
        </is>
      </c>
      <c r="E256" s="36" t="n">
        <v>30</v>
      </c>
      <c r="F256" s="54" t="n">
        <v>90</v>
      </c>
      <c r="G256" s="54" t="n">
        <v>3</v>
      </c>
      <c r="H256" s="55" t="n">
        <v>1014</v>
      </c>
      <c r="I256" s="55" t="n">
        <v>616.15</v>
      </c>
      <c r="J256" s="55" t="n">
        <v>438.54</v>
      </c>
      <c r="K256" s="55" t="n">
        <v>0</v>
      </c>
      <c r="L256" s="55" t="n">
        <v>1054.69</v>
      </c>
      <c r="M256" s="55" t="n">
        <v>40.69</v>
      </c>
      <c r="N256" s="36" t="inlineStr">
        <is>
          <t>015574</t>
        </is>
      </c>
      <c r="O256" s="36" t="inlineStr">
        <is>
          <t>MEDIMP</t>
        </is>
      </c>
      <c r="P256" s="36" t="inlineStr">
        <is>
          <t>ASPROD1</t>
        </is>
      </c>
      <c r="Q256" s="36" t="inlineStr">
        <is>
          <t>VNS01</t>
        </is>
      </c>
    </row>
    <row r="257">
      <c r="A257" s="36" t="inlineStr">
        <is>
          <t>141026</t>
        </is>
      </c>
      <c r="B257" s="52" t="n">
        <v>46051</v>
      </c>
      <c r="C257" s="36" t="inlineStr">
        <is>
          <t>00597015330</t>
        </is>
      </c>
      <c r="D257" s="53" t="inlineStr">
        <is>
          <t xml:space="preserve">JARDIANCE 25MG TAB </t>
        </is>
      </c>
      <c r="E257" s="36" t="n">
        <v>30</v>
      </c>
      <c r="F257" s="54" t="n">
        <v>90</v>
      </c>
      <c r="G257" s="54" t="n">
        <v>3</v>
      </c>
      <c r="H257" s="55" t="n">
        <v>1014</v>
      </c>
      <c r="I257" s="55" t="n">
        <v>611.12</v>
      </c>
      <c r="J257" s="55" t="n">
        <v>438.54</v>
      </c>
      <c r="K257" s="55" t="n">
        <v>0</v>
      </c>
      <c r="L257" s="55" t="n">
        <v>1049.66</v>
      </c>
      <c r="M257" s="55" t="n">
        <v>35.66</v>
      </c>
      <c r="N257" s="36" t="inlineStr">
        <is>
          <t>004336</t>
        </is>
      </c>
      <c r="O257" s="36" t="inlineStr">
        <is>
          <t>CAREMARK</t>
        </is>
      </c>
      <c r="P257" s="36" t="inlineStr">
        <is>
          <t>MEDDADV</t>
        </is>
      </c>
      <c r="Q257" s="36" t="inlineStr">
        <is>
          <t>RX1110</t>
        </is>
      </c>
    </row>
    <row r="258">
      <c r="A258" s="36" t="inlineStr">
        <is>
          <t>115881</t>
        </is>
      </c>
      <c r="B258" s="52" t="n">
        <v>46034</v>
      </c>
      <c r="C258" s="36" t="inlineStr">
        <is>
          <t>00597015330</t>
        </is>
      </c>
      <c r="D258" s="53" t="inlineStr">
        <is>
          <t xml:space="preserve">JARDIANCE 25MG TAB </t>
        </is>
      </c>
      <c r="E258" s="36" t="n">
        <v>30</v>
      </c>
      <c r="F258" s="54" t="n">
        <v>90</v>
      </c>
      <c r="G258" s="54" t="n">
        <v>3</v>
      </c>
      <c r="H258" s="55" t="n">
        <v>1014</v>
      </c>
      <c r="I258" s="55" t="n">
        <v>606.22</v>
      </c>
      <c r="J258" s="55" t="n">
        <v>438.54</v>
      </c>
      <c r="K258" s="55" t="n">
        <v>4.9</v>
      </c>
      <c r="L258" s="55" t="n">
        <v>1049.66</v>
      </c>
      <c r="M258" s="55" t="n">
        <v>35.66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132244</t>
        </is>
      </c>
      <c r="B259" s="52" t="n">
        <v>46065</v>
      </c>
      <c r="C259" s="36" t="inlineStr">
        <is>
          <t>00597015330</t>
        </is>
      </c>
      <c r="D259" s="53" t="inlineStr">
        <is>
          <t xml:space="preserve">JARDIANCE 25MG TAB </t>
        </is>
      </c>
      <c r="E259" s="36" t="n">
        <v>30</v>
      </c>
      <c r="F259" s="54" t="n">
        <v>30</v>
      </c>
      <c r="G259" s="54" t="n">
        <v>1</v>
      </c>
      <c r="H259" s="55" t="n">
        <v>340</v>
      </c>
      <c r="I259" s="55" t="n">
        <v>203.61</v>
      </c>
      <c r="J259" s="55" t="n">
        <v>146.18</v>
      </c>
      <c r="K259" s="55" t="n">
        <v>4.9</v>
      </c>
      <c r="L259" s="55" t="n">
        <v>354.69</v>
      </c>
      <c r="M259" s="55" t="n">
        <v>14.69</v>
      </c>
      <c r="N259" s="36" t="inlineStr">
        <is>
          <t>015574</t>
        </is>
      </c>
      <c r="O259" s="36" t="inlineStr">
        <is>
          <t>MEDIMP</t>
        </is>
      </c>
      <c r="P259" s="36" t="inlineStr">
        <is>
          <t>ASPROD1</t>
        </is>
      </c>
      <c r="Q259" s="36" t="inlineStr">
        <is>
          <t>VNS01</t>
        </is>
      </c>
    </row>
    <row r="260">
      <c r="A260" s="36" t="inlineStr">
        <is>
          <t>143957</t>
        </is>
      </c>
      <c r="B260" s="52" t="n">
        <v>46072</v>
      </c>
      <c r="C260" s="36" t="inlineStr">
        <is>
          <t>00597015330</t>
        </is>
      </c>
      <c r="D260" s="53" t="inlineStr">
        <is>
          <t xml:space="preserve">JARDIANCE 25MG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606.22</v>
      </c>
      <c r="J260" s="55" t="n">
        <v>438.54</v>
      </c>
      <c r="K260" s="55" t="n">
        <v>4.9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130251</t>
        </is>
      </c>
      <c r="B261" s="52" t="n">
        <v>46050</v>
      </c>
      <c r="C261" s="36" t="inlineStr">
        <is>
          <t>00597015330</t>
        </is>
      </c>
      <c r="D261" s="53" t="inlineStr">
        <is>
          <t xml:space="preserve">JARDIANCE 25MG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199.92</v>
      </c>
      <c r="J261" s="55" t="n">
        <v>146.18</v>
      </c>
      <c r="K261" s="55" t="n">
        <v>4.9</v>
      </c>
      <c r="L261" s="55" t="n">
        <v>351</v>
      </c>
      <c r="M261" s="55" t="n">
        <v>13</v>
      </c>
      <c r="N261" s="36" t="inlineStr">
        <is>
          <t>610014</t>
        </is>
      </c>
      <c r="O261" s="36" t="inlineStr">
        <is>
          <t>EXPRESS</t>
        </is>
      </c>
      <c r="P261" s="36" t="inlineStr">
        <is>
          <t>MEDDPRIME</t>
        </is>
      </c>
      <c r="Q261" s="36" t="inlineStr">
        <is>
          <t>2FFA</t>
        </is>
      </c>
    </row>
    <row r="262">
      <c r="A262" s="36" t="inlineStr">
        <is>
          <t>142853</t>
        </is>
      </c>
      <c r="B262" s="52" t="n">
        <v>46064</v>
      </c>
      <c r="C262" s="36" t="inlineStr">
        <is>
          <t>00597015330</t>
        </is>
      </c>
      <c r="D262" s="53" t="inlineStr">
        <is>
          <t xml:space="preserve">JARDIANCE 25MG TAB </t>
        </is>
      </c>
      <c r="E262" s="36" t="n">
        <v>30</v>
      </c>
      <c r="F262" s="54" t="n">
        <v>90</v>
      </c>
      <c r="G262" s="54" t="n">
        <v>3</v>
      </c>
      <c r="H262" s="55" t="n">
        <v>1020</v>
      </c>
      <c r="I262" s="55" t="n">
        <v>606.22</v>
      </c>
      <c r="J262" s="55" t="n">
        <v>438.54</v>
      </c>
      <c r="K262" s="55" t="n">
        <v>4.9</v>
      </c>
      <c r="L262" s="55" t="n">
        <v>1049.66</v>
      </c>
      <c r="M262" s="55" t="n">
        <v>29.66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123052</t>
        </is>
      </c>
      <c r="B263" s="52" t="n">
        <v>46027</v>
      </c>
      <c r="C263" s="36" t="inlineStr">
        <is>
          <t>00597015330</t>
        </is>
      </c>
      <c r="D263" s="53" t="inlineStr">
        <is>
          <t xml:space="preserve">JARDIANCE 25MG TAB </t>
        </is>
      </c>
      <c r="E263" s="36" t="n">
        <v>30</v>
      </c>
      <c r="F263" s="54" t="n">
        <v>30</v>
      </c>
      <c r="G263" s="54" t="n">
        <v>1</v>
      </c>
      <c r="H263" s="55" t="n">
        <v>338</v>
      </c>
      <c r="I263" s="55" t="n">
        <v>203.58</v>
      </c>
      <c r="J263" s="55" t="n">
        <v>146.18</v>
      </c>
      <c r="K263" s="55" t="n">
        <v>0</v>
      </c>
      <c r="L263" s="55" t="n">
        <v>349.76</v>
      </c>
      <c r="M263" s="55" t="n">
        <v>11.76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143963</t>
        </is>
      </c>
      <c r="B264" s="52" t="n">
        <v>46072</v>
      </c>
      <c r="C264" s="36" t="inlineStr">
        <is>
          <t>00597015330</t>
        </is>
      </c>
      <c r="D264" s="53" t="inlineStr">
        <is>
          <t xml:space="preserve">JARDIANCE 25MG TAB </t>
        </is>
      </c>
      <c r="E264" s="36" t="n">
        <v>30</v>
      </c>
      <c r="F264" s="54" t="n">
        <v>30</v>
      </c>
      <c r="G264" s="54" t="n">
        <v>1</v>
      </c>
      <c r="H264" s="55" t="n">
        <v>340</v>
      </c>
      <c r="I264" s="55" t="n">
        <v>208.51</v>
      </c>
      <c r="J264" s="55" t="n">
        <v>146.18</v>
      </c>
      <c r="K264" s="55" t="n">
        <v>0</v>
      </c>
      <c r="L264" s="55" t="n">
        <v>354.69</v>
      </c>
      <c r="M264" s="55" t="n">
        <v>14.69</v>
      </c>
      <c r="N264" s="36" t="inlineStr">
        <is>
          <t>015574</t>
        </is>
      </c>
      <c r="O264" s="36" t="inlineStr">
        <is>
          <t>MEDIMP</t>
        </is>
      </c>
      <c r="P264" s="36" t="inlineStr">
        <is>
          <t>ASPROD1</t>
        </is>
      </c>
      <c r="Q264" s="36" t="inlineStr">
        <is>
          <t>VNS01</t>
        </is>
      </c>
    </row>
    <row r="265">
      <c r="A265" s="36" t="inlineStr">
        <is>
          <t>120982</t>
        </is>
      </c>
      <c r="B265" s="52" t="n">
        <v>46072</v>
      </c>
      <c r="C265" s="36" t="inlineStr">
        <is>
          <t>00597015330</t>
        </is>
      </c>
      <c r="D265" s="53" t="inlineStr">
        <is>
          <t xml:space="preserve">JARDIANCE 25MG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598.47</v>
      </c>
      <c r="J265" s="55" t="n">
        <v>438.54</v>
      </c>
      <c r="K265" s="55" t="n">
        <v>12.65</v>
      </c>
      <c r="L265" s="55" t="n">
        <v>1049.66</v>
      </c>
      <c r="M265" s="55" t="n">
        <v>29.66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140549</t>
        </is>
      </c>
      <c r="B266" s="52" t="n">
        <v>46048</v>
      </c>
      <c r="C266" s="36" t="inlineStr">
        <is>
          <t>00597015330</t>
        </is>
      </c>
      <c r="D266" s="53" t="inlineStr">
        <is>
          <t xml:space="preserve">JARDIANCE 25MG TAB </t>
        </is>
      </c>
      <c r="E266" s="36" t="n">
        <v>30</v>
      </c>
      <c r="F266" s="54" t="n">
        <v>90</v>
      </c>
      <c r="G266" s="54" t="n">
        <v>3</v>
      </c>
      <c r="H266" s="55" t="n">
        <v>1014</v>
      </c>
      <c r="I266" s="55" t="n">
        <v>616.15</v>
      </c>
      <c r="J266" s="55" t="n">
        <v>438.54</v>
      </c>
      <c r="K266" s="55" t="n">
        <v>0</v>
      </c>
      <c r="L266" s="55" t="n">
        <v>1054.69</v>
      </c>
      <c r="M266" s="55" t="n">
        <v>40.69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VNS01</t>
        </is>
      </c>
    </row>
    <row r="267">
      <c r="A267" s="36" t="inlineStr">
        <is>
          <t>137894</t>
        </is>
      </c>
      <c r="B267" s="52" t="n">
        <v>46029</v>
      </c>
      <c r="C267" s="36" t="inlineStr">
        <is>
          <t>00597015330</t>
        </is>
      </c>
      <c r="D267" s="53" t="inlineStr">
        <is>
          <t xml:space="preserve">JARDIANCE 25MG TAB </t>
        </is>
      </c>
      <c r="E267" s="36" t="n">
        <v>30</v>
      </c>
      <c r="F267" s="54" t="n">
        <v>90</v>
      </c>
      <c r="G267" s="54" t="n">
        <v>3</v>
      </c>
      <c r="H267" s="55" t="n">
        <v>1014</v>
      </c>
      <c r="I267" s="55" t="n">
        <v>611.25</v>
      </c>
      <c r="J267" s="55" t="n">
        <v>438.54</v>
      </c>
      <c r="K267" s="55" t="n">
        <v>4.9</v>
      </c>
      <c r="L267" s="55" t="n">
        <v>1054.69</v>
      </c>
      <c r="M267" s="55" t="n">
        <v>40.69</v>
      </c>
      <c r="N267" s="36" t="inlineStr">
        <is>
          <t>015574</t>
        </is>
      </c>
      <c r="O267" s="36" t="inlineStr">
        <is>
          <t>MEDIMP</t>
        </is>
      </c>
      <c r="P267" s="36" t="inlineStr">
        <is>
          <t>ASPROD1</t>
        </is>
      </c>
      <c r="Q267" s="36" t="inlineStr">
        <is>
          <t>VNS01</t>
        </is>
      </c>
    </row>
    <row r="268">
      <c r="A268" s="36" t="inlineStr">
        <is>
          <t>132859</t>
        </is>
      </c>
      <c r="B268" s="52" t="n">
        <v>46042</v>
      </c>
      <c r="C268" s="36" t="inlineStr">
        <is>
          <t>00187540008</t>
        </is>
      </c>
      <c r="D268" s="53" t="inlineStr">
        <is>
          <t>JUBLIA 10 % EXTERNAL SOLUTION</t>
        </is>
      </c>
      <c r="E268" s="36" t="n">
        <v>8</v>
      </c>
      <c r="F268" s="54" t="n">
        <v>8</v>
      </c>
      <c r="G268" s="54" t="n">
        <v>1</v>
      </c>
      <c r="H268" s="55" t="n">
        <v>1590</v>
      </c>
      <c r="I268" s="55" t="n">
        <v>1639.07</v>
      </c>
      <c r="J268" s="55" t="n">
        <v>0</v>
      </c>
      <c r="K268" s="55" t="n">
        <v>0</v>
      </c>
      <c r="L268" s="55" t="n">
        <v>1639.07</v>
      </c>
      <c r="M268" s="55" t="n">
        <v>49.07</v>
      </c>
      <c r="N268" s="36" t="inlineStr">
        <is>
          <t>610097</t>
        </is>
      </c>
      <c r="O268" s="36" t="inlineStr">
        <is>
          <t>OPTUM</t>
        </is>
      </c>
      <c r="P268" s="36" t="inlineStr">
        <is>
          <t>9999</t>
        </is>
      </c>
      <c r="Q268" s="36" t="inlineStr">
        <is>
          <t>MPDCSP</t>
        </is>
      </c>
    </row>
    <row r="269">
      <c r="A269" s="36" t="inlineStr">
        <is>
          <t>143605</t>
        </is>
      </c>
      <c r="B269" s="52" t="n">
        <v>46070</v>
      </c>
      <c r="C269" s="36" t="inlineStr">
        <is>
          <t>00187540008</t>
        </is>
      </c>
      <c r="D269" s="53" t="inlineStr">
        <is>
          <t>JUBLIA 10 % EXTERNAL SOLUTION</t>
        </is>
      </c>
      <c r="E269" s="36" t="n">
        <v>8</v>
      </c>
      <c r="F269" s="54" t="n">
        <v>8</v>
      </c>
      <c r="G269" s="54" t="n">
        <v>1</v>
      </c>
      <c r="H269" s="55" t="n">
        <v>1590</v>
      </c>
      <c r="I269" s="55" t="n">
        <v>1639.07</v>
      </c>
      <c r="J269" s="55" t="n">
        <v>0</v>
      </c>
      <c r="K269" s="55" t="n">
        <v>0</v>
      </c>
      <c r="L269" s="55" t="n">
        <v>1639.07</v>
      </c>
      <c r="M269" s="55" t="n">
        <v>49.07</v>
      </c>
      <c r="N269" s="36" t="inlineStr">
        <is>
          <t>610097</t>
        </is>
      </c>
      <c r="O269" s="36" t="inlineStr">
        <is>
          <t>OPTUM</t>
        </is>
      </c>
      <c r="P269" s="36" t="inlineStr">
        <is>
          <t>9999</t>
        </is>
      </c>
      <c r="Q269" s="36" t="inlineStr">
        <is>
          <t>MPDCSP</t>
        </is>
      </c>
    </row>
    <row r="270">
      <c r="A270" s="36" t="inlineStr">
        <is>
          <t>129944</t>
        </is>
      </c>
      <c r="B270" s="52" t="n">
        <v>45999</v>
      </c>
      <c r="C270" s="36" t="inlineStr">
        <is>
          <t>49702024213</t>
        </is>
      </c>
      <c r="D270" s="53" t="inlineStr">
        <is>
          <t>JULUCA 50-25MG TABLET</t>
        </is>
      </c>
      <c r="E270" s="36" t="n">
        <v>30</v>
      </c>
      <c r="F270" s="54" t="n">
        <v>30</v>
      </c>
      <c r="G270" s="54" t="n">
        <v>1</v>
      </c>
      <c r="H270" s="55" t="n">
        <v>3561</v>
      </c>
      <c r="I270" s="55" t="n">
        <v>3558.77</v>
      </c>
      <c r="J270" s="55" t="n">
        <v>0</v>
      </c>
      <c r="K270" s="55" t="n">
        <v>3</v>
      </c>
      <c r="L270" s="55" t="n">
        <v>3561.77</v>
      </c>
      <c r="M270" s="55" t="n">
        <v>0.77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143750</t>
        </is>
      </c>
      <c r="B271" s="52" t="n">
        <v>46071</v>
      </c>
      <c r="C271" s="36" t="inlineStr">
        <is>
          <t>49702024213</t>
        </is>
      </c>
      <c r="D271" s="53" t="inlineStr">
        <is>
          <t>JULUCA 50-25MG TABLET</t>
        </is>
      </c>
      <c r="E271" s="36" t="n">
        <v>30</v>
      </c>
      <c r="F271" s="54" t="n">
        <v>30</v>
      </c>
      <c r="G271" s="54" t="n">
        <v>1</v>
      </c>
      <c r="H271" s="55" t="n">
        <v>3561</v>
      </c>
      <c r="I271" s="55" t="n">
        <v>3597.65</v>
      </c>
      <c r="J271" s="55" t="n">
        <v>0</v>
      </c>
      <c r="K271" s="55" t="n">
        <v>4.9</v>
      </c>
      <c r="L271" s="55" t="n">
        <v>3602.55</v>
      </c>
      <c r="M271" s="55" t="n">
        <v>41.55</v>
      </c>
      <c r="N271" s="36" t="inlineStr">
        <is>
          <t>004336</t>
        </is>
      </c>
      <c r="O271" s="36" t="inlineStr">
        <is>
          <t>CAREMARK</t>
        </is>
      </c>
      <c r="P271" s="36" t="inlineStr">
        <is>
          <t>MEDDADV</t>
        </is>
      </c>
      <c r="Q271" s="36" t="inlineStr">
        <is>
          <t>RX8541</t>
        </is>
      </c>
    </row>
    <row r="272">
      <c r="A272" s="36" t="inlineStr">
        <is>
          <t>129944</t>
        </is>
      </c>
      <c r="B272" s="52" t="n">
        <v>46027</v>
      </c>
      <c r="C272" s="36" t="inlineStr">
        <is>
          <t>49702024213</t>
        </is>
      </c>
      <c r="D272" s="53" t="inlineStr">
        <is>
          <t>JULUCA 50-25MG TABLET</t>
        </is>
      </c>
      <c r="E272" s="36" t="n">
        <v>30</v>
      </c>
      <c r="F272" s="54" t="n">
        <v>30</v>
      </c>
      <c r="G272" s="54" t="n">
        <v>1</v>
      </c>
      <c r="H272" s="55" t="n">
        <v>3561</v>
      </c>
      <c r="I272" s="55" t="n">
        <v>3562.1</v>
      </c>
      <c r="J272" s="55" t="n">
        <v>0</v>
      </c>
      <c r="K272" s="55" t="n">
        <v>0</v>
      </c>
      <c r="L272" s="55" t="n">
        <v>3562.1</v>
      </c>
      <c r="M272" s="55" t="n">
        <v>1.1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141412</t>
        </is>
      </c>
      <c r="B273" s="52" t="n">
        <v>46055</v>
      </c>
      <c r="C273" s="36" t="inlineStr">
        <is>
          <t>49702024213</t>
        </is>
      </c>
      <c r="D273" s="53" t="inlineStr">
        <is>
          <t>JULUCA 50-25MG TABLET</t>
        </is>
      </c>
      <c r="E273" s="36" t="n">
        <v>30</v>
      </c>
      <c r="F273" s="54" t="n">
        <v>30</v>
      </c>
      <c r="G273" s="54" t="n">
        <v>1</v>
      </c>
      <c r="H273" s="55" t="n">
        <v>3561</v>
      </c>
      <c r="I273" s="55" t="n">
        <v>3668.66</v>
      </c>
      <c r="J273" s="55" t="n">
        <v>0</v>
      </c>
      <c r="K273" s="55" t="n">
        <v>0</v>
      </c>
      <c r="L273" s="55" t="n">
        <v>3668.66</v>
      </c>
      <c r="M273" s="55" t="n">
        <v>107.66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125256</t>
        </is>
      </c>
      <c r="B274" s="52" t="n">
        <v>46043</v>
      </c>
      <c r="C274" s="36" t="inlineStr">
        <is>
          <t>49702024213</t>
        </is>
      </c>
      <c r="D274" s="53" t="inlineStr">
        <is>
          <t>JULUCA 50-25MG TABLET</t>
        </is>
      </c>
      <c r="E274" s="36" t="n">
        <v>30</v>
      </c>
      <c r="F274" s="54" t="n">
        <v>30</v>
      </c>
      <c r="G274" s="54" t="n">
        <v>1</v>
      </c>
      <c r="H274" s="55" t="n">
        <v>3561</v>
      </c>
      <c r="I274" s="55" t="n">
        <v>3597.65</v>
      </c>
      <c r="J274" s="55" t="n">
        <v>0</v>
      </c>
      <c r="K274" s="55" t="n">
        <v>4.9</v>
      </c>
      <c r="L274" s="55" t="n">
        <v>3602.55</v>
      </c>
      <c r="M274" s="55" t="n">
        <v>41.55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RX8541</t>
        </is>
      </c>
    </row>
    <row r="275">
      <c r="A275" s="36" t="inlineStr">
        <is>
          <t>133949</t>
        </is>
      </c>
      <c r="B275" s="52" t="n">
        <v>46006</v>
      </c>
      <c r="C275" s="36" t="inlineStr">
        <is>
          <t>50419054001</t>
        </is>
      </c>
      <c r="D275" s="53" t="inlineStr">
        <is>
          <t>KERENDIA 10 MG TABLET</t>
        </is>
      </c>
      <c r="E275" s="36" t="n">
        <v>30</v>
      </c>
      <c r="F275" s="54" t="n">
        <v>90</v>
      </c>
      <c r="G275" s="54" t="n">
        <v>3</v>
      </c>
      <c r="H275" s="55" t="n">
        <v>1983</v>
      </c>
      <c r="I275" s="55" t="n">
        <v>1982.74</v>
      </c>
      <c r="J275" s="55" t="n">
        <v>0</v>
      </c>
      <c r="K275" s="55" t="n">
        <v>3</v>
      </c>
      <c r="L275" s="55" t="n">
        <v>1985.74</v>
      </c>
      <c r="M275" s="55" t="n">
        <v>2.74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123991</t>
        </is>
      </c>
      <c r="B276" s="52" t="n">
        <v>46009</v>
      </c>
      <c r="C276" s="36" t="inlineStr">
        <is>
          <t>50419054101</t>
        </is>
      </c>
      <c r="D276" s="53" t="inlineStr">
        <is>
          <t>KERENDIA 20MG TABLET</t>
        </is>
      </c>
      <c r="E276" s="36" t="n">
        <v>30</v>
      </c>
      <c r="F276" s="54" t="n">
        <v>90</v>
      </c>
      <c r="G276" s="54" t="n">
        <v>3</v>
      </c>
      <c r="H276" s="55" t="n">
        <v>1983</v>
      </c>
      <c r="I276" s="55" t="n">
        <v>1984.63</v>
      </c>
      <c r="J276" s="55" t="n">
        <v>0</v>
      </c>
      <c r="K276" s="55" t="n">
        <v>0</v>
      </c>
      <c r="L276" s="55" t="n">
        <v>1984.63</v>
      </c>
      <c r="M276" s="55" t="n">
        <v>1.63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142327</t>
        </is>
      </c>
      <c r="B277" s="52" t="n">
        <v>46062</v>
      </c>
      <c r="C277" s="36" t="inlineStr">
        <is>
          <t>59467067901</t>
        </is>
      </c>
      <c r="D277" s="53" t="inlineStr">
        <is>
          <t>KLOXXADO 8 MG/0.1ML NASAL LIQUID</t>
        </is>
      </c>
      <c r="E277" s="36" t="n">
        <v>2</v>
      </c>
      <c r="F277" s="54" t="n">
        <v>2</v>
      </c>
      <c r="G277" s="54" t="n">
        <v>1</v>
      </c>
      <c r="H277" s="55" t="n">
        <v>122</v>
      </c>
      <c r="I277" s="55" t="n">
        <v>126.93</v>
      </c>
      <c r="J277" s="55" t="n">
        <v>0</v>
      </c>
      <c r="K277" s="55" t="n">
        <v>3</v>
      </c>
      <c r="L277" s="55" t="n">
        <v>129.93</v>
      </c>
      <c r="M277" s="55" t="n">
        <v>7.93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139926</t>
        </is>
      </c>
      <c r="B278" s="52" t="n">
        <v>46043</v>
      </c>
      <c r="C278" s="36" t="inlineStr">
        <is>
          <t>59467067901</t>
        </is>
      </c>
      <c r="D278" s="53" t="inlineStr">
        <is>
          <t>KLOXXADO 8 MG/0.1ML NASAL LIQUID</t>
        </is>
      </c>
      <c r="E278" s="36" t="n">
        <v>2</v>
      </c>
      <c r="F278" s="54" t="n">
        <v>2</v>
      </c>
      <c r="G278" s="54" t="n">
        <v>1</v>
      </c>
      <c r="H278" s="55" t="n">
        <v>121</v>
      </c>
      <c r="I278" s="55" t="n">
        <v>129.92</v>
      </c>
      <c r="J278" s="55" t="n">
        <v>0</v>
      </c>
      <c r="K278" s="55" t="n">
        <v>0</v>
      </c>
      <c r="L278" s="55" t="n">
        <v>129.92</v>
      </c>
      <c r="M278" s="55" t="n">
        <v>8.92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142123</t>
        </is>
      </c>
      <c r="B279" s="52" t="n">
        <v>46059</v>
      </c>
      <c r="C279" s="36" t="inlineStr">
        <is>
          <t>59467067901</t>
        </is>
      </c>
      <c r="D279" s="53" t="inlineStr">
        <is>
          <t>KLOXXADO 8 MG/0.1ML NASAL LIQUID</t>
        </is>
      </c>
      <c r="E279" s="36" t="n">
        <v>2</v>
      </c>
      <c r="F279" s="54" t="n">
        <v>2</v>
      </c>
      <c r="G279" s="54" t="n">
        <v>1</v>
      </c>
      <c r="H279" s="55" t="n">
        <v>122</v>
      </c>
      <c r="I279" s="55" t="n">
        <v>129.93</v>
      </c>
      <c r="J279" s="55" t="n">
        <v>0</v>
      </c>
      <c r="K279" s="55" t="n">
        <v>0</v>
      </c>
      <c r="L279" s="55" t="n">
        <v>129.93</v>
      </c>
      <c r="M279" s="55" t="n">
        <v>7.93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141541</t>
        </is>
      </c>
      <c r="B280" s="52" t="n">
        <v>46055</v>
      </c>
      <c r="C280" s="36" t="inlineStr">
        <is>
          <t>59467067901</t>
        </is>
      </c>
      <c r="D280" s="53" t="inlineStr">
        <is>
          <t>KLOXXADO 8 MG/0.1ML NASAL LIQUID</t>
        </is>
      </c>
      <c r="E280" s="36" t="n">
        <v>2</v>
      </c>
      <c r="F280" s="54" t="n">
        <v>2</v>
      </c>
      <c r="G280" s="54" t="n">
        <v>1</v>
      </c>
      <c r="H280" s="55" t="n">
        <v>122</v>
      </c>
      <c r="I280" s="55" t="n">
        <v>126</v>
      </c>
      <c r="J280" s="55" t="n">
        <v>0</v>
      </c>
      <c r="K280" s="55" t="n">
        <v>0</v>
      </c>
      <c r="L280" s="55" t="n">
        <v>126</v>
      </c>
      <c r="M280" s="55" t="n">
        <v>4</v>
      </c>
      <c r="N280" s="36" t="inlineStr">
        <is>
          <t>610097</t>
        </is>
      </c>
      <c r="O280" s="36" t="inlineStr">
        <is>
          <t>OPTUM</t>
        </is>
      </c>
      <c r="P280" s="36" t="inlineStr">
        <is>
          <t>9999</t>
        </is>
      </c>
      <c r="Q280" s="36" t="inlineStr">
        <is>
          <t>MPDCSP</t>
        </is>
      </c>
    </row>
    <row r="281">
      <c r="A281" s="36" t="inlineStr">
        <is>
          <t>139604</t>
        </is>
      </c>
      <c r="B281" s="52" t="n">
        <v>46041</v>
      </c>
      <c r="C281" s="36" t="inlineStr">
        <is>
          <t>59467067901</t>
        </is>
      </c>
      <c r="D281" s="53" t="inlineStr">
        <is>
          <t>KLOXXADO 8 MG/0.1ML NASAL LIQUID</t>
        </is>
      </c>
      <c r="E281" s="36" t="n">
        <v>2</v>
      </c>
      <c r="F281" s="54" t="n">
        <v>2</v>
      </c>
      <c r="G281" s="54" t="n">
        <v>1</v>
      </c>
      <c r="H281" s="55" t="n">
        <v>121</v>
      </c>
      <c r="I281" s="55" t="n">
        <v>129.92</v>
      </c>
      <c r="J281" s="55" t="n">
        <v>0</v>
      </c>
      <c r="K281" s="55" t="n">
        <v>0</v>
      </c>
      <c r="L281" s="55" t="n">
        <v>129.92</v>
      </c>
      <c r="M281" s="55" t="n">
        <v>8.92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140471</t>
        </is>
      </c>
      <c r="B282" s="52" t="n">
        <v>46048</v>
      </c>
      <c r="C282" s="36" t="inlineStr">
        <is>
          <t>59467067901</t>
        </is>
      </c>
      <c r="D282" s="53" t="inlineStr">
        <is>
          <t>KLOXXADO 8 MG/0.1ML NASAL LIQUID</t>
        </is>
      </c>
      <c r="E282" s="36" t="n">
        <v>2</v>
      </c>
      <c r="F282" s="54" t="n">
        <v>2</v>
      </c>
      <c r="G282" s="54" t="n">
        <v>1</v>
      </c>
      <c r="H282" s="55" t="n">
        <v>121</v>
      </c>
      <c r="I282" s="55" t="n">
        <v>129.92</v>
      </c>
      <c r="J282" s="55" t="n">
        <v>0</v>
      </c>
      <c r="K282" s="55" t="n">
        <v>0</v>
      </c>
      <c r="L282" s="55" t="n">
        <v>129.92</v>
      </c>
      <c r="M282" s="55" t="n">
        <v>8.92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142316</t>
        </is>
      </c>
      <c r="B283" s="52" t="n">
        <v>46062</v>
      </c>
      <c r="C283" s="36" t="inlineStr">
        <is>
          <t>59467067901</t>
        </is>
      </c>
      <c r="D283" s="53" t="inlineStr">
        <is>
          <t>KLOXXADO 8 MG/0.1ML NASAL LIQUID</t>
        </is>
      </c>
      <c r="E283" s="36" t="n">
        <v>2</v>
      </c>
      <c r="F283" s="54" t="n">
        <v>2</v>
      </c>
      <c r="G283" s="54" t="n">
        <v>1</v>
      </c>
      <c r="H283" s="55" t="n">
        <v>122</v>
      </c>
      <c r="I283" s="55" t="n">
        <v>129.93</v>
      </c>
      <c r="J283" s="55" t="n">
        <v>0</v>
      </c>
      <c r="K283" s="55" t="n">
        <v>0</v>
      </c>
      <c r="L283" s="55" t="n">
        <v>129.93</v>
      </c>
      <c r="M283" s="55" t="n">
        <v>7.93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134729</t>
        </is>
      </c>
      <c r="B284" s="52" t="n">
        <v>46002</v>
      </c>
      <c r="C284" s="36" t="inlineStr">
        <is>
          <t>00088221905</t>
        </is>
      </c>
      <c r="D284" s="53" t="inlineStr">
        <is>
          <t>LANTUS SOLOSTAR 100UNIT/ML INJECTION</t>
        </is>
      </c>
      <c r="E284" s="36" t="n">
        <v>15</v>
      </c>
      <c r="F284" s="54" t="n">
        <v>6</v>
      </c>
      <c r="G284" s="54" t="n">
        <v>0.4</v>
      </c>
      <c r="H284" s="55" t="n">
        <v>37.2</v>
      </c>
      <c r="I284" s="55" t="n">
        <v>40.99</v>
      </c>
      <c r="J284" s="55" t="n">
        <v>0</v>
      </c>
      <c r="K284" s="55" t="n">
        <v>1</v>
      </c>
      <c r="L284" s="55" t="n">
        <v>41.99</v>
      </c>
      <c r="M284" s="55" t="n">
        <v>4.79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138040</t>
        </is>
      </c>
      <c r="B285" s="52" t="n">
        <v>46069</v>
      </c>
      <c r="C285" s="36" t="inlineStr">
        <is>
          <t>00088221905</t>
        </is>
      </c>
      <c r="D285" s="53" t="inlineStr">
        <is>
          <t>LANTUS SOLOSTAR 100UNIT/ML INJECTION</t>
        </is>
      </c>
      <c r="E285" s="36" t="n">
        <v>15</v>
      </c>
      <c r="F285" s="54" t="n">
        <v>6</v>
      </c>
      <c r="G285" s="54" t="n">
        <v>0.4</v>
      </c>
      <c r="H285" s="55" t="n">
        <v>37.6</v>
      </c>
      <c r="I285" s="55" t="n">
        <v>47.18</v>
      </c>
      <c r="J285" s="55" t="n">
        <v>0</v>
      </c>
      <c r="K285" s="55" t="n">
        <v>0</v>
      </c>
      <c r="L285" s="55" t="n">
        <v>47.18</v>
      </c>
      <c r="M285" s="55" t="n">
        <v>9.58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138040</t>
        </is>
      </c>
      <c r="B286" s="52" t="n">
        <v>46029</v>
      </c>
      <c r="C286" s="36" t="inlineStr">
        <is>
          <t>00088221905</t>
        </is>
      </c>
      <c r="D286" s="53" t="inlineStr">
        <is>
          <t>LANTUS SOLOSTAR 100UNIT/ML INJECTION</t>
        </is>
      </c>
      <c r="E286" s="36" t="n">
        <v>15</v>
      </c>
      <c r="F286" s="54" t="n">
        <v>6</v>
      </c>
      <c r="G286" s="54" t="n">
        <v>0.4</v>
      </c>
      <c r="H286" s="55" t="n">
        <v>37.2</v>
      </c>
      <c r="I286" s="55" t="n">
        <v>47.18</v>
      </c>
      <c r="J286" s="55" t="n">
        <v>0</v>
      </c>
      <c r="K286" s="55" t="n">
        <v>0</v>
      </c>
      <c r="L286" s="55" t="n">
        <v>47.18</v>
      </c>
      <c r="M286" s="55" t="n">
        <v>9.98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138730</t>
        </is>
      </c>
      <c r="B287" s="52" t="n">
        <v>46034</v>
      </c>
      <c r="C287" s="36" t="inlineStr">
        <is>
          <t>00088221905</t>
        </is>
      </c>
      <c r="D287" s="53" t="inlineStr">
        <is>
          <t>LANTUS SOLOSTAR 100UNIT/ML INJECTION</t>
        </is>
      </c>
      <c r="E287" s="36" t="n">
        <v>15</v>
      </c>
      <c r="F287" s="54" t="n">
        <v>63</v>
      </c>
      <c r="G287" s="54" t="n">
        <v>4.2</v>
      </c>
      <c r="H287" s="55" t="n">
        <v>390.6</v>
      </c>
      <c r="I287" s="55" t="n">
        <v>398.64</v>
      </c>
      <c r="J287" s="55" t="n">
        <v>0</v>
      </c>
      <c r="K287" s="55" t="n">
        <v>0</v>
      </c>
      <c r="L287" s="55" t="n">
        <v>398.64</v>
      </c>
      <c r="M287" s="55" t="n">
        <v>8.039999999999999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136880</t>
        </is>
      </c>
      <c r="B288" s="52" t="n">
        <v>46020</v>
      </c>
      <c r="C288" s="36" t="inlineStr">
        <is>
          <t>00088221905</t>
        </is>
      </c>
      <c r="D288" s="53" t="inlineStr">
        <is>
          <t>LANTUS SOLOSTAR 100UNIT/ML INJECTION</t>
        </is>
      </c>
      <c r="E288" s="36" t="n">
        <v>15</v>
      </c>
      <c r="F288" s="54" t="n">
        <v>9</v>
      </c>
      <c r="G288" s="54" t="n">
        <v>0.6</v>
      </c>
      <c r="H288" s="55" t="n">
        <v>55.8</v>
      </c>
      <c r="I288" s="55" t="n">
        <v>65.67</v>
      </c>
      <c r="J288" s="55" t="n">
        <v>0</v>
      </c>
      <c r="K288" s="55" t="n">
        <v>0</v>
      </c>
      <c r="L288" s="55" t="n">
        <v>65.67</v>
      </c>
      <c r="M288" s="55" t="n">
        <v>9.869999999999999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134729</t>
        </is>
      </c>
      <c r="B289" s="52" t="n">
        <v>46030</v>
      </c>
      <c r="C289" s="36" t="inlineStr">
        <is>
          <t>00088221905</t>
        </is>
      </c>
      <c r="D289" s="53" t="inlineStr">
        <is>
          <t>LANTUS SOLOSTAR 100UNIT/ML INJECTION</t>
        </is>
      </c>
      <c r="E289" s="36" t="n">
        <v>15</v>
      </c>
      <c r="F289" s="54" t="n">
        <v>6</v>
      </c>
      <c r="G289" s="54" t="n">
        <v>0.4</v>
      </c>
      <c r="H289" s="55" t="n">
        <v>37.2</v>
      </c>
      <c r="I289" s="55" t="n">
        <v>46.18</v>
      </c>
      <c r="J289" s="55" t="n">
        <v>0</v>
      </c>
      <c r="K289" s="55" t="n">
        <v>1</v>
      </c>
      <c r="L289" s="55" t="n">
        <v>47.18</v>
      </c>
      <c r="M289" s="55" t="n">
        <v>9.98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130820</t>
        </is>
      </c>
      <c r="B290" s="52" t="n">
        <v>46057</v>
      </c>
      <c r="C290" s="36" t="inlineStr">
        <is>
          <t>00088221905</t>
        </is>
      </c>
      <c r="D290" s="53" t="inlineStr">
        <is>
          <t>LANTUS SOLOSTAR 100UNIT/ML INJECTION</t>
        </is>
      </c>
      <c r="E290" s="36" t="n">
        <v>15</v>
      </c>
      <c r="F290" s="54" t="n">
        <v>21</v>
      </c>
      <c r="G290" s="54" t="n">
        <v>1.4</v>
      </c>
      <c r="H290" s="55" t="n">
        <v>131.6</v>
      </c>
      <c r="I290" s="55" t="n">
        <v>139.68</v>
      </c>
      <c r="J290" s="55" t="n">
        <v>0</v>
      </c>
      <c r="K290" s="55" t="n">
        <v>0</v>
      </c>
      <c r="L290" s="55" t="n">
        <v>139.68</v>
      </c>
      <c r="M290" s="55" t="n">
        <v>8.08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133446</t>
        </is>
      </c>
      <c r="B291" s="52" t="n">
        <v>45994</v>
      </c>
      <c r="C291" s="36" t="inlineStr">
        <is>
          <t>00088221905</t>
        </is>
      </c>
      <c r="D291" s="53" t="inlineStr">
        <is>
          <t>LANTUS SOLOSTAR 100UNIT/ML INJECTION</t>
        </is>
      </c>
      <c r="E291" s="36" t="n">
        <v>15</v>
      </c>
      <c r="F291" s="54" t="n">
        <v>6</v>
      </c>
      <c r="G291" s="54" t="n">
        <v>0.4</v>
      </c>
      <c r="H291" s="55" t="n">
        <v>37.2</v>
      </c>
      <c r="I291" s="55" t="n">
        <v>47.18</v>
      </c>
      <c r="J291" s="55" t="n">
        <v>0</v>
      </c>
      <c r="K291" s="55" t="n">
        <v>0</v>
      </c>
      <c r="L291" s="55" t="n">
        <v>47.18</v>
      </c>
      <c r="M291" s="55" t="n">
        <v>9.98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133446</t>
        </is>
      </c>
      <c r="B292" s="52" t="n">
        <v>46022</v>
      </c>
      <c r="C292" s="36" t="inlineStr">
        <is>
          <t>00088221905</t>
        </is>
      </c>
      <c r="D292" s="53" t="inlineStr">
        <is>
          <t>LANTUS SOLOSTAR 100UNIT/ML INJECTION</t>
        </is>
      </c>
      <c r="E292" s="36" t="n">
        <v>15</v>
      </c>
      <c r="F292" s="54" t="n">
        <v>6</v>
      </c>
      <c r="G292" s="54" t="n">
        <v>0.4</v>
      </c>
      <c r="H292" s="55" t="n">
        <v>37.2</v>
      </c>
      <c r="I292" s="55" t="n">
        <v>47.18</v>
      </c>
      <c r="J292" s="55" t="n">
        <v>0</v>
      </c>
      <c r="K292" s="55" t="n">
        <v>0</v>
      </c>
      <c r="L292" s="55" t="n">
        <v>47.18</v>
      </c>
      <c r="M292" s="55" t="n">
        <v>9.98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139578</t>
        </is>
      </c>
      <c r="B293" s="52" t="n">
        <v>46041</v>
      </c>
      <c r="C293" s="36" t="inlineStr">
        <is>
          <t>00088221905</t>
        </is>
      </c>
      <c r="D293" s="53" t="inlineStr">
        <is>
          <t>LANTUS SOLOSTAR 100UNIT/ML INJECTION</t>
        </is>
      </c>
      <c r="E293" s="36" t="n">
        <v>15</v>
      </c>
      <c r="F293" s="54" t="n">
        <v>45</v>
      </c>
      <c r="G293" s="54" t="n">
        <v>3</v>
      </c>
      <c r="H293" s="55" t="n">
        <v>279</v>
      </c>
      <c r="I293" s="55" t="n">
        <v>287.65</v>
      </c>
      <c r="J293" s="55" t="n">
        <v>0</v>
      </c>
      <c r="K293" s="55" t="n">
        <v>0</v>
      </c>
      <c r="L293" s="55" t="n">
        <v>287.65</v>
      </c>
      <c r="M293" s="55" t="n">
        <v>8.65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130135</t>
        </is>
      </c>
      <c r="B294" s="52" t="n">
        <v>45995</v>
      </c>
      <c r="C294" s="36" t="inlineStr">
        <is>
          <t>00088221905</t>
        </is>
      </c>
      <c r="D294" s="53" t="inlineStr">
        <is>
          <t>LANTUS SOLOSTAR 100UNIT/ML INJECTION</t>
        </is>
      </c>
      <c r="E294" s="36" t="n">
        <v>15</v>
      </c>
      <c r="F294" s="54" t="n">
        <v>9</v>
      </c>
      <c r="G294" s="54" t="n">
        <v>0.6</v>
      </c>
      <c r="H294" s="55" t="n">
        <v>55.8</v>
      </c>
      <c r="I294" s="55" t="n">
        <v>57.89</v>
      </c>
      <c r="J294" s="55" t="n">
        <v>0</v>
      </c>
      <c r="K294" s="55" t="n">
        <v>0</v>
      </c>
      <c r="L294" s="55" t="n">
        <v>57.89</v>
      </c>
      <c r="M294" s="55" t="n">
        <v>2.09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144419</t>
        </is>
      </c>
      <c r="B295" s="52" t="n">
        <v>46076</v>
      </c>
      <c r="C295" s="36" t="inlineStr">
        <is>
          <t>00088221905</t>
        </is>
      </c>
      <c r="D295" s="53" t="inlineStr">
        <is>
          <t>LANTUS SOLOSTAR 100UNIT/ML INJECTION</t>
        </is>
      </c>
      <c r="E295" s="36" t="n">
        <v>15</v>
      </c>
      <c r="F295" s="54" t="n">
        <v>18</v>
      </c>
      <c r="G295" s="54" t="n">
        <v>1.2</v>
      </c>
      <c r="H295" s="55" t="n">
        <v>112.8</v>
      </c>
      <c r="I295" s="55" t="n">
        <v>121.18</v>
      </c>
      <c r="J295" s="55" t="n">
        <v>0</v>
      </c>
      <c r="K295" s="55" t="n">
        <v>0</v>
      </c>
      <c r="L295" s="55" t="n">
        <v>121.18</v>
      </c>
      <c r="M295" s="55" t="n">
        <v>8.380000000000001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133446</t>
        </is>
      </c>
      <c r="B296" s="52" t="n">
        <v>46046</v>
      </c>
      <c r="C296" s="36" t="inlineStr">
        <is>
          <t>00088221905</t>
        </is>
      </c>
      <c r="D296" s="53" t="inlineStr">
        <is>
          <t>LANTUS SOLOSTAR 100UNIT/ML INJECTION</t>
        </is>
      </c>
      <c r="E296" s="36" t="n">
        <v>15</v>
      </c>
      <c r="F296" s="54" t="n">
        <v>6</v>
      </c>
      <c r="G296" s="54" t="n">
        <v>0.4</v>
      </c>
      <c r="H296" s="55" t="n">
        <v>37.2</v>
      </c>
      <c r="I296" s="55" t="n">
        <v>47.18</v>
      </c>
      <c r="J296" s="55" t="n">
        <v>0</v>
      </c>
      <c r="K296" s="55" t="n">
        <v>0</v>
      </c>
      <c r="L296" s="55" t="n">
        <v>47.18</v>
      </c>
      <c r="M296" s="55" t="n">
        <v>9.98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133446</t>
        </is>
      </c>
      <c r="B297" s="52" t="n">
        <v>46074</v>
      </c>
      <c r="C297" s="36" t="inlineStr">
        <is>
          <t>00088221905</t>
        </is>
      </c>
      <c r="D297" s="53" t="inlineStr">
        <is>
          <t>LANTUS SOLOSTAR 100UNIT/ML INJECTION</t>
        </is>
      </c>
      <c r="E297" s="36" t="n">
        <v>15</v>
      </c>
      <c r="F297" s="54" t="n">
        <v>6</v>
      </c>
      <c r="G297" s="54" t="n">
        <v>0.4</v>
      </c>
      <c r="H297" s="55" t="n">
        <v>37.6</v>
      </c>
      <c r="I297" s="55" t="n">
        <v>47.18</v>
      </c>
      <c r="J297" s="55" t="n">
        <v>0</v>
      </c>
      <c r="K297" s="55" t="n">
        <v>0</v>
      </c>
      <c r="L297" s="55" t="n">
        <v>47.18</v>
      </c>
      <c r="M297" s="55" t="n">
        <v>9.58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134729</t>
        </is>
      </c>
      <c r="B298" s="52" t="n">
        <v>46058</v>
      </c>
      <c r="C298" s="36" t="inlineStr">
        <is>
          <t>00088221905</t>
        </is>
      </c>
      <c r="D298" s="53" t="inlineStr">
        <is>
          <t>LANTUS SOLOSTAR 100UNIT/ML INJECTION</t>
        </is>
      </c>
      <c r="E298" s="36" t="n">
        <v>15</v>
      </c>
      <c r="F298" s="54" t="n">
        <v>6</v>
      </c>
      <c r="G298" s="54" t="n">
        <v>0.4</v>
      </c>
      <c r="H298" s="55" t="n">
        <v>37.6</v>
      </c>
      <c r="I298" s="55" t="n">
        <v>46.18</v>
      </c>
      <c r="J298" s="55" t="n">
        <v>0</v>
      </c>
      <c r="K298" s="55" t="n">
        <v>1</v>
      </c>
      <c r="L298" s="55" t="n">
        <v>47.18</v>
      </c>
      <c r="M298" s="55" t="n">
        <v>9.58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130820</t>
        </is>
      </c>
      <c r="B299" s="52" t="n">
        <v>46029</v>
      </c>
      <c r="C299" s="36" t="inlineStr">
        <is>
          <t>00088221905</t>
        </is>
      </c>
      <c r="D299" s="53" t="inlineStr">
        <is>
          <t>LANTUS SOLOSTAR 100UNIT/ML INJECTION</t>
        </is>
      </c>
      <c r="E299" s="36" t="n">
        <v>15</v>
      </c>
      <c r="F299" s="54" t="n">
        <v>21</v>
      </c>
      <c r="G299" s="54" t="n">
        <v>1.4</v>
      </c>
      <c r="H299" s="55" t="n">
        <v>130.2</v>
      </c>
      <c r="I299" s="55" t="n">
        <v>139.67</v>
      </c>
      <c r="J299" s="55" t="n">
        <v>0</v>
      </c>
      <c r="K299" s="55" t="n">
        <v>0</v>
      </c>
      <c r="L299" s="55" t="n">
        <v>139.67</v>
      </c>
      <c r="M299" s="55" t="n">
        <v>9.470000000000001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127429</t>
        </is>
      </c>
      <c r="B300" s="52" t="n">
        <v>46057</v>
      </c>
      <c r="C300" s="36" t="inlineStr">
        <is>
          <t>00456120130</t>
        </is>
      </c>
      <c r="D300" s="53" t="inlineStr">
        <is>
          <t>LINZESS 145MCG CAPSULE</t>
        </is>
      </c>
      <c r="E300" s="36" t="n">
        <v>30</v>
      </c>
      <c r="F300" s="54" t="n">
        <v>30</v>
      </c>
      <c r="G300" s="54" t="n">
        <v>1</v>
      </c>
      <c r="H300" s="55" t="n">
        <v>275</v>
      </c>
      <c r="I300" s="55" t="n">
        <v>272.77</v>
      </c>
      <c r="J300" s="55" t="n">
        <v>0</v>
      </c>
      <c r="K300" s="55" t="n">
        <v>4.9</v>
      </c>
      <c r="L300" s="55" t="n">
        <v>277.67</v>
      </c>
      <c r="M300" s="55" t="n">
        <v>2.67</v>
      </c>
      <c r="N300" s="36" t="inlineStr">
        <is>
          <t>610502</t>
        </is>
      </c>
      <c r="O300" s="36" t="inlineStr">
        <is>
          <t>CAREMARK</t>
        </is>
      </c>
      <c r="P300" s="36" t="inlineStr">
        <is>
          <t>MEDDAET</t>
        </is>
      </c>
      <c r="Q300" s="36" t="inlineStr">
        <is>
          <t>RXAETD</t>
        </is>
      </c>
    </row>
    <row r="301">
      <c r="A301" s="36" t="inlineStr">
        <is>
          <t>141421</t>
        </is>
      </c>
      <c r="B301" s="52" t="n">
        <v>46055</v>
      </c>
      <c r="C301" s="36" t="inlineStr">
        <is>
          <t>00456120130</t>
        </is>
      </c>
      <c r="D301" s="53" t="inlineStr">
        <is>
          <t>LINZESS 145MCG CAPSULE</t>
        </is>
      </c>
      <c r="E301" s="36" t="n">
        <v>30</v>
      </c>
      <c r="F301" s="54" t="n">
        <v>30</v>
      </c>
      <c r="G301" s="54" t="n">
        <v>1</v>
      </c>
      <c r="H301" s="55" t="n">
        <v>275</v>
      </c>
      <c r="I301" s="55" t="n">
        <v>281.02</v>
      </c>
      <c r="J301" s="55" t="n">
        <v>0</v>
      </c>
      <c r="K301" s="55" t="n">
        <v>0</v>
      </c>
      <c r="L301" s="55" t="n">
        <v>281.02</v>
      </c>
      <c r="M301" s="55" t="n">
        <v>6.02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97946</t>
        </is>
      </c>
      <c r="B302" s="52" t="n">
        <v>46066</v>
      </c>
      <c r="C302" s="36" t="inlineStr">
        <is>
          <t>00456120130</t>
        </is>
      </c>
      <c r="D302" s="53" t="inlineStr">
        <is>
          <t>LINZESS 145MCG CAPSULE</t>
        </is>
      </c>
      <c r="E302" s="36" t="n">
        <v>30</v>
      </c>
      <c r="F302" s="54" t="n">
        <v>30</v>
      </c>
      <c r="G302" s="54" t="n">
        <v>1</v>
      </c>
      <c r="H302" s="55" t="n">
        <v>275</v>
      </c>
      <c r="I302" s="55" t="n">
        <v>278.9</v>
      </c>
      <c r="J302" s="55" t="n">
        <v>0</v>
      </c>
      <c r="K302" s="55" t="n">
        <v>4.9</v>
      </c>
      <c r="L302" s="55" t="n">
        <v>283.8</v>
      </c>
      <c r="M302" s="55" t="n">
        <v>8.800000000000001</v>
      </c>
      <c r="N302" s="36" t="inlineStr">
        <is>
          <t>610097</t>
        </is>
      </c>
      <c r="O302" s="36" t="inlineStr">
        <is>
          <t>OPTUM</t>
        </is>
      </c>
      <c r="P302" s="36" t="inlineStr">
        <is>
          <t>9999</t>
        </is>
      </c>
      <c r="Q302" s="36" t="inlineStr">
        <is>
          <t>MPDCSP</t>
        </is>
      </c>
    </row>
    <row r="303">
      <c r="A303" s="36" t="inlineStr">
        <is>
          <t>97946</t>
        </is>
      </c>
      <c r="B303" s="52" t="n">
        <v>45992</v>
      </c>
      <c r="C303" s="36" t="inlineStr">
        <is>
          <t>00456120130</t>
        </is>
      </c>
      <c r="D303" s="53" t="inlineStr">
        <is>
          <t>LINZESS 145MCG CAPSULE</t>
        </is>
      </c>
      <c r="E303" s="36" t="n">
        <v>30</v>
      </c>
      <c r="F303" s="54" t="n">
        <v>30</v>
      </c>
      <c r="G303" s="54" t="n">
        <v>1</v>
      </c>
      <c r="H303" s="55" t="n">
        <v>547</v>
      </c>
      <c r="I303" s="55" t="n">
        <v>570.1900000000001</v>
      </c>
      <c r="J303" s="55" t="n">
        <v>0</v>
      </c>
      <c r="K303" s="55" t="n">
        <v>0</v>
      </c>
      <c r="L303" s="55" t="n">
        <v>570.1900000000001</v>
      </c>
      <c r="M303" s="55" t="n">
        <v>23.19</v>
      </c>
      <c r="N303" s="36" t="inlineStr">
        <is>
          <t>610097</t>
        </is>
      </c>
      <c r="O303" s="36" t="inlineStr">
        <is>
          <t>OPTUM</t>
        </is>
      </c>
      <c r="P303" s="36" t="inlineStr">
        <is>
          <t>9999</t>
        </is>
      </c>
      <c r="Q303" s="36" t="inlineStr">
        <is>
          <t>MPDCSP</t>
        </is>
      </c>
    </row>
    <row r="304">
      <c r="A304" s="36" t="inlineStr">
        <is>
          <t>144684</t>
        </is>
      </c>
      <c r="B304" s="52" t="n">
        <v>46077</v>
      </c>
      <c r="C304" s="36" t="inlineStr">
        <is>
          <t>00456120130</t>
        </is>
      </c>
      <c r="D304" s="53" t="inlineStr">
        <is>
          <t>LINZESS 145MCG CAPSULE</t>
        </is>
      </c>
      <c r="E304" s="36" t="n">
        <v>30</v>
      </c>
      <c r="F304" s="54" t="n">
        <v>30</v>
      </c>
      <c r="G304" s="54" t="n">
        <v>1</v>
      </c>
      <c r="H304" s="55" t="n">
        <v>275</v>
      </c>
      <c r="I304" s="55" t="n">
        <v>281.02</v>
      </c>
      <c r="J304" s="55" t="n">
        <v>0</v>
      </c>
      <c r="K304" s="55" t="n">
        <v>0</v>
      </c>
      <c r="L304" s="55" t="n">
        <v>281.02</v>
      </c>
      <c r="M304" s="55" t="n">
        <v>6.02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106220</t>
        </is>
      </c>
      <c r="B305" s="52" t="n">
        <v>46002</v>
      </c>
      <c r="C305" s="36" t="inlineStr">
        <is>
          <t>00456120130</t>
        </is>
      </c>
      <c r="D305" s="53" t="inlineStr">
        <is>
          <t>LINZESS 145MCG CAPSULE</t>
        </is>
      </c>
      <c r="E305" s="36" t="n">
        <v>30</v>
      </c>
      <c r="F305" s="54" t="n">
        <v>30</v>
      </c>
      <c r="G305" s="54" t="n">
        <v>1</v>
      </c>
      <c r="H305" s="55" t="n">
        <v>547</v>
      </c>
      <c r="I305" s="55" t="n">
        <v>554.7</v>
      </c>
      <c r="J305" s="55" t="n">
        <v>0</v>
      </c>
      <c r="K305" s="55" t="n">
        <v>0</v>
      </c>
      <c r="L305" s="55" t="n">
        <v>554.7</v>
      </c>
      <c r="M305" s="55" t="n">
        <v>7.7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127429</t>
        </is>
      </c>
      <c r="B306" s="52" t="n">
        <v>46029</v>
      </c>
      <c r="C306" s="36" t="inlineStr">
        <is>
          <t>00456120130</t>
        </is>
      </c>
      <c r="D306" s="53" t="inlineStr">
        <is>
          <t>LINZESS 145MCG CAPSULE</t>
        </is>
      </c>
      <c r="E306" s="36" t="n">
        <v>30</v>
      </c>
      <c r="F306" s="54" t="n">
        <v>30</v>
      </c>
      <c r="G306" s="54" t="n">
        <v>1</v>
      </c>
      <c r="H306" s="55" t="n">
        <v>273</v>
      </c>
      <c r="I306" s="55" t="n">
        <v>272.77</v>
      </c>
      <c r="J306" s="55" t="n">
        <v>0</v>
      </c>
      <c r="K306" s="55" t="n">
        <v>4.9</v>
      </c>
      <c r="L306" s="55" t="n">
        <v>277.67</v>
      </c>
      <c r="M306" s="55" t="n">
        <v>4.67</v>
      </c>
      <c r="N306" s="36" t="inlineStr">
        <is>
          <t>610502</t>
        </is>
      </c>
      <c r="O306" s="36" t="inlineStr">
        <is>
          <t>CAREMARK</t>
        </is>
      </c>
      <c r="P306" s="36" t="inlineStr">
        <is>
          <t>MEDDAET</t>
        </is>
      </c>
      <c r="Q306" s="36" t="inlineStr">
        <is>
          <t>RXAETD</t>
        </is>
      </c>
    </row>
    <row r="307">
      <c r="A307" s="36" t="inlineStr">
        <is>
          <t>97946</t>
        </is>
      </c>
      <c r="B307" s="52" t="n">
        <v>46024</v>
      </c>
      <c r="C307" s="36" t="inlineStr">
        <is>
          <t>00456120130</t>
        </is>
      </c>
      <c r="D307" s="53" t="inlineStr">
        <is>
          <t>LINZESS 145MCG CAPSULE</t>
        </is>
      </c>
      <c r="E307" s="36" t="n">
        <v>30</v>
      </c>
      <c r="F307" s="54" t="n">
        <v>30</v>
      </c>
      <c r="G307" s="54" t="n">
        <v>1</v>
      </c>
      <c r="H307" s="55" t="n">
        <v>273</v>
      </c>
      <c r="I307" s="55" t="n">
        <v>510.82</v>
      </c>
      <c r="J307" s="55" t="n">
        <v>0</v>
      </c>
      <c r="K307" s="55" t="n">
        <v>15</v>
      </c>
      <c r="L307" s="55" t="n">
        <v>525.8200000000001</v>
      </c>
      <c r="M307" s="55" t="n">
        <v>252.82</v>
      </c>
      <c r="N307" s="36" t="inlineStr">
        <is>
          <t>610014</t>
        </is>
      </c>
      <c r="O307" s="36" t="inlineStr">
        <is>
          <t>EXPRESS</t>
        </is>
      </c>
      <c r="P307" s="36" t="n">
        <v/>
      </c>
      <c r="Q307" s="36" t="inlineStr">
        <is>
          <t>1181RX1</t>
        </is>
      </c>
    </row>
    <row r="308">
      <c r="A308" s="36" t="inlineStr">
        <is>
          <t>139792</t>
        </is>
      </c>
      <c r="B308" s="52" t="n">
        <v>46070</v>
      </c>
      <c r="C308" s="36" t="inlineStr">
        <is>
          <t>00456120230</t>
        </is>
      </c>
      <c r="D308" s="53" t="inlineStr">
        <is>
          <t xml:space="preserve">LINZESS 290MCG CAP </t>
        </is>
      </c>
      <c r="E308" s="36" t="n">
        <v>30</v>
      </c>
      <c r="F308" s="54" t="n">
        <v>30</v>
      </c>
      <c r="G308" s="54" t="n">
        <v>1</v>
      </c>
      <c r="H308" s="55" t="n">
        <v>275</v>
      </c>
      <c r="I308" s="55" t="n">
        <v>280.94</v>
      </c>
      <c r="J308" s="55" t="n">
        <v>0</v>
      </c>
      <c r="K308" s="55" t="n">
        <v>0</v>
      </c>
      <c r="L308" s="55" t="n">
        <v>280.94</v>
      </c>
      <c r="M308" s="55" t="n">
        <v>5.94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124412</t>
        </is>
      </c>
      <c r="B309" s="52" t="n">
        <v>46010</v>
      </c>
      <c r="C309" s="36" t="inlineStr">
        <is>
          <t>00456120230</t>
        </is>
      </c>
      <c r="D309" s="53" t="inlineStr">
        <is>
          <t xml:space="preserve">LINZESS 290MCG CAP </t>
        </is>
      </c>
      <c r="E309" s="36" t="n">
        <v>30</v>
      </c>
      <c r="F309" s="54" t="n">
        <v>90</v>
      </c>
      <c r="G309" s="54" t="n">
        <v>3</v>
      </c>
      <c r="H309" s="55" t="n">
        <v>1641</v>
      </c>
      <c r="I309" s="55" t="n">
        <v>1643.27</v>
      </c>
      <c r="J309" s="55" t="n">
        <v>0</v>
      </c>
      <c r="K309" s="55" t="n">
        <v>0</v>
      </c>
      <c r="L309" s="55" t="n">
        <v>1643.27</v>
      </c>
      <c r="M309" s="55" t="n">
        <v>2.27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139792</t>
        </is>
      </c>
      <c r="B310" s="52" t="n">
        <v>46042</v>
      </c>
      <c r="C310" s="36" t="inlineStr">
        <is>
          <t>00456120230</t>
        </is>
      </c>
      <c r="D310" s="53" t="inlineStr">
        <is>
          <t xml:space="preserve">LINZESS 290MCG CAP </t>
        </is>
      </c>
      <c r="E310" s="36" t="n">
        <v>30</v>
      </c>
      <c r="F310" s="54" t="n">
        <v>30</v>
      </c>
      <c r="G310" s="54" t="n">
        <v>1</v>
      </c>
      <c r="H310" s="55" t="n">
        <v>273</v>
      </c>
      <c r="I310" s="55" t="n">
        <v>280.94</v>
      </c>
      <c r="J310" s="55" t="n">
        <v>0</v>
      </c>
      <c r="K310" s="55" t="n">
        <v>0</v>
      </c>
      <c r="L310" s="55" t="n">
        <v>280.94</v>
      </c>
      <c r="M310" s="55" t="n">
        <v>7.94</v>
      </c>
      <c r="N310" s="36" t="inlineStr">
        <is>
          <t>004740</t>
        </is>
      </c>
      <c r="O310" s="36" t="inlineStr">
        <is>
          <t>NYM</t>
        </is>
      </c>
      <c r="P310" s="36" t="inlineStr">
        <is>
          <t>9314DA31</t>
        </is>
      </c>
      <c r="Q310" s="36" t="n">
        <v/>
      </c>
    </row>
    <row r="311">
      <c r="A311" s="36" t="inlineStr">
        <is>
          <t>103851</t>
        </is>
      </c>
      <c r="B311" s="52" t="n">
        <v>46021</v>
      </c>
      <c r="C311" s="36" t="inlineStr">
        <is>
          <t>00456120230</t>
        </is>
      </c>
      <c r="D311" s="53" t="inlineStr">
        <is>
          <t xml:space="preserve">LINZESS 290MCG CAP </t>
        </is>
      </c>
      <c r="E311" s="36" t="n">
        <v>30</v>
      </c>
      <c r="F311" s="54" t="n">
        <v>90</v>
      </c>
      <c r="G311" s="54" t="n">
        <v>3</v>
      </c>
      <c r="H311" s="55" t="n">
        <v>1641</v>
      </c>
      <c r="I311" s="55" t="n">
        <v>1640.4</v>
      </c>
      <c r="J311" s="55" t="n">
        <v>0</v>
      </c>
      <c r="K311" s="55" t="n">
        <v>3</v>
      </c>
      <c r="L311" s="55" t="n">
        <v>1643.4</v>
      </c>
      <c r="M311" s="55" t="n">
        <v>2.4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134713</t>
        </is>
      </c>
      <c r="B312" s="52" t="n">
        <v>46029</v>
      </c>
      <c r="C312" s="36" t="inlineStr">
        <is>
          <t>00456120330</t>
        </is>
      </c>
      <c r="D312" s="53" t="inlineStr">
        <is>
          <t>LINZESS 72 MCG ORAL CAPSULE</t>
        </is>
      </c>
      <c r="E312" s="36" t="n">
        <v>30</v>
      </c>
      <c r="F312" s="54" t="n">
        <v>30</v>
      </c>
      <c r="G312" s="54" t="n">
        <v>1</v>
      </c>
      <c r="H312" s="55" t="n">
        <v>273</v>
      </c>
      <c r="I312" s="55" t="n">
        <v>554.36</v>
      </c>
      <c r="J312" s="55" t="n">
        <v>0</v>
      </c>
      <c r="K312" s="55" t="n">
        <v>0</v>
      </c>
      <c r="L312" s="55" t="n">
        <v>554.36</v>
      </c>
      <c r="M312" s="55" t="n">
        <v>281.36</v>
      </c>
      <c r="N312" s="36" t="inlineStr">
        <is>
          <t>004740</t>
        </is>
      </c>
      <c r="O312" s="36" t="inlineStr">
        <is>
          <t>NYM</t>
        </is>
      </c>
      <c r="P312" s="36" t="inlineStr">
        <is>
          <t>9314DA31</t>
        </is>
      </c>
      <c r="Q312" s="36" t="n">
        <v/>
      </c>
    </row>
    <row r="313">
      <c r="A313" s="36" t="inlineStr">
        <is>
          <t>100108</t>
        </is>
      </c>
      <c r="B313" s="52" t="n">
        <v>46006</v>
      </c>
      <c r="C313" s="36" t="inlineStr">
        <is>
          <t>00456120330</t>
        </is>
      </c>
      <c r="D313" s="53" t="inlineStr">
        <is>
          <t>LINZESS 72 MCG ORAL CAPSULE</t>
        </is>
      </c>
      <c r="E313" s="36" t="n">
        <v>30</v>
      </c>
      <c r="F313" s="54" t="n">
        <v>30</v>
      </c>
      <c r="G313" s="54" t="n">
        <v>1</v>
      </c>
      <c r="H313" s="55" t="n">
        <v>547</v>
      </c>
      <c r="I313" s="55" t="n">
        <v>554.29</v>
      </c>
      <c r="J313" s="55" t="n">
        <v>0</v>
      </c>
      <c r="K313" s="55" t="n">
        <v>0</v>
      </c>
      <c r="L313" s="55" t="n">
        <v>554.29</v>
      </c>
      <c r="M313" s="55" t="n">
        <v>7.29</v>
      </c>
      <c r="N313" s="36" t="inlineStr">
        <is>
          <t>004740</t>
        </is>
      </c>
      <c r="O313" s="36" t="inlineStr">
        <is>
          <t>NYM</t>
        </is>
      </c>
      <c r="P313" s="36" t="inlineStr">
        <is>
          <t>9314DA31</t>
        </is>
      </c>
      <c r="Q313" s="36" t="n">
        <v/>
      </c>
    </row>
    <row r="314">
      <c r="A314" s="36" t="inlineStr">
        <is>
          <t>100108</t>
        </is>
      </c>
      <c r="B314" s="52" t="n">
        <v>46034</v>
      </c>
      <c r="C314" s="36" t="inlineStr">
        <is>
          <t>00456120330</t>
        </is>
      </c>
      <c r="D314" s="53" t="inlineStr">
        <is>
          <t>LINZESS 72 MCG ORAL CAPSULE</t>
        </is>
      </c>
      <c r="E314" s="36" t="n">
        <v>30</v>
      </c>
      <c r="F314" s="54" t="n">
        <v>30</v>
      </c>
      <c r="G314" s="54" t="n">
        <v>1</v>
      </c>
      <c r="H314" s="55" t="n">
        <v>273</v>
      </c>
      <c r="I314" s="55" t="n">
        <v>554.36</v>
      </c>
      <c r="J314" s="55" t="n">
        <v>0</v>
      </c>
      <c r="K314" s="55" t="n">
        <v>0</v>
      </c>
      <c r="L314" s="55" t="n">
        <v>554.36</v>
      </c>
      <c r="M314" s="55" t="n">
        <v>281.36</v>
      </c>
      <c r="N314" s="36" t="inlineStr">
        <is>
          <t>004740</t>
        </is>
      </c>
      <c r="O314" s="36" t="inlineStr">
        <is>
          <t>NYM</t>
        </is>
      </c>
      <c r="P314" s="36" t="inlineStr">
        <is>
          <t>9314DA31</t>
        </is>
      </c>
      <c r="Q314" s="36" t="n">
        <v/>
      </c>
    </row>
    <row r="315">
      <c r="A315" s="36" t="inlineStr">
        <is>
          <t>142304</t>
        </is>
      </c>
      <c r="B315" s="52" t="n">
        <v>46062</v>
      </c>
      <c r="C315" s="36" t="inlineStr">
        <is>
          <t>00456120330</t>
        </is>
      </c>
      <c r="D315" s="53" t="inlineStr">
        <is>
          <t>LINZESS 72 MCG ORAL CAPSULE</t>
        </is>
      </c>
      <c r="E315" s="36" t="n">
        <v>30</v>
      </c>
      <c r="F315" s="54" t="n">
        <v>90</v>
      </c>
      <c r="G315" s="54" t="n">
        <v>3</v>
      </c>
      <c r="H315" s="55" t="n">
        <v>819</v>
      </c>
      <c r="I315" s="55" t="n">
        <v>822.13</v>
      </c>
      <c r="J315" s="55" t="n">
        <v>0</v>
      </c>
      <c r="K315" s="55" t="n">
        <v>0</v>
      </c>
      <c r="L315" s="55" t="n">
        <v>822.13</v>
      </c>
      <c r="M315" s="55" t="n">
        <v>3.13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125767</t>
        </is>
      </c>
      <c r="B316" s="52" t="n">
        <v>46022</v>
      </c>
      <c r="C316" s="36" t="inlineStr">
        <is>
          <t>00456120330</t>
        </is>
      </c>
      <c r="D316" s="53" t="inlineStr">
        <is>
          <t>LINZESS 72 MCG ORAL CAPSULE</t>
        </is>
      </c>
      <c r="E316" s="36" t="n">
        <v>30</v>
      </c>
      <c r="F316" s="54" t="n">
        <v>60</v>
      </c>
      <c r="G316" s="54" t="n">
        <v>2</v>
      </c>
      <c r="H316" s="55" t="n">
        <v>1094</v>
      </c>
      <c r="I316" s="55" t="n">
        <v>1098.54</v>
      </c>
      <c r="J316" s="55" t="n">
        <v>0</v>
      </c>
      <c r="K316" s="55" t="n">
        <v>0</v>
      </c>
      <c r="L316" s="55" t="n">
        <v>1098.54</v>
      </c>
      <c r="M316" s="55" t="n">
        <v>4.54</v>
      </c>
      <c r="N316" s="36" t="inlineStr">
        <is>
          <t>004740</t>
        </is>
      </c>
      <c r="O316" s="36" t="inlineStr">
        <is>
          <t>NYM</t>
        </is>
      </c>
      <c r="P316" s="36" t="inlineStr">
        <is>
          <t>9314DA31</t>
        </is>
      </c>
      <c r="Q316" s="36" t="n">
        <v/>
      </c>
    </row>
    <row r="317">
      <c r="A317" s="36" t="inlineStr">
        <is>
          <t>138478</t>
        </is>
      </c>
      <c r="B317" s="52" t="n">
        <v>46034</v>
      </c>
      <c r="C317" s="36" t="inlineStr">
        <is>
          <t>00456120330</t>
        </is>
      </c>
      <c r="D317" s="53" t="inlineStr">
        <is>
          <t>LINZESS 72 MCG ORAL CAPSULE</t>
        </is>
      </c>
      <c r="E317" s="36" t="n">
        <v>30</v>
      </c>
      <c r="F317" s="54" t="n">
        <v>30</v>
      </c>
      <c r="G317" s="54" t="n">
        <v>1</v>
      </c>
      <c r="H317" s="55" t="n">
        <v>273</v>
      </c>
      <c r="I317" s="55" t="n">
        <v>0</v>
      </c>
      <c r="J317" s="55" t="n">
        <v>0</v>
      </c>
      <c r="K317" s="55" t="n">
        <v>284.45</v>
      </c>
      <c r="L317" s="55" t="n">
        <v>284.45</v>
      </c>
      <c r="M317" s="55" t="n">
        <v>11.45</v>
      </c>
      <c r="N317" s="36" t="inlineStr">
        <is>
          <t>610502</t>
        </is>
      </c>
      <c r="O317" s="36" t="inlineStr">
        <is>
          <t>CAREMARK</t>
        </is>
      </c>
      <c r="P317" s="36" t="inlineStr">
        <is>
          <t>MEDDAET</t>
        </is>
      </c>
      <c r="Q317" s="36" t="inlineStr">
        <is>
          <t>RXAETD</t>
        </is>
      </c>
    </row>
    <row r="318">
      <c r="A318" s="36" t="inlineStr">
        <is>
          <t>134713</t>
        </is>
      </c>
      <c r="B318" s="52" t="n">
        <v>46002</v>
      </c>
      <c r="C318" s="36" t="inlineStr">
        <is>
          <t>00456120330</t>
        </is>
      </c>
      <c r="D318" s="53" t="inlineStr">
        <is>
          <t>LINZESS 72 MCG ORAL CAPSULE</t>
        </is>
      </c>
      <c r="E318" s="36" t="n">
        <v>30</v>
      </c>
      <c r="F318" s="54" t="n">
        <v>30</v>
      </c>
      <c r="G318" s="54" t="n">
        <v>1</v>
      </c>
      <c r="H318" s="55" t="n">
        <v>547</v>
      </c>
      <c r="I318" s="55" t="n">
        <v>554.29</v>
      </c>
      <c r="J318" s="55" t="n">
        <v>0</v>
      </c>
      <c r="K318" s="55" t="n">
        <v>0</v>
      </c>
      <c r="L318" s="55" t="n">
        <v>554.29</v>
      </c>
      <c r="M318" s="55" t="n">
        <v>7.29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n">
        <v/>
      </c>
    </row>
    <row r="319">
      <c r="A319" s="36" t="inlineStr">
        <is>
          <t>125767</t>
        </is>
      </c>
      <c r="B319" s="52" t="n">
        <v>45994</v>
      </c>
      <c r="C319" s="36" t="inlineStr">
        <is>
          <t>00456120330</t>
        </is>
      </c>
      <c r="D319" s="53" t="inlineStr">
        <is>
          <t>LINZESS 72 MCG ORAL CAPSULE</t>
        </is>
      </c>
      <c r="E319" s="36" t="n">
        <v>30</v>
      </c>
      <c r="F319" s="54" t="n">
        <v>60</v>
      </c>
      <c r="G319" s="54" t="n">
        <v>2</v>
      </c>
      <c r="H319" s="55" t="n">
        <v>1094</v>
      </c>
      <c r="I319" s="55" t="n">
        <v>1098.4</v>
      </c>
      <c r="J319" s="55" t="n">
        <v>0</v>
      </c>
      <c r="K319" s="55" t="n">
        <v>0</v>
      </c>
      <c r="L319" s="55" t="n">
        <v>1098.4</v>
      </c>
      <c r="M319" s="55" t="n">
        <v>4.4</v>
      </c>
      <c r="N319" s="36" t="inlineStr">
        <is>
          <t>004740</t>
        </is>
      </c>
      <c r="O319" s="36" t="inlineStr">
        <is>
          <t>NYM</t>
        </is>
      </c>
      <c r="P319" s="36" t="inlineStr">
        <is>
          <t>9314DA31</t>
        </is>
      </c>
      <c r="Q319" s="36" t="n">
        <v/>
      </c>
    </row>
    <row r="320">
      <c r="A320" s="36" t="inlineStr">
        <is>
          <t>134713</t>
        </is>
      </c>
      <c r="B320" s="52" t="n">
        <v>46057</v>
      </c>
      <c r="C320" s="36" t="inlineStr">
        <is>
          <t>00456120330</t>
        </is>
      </c>
      <c r="D320" s="53" t="inlineStr">
        <is>
          <t>LINZESS 72 MCG ORAL CAPSULE</t>
        </is>
      </c>
      <c r="E320" s="36" t="n">
        <v>30</v>
      </c>
      <c r="F320" s="54" t="n">
        <v>30</v>
      </c>
      <c r="G320" s="54" t="n">
        <v>1</v>
      </c>
      <c r="H320" s="55" t="n">
        <v>273</v>
      </c>
      <c r="I320" s="55" t="n">
        <v>280.83</v>
      </c>
      <c r="J320" s="55" t="n">
        <v>0</v>
      </c>
      <c r="K320" s="55" t="n">
        <v>0</v>
      </c>
      <c r="L320" s="55" t="n">
        <v>280.83</v>
      </c>
      <c r="M320" s="55" t="n">
        <v>7.83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137938</t>
        </is>
      </c>
      <c r="B321" s="52" t="n">
        <v>46029</v>
      </c>
      <c r="C321" s="36" t="inlineStr">
        <is>
          <t>00456120330</t>
        </is>
      </c>
      <c r="D321" s="53" t="inlineStr">
        <is>
          <t>LINZESS 72 MCG ORAL CAPSULE</t>
        </is>
      </c>
      <c r="E321" s="36" t="n">
        <v>30</v>
      </c>
      <c r="F321" s="54" t="n">
        <v>30</v>
      </c>
      <c r="G321" s="54" t="n">
        <v>1</v>
      </c>
      <c r="H321" s="55" t="n">
        <v>273</v>
      </c>
      <c r="I321" s="55" t="n">
        <v>551.36</v>
      </c>
      <c r="J321" s="55" t="n">
        <v>0</v>
      </c>
      <c r="K321" s="55" t="n">
        <v>3</v>
      </c>
      <c r="L321" s="55" t="n">
        <v>554.36</v>
      </c>
      <c r="M321" s="55" t="n">
        <v>281.36</v>
      </c>
      <c r="N321" s="36" t="inlineStr">
        <is>
          <t>004740</t>
        </is>
      </c>
      <c r="O321" s="36" t="inlineStr">
        <is>
          <t>NYM</t>
        </is>
      </c>
      <c r="P321" s="36" t="inlineStr">
        <is>
          <t>9314DA31</t>
        </is>
      </c>
      <c r="Q321" s="36" t="n">
        <v/>
      </c>
    </row>
    <row r="322">
      <c r="A322" s="36" t="inlineStr">
        <is>
          <t>136243</t>
        </is>
      </c>
      <c r="B322" s="52" t="n">
        <v>46014</v>
      </c>
      <c r="C322" s="36" t="inlineStr">
        <is>
          <t>00430042014</t>
        </is>
      </c>
      <c r="D322" s="53" t="inlineStr">
        <is>
          <t>LO LOESTRIN FE 1 MG-10 MCG / 10 MCG ORAL TABLET</t>
        </is>
      </c>
      <c r="E322" s="36" t="n">
        <v>140</v>
      </c>
      <c r="F322" s="54" t="n">
        <v>84</v>
      </c>
      <c r="G322" s="54" t="n">
        <v>0.6</v>
      </c>
      <c r="H322" s="55" t="n">
        <v>544.8</v>
      </c>
      <c r="I322" s="55" t="n">
        <v>552.04</v>
      </c>
      <c r="J322" s="55" t="n">
        <v>0</v>
      </c>
      <c r="K322" s="55" t="n">
        <v>0</v>
      </c>
      <c r="L322" s="55" t="n">
        <v>552.04</v>
      </c>
      <c r="M322" s="55" t="n">
        <v>7.24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133929</t>
        </is>
      </c>
      <c r="B323" s="52" t="n">
        <v>46077</v>
      </c>
      <c r="C323" s="36" t="inlineStr">
        <is>
          <t>00430042014</t>
        </is>
      </c>
      <c r="D323" s="53" t="inlineStr">
        <is>
          <t>LO LOESTRIN FE 1 MG-10 MCG / 10 MCG ORAL TABLET</t>
        </is>
      </c>
      <c r="E323" s="36" t="n">
        <v>140</v>
      </c>
      <c r="F323" s="54" t="n">
        <v>84</v>
      </c>
      <c r="G323" s="54" t="n">
        <v>0.6</v>
      </c>
      <c r="H323" s="55" t="n">
        <v>544.8</v>
      </c>
      <c r="I323" s="55" t="n">
        <v>579.13</v>
      </c>
      <c r="J323" s="55" t="n">
        <v>0</v>
      </c>
      <c r="K323" s="55" t="n">
        <v>0</v>
      </c>
      <c r="L323" s="55" t="n">
        <v>579.13</v>
      </c>
      <c r="M323" s="55" t="n">
        <v>34.33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133929</t>
        </is>
      </c>
      <c r="B324" s="52" t="n">
        <v>45996</v>
      </c>
      <c r="C324" s="36" t="inlineStr">
        <is>
          <t>00430042014</t>
        </is>
      </c>
      <c r="D324" s="53" t="inlineStr">
        <is>
          <t>LO LOESTRIN FE 1 MG-10 MCG / 10 MCG ORAL TABLET</t>
        </is>
      </c>
      <c r="E324" s="36" t="n">
        <v>140</v>
      </c>
      <c r="F324" s="54" t="n">
        <v>84</v>
      </c>
      <c r="G324" s="54" t="n">
        <v>0.6</v>
      </c>
      <c r="H324" s="55" t="n">
        <v>544.8</v>
      </c>
      <c r="I324" s="55" t="n">
        <v>551.9299999999999</v>
      </c>
      <c r="J324" s="55" t="n">
        <v>0</v>
      </c>
      <c r="K324" s="55" t="n">
        <v>0</v>
      </c>
      <c r="L324" s="55" t="n">
        <v>551.9299999999999</v>
      </c>
      <c r="M324" s="55" t="n">
        <v>7.13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136731</t>
        </is>
      </c>
      <c r="B325" s="52" t="n">
        <v>46048</v>
      </c>
      <c r="C325" s="36" t="inlineStr">
        <is>
          <t>00310111030</t>
        </is>
      </c>
      <c r="D325" s="53" t="inlineStr">
        <is>
          <t>LOKELMA 10GM PACK</t>
        </is>
      </c>
      <c r="E325" s="36" t="n">
        <v>30</v>
      </c>
      <c r="F325" s="54" t="n">
        <v>30</v>
      </c>
      <c r="G325" s="54" t="n">
        <v>1</v>
      </c>
      <c r="H325" s="55" t="n">
        <v>829</v>
      </c>
      <c r="I325" s="55" t="n">
        <v>839.28</v>
      </c>
      <c r="J325" s="55" t="n">
        <v>0</v>
      </c>
      <c r="K325" s="55" t="n">
        <v>4.9</v>
      </c>
      <c r="L325" s="55" t="n">
        <v>844.1799999999999</v>
      </c>
      <c r="M325" s="55" t="n">
        <v>15.18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133336</t>
        </is>
      </c>
      <c r="B326" s="52" t="n">
        <v>46048</v>
      </c>
      <c r="C326" s="36" t="inlineStr">
        <is>
          <t>00310111030</t>
        </is>
      </c>
      <c r="D326" s="53" t="inlineStr">
        <is>
          <t>LOKELMA 10GM PACK</t>
        </is>
      </c>
      <c r="E326" s="36" t="n">
        <v>30</v>
      </c>
      <c r="F326" s="54" t="n">
        <v>30</v>
      </c>
      <c r="G326" s="54" t="n">
        <v>1</v>
      </c>
      <c r="H326" s="55" t="n">
        <v>829</v>
      </c>
      <c r="I326" s="55" t="n">
        <v>844.1799999999999</v>
      </c>
      <c r="J326" s="55" t="n">
        <v>0</v>
      </c>
      <c r="K326" s="55" t="n">
        <v>0</v>
      </c>
      <c r="L326" s="55" t="n">
        <v>844.1799999999999</v>
      </c>
      <c r="M326" s="55" t="n">
        <v>15.18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134308</t>
        </is>
      </c>
      <c r="B327" s="52" t="n">
        <v>45999</v>
      </c>
      <c r="C327" s="36" t="inlineStr">
        <is>
          <t>00310111030</t>
        </is>
      </c>
      <c r="D327" s="53" t="inlineStr">
        <is>
          <t>LOKELMA 10GM PACK</t>
        </is>
      </c>
      <c r="E327" s="36" t="n">
        <v>30</v>
      </c>
      <c r="F327" s="54" t="n">
        <v>30</v>
      </c>
      <c r="G327" s="54" t="n">
        <v>1</v>
      </c>
      <c r="H327" s="55" t="n">
        <v>829</v>
      </c>
      <c r="I327" s="55" t="n">
        <v>864.52</v>
      </c>
      <c r="J327" s="55" t="n">
        <v>0</v>
      </c>
      <c r="K327" s="55" t="n">
        <v>0</v>
      </c>
      <c r="L327" s="55" t="n">
        <v>864.52</v>
      </c>
      <c r="M327" s="55" t="n">
        <v>35.52</v>
      </c>
      <c r="N327" s="36" t="inlineStr">
        <is>
          <t>610097</t>
        </is>
      </c>
      <c r="O327" s="36" t="inlineStr">
        <is>
          <t>OPTUM</t>
        </is>
      </c>
      <c r="P327" s="36" t="inlineStr">
        <is>
          <t>9999</t>
        </is>
      </c>
      <c r="Q327" s="36" t="inlineStr">
        <is>
          <t>MPDCSP</t>
        </is>
      </c>
    </row>
    <row r="328">
      <c r="A328" s="36" t="inlineStr">
        <is>
          <t>119281</t>
        </is>
      </c>
      <c r="B328" s="52" t="n">
        <v>46028</v>
      </c>
      <c r="C328" s="36" t="inlineStr">
        <is>
          <t>00310111030</t>
        </is>
      </c>
      <c r="D328" s="53" t="inlineStr">
        <is>
          <t>LOKELMA 10GM PACK</t>
        </is>
      </c>
      <c r="E328" s="36" t="n">
        <v>30</v>
      </c>
      <c r="F328" s="54" t="n">
        <v>30</v>
      </c>
      <c r="G328" s="54" t="n">
        <v>1</v>
      </c>
      <c r="H328" s="55" t="n">
        <v>829</v>
      </c>
      <c r="I328" s="55" t="n">
        <v>844.1799999999999</v>
      </c>
      <c r="J328" s="55" t="n">
        <v>0</v>
      </c>
      <c r="K328" s="55" t="n">
        <v>0</v>
      </c>
      <c r="L328" s="55" t="n">
        <v>844.1799999999999</v>
      </c>
      <c r="M328" s="55" t="n">
        <v>15.18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138280</t>
        </is>
      </c>
      <c r="B329" s="52" t="n">
        <v>46031</v>
      </c>
      <c r="C329" s="36" t="inlineStr">
        <is>
          <t>00310111030</t>
        </is>
      </c>
      <c r="D329" s="53" t="inlineStr">
        <is>
          <t>LOKELMA 10GM PACK</t>
        </is>
      </c>
      <c r="E329" s="36" t="n">
        <v>30</v>
      </c>
      <c r="F329" s="54" t="n">
        <v>30</v>
      </c>
      <c r="G329" s="54" t="n">
        <v>1</v>
      </c>
      <c r="H329" s="55" t="n">
        <v>829</v>
      </c>
      <c r="I329" s="55" t="n">
        <v>839.28</v>
      </c>
      <c r="J329" s="55" t="n">
        <v>0</v>
      </c>
      <c r="K329" s="55" t="n">
        <v>4.9</v>
      </c>
      <c r="L329" s="55" t="n">
        <v>844.1799999999999</v>
      </c>
      <c r="M329" s="55" t="n">
        <v>15.18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134308</t>
        </is>
      </c>
      <c r="B330" s="52" t="n">
        <v>46027</v>
      </c>
      <c r="C330" s="36" t="inlineStr">
        <is>
          <t>00310111030</t>
        </is>
      </c>
      <c r="D330" s="53" t="inlineStr">
        <is>
          <t>LOKELMA 10GM PACK</t>
        </is>
      </c>
      <c r="E330" s="36" t="n">
        <v>30</v>
      </c>
      <c r="F330" s="54" t="n">
        <v>30</v>
      </c>
      <c r="G330" s="54" t="n">
        <v>1</v>
      </c>
      <c r="H330" s="55" t="n">
        <v>829</v>
      </c>
      <c r="I330" s="55" t="n">
        <v>889.89</v>
      </c>
      <c r="J330" s="55" t="n">
        <v>0</v>
      </c>
      <c r="K330" s="55" t="n">
        <v>0</v>
      </c>
      <c r="L330" s="55" t="n">
        <v>889.89</v>
      </c>
      <c r="M330" s="55" t="n">
        <v>60.89</v>
      </c>
      <c r="N330" s="36" t="inlineStr">
        <is>
          <t>610097</t>
        </is>
      </c>
      <c r="O330" s="36" t="inlineStr">
        <is>
          <t>OPTUM</t>
        </is>
      </c>
      <c r="P330" s="36" t="inlineStr">
        <is>
          <t>9999</t>
        </is>
      </c>
      <c r="Q330" s="36" t="inlineStr">
        <is>
          <t>MPDCSP</t>
        </is>
      </c>
    </row>
    <row r="331">
      <c r="A331" s="36" t="inlineStr">
        <is>
          <t>139192</t>
        </is>
      </c>
      <c r="B331" s="52" t="n">
        <v>46037</v>
      </c>
      <c r="C331" s="36" t="inlineStr">
        <is>
          <t>00310111030</t>
        </is>
      </c>
      <c r="D331" s="53" t="inlineStr">
        <is>
          <t>LOKELMA 10GM PACK</t>
        </is>
      </c>
      <c r="E331" s="36" t="n">
        <v>30</v>
      </c>
      <c r="F331" s="54" t="n">
        <v>30</v>
      </c>
      <c r="G331" s="54" t="n">
        <v>1</v>
      </c>
      <c r="H331" s="55" t="n">
        <v>829</v>
      </c>
      <c r="I331" s="55" t="n">
        <v>884.99</v>
      </c>
      <c r="J331" s="55" t="n">
        <v>0</v>
      </c>
      <c r="K331" s="55" t="n">
        <v>4.9</v>
      </c>
      <c r="L331" s="55" t="n">
        <v>889.89</v>
      </c>
      <c r="M331" s="55" t="n">
        <v>60.89</v>
      </c>
      <c r="N331" s="36" t="inlineStr">
        <is>
          <t>610097</t>
        </is>
      </c>
      <c r="O331" s="36" t="inlineStr">
        <is>
          <t>OPTUM</t>
        </is>
      </c>
      <c r="P331" s="36" t="inlineStr">
        <is>
          <t>9999</t>
        </is>
      </c>
      <c r="Q331" s="36" t="inlineStr">
        <is>
          <t>MPDCSP</t>
        </is>
      </c>
    </row>
    <row r="332">
      <c r="A332" s="36" t="inlineStr">
        <is>
          <t>144318</t>
        </is>
      </c>
      <c r="B332" s="52" t="n">
        <v>46073</v>
      </c>
      <c r="C332" s="36" t="inlineStr">
        <is>
          <t>00310111030</t>
        </is>
      </c>
      <c r="D332" s="53" t="inlineStr">
        <is>
          <t>LOKELMA 10GM PACK</t>
        </is>
      </c>
      <c r="E332" s="36" t="n">
        <v>30</v>
      </c>
      <c r="F332" s="54" t="n">
        <v>30</v>
      </c>
      <c r="G332" s="54" t="n">
        <v>1</v>
      </c>
      <c r="H332" s="55" t="n">
        <v>863</v>
      </c>
      <c r="I332" s="55" t="n">
        <v>894.1799999999999</v>
      </c>
      <c r="J332" s="55" t="n">
        <v>0</v>
      </c>
      <c r="K332" s="55" t="n">
        <v>0</v>
      </c>
      <c r="L332" s="55" t="n">
        <v>894.1799999999999</v>
      </c>
      <c r="M332" s="55" t="n">
        <v>31.18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RXCVSD</t>
        </is>
      </c>
    </row>
    <row r="333">
      <c r="A333" s="36" t="inlineStr">
        <is>
          <t>137171</t>
        </is>
      </c>
      <c r="B333" s="52" t="n">
        <v>46051</v>
      </c>
      <c r="C333" s="36" t="inlineStr">
        <is>
          <t>00310110530</t>
        </is>
      </c>
      <c r="D333" s="53" t="inlineStr">
        <is>
          <t>LOKELMA 5GM PACK</t>
        </is>
      </c>
      <c r="E333" s="36" t="n">
        <v>30</v>
      </c>
      <c r="F333" s="54" t="n">
        <v>30</v>
      </c>
      <c r="G333" s="54" t="n">
        <v>1</v>
      </c>
      <c r="H333" s="55" t="n">
        <v>829</v>
      </c>
      <c r="I333" s="55" t="n">
        <v>839.28</v>
      </c>
      <c r="J333" s="55" t="n">
        <v>0</v>
      </c>
      <c r="K333" s="55" t="n">
        <v>4.9</v>
      </c>
      <c r="L333" s="55" t="n">
        <v>844.1799999999999</v>
      </c>
      <c r="M333" s="55" t="n">
        <v>15.18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137171</t>
        </is>
      </c>
      <c r="B334" s="52" t="n">
        <v>46024</v>
      </c>
      <c r="C334" s="36" t="inlineStr">
        <is>
          <t>00310110530</t>
        </is>
      </c>
      <c r="D334" s="53" t="inlineStr">
        <is>
          <t>LOKELMA 5GM PACK</t>
        </is>
      </c>
      <c r="E334" s="36" t="n">
        <v>30</v>
      </c>
      <c r="F334" s="54" t="n">
        <v>30</v>
      </c>
      <c r="G334" s="54" t="n">
        <v>1</v>
      </c>
      <c r="H334" s="55" t="n">
        <v>829</v>
      </c>
      <c r="I334" s="55" t="n">
        <v>839.28</v>
      </c>
      <c r="J334" s="55" t="n">
        <v>0</v>
      </c>
      <c r="K334" s="55" t="n">
        <v>4.9</v>
      </c>
      <c r="L334" s="55" t="n">
        <v>844.1799999999999</v>
      </c>
      <c r="M334" s="55" t="n">
        <v>15.18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141083</t>
        </is>
      </c>
      <c r="B335" s="52" t="n">
        <v>46051</v>
      </c>
      <c r="C335" s="36" t="inlineStr">
        <is>
          <t>00310110530</t>
        </is>
      </c>
      <c r="D335" s="53" t="inlineStr">
        <is>
          <t>LOKELMA 5GM PACK</t>
        </is>
      </c>
      <c r="E335" s="36" t="n">
        <v>30</v>
      </c>
      <c r="F335" s="54" t="n">
        <v>90</v>
      </c>
      <c r="G335" s="54" t="n">
        <v>3</v>
      </c>
      <c r="H335" s="55" t="n">
        <v>2487</v>
      </c>
      <c r="I335" s="55" t="n">
        <v>2486.49</v>
      </c>
      <c r="J335" s="55" t="n">
        <v>0</v>
      </c>
      <c r="K335" s="55" t="n">
        <v>4.9</v>
      </c>
      <c r="L335" s="55" t="n">
        <v>2491.39</v>
      </c>
      <c r="M335" s="55" t="n">
        <v>4.39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140630</t>
        </is>
      </c>
      <c r="B336" s="52" t="n">
        <v>46049</v>
      </c>
      <c r="C336" s="36" t="inlineStr">
        <is>
          <t>00310110530</t>
        </is>
      </c>
      <c r="D336" s="53" t="inlineStr">
        <is>
          <t>LOKELMA 5GM PACK</t>
        </is>
      </c>
      <c r="E336" s="36" t="n">
        <v>30</v>
      </c>
      <c r="F336" s="54" t="n">
        <v>30</v>
      </c>
      <c r="G336" s="54" t="n">
        <v>1</v>
      </c>
      <c r="H336" s="55" t="n">
        <v>829</v>
      </c>
      <c r="I336" s="55" t="n">
        <v>839.28</v>
      </c>
      <c r="J336" s="55" t="n">
        <v>0</v>
      </c>
      <c r="K336" s="55" t="n">
        <v>4.9</v>
      </c>
      <c r="L336" s="55" t="n">
        <v>844.1799999999999</v>
      </c>
      <c r="M336" s="55" t="n">
        <v>15.18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109246</t>
        </is>
      </c>
      <c r="B337" s="52" t="n">
        <v>46015</v>
      </c>
      <c r="C337" s="36" t="inlineStr">
        <is>
          <t>00023320508</t>
        </is>
      </c>
      <c r="D337" s="53" t="inlineStr">
        <is>
          <t>LUMIGAN 0.01% SOLUTION</t>
        </is>
      </c>
      <c r="E337" s="36" t="n">
        <v>7.5</v>
      </c>
      <c r="F337" s="54" t="n">
        <v>7.5</v>
      </c>
      <c r="G337" s="54" t="n">
        <v>1</v>
      </c>
      <c r="H337" s="55" t="n">
        <v>762</v>
      </c>
      <c r="I337" s="55" t="n">
        <v>794.3200000000001</v>
      </c>
      <c r="J337" s="55" t="n">
        <v>0</v>
      </c>
      <c r="K337" s="55" t="n">
        <v>0</v>
      </c>
      <c r="L337" s="55" t="n">
        <v>794.3200000000001</v>
      </c>
      <c r="M337" s="55" t="n">
        <v>32.32</v>
      </c>
      <c r="N337" s="36" t="inlineStr">
        <is>
          <t>610097</t>
        </is>
      </c>
      <c r="O337" s="36" t="inlineStr">
        <is>
          <t>OPTUM</t>
        </is>
      </c>
      <c r="P337" s="36" t="inlineStr">
        <is>
          <t>9999</t>
        </is>
      </c>
      <c r="Q337" s="36" t="inlineStr">
        <is>
          <t>MPDCSP</t>
        </is>
      </c>
    </row>
    <row r="338">
      <c r="A338" s="36" t="inlineStr">
        <is>
          <t>114632</t>
        </is>
      </c>
      <c r="B338" s="52" t="n">
        <v>45996</v>
      </c>
      <c r="C338" s="36" t="inlineStr">
        <is>
          <t>00023320508</t>
        </is>
      </c>
      <c r="D338" s="53" t="inlineStr">
        <is>
          <t>LUMIGAN 0.01% SOLUTION</t>
        </is>
      </c>
      <c r="E338" s="36" t="n">
        <v>7.5</v>
      </c>
      <c r="F338" s="54" t="n">
        <v>7.5</v>
      </c>
      <c r="G338" s="54" t="n">
        <v>1</v>
      </c>
      <c r="H338" s="55" t="n">
        <v>762</v>
      </c>
      <c r="I338" s="55" t="n">
        <v>769</v>
      </c>
      <c r="J338" s="55" t="n">
        <v>0</v>
      </c>
      <c r="K338" s="55" t="n">
        <v>0</v>
      </c>
      <c r="L338" s="55" t="n">
        <v>769</v>
      </c>
      <c r="M338" s="55" t="n">
        <v>7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139771</t>
        </is>
      </c>
      <c r="B339" s="52" t="n">
        <v>46042</v>
      </c>
      <c r="C339" s="36" t="inlineStr">
        <is>
          <t>24208037705</t>
        </is>
      </c>
      <c r="D339" s="53" t="inlineStr">
        <is>
          <t>MIEBO 1.338 GM/ML OPHTHALMIC SOLUTION</t>
        </is>
      </c>
      <c r="E339" s="36" t="n">
        <v>3</v>
      </c>
      <c r="F339" s="54" t="n">
        <v>3</v>
      </c>
      <c r="G339" s="54" t="n">
        <v>1</v>
      </c>
      <c r="H339" s="55" t="n">
        <v>772</v>
      </c>
      <c r="I339" s="55" t="n">
        <v>780.79</v>
      </c>
      <c r="J339" s="55" t="n">
        <v>0</v>
      </c>
      <c r="K339" s="55" t="n">
        <v>4.9</v>
      </c>
      <c r="L339" s="55" t="n">
        <v>785.6900000000001</v>
      </c>
      <c r="M339" s="55" t="n">
        <v>13.69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133864</t>
        </is>
      </c>
      <c r="B340" s="52" t="n">
        <v>45995</v>
      </c>
      <c r="C340" s="36" t="inlineStr">
        <is>
          <t>24208037705</t>
        </is>
      </c>
      <c r="D340" s="53" t="inlineStr">
        <is>
          <t>MIEBO 1.338 GM/ML OPHTHALMIC SOLUTION</t>
        </is>
      </c>
      <c r="E340" s="36" t="n">
        <v>3</v>
      </c>
      <c r="F340" s="54" t="n">
        <v>3</v>
      </c>
      <c r="G340" s="54" t="n">
        <v>1</v>
      </c>
      <c r="H340" s="55" t="n">
        <v>772</v>
      </c>
      <c r="I340" s="55" t="n">
        <v>778.55</v>
      </c>
      <c r="J340" s="55" t="n">
        <v>0</v>
      </c>
      <c r="K340" s="55" t="n">
        <v>0</v>
      </c>
      <c r="L340" s="55" t="n">
        <v>778.55</v>
      </c>
      <c r="M340" s="55" t="n">
        <v>6.55</v>
      </c>
      <c r="N340" s="36" t="inlineStr">
        <is>
          <t>004740</t>
        </is>
      </c>
      <c r="O340" s="36" t="inlineStr">
        <is>
          <t>NYM</t>
        </is>
      </c>
      <c r="P340" s="36" t="inlineStr">
        <is>
          <t>9314DA31</t>
        </is>
      </c>
      <c r="Q340" s="36" t="n">
        <v/>
      </c>
    </row>
    <row r="341">
      <c r="A341" s="36" t="inlineStr">
        <is>
          <t>138347</t>
        </is>
      </c>
      <c r="B341" s="52" t="n">
        <v>46031</v>
      </c>
      <c r="C341" s="36" t="inlineStr">
        <is>
          <t>24208037705</t>
        </is>
      </c>
      <c r="D341" s="53" t="inlineStr">
        <is>
          <t>MIEBO 1.338 GM/ML OPHTHALMIC SOLUTION</t>
        </is>
      </c>
      <c r="E341" s="36" t="n">
        <v>3</v>
      </c>
      <c r="F341" s="54" t="n">
        <v>3</v>
      </c>
      <c r="G341" s="54" t="n">
        <v>1</v>
      </c>
      <c r="H341" s="55" t="n">
        <v>772</v>
      </c>
      <c r="I341" s="55" t="n">
        <v>780.79</v>
      </c>
      <c r="J341" s="55" t="n">
        <v>0</v>
      </c>
      <c r="K341" s="55" t="n">
        <v>4.9</v>
      </c>
      <c r="L341" s="55" t="n">
        <v>785.6900000000001</v>
      </c>
      <c r="M341" s="55" t="n">
        <v>13.69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139717</t>
        </is>
      </c>
      <c r="B342" s="52" t="n">
        <v>46041</v>
      </c>
      <c r="C342" s="36" t="inlineStr">
        <is>
          <t>24208037705</t>
        </is>
      </c>
      <c r="D342" s="53" t="inlineStr">
        <is>
          <t>MIEBO 1.338 GM/ML OPHTHALMIC SOLUTION</t>
        </is>
      </c>
      <c r="E342" s="36" t="n">
        <v>3</v>
      </c>
      <c r="F342" s="54" t="n">
        <v>3</v>
      </c>
      <c r="G342" s="54" t="n">
        <v>1</v>
      </c>
      <c r="H342" s="55" t="n">
        <v>772</v>
      </c>
      <c r="I342" s="55" t="n">
        <v>780.79</v>
      </c>
      <c r="J342" s="55" t="n">
        <v>0</v>
      </c>
      <c r="K342" s="55" t="n">
        <v>4.9</v>
      </c>
      <c r="L342" s="55" t="n">
        <v>785.6900000000001</v>
      </c>
      <c r="M342" s="55" t="n">
        <v>13.69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95760</t>
        </is>
      </c>
      <c r="B343" s="52" t="n">
        <v>46029</v>
      </c>
      <c r="C343" s="36" t="inlineStr">
        <is>
          <t>24208037705</t>
        </is>
      </c>
      <c r="D343" s="53" t="inlineStr">
        <is>
          <t>MIEBO 1.338 GM/ML OPHTHALMIC SOLUTION</t>
        </is>
      </c>
      <c r="E343" s="36" t="n">
        <v>3</v>
      </c>
      <c r="F343" s="54" t="n">
        <v>3</v>
      </c>
      <c r="G343" s="54" t="n">
        <v>1</v>
      </c>
      <c r="H343" s="55" t="n">
        <v>772</v>
      </c>
      <c r="I343" s="55" t="n">
        <v>778.51</v>
      </c>
      <c r="J343" s="55" t="n">
        <v>0</v>
      </c>
      <c r="K343" s="55" t="n">
        <v>0</v>
      </c>
      <c r="L343" s="55" t="n">
        <v>778.51</v>
      </c>
      <c r="M343" s="55" t="n">
        <v>6.51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134500</t>
        </is>
      </c>
      <c r="B344" s="52" t="n">
        <v>46028</v>
      </c>
      <c r="C344" s="36" t="inlineStr">
        <is>
          <t>24208037705</t>
        </is>
      </c>
      <c r="D344" s="53" t="inlineStr">
        <is>
          <t>MIEBO 1.338 GM/ML OPHTHALMIC SOLUTION</t>
        </is>
      </c>
      <c r="E344" s="36" t="n">
        <v>3</v>
      </c>
      <c r="F344" s="54" t="n">
        <v>3</v>
      </c>
      <c r="G344" s="54" t="n">
        <v>1</v>
      </c>
      <c r="H344" s="55" t="n">
        <v>772</v>
      </c>
      <c r="I344" s="55" t="n">
        <v>785.6900000000001</v>
      </c>
      <c r="J344" s="55" t="n">
        <v>0</v>
      </c>
      <c r="K344" s="55" t="n">
        <v>0</v>
      </c>
      <c r="L344" s="55" t="n">
        <v>785.6900000000001</v>
      </c>
      <c r="M344" s="55" t="n">
        <v>13.69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127073</t>
        </is>
      </c>
      <c r="B345" s="52" t="n">
        <v>46028</v>
      </c>
      <c r="C345" s="36" t="inlineStr">
        <is>
          <t>24208037705</t>
        </is>
      </c>
      <c r="D345" s="53" t="inlineStr">
        <is>
          <t>MIEBO 1.338 GM/ML OPHTHALMIC SOLUTION</t>
        </is>
      </c>
      <c r="E345" s="36" t="n">
        <v>3</v>
      </c>
      <c r="F345" s="54" t="n">
        <v>3</v>
      </c>
      <c r="G345" s="54" t="n">
        <v>1</v>
      </c>
      <c r="H345" s="55" t="n">
        <v>772</v>
      </c>
      <c r="I345" s="55" t="n">
        <v>780.79</v>
      </c>
      <c r="J345" s="55" t="n">
        <v>0</v>
      </c>
      <c r="K345" s="55" t="n">
        <v>4.9</v>
      </c>
      <c r="L345" s="55" t="n">
        <v>785.6900000000001</v>
      </c>
      <c r="M345" s="55" t="n">
        <v>13.69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133864</t>
        </is>
      </c>
      <c r="B346" s="52" t="n">
        <v>46050</v>
      </c>
      <c r="C346" s="36" t="inlineStr">
        <is>
          <t>24208037705</t>
        </is>
      </c>
      <c r="D346" s="53" t="inlineStr">
        <is>
          <t>MIEBO 1.338 GM/ML OPHTHALMIC SOLUTION</t>
        </is>
      </c>
      <c r="E346" s="36" t="n">
        <v>3</v>
      </c>
      <c r="F346" s="54" t="n">
        <v>3</v>
      </c>
      <c r="G346" s="54" t="n">
        <v>1</v>
      </c>
      <c r="H346" s="55" t="n">
        <v>772</v>
      </c>
      <c r="I346" s="55" t="n">
        <v>801.5700000000001</v>
      </c>
      <c r="J346" s="55" t="n">
        <v>0</v>
      </c>
      <c r="K346" s="55" t="n">
        <v>0</v>
      </c>
      <c r="L346" s="55" t="n">
        <v>801.5700000000001</v>
      </c>
      <c r="M346" s="55" t="n">
        <v>29.57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118265</t>
        </is>
      </c>
      <c r="B347" s="52" t="n">
        <v>46049</v>
      </c>
      <c r="C347" s="36" t="inlineStr">
        <is>
          <t>24208037705</t>
        </is>
      </c>
      <c r="D347" s="53" t="inlineStr">
        <is>
          <t>MIEBO 1.338 GM/ML OPHTHALMIC SOLUTION</t>
        </is>
      </c>
      <c r="E347" s="36" t="n">
        <v>3</v>
      </c>
      <c r="F347" s="54" t="n">
        <v>3</v>
      </c>
      <c r="G347" s="54" t="n">
        <v>1</v>
      </c>
      <c r="H347" s="55" t="n">
        <v>772</v>
      </c>
      <c r="I347" s="55" t="n">
        <v>451.54</v>
      </c>
      <c r="J347" s="55" t="n">
        <v>0</v>
      </c>
      <c r="K347" s="55" t="n">
        <v>334.15</v>
      </c>
      <c r="L347" s="55" t="n">
        <v>785.6900000000001</v>
      </c>
      <c r="M347" s="55" t="n">
        <v>13.69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123351</t>
        </is>
      </c>
      <c r="B348" s="52" t="n">
        <v>46028</v>
      </c>
      <c r="C348" s="36" t="inlineStr">
        <is>
          <t>24208037705</t>
        </is>
      </c>
      <c r="D348" s="53" t="inlineStr">
        <is>
          <t>MIEBO 1.338 GM/ML OPHTHALMIC SOLUTION</t>
        </is>
      </c>
      <c r="E348" s="36" t="n">
        <v>3</v>
      </c>
      <c r="F348" s="54" t="n">
        <v>3</v>
      </c>
      <c r="G348" s="54" t="n">
        <v>1</v>
      </c>
      <c r="H348" s="55" t="n">
        <v>772</v>
      </c>
      <c r="I348" s="55" t="n">
        <v>780.79</v>
      </c>
      <c r="J348" s="55" t="n">
        <v>0</v>
      </c>
      <c r="K348" s="55" t="n">
        <v>4.9</v>
      </c>
      <c r="L348" s="55" t="n">
        <v>785.6900000000001</v>
      </c>
      <c r="M348" s="55" t="n">
        <v>13.69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126915</t>
        </is>
      </c>
      <c r="B349" s="52" t="n">
        <v>45999</v>
      </c>
      <c r="C349" s="36" t="inlineStr">
        <is>
          <t>24208037705</t>
        </is>
      </c>
      <c r="D349" s="53" t="inlineStr">
        <is>
          <t>MIEBO 1.338 GM/ML OPHTHALMIC SOLUTION</t>
        </is>
      </c>
      <c r="E349" s="36" t="n">
        <v>3</v>
      </c>
      <c r="F349" s="54" t="n">
        <v>3</v>
      </c>
      <c r="G349" s="54" t="n">
        <v>1</v>
      </c>
      <c r="H349" s="55" t="n">
        <v>772</v>
      </c>
      <c r="I349" s="55" t="n">
        <v>778.55</v>
      </c>
      <c r="J349" s="55" t="n">
        <v>0</v>
      </c>
      <c r="K349" s="55" t="n">
        <v>0</v>
      </c>
      <c r="L349" s="55" t="n">
        <v>778.55</v>
      </c>
      <c r="M349" s="55" t="n">
        <v>6.55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128752</t>
        </is>
      </c>
      <c r="B350" s="52" t="n">
        <v>46045</v>
      </c>
      <c r="C350" s="36" t="inlineStr">
        <is>
          <t>24208037705</t>
        </is>
      </c>
      <c r="D350" s="53" t="inlineStr">
        <is>
          <t>MIEBO 1.338 GM/ML OPHTHALMIC SOLUTION</t>
        </is>
      </c>
      <c r="E350" s="36" t="n">
        <v>3</v>
      </c>
      <c r="F350" s="54" t="n">
        <v>9</v>
      </c>
      <c r="G350" s="54" t="n">
        <v>3</v>
      </c>
      <c r="H350" s="55" t="n">
        <v>2316</v>
      </c>
      <c r="I350" s="55" t="n">
        <v>1372.32</v>
      </c>
      <c r="J350" s="55" t="n">
        <v>0</v>
      </c>
      <c r="K350" s="55" t="n">
        <v>946.47</v>
      </c>
      <c r="L350" s="55" t="n">
        <v>2318.79</v>
      </c>
      <c r="M350" s="55" t="n">
        <v>2.79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139463</t>
        </is>
      </c>
      <c r="B351" s="52" t="n">
        <v>46038</v>
      </c>
      <c r="C351" s="36" t="inlineStr">
        <is>
          <t>24208037705</t>
        </is>
      </c>
      <c r="D351" s="53" t="inlineStr">
        <is>
          <t>MIEBO 1.338 GM/ML OPHTHALMIC SOLUTION</t>
        </is>
      </c>
      <c r="E351" s="36" t="n">
        <v>3</v>
      </c>
      <c r="F351" s="54" t="n">
        <v>3</v>
      </c>
      <c r="G351" s="54" t="n">
        <v>1</v>
      </c>
      <c r="H351" s="55" t="n">
        <v>772</v>
      </c>
      <c r="I351" s="55" t="n">
        <v>773.04</v>
      </c>
      <c r="J351" s="55" t="n">
        <v>0</v>
      </c>
      <c r="K351" s="55" t="n">
        <v>12.65</v>
      </c>
      <c r="L351" s="55" t="n">
        <v>785.6900000000001</v>
      </c>
      <c r="M351" s="55" t="n">
        <v>13.69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133864</t>
        </is>
      </c>
      <c r="B352" s="52" t="n">
        <v>46022</v>
      </c>
      <c r="C352" s="36" t="inlineStr">
        <is>
          <t>24208037705</t>
        </is>
      </c>
      <c r="D352" s="53" t="inlineStr">
        <is>
          <t>MIEBO 1.338 GM/ML OPHTHALMIC SOLUTION</t>
        </is>
      </c>
      <c r="E352" s="36" t="n">
        <v>3</v>
      </c>
      <c r="F352" s="54" t="n">
        <v>3</v>
      </c>
      <c r="G352" s="54" t="n">
        <v>1</v>
      </c>
      <c r="H352" s="55" t="n">
        <v>772</v>
      </c>
      <c r="I352" s="55" t="n">
        <v>778.51</v>
      </c>
      <c r="J352" s="55" t="n">
        <v>0</v>
      </c>
      <c r="K352" s="55" t="n">
        <v>0</v>
      </c>
      <c r="L352" s="55" t="n">
        <v>778.51</v>
      </c>
      <c r="M352" s="55" t="n">
        <v>6.51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135596</t>
        </is>
      </c>
      <c r="B353" s="52" t="n">
        <v>46037</v>
      </c>
      <c r="C353" s="36" t="inlineStr">
        <is>
          <t>24208037705</t>
        </is>
      </c>
      <c r="D353" s="53" t="inlineStr">
        <is>
          <t>MIEBO 1.338 GM/ML OPHTHALMIC SOLUTION</t>
        </is>
      </c>
      <c r="E353" s="36" t="n">
        <v>3</v>
      </c>
      <c r="F353" s="54" t="n">
        <v>3</v>
      </c>
      <c r="G353" s="54" t="n">
        <v>1</v>
      </c>
      <c r="H353" s="55" t="n">
        <v>772</v>
      </c>
      <c r="I353" s="55" t="n">
        <v>780.79</v>
      </c>
      <c r="J353" s="55" t="n">
        <v>0</v>
      </c>
      <c r="K353" s="55" t="n">
        <v>4.9</v>
      </c>
      <c r="L353" s="55" t="n">
        <v>785.6900000000001</v>
      </c>
      <c r="M353" s="55" t="n">
        <v>13.69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136689</t>
        </is>
      </c>
      <c r="B354" s="52" t="n">
        <v>46044</v>
      </c>
      <c r="C354" s="36" t="inlineStr">
        <is>
          <t>24208037705</t>
        </is>
      </c>
      <c r="D354" s="53" t="inlineStr">
        <is>
          <t>MIEBO 1.338 GM/ML OPHTHALMIC SOLUTION</t>
        </is>
      </c>
      <c r="E354" s="36" t="n">
        <v>3</v>
      </c>
      <c r="F354" s="54" t="n">
        <v>3</v>
      </c>
      <c r="G354" s="54" t="n">
        <v>1</v>
      </c>
      <c r="H354" s="55" t="n">
        <v>772</v>
      </c>
      <c r="I354" s="55" t="n">
        <v>780.79</v>
      </c>
      <c r="J354" s="55" t="n">
        <v>0</v>
      </c>
      <c r="K354" s="55" t="n">
        <v>4.9</v>
      </c>
      <c r="L354" s="55" t="n">
        <v>785.6900000000001</v>
      </c>
      <c r="M354" s="55" t="n">
        <v>13.69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112201</t>
        </is>
      </c>
      <c r="B355" s="52" t="n">
        <v>45994</v>
      </c>
      <c r="C355" s="36" t="inlineStr">
        <is>
          <t>24208037705</t>
        </is>
      </c>
      <c r="D355" s="53" t="inlineStr">
        <is>
          <t>MIEBO 1.338 GM/ML OPHTHALMIC SOLUTION</t>
        </is>
      </c>
      <c r="E355" s="36" t="n">
        <v>3</v>
      </c>
      <c r="F355" s="54" t="n">
        <v>3</v>
      </c>
      <c r="G355" s="54" t="n">
        <v>1</v>
      </c>
      <c r="H355" s="55" t="n">
        <v>772</v>
      </c>
      <c r="I355" s="55" t="n">
        <v>778.55</v>
      </c>
      <c r="J355" s="55" t="n">
        <v>0</v>
      </c>
      <c r="K355" s="55" t="n">
        <v>0</v>
      </c>
      <c r="L355" s="55" t="n">
        <v>778.55</v>
      </c>
      <c r="M355" s="55" t="n">
        <v>6.55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138754</t>
        </is>
      </c>
      <c r="B356" s="52" t="n">
        <v>46034</v>
      </c>
      <c r="C356" s="36" t="inlineStr">
        <is>
          <t>24208037705</t>
        </is>
      </c>
      <c r="D356" s="53" t="inlineStr">
        <is>
          <t>MIEBO 1.338 GM/ML OPHTHALMIC SOLUTION</t>
        </is>
      </c>
      <c r="E356" s="36" t="n">
        <v>3</v>
      </c>
      <c r="F356" s="54" t="n">
        <v>3</v>
      </c>
      <c r="G356" s="54" t="n">
        <v>1</v>
      </c>
      <c r="H356" s="55" t="n">
        <v>772</v>
      </c>
      <c r="I356" s="55" t="n">
        <v>785.6900000000001</v>
      </c>
      <c r="J356" s="55" t="n">
        <v>0</v>
      </c>
      <c r="K356" s="55" t="n">
        <v>0</v>
      </c>
      <c r="L356" s="55" t="n">
        <v>785.6900000000001</v>
      </c>
      <c r="M356" s="55" t="n">
        <v>13.69</v>
      </c>
      <c r="N356" s="36" t="inlineStr">
        <is>
          <t>004336</t>
        </is>
      </c>
      <c r="O356" s="36" t="inlineStr">
        <is>
          <t>CAREMARK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126915</t>
        </is>
      </c>
      <c r="B357" s="52" t="n">
        <v>46027</v>
      </c>
      <c r="C357" s="36" t="inlineStr">
        <is>
          <t>24208037705</t>
        </is>
      </c>
      <c r="D357" s="53" t="inlineStr">
        <is>
          <t>MIEBO 1.338 GM/ML OPHTHALMIC SOLUTION</t>
        </is>
      </c>
      <c r="E357" s="36" t="n">
        <v>3</v>
      </c>
      <c r="F357" s="54" t="n">
        <v>3</v>
      </c>
      <c r="G357" s="54" t="n">
        <v>1</v>
      </c>
      <c r="H357" s="55" t="n">
        <v>772</v>
      </c>
      <c r="I357" s="55" t="n">
        <v>778.51</v>
      </c>
      <c r="J357" s="55" t="n">
        <v>0</v>
      </c>
      <c r="K357" s="55" t="n">
        <v>0</v>
      </c>
      <c r="L357" s="55" t="n">
        <v>778.51</v>
      </c>
      <c r="M357" s="55" t="n">
        <v>6.51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123609</t>
        </is>
      </c>
      <c r="B358" s="52" t="n">
        <v>45999</v>
      </c>
      <c r="C358" s="36" t="inlineStr">
        <is>
          <t>00002147180</t>
        </is>
      </c>
      <c r="D358" s="53" t="inlineStr">
        <is>
          <t>MOUNJARO 10 MG/0.5ML PEN-INJECTOR</t>
        </is>
      </c>
      <c r="E358" s="36" t="n">
        <v>2</v>
      </c>
      <c r="F358" s="54" t="n">
        <v>2</v>
      </c>
      <c r="G358" s="54" t="n">
        <v>1</v>
      </c>
      <c r="H358" s="55" t="n">
        <v>1039</v>
      </c>
      <c r="I358" s="55" t="n">
        <v>1056.31</v>
      </c>
      <c r="J358" s="55" t="n">
        <v>0</v>
      </c>
      <c r="K358" s="55" t="n">
        <v>0</v>
      </c>
      <c r="L358" s="55" t="n">
        <v>1056.31</v>
      </c>
      <c r="M358" s="55" t="n">
        <v>17.31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123609</t>
        </is>
      </c>
      <c r="B359" s="52" t="n">
        <v>46022</v>
      </c>
      <c r="C359" s="36" t="inlineStr">
        <is>
          <t>00002147180</t>
        </is>
      </c>
      <c r="D359" s="53" t="inlineStr">
        <is>
          <t>MOUNJARO 10 MG/0.5ML PEN-INJECTOR</t>
        </is>
      </c>
      <c r="E359" s="36" t="n">
        <v>2</v>
      </c>
      <c r="F359" s="54" t="n">
        <v>2</v>
      </c>
      <c r="G359" s="54" t="n">
        <v>1</v>
      </c>
      <c r="H359" s="55" t="n">
        <v>1039</v>
      </c>
      <c r="I359" s="55" t="n">
        <v>1056.22</v>
      </c>
      <c r="J359" s="55" t="n">
        <v>0</v>
      </c>
      <c r="K359" s="55" t="n">
        <v>0</v>
      </c>
      <c r="L359" s="55" t="n">
        <v>1056.22</v>
      </c>
      <c r="M359" s="55" t="n">
        <v>17.22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123609</t>
        </is>
      </c>
      <c r="B360" s="52" t="n">
        <v>46048</v>
      </c>
      <c r="C360" s="36" t="inlineStr">
        <is>
          <t>00002147180</t>
        </is>
      </c>
      <c r="D360" s="53" t="inlineStr">
        <is>
          <t>MOUNJARO 10 MG/0.5ML PEN-INJECTOR</t>
        </is>
      </c>
      <c r="E360" s="36" t="n">
        <v>2</v>
      </c>
      <c r="F360" s="54" t="n">
        <v>2</v>
      </c>
      <c r="G360" s="54" t="n">
        <v>1</v>
      </c>
      <c r="H360" s="55" t="n">
        <v>1073</v>
      </c>
      <c r="I360" s="55" t="n">
        <v>1087.6</v>
      </c>
      <c r="J360" s="55" t="n">
        <v>0</v>
      </c>
      <c r="K360" s="55" t="n">
        <v>0</v>
      </c>
      <c r="L360" s="55" t="n">
        <v>1087.6</v>
      </c>
      <c r="M360" s="55" t="n">
        <v>14.6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130042</t>
        </is>
      </c>
      <c r="B361" s="52" t="n">
        <v>45992</v>
      </c>
      <c r="C361" s="36" t="inlineStr">
        <is>
          <t>00002146080</t>
        </is>
      </c>
      <c r="D361" s="53" t="inlineStr">
        <is>
          <t>MOUNJARO 12.5 MG/0.5ML PEN-INJECTOR</t>
        </is>
      </c>
      <c r="E361" s="36" t="n">
        <v>2</v>
      </c>
      <c r="F361" s="54" t="n">
        <v>2</v>
      </c>
      <c r="G361" s="54" t="n">
        <v>1</v>
      </c>
      <c r="H361" s="55" t="n">
        <v>1039</v>
      </c>
      <c r="I361" s="55" t="n">
        <v>1083.32</v>
      </c>
      <c r="J361" s="55" t="n">
        <v>0</v>
      </c>
      <c r="K361" s="55" t="n">
        <v>0</v>
      </c>
      <c r="L361" s="55" t="n">
        <v>1083.32</v>
      </c>
      <c r="M361" s="55" t="n">
        <v>44.32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PDPIND</t>
        </is>
      </c>
    </row>
    <row r="362">
      <c r="A362" s="36" t="inlineStr">
        <is>
          <t>130042</t>
        </is>
      </c>
      <c r="B362" s="52" t="n">
        <v>46017</v>
      </c>
      <c r="C362" s="36" t="inlineStr">
        <is>
          <t>00002146080</t>
        </is>
      </c>
      <c r="D362" s="53" t="inlineStr">
        <is>
          <t>MOUNJARO 12.5 MG/0.5ML PEN-INJECTOR</t>
        </is>
      </c>
      <c r="E362" s="36" t="n">
        <v>2</v>
      </c>
      <c r="F362" s="54" t="n">
        <v>2</v>
      </c>
      <c r="G362" s="54" t="n">
        <v>1</v>
      </c>
      <c r="H362" s="55" t="n">
        <v>1039</v>
      </c>
      <c r="I362" s="55" t="n">
        <v>1083.32</v>
      </c>
      <c r="J362" s="55" t="n">
        <v>0</v>
      </c>
      <c r="K362" s="55" t="n">
        <v>0</v>
      </c>
      <c r="L362" s="55" t="n">
        <v>1083.32</v>
      </c>
      <c r="M362" s="55" t="n">
        <v>44.32</v>
      </c>
      <c r="N362" s="36" t="inlineStr">
        <is>
          <t>610097</t>
        </is>
      </c>
      <c r="O362" s="36" t="inlineStr">
        <is>
          <t>OPTUM</t>
        </is>
      </c>
      <c r="P362" s="36" t="inlineStr">
        <is>
          <t>9999</t>
        </is>
      </c>
      <c r="Q362" s="36" t="inlineStr">
        <is>
          <t>PDPIND</t>
        </is>
      </c>
    </row>
    <row r="363">
      <c r="A363" s="36" t="inlineStr">
        <is>
          <t>141393</t>
        </is>
      </c>
      <c r="B363" s="52" t="n">
        <v>46055</v>
      </c>
      <c r="C363" s="36" t="inlineStr">
        <is>
          <t>00002145780</t>
        </is>
      </c>
      <c r="D363" s="53" t="inlineStr">
        <is>
          <t>MOUNJARO 15 MG/0.5ML PEN-INJECTOR</t>
        </is>
      </c>
      <c r="E363" s="36" t="n">
        <v>2</v>
      </c>
      <c r="F363" s="54" t="n">
        <v>2</v>
      </c>
      <c r="G363" s="54" t="n">
        <v>1</v>
      </c>
      <c r="H363" s="55" t="n">
        <v>1082</v>
      </c>
      <c r="I363" s="55" t="n">
        <v>1087.46</v>
      </c>
      <c r="J363" s="55" t="n">
        <v>0</v>
      </c>
      <c r="K363" s="55" t="n">
        <v>0</v>
      </c>
      <c r="L363" s="55" t="n">
        <v>1087.46</v>
      </c>
      <c r="M363" s="55" t="n">
        <v>5.46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134808</t>
        </is>
      </c>
      <c r="B364" s="52" t="n">
        <v>46002</v>
      </c>
      <c r="C364" s="36" t="inlineStr">
        <is>
          <t>00002145780</t>
        </is>
      </c>
      <c r="D364" s="53" t="inlineStr">
        <is>
          <t>MOUNJARO 15 MG/0.5ML PEN-INJECTOR</t>
        </is>
      </c>
      <c r="E364" s="36" t="n">
        <v>2</v>
      </c>
      <c r="F364" s="54" t="n">
        <v>2</v>
      </c>
      <c r="G364" s="54" t="n">
        <v>1</v>
      </c>
      <c r="H364" s="55" t="n">
        <v>1039</v>
      </c>
      <c r="I364" s="55" t="n">
        <v>1056.18</v>
      </c>
      <c r="J364" s="55" t="n">
        <v>0</v>
      </c>
      <c r="K364" s="55" t="n">
        <v>0</v>
      </c>
      <c r="L364" s="55" t="n">
        <v>1056.18</v>
      </c>
      <c r="M364" s="55" t="n">
        <v>17.18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143689</t>
        </is>
      </c>
      <c r="B365" s="52" t="n">
        <v>46070</v>
      </c>
      <c r="C365" s="36" t="inlineStr">
        <is>
          <t>00002150680</t>
        </is>
      </c>
      <c r="D365" s="53" t="inlineStr">
        <is>
          <t>MOUNJARO 2.5 MG/0.5ML PEN-INJECTOR</t>
        </is>
      </c>
      <c r="E365" s="36" t="n">
        <v>2</v>
      </c>
      <c r="F365" s="54" t="n">
        <v>2</v>
      </c>
      <c r="G365" s="54" t="n">
        <v>1</v>
      </c>
      <c r="H365" s="55" t="n">
        <v>1082</v>
      </c>
      <c r="I365" s="55" t="n">
        <v>1115.13</v>
      </c>
      <c r="J365" s="55" t="n">
        <v>0</v>
      </c>
      <c r="K365" s="55" t="n">
        <v>0</v>
      </c>
      <c r="L365" s="55" t="n">
        <v>1115.13</v>
      </c>
      <c r="M365" s="55" t="n">
        <v>33.13</v>
      </c>
      <c r="N365" s="36" t="inlineStr">
        <is>
          <t>610097</t>
        </is>
      </c>
      <c r="O365" s="36" t="inlineStr">
        <is>
          <t>OPTUM</t>
        </is>
      </c>
      <c r="P365" s="36" t="inlineStr">
        <is>
          <t>9999</t>
        </is>
      </c>
      <c r="Q365" s="36" t="inlineStr">
        <is>
          <t>MPDCSP</t>
        </is>
      </c>
    </row>
    <row r="366">
      <c r="A366" s="36" t="inlineStr">
        <is>
          <t>135583</t>
        </is>
      </c>
      <c r="B366" s="52" t="n">
        <v>46009</v>
      </c>
      <c r="C366" s="36" t="inlineStr">
        <is>
          <t>00002149580</t>
        </is>
      </c>
      <c r="D366" s="53" t="inlineStr">
        <is>
          <t>MOUNJARO 5 MG/0.5ML PEN-INJECTOR</t>
        </is>
      </c>
      <c r="E366" s="36" t="n">
        <v>2</v>
      </c>
      <c r="F366" s="54" t="n">
        <v>2</v>
      </c>
      <c r="G366" s="54" t="n">
        <v>1</v>
      </c>
      <c r="H366" s="55" t="n">
        <v>1039</v>
      </c>
      <c r="I366" s="55" t="n">
        <v>1053.34</v>
      </c>
      <c r="J366" s="55" t="n">
        <v>0</v>
      </c>
      <c r="K366" s="55" t="n">
        <v>3</v>
      </c>
      <c r="L366" s="55" t="n">
        <v>1056.34</v>
      </c>
      <c r="M366" s="55" t="n">
        <v>17.34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132432</t>
        </is>
      </c>
      <c r="B367" s="52" t="n">
        <v>46010</v>
      </c>
      <c r="C367" s="36" t="inlineStr">
        <is>
          <t>00002149580</t>
        </is>
      </c>
      <c r="D367" s="53" t="inlineStr">
        <is>
          <t>MOUNJARO 5 MG/0.5ML PEN-INJECTOR</t>
        </is>
      </c>
      <c r="E367" s="36" t="n">
        <v>2</v>
      </c>
      <c r="F367" s="54" t="n">
        <v>2</v>
      </c>
      <c r="G367" s="54" t="n">
        <v>1</v>
      </c>
      <c r="H367" s="55" t="n">
        <v>1039</v>
      </c>
      <c r="I367" s="55" t="n">
        <v>1056.34</v>
      </c>
      <c r="J367" s="55" t="n">
        <v>0</v>
      </c>
      <c r="K367" s="55" t="n">
        <v>0</v>
      </c>
      <c r="L367" s="55" t="n">
        <v>1056.34</v>
      </c>
      <c r="M367" s="55" t="n">
        <v>17.34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139021</t>
        </is>
      </c>
      <c r="B368" s="52" t="n">
        <v>46062</v>
      </c>
      <c r="C368" s="36" t="inlineStr">
        <is>
          <t>00002149580</t>
        </is>
      </c>
      <c r="D368" s="53" t="inlineStr">
        <is>
          <t>MOUNJARO 5 MG/0.5ML PEN-INJECTOR</t>
        </is>
      </c>
      <c r="E368" s="36" t="n">
        <v>2</v>
      </c>
      <c r="F368" s="54" t="n">
        <v>2</v>
      </c>
      <c r="G368" s="54" t="n">
        <v>1</v>
      </c>
      <c r="H368" s="55" t="n">
        <v>1082</v>
      </c>
      <c r="I368" s="55" t="n">
        <v>1084.67</v>
      </c>
      <c r="J368" s="55" t="n">
        <v>0</v>
      </c>
      <c r="K368" s="55" t="n">
        <v>3</v>
      </c>
      <c r="L368" s="55" t="n">
        <v>1087.67</v>
      </c>
      <c r="M368" s="55" t="n">
        <v>5.67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136756</t>
        </is>
      </c>
      <c r="B369" s="52" t="n">
        <v>46020</v>
      </c>
      <c r="C369" s="36" t="inlineStr">
        <is>
          <t>00002149580</t>
        </is>
      </c>
      <c r="D369" s="53" t="inlineStr">
        <is>
          <t>MOUNJARO 5 MG/0.5ML PEN-INJECTOR</t>
        </is>
      </c>
      <c r="E369" s="36" t="n">
        <v>2</v>
      </c>
      <c r="F369" s="54" t="n">
        <v>2</v>
      </c>
      <c r="G369" s="54" t="n">
        <v>1</v>
      </c>
      <c r="H369" s="55" t="n">
        <v>1039</v>
      </c>
      <c r="I369" s="55" t="n">
        <v>1056.28</v>
      </c>
      <c r="J369" s="55" t="n">
        <v>0</v>
      </c>
      <c r="K369" s="55" t="n">
        <v>0</v>
      </c>
      <c r="L369" s="55" t="n">
        <v>1056.28</v>
      </c>
      <c r="M369" s="55" t="n">
        <v>17.28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132432</t>
        </is>
      </c>
      <c r="B370" s="52" t="n">
        <v>46059</v>
      </c>
      <c r="C370" s="36" t="inlineStr">
        <is>
          <t>00002149580</t>
        </is>
      </c>
      <c r="D370" s="53" t="inlineStr">
        <is>
          <t>MOUNJARO 5 MG/0.5ML PEN-INJECTOR</t>
        </is>
      </c>
      <c r="E370" s="36" t="n">
        <v>2</v>
      </c>
      <c r="F370" s="54" t="n">
        <v>2</v>
      </c>
      <c r="G370" s="54" t="n">
        <v>1</v>
      </c>
      <c r="H370" s="55" t="n">
        <v>1082</v>
      </c>
      <c r="I370" s="55" t="n">
        <v>1087.67</v>
      </c>
      <c r="J370" s="55" t="n">
        <v>0</v>
      </c>
      <c r="K370" s="55" t="n">
        <v>0</v>
      </c>
      <c r="L370" s="55" t="n">
        <v>1087.67</v>
      </c>
      <c r="M370" s="55" t="n">
        <v>5.67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136756</t>
        </is>
      </c>
      <c r="B371" s="52" t="n">
        <v>46048</v>
      </c>
      <c r="C371" s="36" t="inlineStr">
        <is>
          <t>00002149580</t>
        </is>
      </c>
      <c r="D371" s="53" t="inlineStr">
        <is>
          <t>MOUNJARO 5 MG/0.5ML PEN-INJECTOR</t>
        </is>
      </c>
      <c r="E371" s="36" t="n">
        <v>2</v>
      </c>
      <c r="F371" s="54" t="n">
        <v>2</v>
      </c>
      <c r="G371" s="54" t="n">
        <v>1</v>
      </c>
      <c r="H371" s="55" t="n">
        <v>1073</v>
      </c>
      <c r="I371" s="55" t="n">
        <v>1087.67</v>
      </c>
      <c r="J371" s="55" t="n">
        <v>0</v>
      </c>
      <c r="K371" s="55" t="n">
        <v>0</v>
      </c>
      <c r="L371" s="55" t="n">
        <v>1087.67</v>
      </c>
      <c r="M371" s="55" t="n">
        <v>14.67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128596</t>
        </is>
      </c>
      <c r="B372" s="52" t="n">
        <v>46000</v>
      </c>
      <c r="C372" s="36" t="inlineStr">
        <is>
          <t>00002149580</t>
        </is>
      </c>
      <c r="D372" s="53" t="inlineStr">
        <is>
          <t>MOUNJARO 5 MG/0.5ML PEN-INJECTOR</t>
        </is>
      </c>
      <c r="E372" s="36" t="n">
        <v>2</v>
      </c>
      <c r="F372" s="54" t="n">
        <v>2</v>
      </c>
      <c r="G372" s="54" t="n">
        <v>1</v>
      </c>
      <c r="H372" s="55" t="n">
        <v>1039</v>
      </c>
      <c r="I372" s="55" t="n">
        <v>1053.34</v>
      </c>
      <c r="J372" s="55" t="n">
        <v>0</v>
      </c>
      <c r="K372" s="55" t="n">
        <v>3</v>
      </c>
      <c r="L372" s="55" t="n">
        <v>1056.34</v>
      </c>
      <c r="M372" s="55" t="n">
        <v>17.34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136756</t>
        </is>
      </c>
      <c r="B373" s="52" t="n">
        <v>46073</v>
      </c>
      <c r="C373" s="36" t="inlineStr">
        <is>
          <t>00002149580</t>
        </is>
      </c>
      <c r="D373" s="53" t="inlineStr">
        <is>
          <t>MOUNJARO 5 MG/0.5ML PEN-INJECTOR</t>
        </is>
      </c>
      <c r="E373" s="36" t="n">
        <v>2</v>
      </c>
      <c r="F373" s="54" t="n">
        <v>2</v>
      </c>
      <c r="G373" s="54" t="n">
        <v>1</v>
      </c>
      <c r="H373" s="55" t="n">
        <v>1082</v>
      </c>
      <c r="I373" s="55" t="n">
        <v>1087.67</v>
      </c>
      <c r="J373" s="55" t="n">
        <v>0</v>
      </c>
      <c r="K373" s="55" t="n">
        <v>0</v>
      </c>
      <c r="L373" s="55" t="n">
        <v>1087.67</v>
      </c>
      <c r="M373" s="55" t="n">
        <v>5.67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144596</t>
        </is>
      </c>
      <c r="B374" s="52" t="n">
        <v>46077</v>
      </c>
      <c r="C374" s="36" t="inlineStr">
        <is>
          <t>00002149580</t>
        </is>
      </c>
      <c r="D374" s="53" t="inlineStr">
        <is>
          <t>MOUNJARO 5 MG/0.5ML PEN-INJECTOR</t>
        </is>
      </c>
      <c r="E374" s="36" t="n">
        <v>2</v>
      </c>
      <c r="F374" s="54" t="n">
        <v>2</v>
      </c>
      <c r="G374" s="54" t="n">
        <v>1</v>
      </c>
      <c r="H374" s="55" t="n">
        <v>1082</v>
      </c>
      <c r="I374" s="55" t="n">
        <v>1087.67</v>
      </c>
      <c r="J374" s="55" t="n">
        <v>0</v>
      </c>
      <c r="K374" s="55" t="n">
        <v>0</v>
      </c>
      <c r="L374" s="55" t="n">
        <v>1087.67</v>
      </c>
      <c r="M374" s="55" t="n">
        <v>5.67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139301</t>
        </is>
      </c>
      <c r="B375" s="52" t="n">
        <v>46062</v>
      </c>
      <c r="C375" s="36" t="inlineStr">
        <is>
          <t>00002148480</t>
        </is>
      </c>
      <c r="D375" s="53" t="inlineStr">
        <is>
          <t>MOUNJARO 7.5 MG/0.5ML PEN-INJECTOR</t>
        </is>
      </c>
      <c r="E375" s="36" t="n">
        <v>2</v>
      </c>
      <c r="F375" s="54" t="n">
        <v>2</v>
      </c>
      <c r="G375" s="54" t="n">
        <v>1</v>
      </c>
      <c r="H375" s="55" t="n">
        <v>1082</v>
      </c>
      <c r="I375" s="55" t="n">
        <v>1084.66</v>
      </c>
      <c r="J375" s="55" t="n">
        <v>0</v>
      </c>
      <c r="K375" s="55" t="n">
        <v>3</v>
      </c>
      <c r="L375" s="55" t="n">
        <v>1087.66</v>
      </c>
      <c r="M375" s="55" t="n">
        <v>5.66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141395</t>
        </is>
      </c>
      <c r="B376" s="52" t="n">
        <v>46055</v>
      </c>
      <c r="C376" s="36" t="inlineStr">
        <is>
          <t>00469260230</t>
        </is>
      </c>
      <c r="D376" s="53" t="inlineStr">
        <is>
          <t>MYRBETRIQ 50MG TABLET</t>
        </is>
      </c>
      <c r="E376" s="36" t="n">
        <v>30</v>
      </c>
      <c r="F376" s="54" t="n">
        <v>30</v>
      </c>
      <c r="G376" s="54" t="n">
        <v>1</v>
      </c>
      <c r="H376" s="55" t="n">
        <v>448</v>
      </c>
      <c r="I376" s="55" t="n">
        <v>452.65</v>
      </c>
      <c r="J376" s="55" t="n">
        <v>0</v>
      </c>
      <c r="K376" s="55" t="n">
        <v>0</v>
      </c>
      <c r="L376" s="55" t="n">
        <v>452.65</v>
      </c>
      <c r="M376" s="55" t="n">
        <v>4.65</v>
      </c>
      <c r="N376" s="36" t="inlineStr">
        <is>
          <t>610502</t>
        </is>
      </c>
      <c r="O376" s="36" t="inlineStr">
        <is>
          <t>CAREMARK</t>
        </is>
      </c>
      <c r="P376" s="36" t="inlineStr">
        <is>
          <t>MEDDAET</t>
        </is>
      </c>
      <c r="Q376" s="36" t="inlineStr">
        <is>
          <t>RXAETD</t>
        </is>
      </c>
    </row>
    <row r="377">
      <c r="A377" s="36" t="inlineStr">
        <is>
          <t>114281</t>
        </is>
      </c>
      <c r="B377" s="52" t="n">
        <v>46013</v>
      </c>
      <c r="C377" s="36" t="inlineStr">
        <is>
          <t>00469260230</t>
        </is>
      </c>
      <c r="D377" s="53" t="inlineStr">
        <is>
          <t>MYRBETRIQ 50MG TABLET</t>
        </is>
      </c>
      <c r="E377" s="36" t="n">
        <v>30</v>
      </c>
      <c r="F377" s="54" t="n">
        <v>30</v>
      </c>
      <c r="G377" s="54" t="n">
        <v>1</v>
      </c>
      <c r="H377" s="55" t="n">
        <v>443</v>
      </c>
      <c r="I377" s="55" t="n">
        <v>451.23</v>
      </c>
      <c r="J377" s="55" t="n">
        <v>0</v>
      </c>
      <c r="K377" s="55" t="n">
        <v>0</v>
      </c>
      <c r="L377" s="55" t="n">
        <v>451.23</v>
      </c>
      <c r="M377" s="55" t="n">
        <v>8.23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133744</t>
        </is>
      </c>
      <c r="B378" s="52" t="n">
        <v>46006</v>
      </c>
      <c r="C378" s="36" t="inlineStr">
        <is>
          <t>00469260230</t>
        </is>
      </c>
      <c r="D378" s="53" t="inlineStr">
        <is>
          <t>MYRBETRIQ 50MG TABLET</t>
        </is>
      </c>
      <c r="E378" s="36" t="n">
        <v>30</v>
      </c>
      <c r="F378" s="54" t="n">
        <v>90</v>
      </c>
      <c r="G378" s="54" t="n">
        <v>3</v>
      </c>
      <c r="H378" s="55" t="n">
        <v>1329</v>
      </c>
      <c r="I378" s="55" t="n">
        <v>1391.66</v>
      </c>
      <c r="J378" s="55" t="n">
        <v>0</v>
      </c>
      <c r="K378" s="55" t="n">
        <v>0</v>
      </c>
      <c r="L378" s="55" t="n">
        <v>1391.66</v>
      </c>
      <c r="M378" s="55" t="n">
        <v>62.66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RXCVSD</t>
        </is>
      </c>
    </row>
    <row r="379">
      <c r="A379" s="36" t="inlineStr">
        <is>
          <t>127032</t>
        </is>
      </c>
      <c r="B379" s="52" t="n">
        <v>46024</v>
      </c>
      <c r="C379" s="36" t="inlineStr">
        <is>
          <t>00469260230</t>
        </is>
      </c>
      <c r="D379" s="53" t="inlineStr">
        <is>
          <t>MYRBETRIQ 50MG TABLET</t>
        </is>
      </c>
      <c r="E379" s="36" t="n">
        <v>30</v>
      </c>
      <c r="F379" s="54" t="n">
        <v>30</v>
      </c>
      <c r="G379" s="54" t="n">
        <v>1</v>
      </c>
      <c r="H379" s="55" t="n">
        <v>443</v>
      </c>
      <c r="I379" s="55" t="n">
        <v>452.65</v>
      </c>
      <c r="J379" s="55" t="n">
        <v>0</v>
      </c>
      <c r="K379" s="55" t="n">
        <v>0</v>
      </c>
      <c r="L379" s="55" t="n">
        <v>452.65</v>
      </c>
      <c r="M379" s="55" t="n">
        <v>9.65</v>
      </c>
      <c r="N379" s="36" t="inlineStr">
        <is>
          <t>610502</t>
        </is>
      </c>
      <c r="O379" s="36" t="inlineStr">
        <is>
          <t>CAREMARK</t>
        </is>
      </c>
      <c r="P379" s="36" t="inlineStr">
        <is>
          <t>MEDDAET</t>
        </is>
      </c>
      <c r="Q379" s="36" t="inlineStr">
        <is>
          <t>RXAETD</t>
        </is>
      </c>
    </row>
    <row r="380">
      <c r="A380" s="36" t="inlineStr">
        <is>
          <t>139431</t>
        </is>
      </c>
      <c r="B380" s="52" t="n">
        <v>46038</v>
      </c>
      <c r="C380" s="36" t="inlineStr">
        <is>
          <t>58151028301</t>
        </is>
      </c>
      <c r="D380" s="53" t="inlineStr">
        <is>
          <t>NEURONTIN 400 MG ORAL CAPSULE</t>
        </is>
      </c>
      <c r="E380" s="36" t="n">
        <v>100</v>
      </c>
      <c r="F380" s="54" t="n">
        <v>270</v>
      </c>
      <c r="G380" s="54" t="n">
        <v>2.7</v>
      </c>
      <c r="H380" s="55" t="n">
        <v>2300.4</v>
      </c>
      <c r="I380" s="55" t="n">
        <v>2349.43</v>
      </c>
      <c r="J380" s="55" t="n">
        <v>0</v>
      </c>
      <c r="K380" s="55" t="n">
        <v>0</v>
      </c>
      <c r="L380" s="55" t="n">
        <v>2349.43</v>
      </c>
      <c r="M380" s="55" t="n">
        <v>49.03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131111</t>
        </is>
      </c>
      <c r="B381" s="52" t="n">
        <v>46058</v>
      </c>
      <c r="C381" s="36" t="inlineStr">
        <is>
          <t>00169633910</t>
        </is>
      </c>
      <c r="D381" s="53" t="inlineStr">
        <is>
          <t>NOVOLOG FLEXPEN 100UNIT/ML INJECTION</t>
        </is>
      </c>
      <c r="E381" s="36" t="n">
        <v>15</v>
      </c>
      <c r="F381" s="54" t="n">
        <v>6</v>
      </c>
      <c r="G381" s="54" t="n">
        <v>0.4</v>
      </c>
      <c r="H381" s="55" t="n">
        <v>54</v>
      </c>
      <c r="I381" s="55" t="n">
        <v>47.03</v>
      </c>
      <c r="J381" s="55" t="n">
        <v>2.14</v>
      </c>
      <c r="K381" s="55" t="n">
        <v>4.9</v>
      </c>
      <c r="L381" s="55" t="n">
        <v>54.07</v>
      </c>
      <c r="M381" s="55" t="n">
        <v>0.07000000000000001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RX8585</t>
        </is>
      </c>
    </row>
    <row r="382">
      <c r="A382" s="36" t="inlineStr">
        <is>
          <t>132804</t>
        </is>
      </c>
      <c r="B382" s="52" t="n">
        <v>46043</v>
      </c>
      <c r="C382" s="36" t="inlineStr">
        <is>
          <t>00169633910</t>
        </is>
      </c>
      <c r="D382" s="53" t="inlineStr">
        <is>
          <t>NOVOLOG FLEXPEN 100UNIT/ML INJECTION</t>
        </is>
      </c>
      <c r="E382" s="36" t="n">
        <v>15</v>
      </c>
      <c r="F382" s="54" t="n">
        <v>3</v>
      </c>
      <c r="G382" s="54" t="n">
        <v>0.2</v>
      </c>
      <c r="H382" s="55" t="n">
        <v>27</v>
      </c>
      <c r="I382" s="55" t="n">
        <v>21.45</v>
      </c>
      <c r="J382" s="55" t="n">
        <v>1.07</v>
      </c>
      <c r="K382" s="55" t="n">
        <v>4.9</v>
      </c>
      <c r="L382" s="55" t="n">
        <v>27.42</v>
      </c>
      <c r="M382" s="55" t="n">
        <v>0.42</v>
      </c>
      <c r="N382" s="36" t="inlineStr">
        <is>
          <t>004336</t>
        </is>
      </c>
      <c r="O382" s="36" t="inlineStr">
        <is>
          <t>CAREMARK</t>
        </is>
      </c>
      <c r="P382" s="36" t="inlineStr">
        <is>
          <t>MEDDADV</t>
        </is>
      </c>
      <c r="Q382" s="36" t="inlineStr">
        <is>
          <t>RX1110</t>
        </is>
      </c>
    </row>
    <row r="383">
      <c r="A383" s="36" t="inlineStr">
        <is>
          <t>142875</t>
        </is>
      </c>
      <c r="B383" s="52" t="n">
        <v>46064</v>
      </c>
      <c r="C383" s="36" t="inlineStr">
        <is>
          <t>00169633910</t>
        </is>
      </c>
      <c r="D383" s="53" t="inlineStr">
        <is>
          <t>NOVOLOG FLEXPEN 100UNIT/ML INJECTION</t>
        </is>
      </c>
      <c r="E383" s="36" t="n">
        <v>15</v>
      </c>
      <c r="F383" s="54" t="n">
        <v>36</v>
      </c>
      <c r="G383" s="54" t="n">
        <v>2.4</v>
      </c>
      <c r="H383" s="55" t="n">
        <v>324</v>
      </c>
      <c r="I383" s="55" t="n">
        <v>313.5</v>
      </c>
      <c r="J383" s="55" t="n">
        <v>12.85</v>
      </c>
      <c r="K383" s="55" t="n">
        <v>0</v>
      </c>
      <c r="L383" s="55" t="n">
        <v>326.35</v>
      </c>
      <c r="M383" s="55" t="n">
        <v>2.35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131111</t>
        </is>
      </c>
      <c r="B384" s="52" t="n">
        <v>46030</v>
      </c>
      <c r="C384" s="36" t="inlineStr">
        <is>
          <t>00169633910</t>
        </is>
      </c>
      <c r="D384" s="53" t="inlineStr">
        <is>
          <t>NOVOLOG FLEXPEN 100UNIT/ML INJECTION</t>
        </is>
      </c>
      <c r="E384" s="36" t="n">
        <v>15</v>
      </c>
      <c r="F384" s="54" t="n">
        <v>6</v>
      </c>
      <c r="G384" s="54" t="n">
        <v>0.4</v>
      </c>
      <c r="H384" s="55" t="n">
        <v>54</v>
      </c>
      <c r="I384" s="55" t="n">
        <v>47.03</v>
      </c>
      <c r="J384" s="55" t="n">
        <v>2.14</v>
      </c>
      <c r="K384" s="55" t="n">
        <v>4.9</v>
      </c>
      <c r="L384" s="55" t="n">
        <v>54.07</v>
      </c>
      <c r="M384" s="55" t="n">
        <v>0.07000000000000001</v>
      </c>
      <c r="N384" s="36" t="inlineStr">
        <is>
          <t>004336</t>
        </is>
      </c>
      <c r="O384" s="36" t="inlineStr">
        <is>
          <t>CAREMARK</t>
        </is>
      </c>
      <c r="P384" s="36" t="inlineStr">
        <is>
          <t>MEDDADV</t>
        </is>
      </c>
      <c r="Q384" s="36" t="inlineStr">
        <is>
          <t>RX8585</t>
        </is>
      </c>
    </row>
    <row r="385">
      <c r="A385" s="36" t="inlineStr">
        <is>
          <t>139987</t>
        </is>
      </c>
      <c r="B385" s="52" t="n">
        <v>46043</v>
      </c>
      <c r="C385" s="36" t="inlineStr">
        <is>
          <t>00169633910</t>
        </is>
      </c>
      <c r="D385" s="53" t="inlineStr">
        <is>
          <t>NOVOLOG FLEXPEN 100UNIT/ML INJECTION</t>
        </is>
      </c>
      <c r="E385" s="36" t="n">
        <v>15</v>
      </c>
      <c r="F385" s="54" t="n">
        <v>9</v>
      </c>
      <c r="G385" s="54" t="n">
        <v>0.6</v>
      </c>
      <c r="H385" s="55" t="n">
        <v>81</v>
      </c>
      <c r="I385" s="55" t="n">
        <v>78.12</v>
      </c>
      <c r="J385" s="55" t="n">
        <v>3.22</v>
      </c>
      <c r="K385" s="55" t="n">
        <v>0</v>
      </c>
      <c r="L385" s="55" t="n">
        <v>81.34</v>
      </c>
      <c r="M385" s="55" t="n">
        <v>0.34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MEDDADV</t>
        </is>
      </c>
      <c r="Q385" s="36" t="inlineStr">
        <is>
          <t>RX1110</t>
        </is>
      </c>
    </row>
    <row r="386">
      <c r="A386" s="36" t="inlineStr">
        <is>
          <t>135626</t>
        </is>
      </c>
      <c r="B386" s="52" t="n">
        <v>46037</v>
      </c>
      <c r="C386" s="36" t="inlineStr">
        <is>
          <t>00169633910</t>
        </is>
      </c>
      <c r="D386" s="53" t="inlineStr">
        <is>
          <t>NOVOLOG FLEXPEN 100UNIT/ML INJECTION</t>
        </is>
      </c>
      <c r="E386" s="36" t="n">
        <v>15</v>
      </c>
      <c r="F386" s="54" t="n">
        <v>9</v>
      </c>
      <c r="G386" s="54" t="n">
        <v>0.6</v>
      </c>
      <c r="H386" s="55" t="n">
        <v>81</v>
      </c>
      <c r="I386" s="55" t="n">
        <v>74.63</v>
      </c>
      <c r="J386" s="55" t="n">
        <v>3.22</v>
      </c>
      <c r="K386" s="55" t="n">
        <v>4.9</v>
      </c>
      <c r="L386" s="55" t="n">
        <v>82.75</v>
      </c>
      <c r="M386" s="55" t="n">
        <v>1.75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137923</t>
        </is>
      </c>
      <c r="B387" s="52" t="n">
        <v>46029</v>
      </c>
      <c r="C387" s="36" t="inlineStr">
        <is>
          <t>00169633910</t>
        </is>
      </c>
      <c r="D387" s="53" t="inlineStr">
        <is>
          <t>NOVOLOG FLEXPEN 100UNIT/ML INJECTION</t>
        </is>
      </c>
      <c r="E387" s="36" t="n">
        <v>15</v>
      </c>
      <c r="F387" s="54" t="n">
        <v>9</v>
      </c>
      <c r="G387" s="54" t="n">
        <v>0.6</v>
      </c>
      <c r="H387" s="55" t="n">
        <v>81</v>
      </c>
      <c r="I387" s="55" t="n">
        <v>73.27</v>
      </c>
      <c r="J387" s="55" t="n">
        <v>3.22</v>
      </c>
      <c r="K387" s="55" t="n">
        <v>4.9</v>
      </c>
      <c r="L387" s="55" t="n">
        <v>81.39</v>
      </c>
      <c r="M387" s="55" t="n">
        <v>0.39</v>
      </c>
      <c r="N387" s="36" t="inlineStr">
        <is>
          <t>610502</t>
        </is>
      </c>
      <c r="O387" s="36" t="inlineStr">
        <is>
          <t>CAREMARK</t>
        </is>
      </c>
      <c r="P387" s="36" t="inlineStr">
        <is>
          <t>MEDDAET</t>
        </is>
      </c>
      <c r="Q387" s="36" t="inlineStr">
        <is>
          <t>RXAETD</t>
        </is>
      </c>
    </row>
    <row r="388">
      <c r="A388" s="36" t="inlineStr">
        <is>
          <t>141516</t>
        </is>
      </c>
      <c r="B388" s="52" t="n">
        <v>46055</v>
      </c>
      <c r="C388" s="36" t="inlineStr">
        <is>
          <t>00169633910</t>
        </is>
      </c>
      <c r="D388" s="53" t="inlineStr">
        <is>
          <t>NOVOLOG FLEXPEN 100UNIT/ML INJECTION</t>
        </is>
      </c>
      <c r="E388" s="36" t="n">
        <v>15</v>
      </c>
      <c r="F388" s="54" t="n">
        <v>3</v>
      </c>
      <c r="G388" s="54" t="n">
        <v>0.2</v>
      </c>
      <c r="H388" s="55" t="n">
        <v>27</v>
      </c>
      <c r="I388" s="55" t="n">
        <v>26.35</v>
      </c>
      <c r="J388" s="55" t="n">
        <v>1.07</v>
      </c>
      <c r="K388" s="55" t="n">
        <v>0</v>
      </c>
      <c r="L388" s="55" t="n">
        <v>27.42</v>
      </c>
      <c r="M388" s="55" t="n">
        <v>0.42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135626</t>
        </is>
      </c>
      <c r="B389" s="52" t="n">
        <v>46065</v>
      </c>
      <c r="C389" s="36" t="inlineStr">
        <is>
          <t>00169633910</t>
        </is>
      </c>
      <c r="D389" s="53" t="inlineStr">
        <is>
          <t>NOVOLOG FLEXPEN 100UNIT/ML INJECTION</t>
        </is>
      </c>
      <c r="E389" s="36" t="n">
        <v>15</v>
      </c>
      <c r="F389" s="54" t="n">
        <v>9</v>
      </c>
      <c r="G389" s="54" t="n">
        <v>0.6</v>
      </c>
      <c r="H389" s="55" t="n">
        <v>81</v>
      </c>
      <c r="I389" s="55" t="n">
        <v>74.63</v>
      </c>
      <c r="J389" s="55" t="n">
        <v>3.22</v>
      </c>
      <c r="K389" s="55" t="n">
        <v>4.9</v>
      </c>
      <c r="L389" s="55" t="n">
        <v>82.75</v>
      </c>
      <c r="M389" s="55" t="n">
        <v>1.75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141796</t>
        </is>
      </c>
      <c r="B390" s="52" t="n">
        <v>46057</v>
      </c>
      <c r="C390" s="36" t="inlineStr">
        <is>
          <t>00169633910</t>
        </is>
      </c>
      <c r="D390" s="53" t="inlineStr">
        <is>
          <t>NOVOLOG FLEXPEN 100UNIT/ML INJECTION</t>
        </is>
      </c>
      <c r="E390" s="36" t="n">
        <v>15</v>
      </c>
      <c r="F390" s="54" t="n">
        <v>9</v>
      </c>
      <c r="G390" s="54" t="n">
        <v>0.6</v>
      </c>
      <c r="H390" s="55" t="n">
        <v>81</v>
      </c>
      <c r="I390" s="55" t="n">
        <v>73.27</v>
      </c>
      <c r="J390" s="55" t="n">
        <v>3.22</v>
      </c>
      <c r="K390" s="55" t="n">
        <v>4.9</v>
      </c>
      <c r="L390" s="55" t="n">
        <v>81.39</v>
      </c>
      <c r="M390" s="55" t="n">
        <v>0.39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133448</t>
        </is>
      </c>
      <c r="B391" s="52" t="n">
        <v>46046</v>
      </c>
      <c r="C391" s="36" t="inlineStr">
        <is>
          <t>00169418113</t>
        </is>
      </c>
      <c r="D391" s="53" t="inlineStr">
        <is>
          <t>OZEMPIC (0.25 OR 0.5 MG/DOSE) 2 MG/3ML PEN-INJECTOR</t>
        </is>
      </c>
      <c r="E391" s="36" t="n">
        <v>3</v>
      </c>
      <c r="F391" s="54" t="n">
        <v>3</v>
      </c>
      <c r="G391" s="54" t="n">
        <v>1</v>
      </c>
      <c r="H391" s="55" t="n">
        <v>992</v>
      </c>
      <c r="I391" s="55" t="n">
        <v>1006.25</v>
      </c>
      <c r="J391" s="55" t="n">
        <v>0</v>
      </c>
      <c r="K391" s="55" t="n">
        <v>0</v>
      </c>
      <c r="L391" s="55" t="n">
        <v>1006.25</v>
      </c>
      <c r="M391" s="55" t="n">
        <v>14.25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139274</t>
        </is>
      </c>
      <c r="B392" s="52" t="n">
        <v>46063</v>
      </c>
      <c r="C392" s="36" t="inlineStr">
        <is>
          <t>00169418113</t>
        </is>
      </c>
      <c r="D392" s="53" t="inlineStr">
        <is>
          <t>OZEMPIC (0.25 OR 0.5 MG/DOSE) 2 MG/3ML PEN-INJECTOR</t>
        </is>
      </c>
      <c r="E392" s="36" t="n">
        <v>3</v>
      </c>
      <c r="F392" s="54" t="n">
        <v>3</v>
      </c>
      <c r="G392" s="54" t="n">
        <v>1</v>
      </c>
      <c r="H392" s="55" t="n">
        <v>999</v>
      </c>
      <c r="I392" s="55" t="n">
        <v>1006.25</v>
      </c>
      <c r="J392" s="55" t="n">
        <v>0</v>
      </c>
      <c r="K392" s="55" t="n">
        <v>0</v>
      </c>
      <c r="L392" s="55" t="n">
        <v>1006.25</v>
      </c>
      <c r="M392" s="55" t="n">
        <v>7.25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133448</t>
        </is>
      </c>
      <c r="B393" s="52" t="n">
        <v>45994</v>
      </c>
      <c r="C393" s="36" t="inlineStr">
        <is>
          <t>00169418113</t>
        </is>
      </c>
      <c r="D393" s="53" t="inlineStr">
        <is>
          <t>OZEMPIC (0.25 OR 0.5 MG/DOSE) 2 MG/3ML PEN-INJECTOR</t>
        </is>
      </c>
      <c r="E393" s="36" t="n">
        <v>3</v>
      </c>
      <c r="F393" s="54" t="n">
        <v>3</v>
      </c>
      <c r="G393" s="54" t="n">
        <v>1</v>
      </c>
      <c r="H393" s="55" t="n">
        <v>960</v>
      </c>
      <c r="I393" s="55" t="n">
        <v>977.3099999999999</v>
      </c>
      <c r="J393" s="55" t="n">
        <v>0</v>
      </c>
      <c r="K393" s="55" t="n">
        <v>0</v>
      </c>
      <c r="L393" s="55" t="n">
        <v>977.3099999999999</v>
      </c>
      <c r="M393" s="55" t="n">
        <v>17.31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144393</t>
        </is>
      </c>
      <c r="B394" s="52" t="n">
        <v>46076</v>
      </c>
      <c r="C394" s="36" t="inlineStr">
        <is>
          <t>00169418113</t>
        </is>
      </c>
      <c r="D394" s="53" t="inlineStr">
        <is>
          <t>OZEMPIC (0.25 OR 0.5 MG/DOSE) 2 MG/3ML PEN-INJECTOR</t>
        </is>
      </c>
      <c r="E394" s="36" t="n">
        <v>3</v>
      </c>
      <c r="F394" s="54" t="n">
        <v>3</v>
      </c>
      <c r="G394" s="54" t="n">
        <v>1</v>
      </c>
      <c r="H394" s="55" t="n">
        <v>999</v>
      </c>
      <c r="I394" s="55" t="n">
        <v>1006.25</v>
      </c>
      <c r="J394" s="55" t="n">
        <v>0</v>
      </c>
      <c r="K394" s="55" t="n">
        <v>0</v>
      </c>
      <c r="L394" s="55" t="n">
        <v>1006.25</v>
      </c>
      <c r="M394" s="55" t="n">
        <v>7.25</v>
      </c>
      <c r="N394" s="36" t="inlineStr">
        <is>
          <t>004740</t>
        </is>
      </c>
      <c r="O394" s="36" t="inlineStr">
        <is>
          <t>NYM</t>
        </is>
      </c>
      <c r="P394" s="36" t="inlineStr">
        <is>
          <t>9314DA31</t>
        </is>
      </c>
      <c r="Q394" s="36" t="n">
        <v/>
      </c>
    </row>
    <row r="395">
      <c r="A395" s="36" t="inlineStr">
        <is>
          <t>133448</t>
        </is>
      </c>
      <c r="B395" s="52" t="n">
        <v>46071</v>
      </c>
      <c r="C395" s="36" t="inlineStr">
        <is>
          <t>00169418113</t>
        </is>
      </c>
      <c r="D395" s="53" t="inlineStr">
        <is>
          <t>OZEMPIC (0.25 OR 0.5 MG/DOSE) 2 MG/3ML PEN-INJECTOR</t>
        </is>
      </c>
      <c r="E395" s="36" t="n">
        <v>3</v>
      </c>
      <c r="F395" s="54" t="n">
        <v>3</v>
      </c>
      <c r="G395" s="54" t="n">
        <v>1</v>
      </c>
      <c r="H395" s="55" t="n">
        <v>999</v>
      </c>
      <c r="I395" s="55" t="n">
        <v>1006.25</v>
      </c>
      <c r="J395" s="55" t="n">
        <v>0</v>
      </c>
      <c r="K395" s="55" t="n">
        <v>0</v>
      </c>
      <c r="L395" s="55" t="n">
        <v>1006.25</v>
      </c>
      <c r="M395" s="55" t="n">
        <v>7.25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139274</t>
        </is>
      </c>
      <c r="B396" s="52" t="n">
        <v>46038</v>
      </c>
      <c r="C396" s="36" t="inlineStr">
        <is>
          <t>00169418113</t>
        </is>
      </c>
      <c r="D396" s="53" t="inlineStr">
        <is>
          <t>OZEMPIC (0.25 OR 0.5 MG/DOSE) 2 MG/3ML PEN-INJECTOR</t>
        </is>
      </c>
      <c r="E396" s="36" t="n">
        <v>3</v>
      </c>
      <c r="F396" s="54" t="n">
        <v>3</v>
      </c>
      <c r="G396" s="54" t="n">
        <v>1</v>
      </c>
      <c r="H396" s="55" t="n">
        <v>992</v>
      </c>
      <c r="I396" s="55" t="n">
        <v>1006.25</v>
      </c>
      <c r="J396" s="55" t="n">
        <v>0</v>
      </c>
      <c r="K396" s="55" t="n">
        <v>0</v>
      </c>
      <c r="L396" s="55" t="n">
        <v>1006.25</v>
      </c>
      <c r="M396" s="55" t="n">
        <v>14.25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143192</t>
        </is>
      </c>
      <c r="B397" s="52" t="n">
        <v>46065</v>
      </c>
      <c r="C397" s="36" t="inlineStr">
        <is>
          <t>00169418113</t>
        </is>
      </c>
      <c r="D397" s="53" t="inlineStr">
        <is>
          <t>OZEMPIC (0.25 OR 0.5 MG/DOSE) 2 MG/3ML PEN-INJECTOR</t>
        </is>
      </c>
      <c r="E397" s="36" t="n">
        <v>3</v>
      </c>
      <c r="F397" s="54" t="n">
        <v>3</v>
      </c>
      <c r="G397" s="54" t="n">
        <v>1</v>
      </c>
      <c r="H397" s="55" t="n">
        <v>999</v>
      </c>
      <c r="I397" s="55" t="n">
        <v>1006.25</v>
      </c>
      <c r="J397" s="55" t="n">
        <v>0</v>
      </c>
      <c r="K397" s="55" t="n">
        <v>0</v>
      </c>
      <c r="L397" s="55" t="n">
        <v>1006.25</v>
      </c>
      <c r="M397" s="55" t="n">
        <v>7.25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141004</t>
        </is>
      </c>
      <c r="B398" s="52" t="n">
        <v>46051</v>
      </c>
      <c r="C398" s="36" t="inlineStr">
        <is>
          <t>00169418113</t>
        </is>
      </c>
      <c r="D398" s="53" t="inlineStr">
        <is>
          <t>OZEMPIC (0.25 OR 0.5 MG/DOSE) 2 MG/3ML PEN-INJECTOR</t>
        </is>
      </c>
      <c r="E398" s="36" t="n">
        <v>3</v>
      </c>
      <c r="F398" s="54" t="n">
        <v>3</v>
      </c>
      <c r="G398" s="54" t="n">
        <v>1</v>
      </c>
      <c r="H398" s="55" t="n">
        <v>992</v>
      </c>
      <c r="I398" s="55" t="n">
        <v>1005.25</v>
      </c>
      <c r="J398" s="55" t="n">
        <v>0</v>
      </c>
      <c r="K398" s="55" t="n">
        <v>1</v>
      </c>
      <c r="L398" s="55" t="n">
        <v>1006.25</v>
      </c>
      <c r="M398" s="55" t="n">
        <v>14.25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134870</t>
        </is>
      </c>
      <c r="B399" s="52" t="n">
        <v>46051</v>
      </c>
      <c r="C399" s="36" t="inlineStr">
        <is>
          <t>00169418113</t>
        </is>
      </c>
      <c r="D399" s="53" t="inlineStr">
        <is>
          <t>OZEMPIC (0.25 OR 0.5 MG/DOSE) 2 MG/3ML PEN-INJECTOR</t>
        </is>
      </c>
      <c r="E399" s="36" t="n">
        <v>3</v>
      </c>
      <c r="F399" s="54" t="n">
        <v>3</v>
      </c>
      <c r="G399" s="54" t="n">
        <v>1</v>
      </c>
      <c r="H399" s="55" t="n">
        <v>992</v>
      </c>
      <c r="I399" s="55" t="n">
        <v>1006.25</v>
      </c>
      <c r="J399" s="55" t="n">
        <v>0</v>
      </c>
      <c r="K399" s="55" t="n">
        <v>0</v>
      </c>
      <c r="L399" s="55" t="n">
        <v>1006.25</v>
      </c>
      <c r="M399" s="55" t="n">
        <v>14.25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133025</t>
        </is>
      </c>
      <c r="B400" s="52" t="n">
        <v>46017</v>
      </c>
      <c r="C400" s="36" t="inlineStr">
        <is>
          <t>00169418113</t>
        </is>
      </c>
      <c r="D400" s="53" t="inlineStr">
        <is>
          <t>OZEMPIC (0.25 OR 0.5 MG/DOSE) 2 MG/3ML PEN-INJECTOR</t>
        </is>
      </c>
      <c r="E400" s="36" t="n">
        <v>3</v>
      </c>
      <c r="F400" s="54" t="n">
        <v>3</v>
      </c>
      <c r="G400" s="54" t="n">
        <v>1</v>
      </c>
      <c r="H400" s="55" t="n">
        <v>960</v>
      </c>
      <c r="I400" s="55" t="n">
        <v>977.24</v>
      </c>
      <c r="J400" s="55" t="n">
        <v>0</v>
      </c>
      <c r="K400" s="55" t="n">
        <v>0</v>
      </c>
      <c r="L400" s="55" t="n">
        <v>977.24</v>
      </c>
      <c r="M400" s="55" t="n">
        <v>17.24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136614</t>
        </is>
      </c>
      <c r="B401" s="52" t="n">
        <v>46017</v>
      </c>
      <c r="C401" s="36" t="inlineStr">
        <is>
          <t>00169418113</t>
        </is>
      </c>
      <c r="D401" s="53" t="inlineStr">
        <is>
          <t>OZEMPIC (0.25 OR 0.5 MG/DOSE) 2 MG/3ML PEN-INJECTOR</t>
        </is>
      </c>
      <c r="E401" s="36" t="n">
        <v>3</v>
      </c>
      <c r="F401" s="54" t="n">
        <v>3</v>
      </c>
      <c r="G401" s="54" t="n">
        <v>1</v>
      </c>
      <c r="H401" s="55" t="n">
        <v>960</v>
      </c>
      <c r="I401" s="55" t="n">
        <v>977.24</v>
      </c>
      <c r="J401" s="55" t="n">
        <v>0</v>
      </c>
      <c r="K401" s="55" t="n">
        <v>0</v>
      </c>
      <c r="L401" s="55" t="n">
        <v>977.24</v>
      </c>
      <c r="M401" s="55" t="n">
        <v>17.24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141992</t>
        </is>
      </c>
      <c r="B402" s="52" t="n">
        <v>46058</v>
      </c>
      <c r="C402" s="36" t="inlineStr">
        <is>
          <t>00169418113</t>
        </is>
      </c>
      <c r="D402" s="53" t="inlineStr">
        <is>
          <t>OZEMPIC (0.25 OR 0.5 MG/DOSE) 2 MG/3ML PEN-INJECTOR</t>
        </is>
      </c>
      <c r="E402" s="36" t="n">
        <v>3</v>
      </c>
      <c r="F402" s="54" t="n">
        <v>3</v>
      </c>
      <c r="G402" s="54" t="n">
        <v>1</v>
      </c>
      <c r="H402" s="55" t="n">
        <v>999</v>
      </c>
      <c r="I402" s="55" t="n">
        <v>1006.25</v>
      </c>
      <c r="J402" s="55" t="n">
        <v>0</v>
      </c>
      <c r="K402" s="55" t="n">
        <v>0</v>
      </c>
      <c r="L402" s="55" t="n">
        <v>1006.25</v>
      </c>
      <c r="M402" s="55" t="n">
        <v>7.25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134870</t>
        </is>
      </c>
      <c r="B403" s="52" t="n">
        <v>46003</v>
      </c>
      <c r="C403" s="36" t="inlineStr">
        <is>
          <t>00169418113</t>
        </is>
      </c>
      <c r="D403" s="53" t="inlineStr">
        <is>
          <t>OZEMPIC (0.25 OR 0.5 MG/DOSE) 2 MG/3ML PEN-INJECTOR</t>
        </is>
      </c>
      <c r="E403" s="36" t="n">
        <v>3</v>
      </c>
      <c r="F403" s="54" t="n">
        <v>3</v>
      </c>
      <c r="G403" s="54" t="n">
        <v>1</v>
      </c>
      <c r="H403" s="55" t="n">
        <v>960</v>
      </c>
      <c r="I403" s="55" t="n">
        <v>977.3099999999999</v>
      </c>
      <c r="J403" s="55" t="n">
        <v>0</v>
      </c>
      <c r="K403" s="55" t="n">
        <v>0</v>
      </c>
      <c r="L403" s="55" t="n">
        <v>977.3099999999999</v>
      </c>
      <c r="M403" s="55" t="n">
        <v>17.31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101815</t>
        </is>
      </c>
      <c r="B404" s="52" t="n">
        <v>46003</v>
      </c>
      <c r="C404" s="36" t="inlineStr">
        <is>
          <t>00169418113</t>
        </is>
      </c>
      <c r="D404" s="53" t="inlineStr">
        <is>
          <t>OZEMPIC (0.25 OR 0.5 MG/DOSE) 2 MG/3ML PEN-INJECTOR</t>
        </is>
      </c>
      <c r="E404" s="36" t="n">
        <v>3</v>
      </c>
      <c r="F404" s="54" t="n">
        <v>9</v>
      </c>
      <c r="G404" s="54" t="n">
        <v>3</v>
      </c>
      <c r="H404" s="55" t="n">
        <v>2880</v>
      </c>
      <c r="I404" s="55" t="n">
        <v>2911.56</v>
      </c>
      <c r="J404" s="55" t="n">
        <v>0</v>
      </c>
      <c r="K404" s="55" t="n">
        <v>0</v>
      </c>
      <c r="L404" s="55" t="n">
        <v>2911.56</v>
      </c>
      <c r="M404" s="55" t="n">
        <v>31.56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133448</t>
        </is>
      </c>
      <c r="B405" s="52" t="n">
        <v>46020</v>
      </c>
      <c r="C405" s="36" t="inlineStr">
        <is>
          <t>00169418113</t>
        </is>
      </c>
      <c r="D405" s="53" t="inlineStr">
        <is>
          <t>OZEMPIC (0.25 OR 0.5 MG/DOSE) 2 MG/3ML PEN-INJECTOR</t>
        </is>
      </c>
      <c r="E405" s="36" t="n">
        <v>3</v>
      </c>
      <c r="F405" s="54" t="n">
        <v>3</v>
      </c>
      <c r="G405" s="54" t="n">
        <v>1</v>
      </c>
      <c r="H405" s="55" t="n">
        <v>960</v>
      </c>
      <c r="I405" s="55" t="n">
        <v>977.24</v>
      </c>
      <c r="J405" s="55" t="n">
        <v>0</v>
      </c>
      <c r="K405" s="55" t="n">
        <v>0</v>
      </c>
      <c r="L405" s="55" t="n">
        <v>977.24</v>
      </c>
      <c r="M405" s="55" t="n">
        <v>17.24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140624</t>
        </is>
      </c>
      <c r="B406" s="52" t="n">
        <v>46049</v>
      </c>
      <c r="C406" s="36" t="inlineStr">
        <is>
          <t>00169418113</t>
        </is>
      </c>
      <c r="D406" s="53" t="inlineStr">
        <is>
          <t>OZEMPIC (0.25 OR 0.5 MG/DOSE) 2 MG/3ML PEN-INJECTOR</t>
        </is>
      </c>
      <c r="E406" s="36" t="n">
        <v>3</v>
      </c>
      <c r="F406" s="54" t="n">
        <v>3</v>
      </c>
      <c r="G406" s="54" t="n">
        <v>1</v>
      </c>
      <c r="H406" s="55" t="n">
        <v>992</v>
      </c>
      <c r="I406" s="55" t="n">
        <v>1006.25</v>
      </c>
      <c r="J406" s="55" t="n">
        <v>0</v>
      </c>
      <c r="K406" s="55" t="n">
        <v>0</v>
      </c>
      <c r="L406" s="55" t="n">
        <v>1006.25</v>
      </c>
      <c r="M406" s="55" t="n">
        <v>14.25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134870</t>
        </is>
      </c>
      <c r="B407" s="52" t="n">
        <v>46077</v>
      </c>
      <c r="C407" s="36" t="inlineStr">
        <is>
          <t>00169418113</t>
        </is>
      </c>
      <c r="D407" s="53" t="inlineStr">
        <is>
          <t>OZEMPIC (0.25 OR 0.5 MG/DOSE) 2 MG/3ML PEN-INJECTOR</t>
        </is>
      </c>
      <c r="E407" s="36" t="n">
        <v>3</v>
      </c>
      <c r="F407" s="54" t="n">
        <v>3</v>
      </c>
      <c r="G407" s="54" t="n">
        <v>1</v>
      </c>
      <c r="H407" s="55" t="n">
        <v>999</v>
      </c>
      <c r="I407" s="55" t="n">
        <v>1006.25</v>
      </c>
      <c r="J407" s="55" t="n">
        <v>0</v>
      </c>
      <c r="K407" s="55" t="n">
        <v>0</v>
      </c>
      <c r="L407" s="55" t="n">
        <v>1006.25</v>
      </c>
      <c r="M407" s="55" t="n">
        <v>7.25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141004</t>
        </is>
      </c>
      <c r="B408" s="52" t="n">
        <v>46077</v>
      </c>
      <c r="C408" s="36" t="inlineStr">
        <is>
          <t>00169418113</t>
        </is>
      </c>
      <c r="D408" s="53" t="inlineStr">
        <is>
          <t>OZEMPIC (0.25 OR 0.5 MG/DOSE) 2 MG/3ML PEN-INJECTOR</t>
        </is>
      </c>
      <c r="E408" s="36" t="n">
        <v>3</v>
      </c>
      <c r="F408" s="54" t="n">
        <v>3</v>
      </c>
      <c r="G408" s="54" t="n">
        <v>1</v>
      </c>
      <c r="H408" s="55" t="n">
        <v>999</v>
      </c>
      <c r="I408" s="55" t="n">
        <v>1005.25</v>
      </c>
      <c r="J408" s="55" t="n">
        <v>0</v>
      </c>
      <c r="K408" s="55" t="n">
        <v>1</v>
      </c>
      <c r="L408" s="55" t="n">
        <v>1006.25</v>
      </c>
      <c r="M408" s="55" t="n">
        <v>7.25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137408</t>
        </is>
      </c>
      <c r="B409" s="52" t="n">
        <v>46052</v>
      </c>
      <c r="C409" s="36" t="inlineStr">
        <is>
          <t>00169413013</t>
        </is>
      </c>
      <c r="D409" s="53" t="inlineStr">
        <is>
          <t>OZEMPIC (1 MG/DOSE) 4MG/3ML INJECTION</t>
        </is>
      </c>
      <c r="E409" s="36" t="n">
        <v>3</v>
      </c>
      <c r="F409" s="54" t="n">
        <v>3</v>
      </c>
      <c r="G409" s="54" t="n">
        <v>1</v>
      </c>
      <c r="H409" s="55" t="n">
        <v>992</v>
      </c>
      <c r="I409" s="55" t="n">
        <v>1006.16</v>
      </c>
      <c r="J409" s="55" t="n">
        <v>0</v>
      </c>
      <c r="K409" s="55" t="n">
        <v>0</v>
      </c>
      <c r="L409" s="55" t="n">
        <v>1006.16</v>
      </c>
      <c r="M409" s="55" t="n">
        <v>14.16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120083</t>
        </is>
      </c>
      <c r="B410" s="52" t="n">
        <v>46055</v>
      </c>
      <c r="C410" s="36" t="inlineStr">
        <is>
          <t>00169413013</t>
        </is>
      </c>
      <c r="D410" s="53" t="inlineStr">
        <is>
          <t>OZEMPIC (1 MG/DOSE) 4MG/3ML INJECTION</t>
        </is>
      </c>
      <c r="E410" s="36" t="n">
        <v>3</v>
      </c>
      <c r="F410" s="54" t="n">
        <v>9</v>
      </c>
      <c r="G410" s="54" t="n">
        <v>3</v>
      </c>
      <c r="H410" s="55" t="n">
        <v>2997</v>
      </c>
      <c r="I410" s="55" t="n">
        <v>2998.12</v>
      </c>
      <c r="J410" s="55" t="n">
        <v>0</v>
      </c>
      <c r="K410" s="55" t="n">
        <v>0</v>
      </c>
      <c r="L410" s="55" t="n">
        <v>2998.12</v>
      </c>
      <c r="M410" s="55" t="n">
        <v>1.12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134418</t>
        </is>
      </c>
      <c r="B411" s="52" t="n">
        <v>46000</v>
      </c>
      <c r="C411" s="36" t="inlineStr">
        <is>
          <t>00169413013</t>
        </is>
      </c>
      <c r="D411" s="53" t="inlineStr">
        <is>
          <t>OZEMPIC (1 MG/DOSE) 4MG/3ML INJECTION</t>
        </is>
      </c>
      <c r="E411" s="36" t="n">
        <v>3</v>
      </c>
      <c r="F411" s="54" t="n">
        <v>9</v>
      </c>
      <c r="G411" s="54" t="n">
        <v>3</v>
      </c>
      <c r="H411" s="55" t="n">
        <v>2880</v>
      </c>
      <c r="I411" s="55" t="n">
        <v>2911.19</v>
      </c>
      <c r="J411" s="55" t="n">
        <v>0</v>
      </c>
      <c r="K411" s="55" t="n">
        <v>0</v>
      </c>
      <c r="L411" s="55" t="n">
        <v>2911.19</v>
      </c>
      <c r="M411" s="55" t="n">
        <v>31.19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116098</t>
        </is>
      </c>
      <c r="B412" s="52" t="n">
        <v>45999</v>
      </c>
      <c r="C412" s="36" t="inlineStr">
        <is>
          <t>00169413013</t>
        </is>
      </c>
      <c r="D412" s="53" t="inlineStr">
        <is>
          <t>OZEMPIC (1 MG/DOSE) 4MG/3ML INJECTION</t>
        </is>
      </c>
      <c r="E412" s="36" t="n">
        <v>3</v>
      </c>
      <c r="F412" s="54" t="n">
        <v>3</v>
      </c>
      <c r="G412" s="54" t="n">
        <v>1</v>
      </c>
      <c r="H412" s="55" t="n">
        <v>960</v>
      </c>
      <c r="I412" s="55" t="n">
        <v>977.1799999999999</v>
      </c>
      <c r="J412" s="55" t="n">
        <v>0</v>
      </c>
      <c r="K412" s="55" t="n">
        <v>0</v>
      </c>
      <c r="L412" s="55" t="n">
        <v>977.1799999999999</v>
      </c>
      <c r="M412" s="55" t="n">
        <v>17.18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123373</t>
        </is>
      </c>
      <c r="B413" s="52" t="n">
        <v>45997</v>
      </c>
      <c r="C413" s="36" t="inlineStr">
        <is>
          <t>00169413013</t>
        </is>
      </c>
      <c r="D413" s="53" t="inlineStr">
        <is>
          <t>OZEMPIC (1 MG/DOSE) 4MG/3ML INJECTION</t>
        </is>
      </c>
      <c r="E413" s="36" t="n">
        <v>3</v>
      </c>
      <c r="F413" s="54" t="n">
        <v>9</v>
      </c>
      <c r="G413" s="54" t="n">
        <v>3</v>
      </c>
      <c r="H413" s="55" t="n">
        <v>2880</v>
      </c>
      <c r="I413" s="55" t="n">
        <v>2910.19</v>
      </c>
      <c r="J413" s="55" t="n">
        <v>0</v>
      </c>
      <c r="K413" s="55" t="n">
        <v>1</v>
      </c>
      <c r="L413" s="55" t="n">
        <v>2911.19</v>
      </c>
      <c r="M413" s="55" t="n">
        <v>31.19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128716</t>
        </is>
      </c>
      <c r="B414" s="52" t="n">
        <v>46045</v>
      </c>
      <c r="C414" s="36" t="inlineStr">
        <is>
          <t>00169477212</t>
        </is>
      </c>
      <c r="D414" s="53" t="inlineStr">
        <is>
          <t>OZEMPIC (2 MG/DOSE) 8 MG/3ML PEN-INJECTOR</t>
        </is>
      </c>
      <c r="E414" s="36" t="n">
        <v>3</v>
      </c>
      <c r="F414" s="54" t="n">
        <v>9</v>
      </c>
      <c r="G414" s="54" t="n">
        <v>3</v>
      </c>
      <c r="H414" s="55" t="n">
        <v>2976</v>
      </c>
      <c r="I414" s="55" t="n">
        <v>2997.79</v>
      </c>
      <c r="J414" s="55" t="n">
        <v>0</v>
      </c>
      <c r="K414" s="55" t="n">
        <v>0</v>
      </c>
      <c r="L414" s="55" t="n">
        <v>2997.79</v>
      </c>
      <c r="M414" s="55" t="n">
        <v>21.79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139580</t>
        </is>
      </c>
      <c r="B415" s="52" t="n">
        <v>46041</v>
      </c>
      <c r="C415" s="36" t="inlineStr">
        <is>
          <t>00169477212</t>
        </is>
      </c>
      <c r="D415" s="53" t="inlineStr">
        <is>
          <t>OZEMPIC (2 MG/DOSE) 8 MG/3ML PEN-INJECTOR</t>
        </is>
      </c>
      <c r="E415" s="36" t="n">
        <v>3</v>
      </c>
      <c r="F415" s="54" t="n">
        <v>3</v>
      </c>
      <c r="G415" s="54" t="n">
        <v>1</v>
      </c>
      <c r="H415" s="55" t="n">
        <v>992</v>
      </c>
      <c r="I415" s="55" t="n">
        <v>1006.05</v>
      </c>
      <c r="J415" s="55" t="n">
        <v>0</v>
      </c>
      <c r="K415" s="55" t="n">
        <v>0</v>
      </c>
      <c r="L415" s="55" t="n">
        <v>1006.05</v>
      </c>
      <c r="M415" s="55" t="n">
        <v>14.05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142840</t>
        </is>
      </c>
      <c r="B416" s="52" t="n">
        <v>46064</v>
      </c>
      <c r="C416" s="36" t="inlineStr">
        <is>
          <t>00169477212</t>
        </is>
      </c>
      <c r="D416" s="53" t="inlineStr">
        <is>
          <t>OZEMPIC (2 MG/DOSE) 8 MG/3ML PEN-INJECTOR</t>
        </is>
      </c>
      <c r="E416" s="36" t="n">
        <v>3</v>
      </c>
      <c r="F416" s="54" t="n">
        <v>3</v>
      </c>
      <c r="G416" s="54" t="n">
        <v>1</v>
      </c>
      <c r="H416" s="55" t="n">
        <v>999</v>
      </c>
      <c r="I416" s="55" t="n">
        <v>1006.05</v>
      </c>
      <c r="J416" s="55" t="n">
        <v>0</v>
      </c>
      <c r="K416" s="55" t="n">
        <v>0</v>
      </c>
      <c r="L416" s="55" t="n">
        <v>1006.05</v>
      </c>
      <c r="M416" s="55" t="n">
        <v>7.05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135018</t>
        </is>
      </c>
      <c r="B417" s="52" t="n">
        <v>46006</v>
      </c>
      <c r="C417" s="36" t="inlineStr">
        <is>
          <t>00169477212</t>
        </is>
      </c>
      <c r="D417" s="53" t="inlineStr">
        <is>
          <t>OZEMPIC (2 MG/DOSE) 8 MG/3ML PEN-INJECTOR</t>
        </is>
      </c>
      <c r="E417" s="36" t="n">
        <v>3</v>
      </c>
      <c r="F417" s="54" t="n">
        <v>3</v>
      </c>
      <c r="G417" s="54" t="n">
        <v>1</v>
      </c>
      <c r="H417" s="55" t="n">
        <v>960</v>
      </c>
      <c r="I417" s="55" t="n">
        <v>977.08</v>
      </c>
      <c r="J417" s="55" t="n">
        <v>0</v>
      </c>
      <c r="K417" s="55" t="n">
        <v>0</v>
      </c>
      <c r="L417" s="55" t="n">
        <v>977.08</v>
      </c>
      <c r="M417" s="55" t="n">
        <v>17.08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139580</t>
        </is>
      </c>
      <c r="B418" s="52" t="n">
        <v>46066</v>
      </c>
      <c r="C418" s="36" t="inlineStr">
        <is>
          <t>00169477212</t>
        </is>
      </c>
      <c r="D418" s="53" t="inlineStr">
        <is>
          <t>OZEMPIC (2 MG/DOSE) 8 MG/3ML PEN-INJECTOR</t>
        </is>
      </c>
      <c r="E418" s="36" t="n">
        <v>3</v>
      </c>
      <c r="F418" s="54" t="n">
        <v>3</v>
      </c>
      <c r="G418" s="54" t="n">
        <v>1</v>
      </c>
      <c r="H418" s="55" t="n">
        <v>999</v>
      </c>
      <c r="I418" s="55" t="n">
        <v>1006.05</v>
      </c>
      <c r="J418" s="55" t="n">
        <v>0</v>
      </c>
      <c r="K418" s="55" t="n">
        <v>0</v>
      </c>
      <c r="L418" s="55" t="n">
        <v>1006.05</v>
      </c>
      <c r="M418" s="55" t="n">
        <v>7.05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129233</t>
        </is>
      </c>
      <c r="B419" s="52" t="n">
        <v>46013</v>
      </c>
      <c r="C419" s="36" t="inlineStr">
        <is>
          <t>00169477212</t>
        </is>
      </c>
      <c r="D419" s="53" t="inlineStr">
        <is>
          <t>OZEMPIC (2 MG/DOSE) 8 MG/3ML PEN-INJECTOR</t>
        </is>
      </c>
      <c r="E419" s="36" t="n">
        <v>3</v>
      </c>
      <c r="F419" s="54" t="n">
        <v>3</v>
      </c>
      <c r="G419" s="54" t="n">
        <v>1</v>
      </c>
      <c r="H419" s="55" t="n">
        <v>960</v>
      </c>
      <c r="I419" s="55" t="n">
        <v>977.08</v>
      </c>
      <c r="J419" s="55" t="n">
        <v>0</v>
      </c>
      <c r="K419" s="55" t="n">
        <v>0</v>
      </c>
      <c r="L419" s="55" t="n">
        <v>977.08</v>
      </c>
      <c r="M419" s="55" t="n">
        <v>17.08</v>
      </c>
      <c r="N419" s="36" t="inlineStr">
        <is>
          <t>004740</t>
        </is>
      </c>
      <c r="O419" s="36" t="inlineStr">
        <is>
          <t>NYM</t>
        </is>
      </c>
      <c r="P419" s="36" t="inlineStr">
        <is>
          <t>9314DA31</t>
        </is>
      </c>
      <c r="Q419" s="36" t="n">
        <v/>
      </c>
    </row>
    <row r="420">
      <c r="A420" s="36" t="inlineStr">
        <is>
          <t>135018</t>
        </is>
      </c>
      <c r="B420" s="52" t="n">
        <v>46059</v>
      </c>
      <c r="C420" s="36" t="inlineStr">
        <is>
          <t>00169477212</t>
        </is>
      </c>
      <c r="D420" s="53" t="inlineStr">
        <is>
          <t>OZEMPIC (2 MG/DOSE) 8 MG/3ML PEN-INJECTOR</t>
        </is>
      </c>
      <c r="E420" s="36" t="n">
        <v>3</v>
      </c>
      <c r="F420" s="54" t="n">
        <v>3</v>
      </c>
      <c r="G420" s="54" t="n">
        <v>1</v>
      </c>
      <c r="H420" s="55" t="n">
        <v>999</v>
      </c>
      <c r="I420" s="55" t="n">
        <v>1006.05</v>
      </c>
      <c r="J420" s="55" t="n">
        <v>0</v>
      </c>
      <c r="K420" s="55" t="n">
        <v>0</v>
      </c>
      <c r="L420" s="55" t="n">
        <v>1006.05</v>
      </c>
      <c r="M420" s="55" t="n">
        <v>7.05</v>
      </c>
      <c r="N420" s="36" t="inlineStr">
        <is>
          <t>004740</t>
        </is>
      </c>
      <c r="O420" s="36" t="inlineStr">
        <is>
          <t>NYM</t>
        </is>
      </c>
      <c r="P420" s="36" t="inlineStr">
        <is>
          <t>9314DA31</t>
        </is>
      </c>
      <c r="Q420" s="36" t="n">
        <v/>
      </c>
    </row>
    <row r="421">
      <c r="A421" s="36" t="inlineStr">
        <is>
          <t>124380</t>
        </is>
      </c>
      <c r="B421" s="52" t="n">
        <v>45999</v>
      </c>
      <c r="C421" s="36" t="inlineStr">
        <is>
          <t>00046087221</t>
        </is>
      </c>
      <c r="D421" s="53" t="inlineStr">
        <is>
          <t>PREMARIN 0.625 MG/GM VAGINAL CREAM</t>
        </is>
      </c>
      <c r="E421" s="36" t="n">
        <v>30</v>
      </c>
      <c r="F421" s="54" t="n">
        <v>30</v>
      </c>
      <c r="G421" s="54" t="n">
        <v>1</v>
      </c>
      <c r="H421" s="55" t="n">
        <v>444</v>
      </c>
      <c r="I421" s="55" t="n">
        <v>462.8</v>
      </c>
      <c r="J421" s="55" t="n">
        <v>0</v>
      </c>
      <c r="K421" s="55" t="n">
        <v>0</v>
      </c>
      <c r="L421" s="55" t="n">
        <v>462.8</v>
      </c>
      <c r="M421" s="55" t="n">
        <v>18.8</v>
      </c>
      <c r="N421" s="36" t="inlineStr">
        <is>
          <t>610097</t>
        </is>
      </c>
      <c r="O421" s="36" t="inlineStr">
        <is>
          <t>OPTUM</t>
        </is>
      </c>
      <c r="P421" s="36" t="inlineStr">
        <is>
          <t>9999</t>
        </is>
      </c>
      <c r="Q421" s="36" t="n">
        <v/>
      </c>
    </row>
    <row r="422">
      <c r="A422" s="36" t="inlineStr">
        <is>
          <t>141276</t>
        </is>
      </c>
      <c r="B422" s="52" t="n">
        <v>46052</v>
      </c>
      <c r="C422" s="36" t="inlineStr">
        <is>
          <t>00046087221</t>
        </is>
      </c>
      <c r="D422" s="53" t="inlineStr">
        <is>
          <t>PREMARIN 0.625 MG/GM VAGINAL CREAM</t>
        </is>
      </c>
      <c r="E422" s="36" t="n">
        <v>30</v>
      </c>
      <c r="F422" s="54" t="n">
        <v>30</v>
      </c>
      <c r="G422" s="54" t="n">
        <v>1</v>
      </c>
      <c r="H422" s="55" t="n">
        <v>444</v>
      </c>
      <c r="I422" s="55" t="n">
        <v>463.15</v>
      </c>
      <c r="J422" s="55" t="n">
        <v>0</v>
      </c>
      <c r="K422" s="55" t="n">
        <v>0</v>
      </c>
      <c r="L422" s="55" t="n">
        <v>463.15</v>
      </c>
      <c r="M422" s="55" t="n">
        <v>19.15</v>
      </c>
      <c r="N422" s="36" t="inlineStr">
        <is>
          <t>004740</t>
        </is>
      </c>
      <c r="O422" s="36" t="inlineStr">
        <is>
          <t>NYM</t>
        </is>
      </c>
      <c r="P422" s="36" t="inlineStr">
        <is>
          <t>9314DA31</t>
        </is>
      </c>
      <c r="Q422" s="36" t="n">
        <v/>
      </c>
    </row>
    <row r="423">
      <c r="A423" s="36" t="inlineStr">
        <is>
          <t>134072</t>
        </is>
      </c>
      <c r="B423" s="52" t="n">
        <v>45997</v>
      </c>
      <c r="C423" s="36" t="inlineStr">
        <is>
          <t>17772013230</t>
        </is>
      </c>
      <c r="D423" s="53" t="inlineStr">
        <is>
          <t>QELBREE 150MG CAPSULE ER</t>
        </is>
      </c>
      <c r="E423" s="36" t="n">
        <v>30</v>
      </c>
      <c r="F423" s="54" t="n">
        <v>30</v>
      </c>
      <c r="G423" s="54" t="n">
        <v>1</v>
      </c>
      <c r="H423" s="55" t="n">
        <v>363</v>
      </c>
      <c r="I423" s="55" t="n">
        <v>370.77</v>
      </c>
      <c r="J423" s="55" t="n">
        <v>0</v>
      </c>
      <c r="K423" s="55" t="n">
        <v>0</v>
      </c>
      <c r="L423" s="55" t="n">
        <v>370.77</v>
      </c>
      <c r="M423" s="55" t="n">
        <v>7.77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119745</t>
        </is>
      </c>
      <c r="B424" s="52" t="n">
        <v>46056</v>
      </c>
      <c r="C424" s="36" t="inlineStr">
        <is>
          <t>00023916360</t>
        </is>
      </c>
      <c r="D424" s="53" t="inlineStr">
        <is>
          <t xml:space="preserve">RESTASIS 0.05% EMULSION </t>
        </is>
      </c>
      <c r="E424" s="36" t="n">
        <v>60</v>
      </c>
      <c r="F424" s="54" t="n">
        <v>60</v>
      </c>
      <c r="G424" s="54" t="n">
        <v>1</v>
      </c>
      <c r="H424" s="55" t="n">
        <v>628</v>
      </c>
      <c r="I424" s="55" t="n">
        <v>629.65</v>
      </c>
      <c r="J424" s="55" t="n">
        <v>0</v>
      </c>
      <c r="K424" s="55" t="n">
        <v>0</v>
      </c>
      <c r="L424" s="55" t="n">
        <v>629.65</v>
      </c>
      <c r="M424" s="55" t="n">
        <v>1.65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127392</t>
        </is>
      </c>
      <c r="B425" s="52" t="n">
        <v>46002</v>
      </c>
      <c r="C425" s="36" t="inlineStr">
        <is>
          <t>00023916360</t>
        </is>
      </c>
      <c r="D425" s="53" t="inlineStr">
        <is>
          <t xml:space="preserve">RESTASIS 0.05% EMULSION </t>
        </is>
      </c>
      <c r="E425" s="36" t="n">
        <v>60</v>
      </c>
      <c r="F425" s="54" t="n">
        <v>60</v>
      </c>
      <c r="G425" s="54" t="n">
        <v>1</v>
      </c>
      <c r="H425" s="55" t="n">
        <v>621</v>
      </c>
      <c r="I425" s="55" t="n">
        <v>629.66</v>
      </c>
      <c r="J425" s="55" t="n">
        <v>0</v>
      </c>
      <c r="K425" s="55" t="n">
        <v>0</v>
      </c>
      <c r="L425" s="55" t="n">
        <v>629.66</v>
      </c>
      <c r="M425" s="55" t="n">
        <v>8.66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127850</t>
        </is>
      </c>
      <c r="B426" s="52" t="n">
        <v>46034</v>
      </c>
      <c r="C426" s="36" t="inlineStr">
        <is>
          <t>00023916360</t>
        </is>
      </c>
      <c r="D426" s="53" t="inlineStr">
        <is>
          <t xml:space="preserve">RESTASIS 0.05% EMULSION </t>
        </is>
      </c>
      <c r="E426" s="36" t="n">
        <v>60</v>
      </c>
      <c r="F426" s="54" t="n">
        <v>60</v>
      </c>
      <c r="G426" s="54" t="n">
        <v>1</v>
      </c>
      <c r="H426" s="55" t="n">
        <v>621</v>
      </c>
      <c r="I426" s="55" t="n">
        <v>609.4299999999999</v>
      </c>
      <c r="J426" s="55" t="n">
        <v>0</v>
      </c>
      <c r="K426" s="55" t="n">
        <v>15</v>
      </c>
      <c r="L426" s="55" t="n">
        <v>624.4299999999999</v>
      </c>
      <c r="M426" s="55" t="n">
        <v>3.43</v>
      </c>
      <c r="N426" s="36" t="inlineStr">
        <is>
          <t>610011</t>
        </is>
      </c>
      <c r="O426" s="36" t="inlineStr">
        <is>
          <t>OPTUM</t>
        </is>
      </c>
      <c r="P426" s="36" t="inlineStr">
        <is>
          <t>IRX</t>
        </is>
      </c>
      <c r="Q426" s="36" t="inlineStr">
        <is>
          <t>UCBF</t>
        </is>
      </c>
    </row>
    <row r="427">
      <c r="A427" s="36" t="inlineStr">
        <is>
          <t>127392</t>
        </is>
      </c>
      <c r="B427" s="52" t="n">
        <v>46029</v>
      </c>
      <c r="C427" s="36" t="inlineStr">
        <is>
          <t>00023916360</t>
        </is>
      </c>
      <c r="D427" s="53" t="inlineStr">
        <is>
          <t xml:space="preserve">RESTASIS 0.05% EMULSION </t>
        </is>
      </c>
      <c r="E427" s="36" t="n">
        <v>60</v>
      </c>
      <c r="F427" s="54" t="n">
        <v>60</v>
      </c>
      <c r="G427" s="54" t="n">
        <v>1</v>
      </c>
      <c r="H427" s="55" t="n">
        <v>621</v>
      </c>
      <c r="I427" s="55" t="n">
        <v>629.67</v>
      </c>
      <c r="J427" s="55" t="n">
        <v>0</v>
      </c>
      <c r="K427" s="55" t="n">
        <v>0</v>
      </c>
      <c r="L427" s="55" t="n">
        <v>629.67</v>
      </c>
      <c r="M427" s="55" t="n">
        <v>8.67</v>
      </c>
      <c r="N427" s="36" t="inlineStr">
        <is>
          <t>004740</t>
        </is>
      </c>
      <c r="O427" s="36" t="inlineStr">
        <is>
          <t>NYM</t>
        </is>
      </c>
      <c r="P427" s="36" t="inlineStr">
        <is>
          <t>9314DA31</t>
        </is>
      </c>
      <c r="Q427" s="36" t="n">
        <v/>
      </c>
    </row>
    <row r="428">
      <c r="A428" s="36" t="inlineStr">
        <is>
          <t>127850</t>
        </is>
      </c>
      <c r="B428" s="52" t="n">
        <v>46006</v>
      </c>
      <c r="C428" s="36" t="inlineStr">
        <is>
          <t>00023916360</t>
        </is>
      </c>
      <c r="D428" s="53" t="inlineStr">
        <is>
          <t xml:space="preserve">RESTASIS 0.05% EMULSION </t>
        </is>
      </c>
      <c r="E428" s="36" t="n">
        <v>60</v>
      </c>
      <c r="F428" s="54" t="n">
        <v>60</v>
      </c>
      <c r="G428" s="54" t="n">
        <v>1</v>
      </c>
      <c r="H428" s="55" t="n">
        <v>621</v>
      </c>
      <c r="I428" s="55" t="n">
        <v>609.4299999999999</v>
      </c>
      <c r="J428" s="55" t="n">
        <v>0</v>
      </c>
      <c r="K428" s="55" t="n">
        <v>15</v>
      </c>
      <c r="L428" s="55" t="n">
        <v>624.4299999999999</v>
      </c>
      <c r="M428" s="55" t="n">
        <v>3.43</v>
      </c>
      <c r="N428" s="36" t="inlineStr">
        <is>
          <t>610011</t>
        </is>
      </c>
      <c r="O428" s="36" t="inlineStr">
        <is>
          <t>OPTUM</t>
        </is>
      </c>
      <c r="P428" s="36" t="inlineStr">
        <is>
          <t>IRX</t>
        </is>
      </c>
      <c r="Q428" s="36" t="inlineStr">
        <is>
          <t>UCBF</t>
        </is>
      </c>
    </row>
    <row r="429">
      <c r="A429" s="36" t="inlineStr">
        <is>
          <t>115737</t>
        </is>
      </c>
      <c r="B429" s="52" t="n">
        <v>46029</v>
      </c>
      <c r="C429" s="36" t="inlineStr">
        <is>
          <t>00023916360</t>
        </is>
      </c>
      <c r="D429" s="53" t="inlineStr">
        <is>
          <t xml:space="preserve">RESTASIS 0.05% EMULSION </t>
        </is>
      </c>
      <c r="E429" s="36" t="n">
        <v>60</v>
      </c>
      <c r="F429" s="54" t="n">
        <v>180</v>
      </c>
      <c r="G429" s="54" t="n">
        <v>3</v>
      </c>
      <c r="H429" s="55" t="n">
        <v>1863</v>
      </c>
      <c r="I429" s="55" t="n">
        <v>1867.65</v>
      </c>
      <c r="J429" s="55" t="n">
        <v>0</v>
      </c>
      <c r="K429" s="55" t="n">
        <v>1</v>
      </c>
      <c r="L429" s="55" t="n">
        <v>1868.65</v>
      </c>
      <c r="M429" s="55" t="n">
        <v>5.65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119745</t>
        </is>
      </c>
      <c r="B430" s="52" t="n">
        <v>46000</v>
      </c>
      <c r="C430" s="36" t="inlineStr">
        <is>
          <t>00023916360</t>
        </is>
      </c>
      <c r="D430" s="53" t="inlineStr">
        <is>
          <t xml:space="preserve">RESTASIS 0.05% EMULSION </t>
        </is>
      </c>
      <c r="E430" s="36" t="n">
        <v>60</v>
      </c>
      <c r="F430" s="54" t="n">
        <v>60</v>
      </c>
      <c r="G430" s="54" t="n">
        <v>1</v>
      </c>
      <c r="H430" s="55" t="n">
        <v>621</v>
      </c>
      <c r="I430" s="55" t="n">
        <v>629.66</v>
      </c>
      <c r="J430" s="55" t="n">
        <v>0</v>
      </c>
      <c r="K430" s="55" t="n">
        <v>0</v>
      </c>
      <c r="L430" s="55" t="n">
        <v>629.66</v>
      </c>
      <c r="M430" s="55" t="n">
        <v>8.66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117506</t>
        </is>
      </c>
      <c r="B431" s="52" t="n">
        <v>46048</v>
      </c>
      <c r="C431" s="36" t="inlineStr">
        <is>
          <t>00023916360</t>
        </is>
      </c>
      <c r="D431" s="53" t="inlineStr">
        <is>
          <t xml:space="preserve">RESTASIS 0.05% EMULSION </t>
        </is>
      </c>
      <c r="E431" s="36" t="n">
        <v>60</v>
      </c>
      <c r="F431" s="54" t="n">
        <v>180</v>
      </c>
      <c r="G431" s="54" t="n">
        <v>3</v>
      </c>
      <c r="H431" s="55" t="n">
        <v>1863</v>
      </c>
      <c r="I431" s="55" t="n">
        <v>1868.65</v>
      </c>
      <c r="J431" s="55" t="n">
        <v>0</v>
      </c>
      <c r="K431" s="55" t="n">
        <v>0</v>
      </c>
      <c r="L431" s="55" t="n">
        <v>1868.65</v>
      </c>
      <c r="M431" s="55" t="n">
        <v>5.65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n">
        <v/>
      </c>
    </row>
    <row r="432">
      <c r="A432" s="36" t="inlineStr">
        <is>
          <t>127392</t>
        </is>
      </c>
      <c r="B432" s="52" t="n">
        <v>46056</v>
      </c>
      <c r="C432" s="36" t="inlineStr">
        <is>
          <t>00023916360</t>
        </is>
      </c>
      <c r="D432" s="53" t="inlineStr">
        <is>
          <t xml:space="preserve">RESTASIS 0.05% EMULSION </t>
        </is>
      </c>
      <c r="E432" s="36" t="n">
        <v>60</v>
      </c>
      <c r="F432" s="54" t="n">
        <v>60</v>
      </c>
      <c r="G432" s="54" t="n">
        <v>1</v>
      </c>
      <c r="H432" s="55" t="n">
        <v>628</v>
      </c>
      <c r="I432" s="55" t="n">
        <v>629.65</v>
      </c>
      <c r="J432" s="55" t="n">
        <v>0</v>
      </c>
      <c r="K432" s="55" t="n">
        <v>0</v>
      </c>
      <c r="L432" s="55" t="n">
        <v>629.65</v>
      </c>
      <c r="M432" s="55" t="n">
        <v>1.65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138591</t>
        </is>
      </c>
      <c r="B433" s="52" t="n">
        <v>46034</v>
      </c>
      <c r="C433" s="36" t="inlineStr">
        <is>
          <t>00023916360</t>
        </is>
      </c>
      <c r="D433" s="53" t="inlineStr">
        <is>
          <t xml:space="preserve">RESTASIS 0.05% EMULSION </t>
        </is>
      </c>
      <c r="E433" s="36" t="n">
        <v>60</v>
      </c>
      <c r="F433" s="54" t="n">
        <v>60</v>
      </c>
      <c r="G433" s="54" t="n">
        <v>1</v>
      </c>
      <c r="H433" s="55" t="n">
        <v>621</v>
      </c>
      <c r="I433" s="55" t="n">
        <v>576.78</v>
      </c>
      <c r="J433" s="55" t="n">
        <v>0</v>
      </c>
      <c r="K433" s="55" t="n">
        <v>47</v>
      </c>
      <c r="L433" s="55" t="n">
        <v>623.78</v>
      </c>
      <c r="M433" s="55" t="n">
        <v>2.78</v>
      </c>
      <c r="N433" s="36" t="inlineStr">
        <is>
          <t>610279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UNITEDRX</t>
        </is>
      </c>
    </row>
    <row r="434">
      <c r="A434" s="36" t="inlineStr">
        <is>
          <t>119745</t>
        </is>
      </c>
      <c r="B434" s="52" t="n">
        <v>46028</v>
      </c>
      <c r="C434" s="36" t="inlineStr">
        <is>
          <t>00023916360</t>
        </is>
      </c>
      <c r="D434" s="53" t="inlineStr">
        <is>
          <t xml:space="preserve">RESTASIS 0.05% EMULSION </t>
        </is>
      </c>
      <c r="E434" s="36" t="n">
        <v>60</v>
      </c>
      <c r="F434" s="54" t="n">
        <v>60</v>
      </c>
      <c r="G434" s="54" t="n">
        <v>1</v>
      </c>
      <c r="H434" s="55" t="n">
        <v>621</v>
      </c>
      <c r="I434" s="55" t="n">
        <v>629.67</v>
      </c>
      <c r="J434" s="55" t="n">
        <v>0</v>
      </c>
      <c r="K434" s="55" t="n">
        <v>0</v>
      </c>
      <c r="L434" s="55" t="n">
        <v>629.67</v>
      </c>
      <c r="M434" s="55" t="n">
        <v>8.67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101331</t>
        </is>
      </c>
      <c r="B435" s="52" t="n">
        <v>45999</v>
      </c>
      <c r="C435" s="36" t="inlineStr">
        <is>
          <t>00023916360</t>
        </is>
      </c>
      <c r="D435" s="53" t="inlineStr">
        <is>
          <t xml:space="preserve">RESTASIS 0.05% EMULSION </t>
        </is>
      </c>
      <c r="E435" s="36" t="n">
        <v>60</v>
      </c>
      <c r="F435" s="54" t="n">
        <v>180</v>
      </c>
      <c r="G435" s="54" t="n">
        <v>3</v>
      </c>
      <c r="H435" s="55" t="n">
        <v>1863</v>
      </c>
      <c r="I435" s="55" t="n">
        <v>1868.61</v>
      </c>
      <c r="J435" s="55" t="n">
        <v>0</v>
      </c>
      <c r="K435" s="55" t="n">
        <v>0</v>
      </c>
      <c r="L435" s="55" t="n">
        <v>1868.61</v>
      </c>
      <c r="M435" s="55" t="n">
        <v>5.61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126756</t>
        </is>
      </c>
      <c r="B436" s="52" t="n">
        <v>46027</v>
      </c>
      <c r="C436" s="36" t="inlineStr">
        <is>
          <t>00023916360</t>
        </is>
      </c>
      <c r="D436" s="53" t="inlineStr">
        <is>
          <t xml:space="preserve">RESTASIS 0.05% EMULSION </t>
        </is>
      </c>
      <c r="E436" s="36" t="n">
        <v>60</v>
      </c>
      <c r="F436" s="54" t="n">
        <v>180</v>
      </c>
      <c r="G436" s="54" t="n">
        <v>3</v>
      </c>
      <c r="H436" s="55" t="n">
        <v>1863</v>
      </c>
      <c r="I436" s="55" t="n">
        <v>1868.65</v>
      </c>
      <c r="J436" s="55" t="n">
        <v>0</v>
      </c>
      <c r="K436" s="55" t="n">
        <v>0</v>
      </c>
      <c r="L436" s="55" t="n">
        <v>1868.65</v>
      </c>
      <c r="M436" s="55" t="n">
        <v>5.65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114824</t>
        </is>
      </c>
      <c r="B437" s="52" t="n">
        <v>46030</v>
      </c>
      <c r="C437" s="36" t="inlineStr">
        <is>
          <t>00023916360</t>
        </is>
      </c>
      <c r="D437" s="53" t="inlineStr">
        <is>
          <t xml:space="preserve">RESTASIS 0.05% EMULSION </t>
        </is>
      </c>
      <c r="E437" s="36" t="n">
        <v>60</v>
      </c>
      <c r="F437" s="54" t="n">
        <v>180</v>
      </c>
      <c r="G437" s="54" t="n">
        <v>3</v>
      </c>
      <c r="H437" s="55" t="n">
        <v>1863</v>
      </c>
      <c r="I437" s="55" t="n">
        <v>1868.65</v>
      </c>
      <c r="J437" s="55" t="n">
        <v>0</v>
      </c>
      <c r="K437" s="55" t="n">
        <v>0</v>
      </c>
      <c r="L437" s="55" t="n">
        <v>1868.65</v>
      </c>
      <c r="M437" s="55" t="n">
        <v>5.65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137813</t>
        </is>
      </c>
      <c r="B438" s="52" t="n">
        <v>46028</v>
      </c>
      <c r="C438" s="36" t="inlineStr">
        <is>
          <t>64764080530</t>
        </is>
      </c>
      <c r="D438" s="53" t="inlineStr">
        <is>
          <t>ROZEREM 8MG TABLET</t>
        </is>
      </c>
      <c r="E438" s="36" t="n">
        <v>30</v>
      </c>
      <c r="F438" s="54" t="n">
        <v>30</v>
      </c>
      <c r="G438" s="54" t="n">
        <v>1</v>
      </c>
      <c r="H438" s="55" t="n">
        <v>374</v>
      </c>
      <c r="I438" s="55" t="n">
        <v>382.61</v>
      </c>
      <c r="J438" s="55" t="n">
        <v>0</v>
      </c>
      <c r="K438" s="55" t="n">
        <v>0</v>
      </c>
      <c r="L438" s="55" t="n">
        <v>382.61</v>
      </c>
      <c r="M438" s="55" t="n">
        <v>8.609999999999999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137813</t>
        </is>
      </c>
      <c r="B439" s="52" t="n">
        <v>46056</v>
      </c>
      <c r="C439" s="36" t="inlineStr">
        <is>
          <t>64764080530</t>
        </is>
      </c>
      <c r="D439" s="53" t="inlineStr">
        <is>
          <t>ROZEREM 8MG TABLET</t>
        </is>
      </c>
      <c r="E439" s="36" t="n">
        <v>30</v>
      </c>
      <c r="F439" s="54" t="n">
        <v>30</v>
      </c>
      <c r="G439" s="54" t="n">
        <v>1</v>
      </c>
      <c r="H439" s="55" t="n">
        <v>378</v>
      </c>
      <c r="I439" s="55" t="n">
        <v>383.05</v>
      </c>
      <c r="J439" s="55" t="n">
        <v>0</v>
      </c>
      <c r="K439" s="55" t="n">
        <v>0</v>
      </c>
      <c r="L439" s="55" t="n">
        <v>383.05</v>
      </c>
      <c r="M439" s="55" t="n">
        <v>5.05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134564</t>
        </is>
      </c>
      <c r="B440" s="52" t="n">
        <v>46001</v>
      </c>
      <c r="C440" s="36" t="inlineStr">
        <is>
          <t>64764080530</t>
        </is>
      </c>
      <c r="D440" s="53" t="inlineStr">
        <is>
          <t>ROZEREM 8MG TABLET</t>
        </is>
      </c>
      <c r="E440" s="36" t="n">
        <v>30</v>
      </c>
      <c r="F440" s="54" t="n">
        <v>30</v>
      </c>
      <c r="G440" s="54" t="n">
        <v>1</v>
      </c>
      <c r="H440" s="55" t="n">
        <v>374</v>
      </c>
      <c r="I440" s="55" t="n">
        <v>382.44</v>
      </c>
      <c r="J440" s="55" t="n">
        <v>0</v>
      </c>
      <c r="K440" s="55" t="n">
        <v>0</v>
      </c>
      <c r="L440" s="55" t="n">
        <v>382.44</v>
      </c>
      <c r="M440" s="55" t="n">
        <v>8.44</v>
      </c>
      <c r="N440" s="36" t="inlineStr">
        <is>
          <t>004740</t>
        </is>
      </c>
      <c r="O440" s="36" t="inlineStr">
        <is>
          <t>NYM</t>
        </is>
      </c>
      <c r="P440" s="36" t="inlineStr">
        <is>
          <t>9314DA31</t>
        </is>
      </c>
      <c r="Q440" s="36" t="n">
        <v/>
      </c>
    </row>
    <row r="441">
      <c r="A441" s="36" t="inlineStr">
        <is>
          <t>134213</t>
        </is>
      </c>
      <c r="B441" s="52" t="n">
        <v>45999</v>
      </c>
      <c r="C441" s="36" t="inlineStr">
        <is>
          <t>00169431430</t>
        </is>
      </c>
      <c r="D441" s="53" t="inlineStr">
        <is>
          <t>RYBELSUS 14MG TABLET</t>
        </is>
      </c>
      <c r="E441" s="36" t="n">
        <v>30</v>
      </c>
      <c r="F441" s="54" t="n">
        <v>90</v>
      </c>
      <c r="G441" s="54" t="n">
        <v>3</v>
      </c>
      <c r="H441" s="55" t="n">
        <v>2880</v>
      </c>
      <c r="I441" s="55" t="n">
        <v>3001.28</v>
      </c>
      <c r="J441" s="55" t="n">
        <v>0</v>
      </c>
      <c r="K441" s="55" t="n">
        <v>0</v>
      </c>
      <c r="L441" s="55" t="n">
        <v>3001.28</v>
      </c>
      <c r="M441" s="55" t="n">
        <v>121.28</v>
      </c>
      <c r="N441" s="36" t="inlineStr">
        <is>
          <t>610097</t>
        </is>
      </c>
      <c r="O441" s="36" t="inlineStr">
        <is>
          <t>OPTUM</t>
        </is>
      </c>
      <c r="P441" s="36" t="inlineStr">
        <is>
          <t>9999</t>
        </is>
      </c>
      <c r="Q441" s="36" t="n">
        <v/>
      </c>
    </row>
    <row r="442">
      <c r="A442" s="36" t="inlineStr">
        <is>
          <t>141667</t>
        </is>
      </c>
      <c r="B442" s="52" t="n">
        <v>46056</v>
      </c>
      <c r="C442" s="36" t="inlineStr">
        <is>
          <t>50484001090</t>
        </is>
      </c>
      <c r="D442" s="53" t="inlineStr">
        <is>
          <t>SANTYL 250 UNIT/GM EXTERNAL OINTMENT</t>
        </is>
      </c>
      <c r="E442" s="36" t="n">
        <v>90</v>
      </c>
      <c r="F442" s="54" t="n">
        <v>90</v>
      </c>
      <c r="G442" s="54" t="n">
        <v>1</v>
      </c>
      <c r="H442" s="55" t="n">
        <v>924</v>
      </c>
      <c r="I442" s="55" t="n">
        <v>957.77</v>
      </c>
      <c r="J442" s="55" t="n">
        <v>0</v>
      </c>
      <c r="K442" s="55" t="n">
        <v>0</v>
      </c>
      <c r="L442" s="55" t="n">
        <v>957.77</v>
      </c>
      <c r="M442" s="55" t="n">
        <v>33.77</v>
      </c>
      <c r="N442" s="36" t="inlineStr">
        <is>
          <t>004336</t>
        </is>
      </c>
      <c r="O442" s="36" t="inlineStr">
        <is>
          <t>CAREMARK</t>
        </is>
      </c>
      <c r="P442" s="36" t="inlineStr">
        <is>
          <t>MEDDADV</t>
        </is>
      </c>
      <c r="Q442" s="36" t="inlineStr">
        <is>
          <t>RXCVSD</t>
        </is>
      </c>
    </row>
    <row r="443">
      <c r="A443" s="36" t="inlineStr">
        <is>
          <t>143951</t>
        </is>
      </c>
      <c r="B443" s="52" t="n">
        <v>46072</v>
      </c>
      <c r="C443" s="36" t="inlineStr">
        <is>
          <t>50484001090</t>
        </is>
      </c>
      <c r="D443" s="53" t="inlineStr">
        <is>
          <t>SANTYL 250 UNIT/GM EXTERNAL OINTMENT</t>
        </is>
      </c>
      <c r="E443" s="36" t="n">
        <v>90</v>
      </c>
      <c r="F443" s="54" t="n">
        <v>90</v>
      </c>
      <c r="G443" s="54" t="n">
        <v>1</v>
      </c>
      <c r="H443" s="55" t="n">
        <v>924</v>
      </c>
      <c r="I443" s="55" t="n">
        <v>957.77</v>
      </c>
      <c r="J443" s="55" t="n">
        <v>0</v>
      </c>
      <c r="K443" s="55" t="n">
        <v>0</v>
      </c>
      <c r="L443" s="55" t="n">
        <v>957.77</v>
      </c>
      <c r="M443" s="55" t="n">
        <v>33.77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RXCVSD</t>
        </is>
      </c>
    </row>
    <row r="444">
      <c r="A444" s="36" t="inlineStr">
        <is>
          <t>136013</t>
        </is>
      </c>
      <c r="B444" s="52" t="n">
        <v>46013</v>
      </c>
      <c r="C444" s="36" t="inlineStr">
        <is>
          <t>00006537303</t>
        </is>
      </c>
      <c r="D444" s="53" t="inlineStr">
        <is>
          <t>SEGLUROMET 2.5-1000MG TABLET</t>
        </is>
      </c>
      <c r="E444" s="36" t="n">
        <v>60</v>
      </c>
      <c r="F444" s="54" t="n">
        <v>60</v>
      </c>
      <c r="G444" s="54" t="n">
        <v>1</v>
      </c>
      <c r="H444" s="55" t="n">
        <v>345</v>
      </c>
      <c r="I444" s="55" t="n">
        <v>352.61</v>
      </c>
      <c r="J444" s="55" t="n">
        <v>0</v>
      </c>
      <c r="K444" s="55" t="n">
        <v>0</v>
      </c>
      <c r="L444" s="55" t="n">
        <v>352.61</v>
      </c>
      <c r="M444" s="55" t="n">
        <v>7.61</v>
      </c>
      <c r="N444" s="36" t="inlineStr">
        <is>
          <t>004740</t>
        </is>
      </c>
      <c r="O444" s="36" t="inlineStr">
        <is>
          <t>NYM</t>
        </is>
      </c>
      <c r="P444" s="36" t="inlineStr">
        <is>
          <t>9314DA31</t>
        </is>
      </c>
      <c r="Q444" s="36" t="n">
        <v/>
      </c>
    </row>
    <row r="445">
      <c r="A445" s="36" t="inlineStr">
        <is>
          <t>143428</t>
        </is>
      </c>
      <c r="B445" s="52" t="n">
        <v>46069</v>
      </c>
      <c r="C445" s="36" t="inlineStr">
        <is>
          <t>00006537303</t>
        </is>
      </c>
      <c r="D445" s="53" t="inlineStr">
        <is>
          <t>SEGLUROMET 2.5-1000MG TABLET</t>
        </is>
      </c>
      <c r="E445" s="36" t="n">
        <v>60</v>
      </c>
      <c r="F445" s="54" t="n">
        <v>60</v>
      </c>
      <c r="G445" s="54" t="n">
        <v>1</v>
      </c>
      <c r="H445" s="55" t="n">
        <v>345</v>
      </c>
      <c r="I445" s="55" t="n">
        <v>353.49</v>
      </c>
      <c r="J445" s="55" t="n">
        <v>0</v>
      </c>
      <c r="K445" s="55" t="n">
        <v>0</v>
      </c>
      <c r="L445" s="55" t="n">
        <v>353.49</v>
      </c>
      <c r="M445" s="55" t="n">
        <v>8.49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136013</t>
        </is>
      </c>
      <c r="B446" s="52" t="n">
        <v>46041</v>
      </c>
      <c r="C446" s="36" t="inlineStr">
        <is>
          <t>00006537303</t>
        </is>
      </c>
      <c r="D446" s="53" t="inlineStr">
        <is>
          <t>SEGLUROMET 2.5-1000MG TABLET</t>
        </is>
      </c>
      <c r="E446" s="36" t="n">
        <v>60</v>
      </c>
      <c r="F446" s="54" t="n">
        <v>60</v>
      </c>
      <c r="G446" s="54" t="n">
        <v>1</v>
      </c>
      <c r="H446" s="55" t="n">
        <v>345</v>
      </c>
      <c r="I446" s="55" t="n">
        <v>353.1</v>
      </c>
      <c r="J446" s="55" t="n">
        <v>0</v>
      </c>
      <c r="K446" s="55" t="n">
        <v>0</v>
      </c>
      <c r="L446" s="55" t="n">
        <v>353.1</v>
      </c>
      <c r="M446" s="55" t="n">
        <v>8.1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110521</t>
        </is>
      </c>
      <c r="B447" s="52" t="n">
        <v>46001</v>
      </c>
      <c r="C447" s="36" t="inlineStr">
        <is>
          <t>00065414727</t>
        </is>
      </c>
      <c r="D447" s="53" t="inlineStr">
        <is>
          <t>SIMBRINZA 1-0.2 % OPHTHALMIC SUSPENSION</t>
        </is>
      </c>
      <c r="E447" s="36" t="n">
        <v>8</v>
      </c>
      <c r="F447" s="54" t="n">
        <v>8</v>
      </c>
      <c r="G447" s="54" t="n">
        <v>1</v>
      </c>
      <c r="H447" s="55" t="n">
        <v>210</v>
      </c>
      <c r="I447" s="55" t="n">
        <v>212.51</v>
      </c>
      <c r="J447" s="55" t="n">
        <v>0</v>
      </c>
      <c r="K447" s="55" t="n">
        <v>0</v>
      </c>
      <c r="L447" s="55" t="n">
        <v>212.51</v>
      </c>
      <c r="M447" s="55" t="n">
        <v>2.51</v>
      </c>
      <c r="N447" s="36" t="inlineStr">
        <is>
          <t>610097</t>
        </is>
      </c>
      <c r="O447" s="36" t="inlineStr">
        <is>
          <t>OPTUM</t>
        </is>
      </c>
      <c r="P447" s="36" t="inlineStr">
        <is>
          <t>9999</t>
        </is>
      </c>
      <c r="Q447" s="36" t="inlineStr">
        <is>
          <t>MPDCSP</t>
        </is>
      </c>
    </row>
    <row r="448">
      <c r="A448" s="36" t="inlineStr">
        <is>
          <t>110521</t>
        </is>
      </c>
      <c r="B448" s="52" t="n">
        <v>46036</v>
      </c>
      <c r="C448" s="36" t="inlineStr">
        <is>
          <t>00065414727</t>
        </is>
      </c>
      <c r="D448" s="53" t="inlineStr">
        <is>
          <t>SIMBRINZA 1-0.2 % OPHTHALMIC SUSPENSION</t>
        </is>
      </c>
      <c r="E448" s="36" t="n">
        <v>8</v>
      </c>
      <c r="F448" s="54" t="n">
        <v>8</v>
      </c>
      <c r="G448" s="54" t="n">
        <v>1</v>
      </c>
      <c r="H448" s="55" t="n">
        <v>210</v>
      </c>
      <c r="I448" s="55" t="n">
        <v>218.74</v>
      </c>
      <c r="J448" s="55" t="n">
        <v>0</v>
      </c>
      <c r="K448" s="55" t="n">
        <v>0</v>
      </c>
      <c r="L448" s="55" t="n">
        <v>218.74</v>
      </c>
      <c r="M448" s="55" t="n">
        <v>8.74</v>
      </c>
      <c r="N448" s="36" t="inlineStr">
        <is>
          <t>610097</t>
        </is>
      </c>
      <c r="O448" s="36" t="inlineStr">
        <is>
          <t>OPTUM</t>
        </is>
      </c>
      <c r="P448" s="36" t="inlineStr">
        <is>
          <t>9999</t>
        </is>
      </c>
      <c r="Q448" s="36" t="inlineStr">
        <is>
          <t>MPDCSP</t>
        </is>
      </c>
    </row>
    <row r="449">
      <c r="A449" s="36" t="inlineStr">
        <is>
          <t>121863</t>
        </is>
      </c>
      <c r="B449" s="52" t="n">
        <v>46034</v>
      </c>
      <c r="C449" s="36" t="inlineStr">
        <is>
          <t>00065414727</t>
        </is>
      </c>
      <c r="D449" s="53" t="inlineStr">
        <is>
          <t>SIMBRINZA 1-0.2 % OPHTHALMIC SUSPENSION</t>
        </is>
      </c>
      <c r="E449" s="36" t="n">
        <v>8</v>
      </c>
      <c r="F449" s="54" t="n">
        <v>8</v>
      </c>
      <c r="G449" s="54" t="n">
        <v>1</v>
      </c>
      <c r="H449" s="55" t="n">
        <v>210</v>
      </c>
      <c r="I449" s="55" t="n">
        <v>218.73</v>
      </c>
      <c r="J449" s="55" t="n">
        <v>0</v>
      </c>
      <c r="K449" s="55" t="n">
        <v>0</v>
      </c>
      <c r="L449" s="55" t="n">
        <v>218.73</v>
      </c>
      <c r="M449" s="55" t="n">
        <v>8.73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110521</t>
        </is>
      </c>
      <c r="B450" s="52" t="n">
        <v>46073</v>
      </c>
      <c r="C450" s="36" t="inlineStr">
        <is>
          <t>00065414727</t>
        </is>
      </c>
      <c r="D450" s="53" t="inlineStr">
        <is>
          <t>SIMBRINZA 1-0.2 % OPHTHALMIC SUSPENSION</t>
        </is>
      </c>
      <c r="E450" s="36" t="n">
        <v>8</v>
      </c>
      <c r="F450" s="54" t="n">
        <v>8</v>
      </c>
      <c r="G450" s="54" t="n">
        <v>1</v>
      </c>
      <c r="H450" s="55" t="n">
        <v>210</v>
      </c>
      <c r="I450" s="55" t="n">
        <v>218.74</v>
      </c>
      <c r="J450" s="55" t="n">
        <v>0</v>
      </c>
      <c r="K450" s="55" t="n">
        <v>0</v>
      </c>
      <c r="L450" s="55" t="n">
        <v>218.74</v>
      </c>
      <c r="M450" s="55" t="n">
        <v>8.74</v>
      </c>
      <c r="N450" s="36" t="inlineStr">
        <is>
          <t>610097</t>
        </is>
      </c>
      <c r="O450" s="36" t="inlineStr">
        <is>
          <t>OPTUM</t>
        </is>
      </c>
      <c r="P450" s="36" t="inlineStr">
        <is>
          <t>9999</t>
        </is>
      </c>
      <c r="Q450" s="36" t="inlineStr">
        <is>
          <t>MPDCSP</t>
        </is>
      </c>
    </row>
    <row r="451">
      <c r="A451" s="36" t="inlineStr">
        <is>
          <t>138890</t>
        </is>
      </c>
      <c r="B451" s="52" t="n">
        <v>46035</v>
      </c>
      <c r="C451" s="36" t="inlineStr">
        <is>
          <t>00597010061</t>
        </is>
      </c>
      <c r="D451" s="53" t="inlineStr">
        <is>
          <t>SPIRIVA RESPIMAT 2.5MCG/ACT AEROSOL</t>
        </is>
      </c>
      <c r="E451" s="36" t="n">
        <v>4</v>
      </c>
      <c r="F451" s="54" t="n">
        <v>4</v>
      </c>
      <c r="G451" s="54" t="n">
        <v>1</v>
      </c>
      <c r="H451" s="55" t="n">
        <v>509</v>
      </c>
      <c r="I451" s="55" t="n">
        <v>513.9</v>
      </c>
      <c r="J451" s="55" t="n">
        <v>0</v>
      </c>
      <c r="K451" s="55" t="n">
        <v>1</v>
      </c>
      <c r="L451" s="55" t="n">
        <v>514.9</v>
      </c>
      <c r="M451" s="55" t="n">
        <v>5.9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138890</t>
        </is>
      </c>
      <c r="B452" s="52" t="n">
        <v>46063</v>
      </c>
      <c r="C452" s="36" t="inlineStr">
        <is>
          <t>00597010061</t>
        </is>
      </c>
      <c r="D452" s="53" t="inlineStr">
        <is>
          <t>SPIRIVA RESPIMAT 2.5MCG/ACT AEROSOL</t>
        </is>
      </c>
      <c r="E452" s="36" t="n">
        <v>4</v>
      </c>
      <c r="F452" s="54" t="n">
        <v>4</v>
      </c>
      <c r="G452" s="54" t="n">
        <v>1</v>
      </c>
      <c r="H452" s="55" t="n">
        <v>513</v>
      </c>
      <c r="I452" s="55" t="n">
        <v>513.88</v>
      </c>
      <c r="J452" s="55" t="n">
        <v>0</v>
      </c>
      <c r="K452" s="55" t="n">
        <v>1</v>
      </c>
      <c r="L452" s="55" t="n">
        <v>514.88</v>
      </c>
      <c r="M452" s="55" t="n">
        <v>1.88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117424</t>
        </is>
      </c>
      <c r="B453" s="52" t="n">
        <v>46051</v>
      </c>
      <c r="C453" s="36" t="inlineStr">
        <is>
          <t>00186037020</t>
        </is>
      </c>
      <c r="D453" s="53" t="inlineStr">
        <is>
          <t>SYMBICORT 160-4.5MCG/ACT AEROSOL</t>
        </is>
      </c>
      <c r="E453" s="36" t="n">
        <v>10.2</v>
      </c>
      <c r="F453" s="54" t="n">
        <v>30.6</v>
      </c>
      <c r="G453" s="54" t="n">
        <v>3</v>
      </c>
      <c r="H453" s="55" t="n">
        <v>678</v>
      </c>
      <c r="I453" s="55" t="n">
        <v>684.26</v>
      </c>
      <c r="J453" s="55" t="n">
        <v>0</v>
      </c>
      <c r="K453" s="55" t="n">
        <v>0</v>
      </c>
      <c r="L453" s="55" t="n">
        <v>684.26</v>
      </c>
      <c r="M453" s="55" t="n">
        <v>6.26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138885</t>
        </is>
      </c>
      <c r="B454" s="52" t="n">
        <v>46063</v>
      </c>
      <c r="C454" s="36" t="inlineStr">
        <is>
          <t>00186037020</t>
        </is>
      </c>
      <c r="D454" s="53" t="inlineStr">
        <is>
          <t>SYMBICORT 160-4.5MCG/ACT AEROSOL</t>
        </is>
      </c>
      <c r="E454" s="36" t="n">
        <v>10.2</v>
      </c>
      <c r="F454" s="54" t="n">
        <v>10.2</v>
      </c>
      <c r="G454" s="54" t="n">
        <v>1</v>
      </c>
      <c r="H454" s="55" t="n">
        <v>226</v>
      </c>
      <c r="I454" s="55" t="n">
        <v>233.87</v>
      </c>
      <c r="J454" s="55" t="n">
        <v>0</v>
      </c>
      <c r="K454" s="55" t="n">
        <v>1</v>
      </c>
      <c r="L454" s="55" t="n">
        <v>234.87</v>
      </c>
      <c r="M454" s="55" t="n">
        <v>8.869999999999999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130922</t>
        </is>
      </c>
      <c r="B455" s="52" t="n">
        <v>46028</v>
      </c>
      <c r="C455" s="36" t="inlineStr">
        <is>
          <t>00186037020</t>
        </is>
      </c>
      <c r="D455" s="53" t="inlineStr">
        <is>
          <t>SYMBICORT 160-4.5MCG/ACT AEROSOL</t>
        </is>
      </c>
      <c r="E455" s="36" t="n">
        <v>10.2</v>
      </c>
      <c r="F455" s="54" t="n">
        <v>10.2</v>
      </c>
      <c r="G455" s="54" t="n">
        <v>1</v>
      </c>
      <c r="H455" s="55" t="n">
        <v>226</v>
      </c>
      <c r="I455" s="55" t="n">
        <v>234.87</v>
      </c>
      <c r="J455" s="55" t="n">
        <v>0</v>
      </c>
      <c r="K455" s="55" t="n">
        <v>0</v>
      </c>
      <c r="L455" s="55" t="n">
        <v>234.87</v>
      </c>
      <c r="M455" s="55" t="n">
        <v>8.869999999999999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124326</t>
        </is>
      </c>
      <c r="B456" s="52" t="n">
        <v>46036</v>
      </c>
      <c r="C456" s="36" t="inlineStr">
        <is>
          <t>00186037020</t>
        </is>
      </c>
      <c r="D456" s="53" t="inlineStr">
        <is>
          <t>SYMBICORT 160-4.5MCG/ACT AEROSOL</t>
        </is>
      </c>
      <c r="E456" s="36" t="n">
        <v>10.2</v>
      </c>
      <c r="F456" s="54" t="n">
        <v>10.2</v>
      </c>
      <c r="G456" s="54" t="n">
        <v>1</v>
      </c>
      <c r="H456" s="55" t="n">
        <v>226</v>
      </c>
      <c r="I456" s="55" t="n">
        <v>234.87</v>
      </c>
      <c r="J456" s="55" t="n">
        <v>0</v>
      </c>
      <c r="K456" s="55" t="n">
        <v>0</v>
      </c>
      <c r="L456" s="55" t="n">
        <v>234.87</v>
      </c>
      <c r="M456" s="55" t="n">
        <v>8.869999999999999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124326</t>
        </is>
      </c>
      <c r="B457" s="52" t="n">
        <v>46064</v>
      </c>
      <c r="C457" s="36" t="inlineStr">
        <is>
          <t>00186037020</t>
        </is>
      </c>
      <c r="D457" s="53" t="inlineStr">
        <is>
          <t>SYMBICORT 160-4.5MCG/ACT AEROSOL</t>
        </is>
      </c>
      <c r="E457" s="36" t="n">
        <v>10.2</v>
      </c>
      <c r="F457" s="54" t="n">
        <v>10.2</v>
      </c>
      <c r="G457" s="54" t="n">
        <v>1</v>
      </c>
      <c r="H457" s="55" t="n">
        <v>226</v>
      </c>
      <c r="I457" s="55" t="n">
        <v>234.87</v>
      </c>
      <c r="J457" s="55" t="n">
        <v>0</v>
      </c>
      <c r="K457" s="55" t="n">
        <v>0</v>
      </c>
      <c r="L457" s="55" t="n">
        <v>234.87</v>
      </c>
      <c r="M457" s="55" t="n">
        <v>8.869999999999999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128548</t>
        </is>
      </c>
      <c r="B458" s="52" t="n">
        <v>46009</v>
      </c>
      <c r="C458" s="36" t="inlineStr">
        <is>
          <t>00186037020</t>
        </is>
      </c>
      <c r="D458" s="53" t="inlineStr">
        <is>
          <t>SYMBICORT 160-4.5MCG/ACT AEROSOL</t>
        </is>
      </c>
      <c r="E458" s="36" t="n">
        <v>10.2</v>
      </c>
      <c r="F458" s="54" t="n">
        <v>10.2</v>
      </c>
      <c r="G458" s="54" t="n">
        <v>1</v>
      </c>
      <c r="H458" s="55" t="n">
        <v>226</v>
      </c>
      <c r="I458" s="55" t="n">
        <v>234.9</v>
      </c>
      <c r="J458" s="55" t="n">
        <v>0</v>
      </c>
      <c r="K458" s="55" t="n">
        <v>0</v>
      </c>
      <c r="L458" s="55" t="n">
        <v>234.9</v>
      </c>
      <c r="M458" s="55" t="n">
        <v>8.9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129232</t>
        </is>
      </c>
      <c r="B459" s="52" t="n">
        <v>46043</v>
      </c>
      <c r="C459" s="36" t="inlineStr">
        <is>
          <t>00186037020</t>
        </is>
      </c>
      <c r="D459" s="53" t="inlineStr">
        <is>
          <t>SYMBICORT 160-4.5MCG/ACT AEROSOL</t>
        </is>
      </c>
      <c r="E459" s="36" t="n">
        <v>10.2</v>
      </c>
      <c r="F459" s="54" t="n">
        <v>10.2</v>
      </c>
      <c r="G459" s="54" t="n">
        <v>1</v>
      </c>
      <c r="H459" s="55" t="n">
        <v>226</v>
      </c>
      <c r="I459" s="55" t="n">
        <v>234.87</v>
      </c>
      <c r="J459" s="55" t="n">
        <v>0</v>
      </c>
      <c r="K459" s="55" t="n">
        <v>0</v>
      </c>
      <c r="L459" s="55" t="n">
        <v>234.87</v>
      </c>
      <c r="M459" s="55" t="n">
        <v>8.869999999999999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124326</t>
        </is>
      </c>
      <c r="B460" s="52" t="n">
        <v>46008</v>
      </c>
      <c r="C460" s="36" t="inlineStr">
        <is>
          <t>00186037020</t>
        </is>
      </c>
      <c r="D460" s="53" t="inlineStr">
        <is>
          <t>SYMBICORT 160-4.5MCG/ACT AEROSOL</t>
        </is>
      </c>
      <c r="E460" s="36" t="n">
        <v>10.2</v>
      </c>
      <c r="F460" s="54" t="n">
        <v>10.2</v>
      </c>
      <c r="G460" s="54" t="n">
        <v>1</v>
      </c>
      <c r="H460" s="55" t="n">
        <v>226</v>
      </c>
      <c r="I460" s="55" t="n">
        <v>234.9</v>
      </c>
      <c r="J460" s="55" t="n">
        <v>0</v>
      </c>
      <c r="K460" s="55" t="n">
        <v>0</v>
      </c>
      <c r="L460" s="55" t="n">
        <v>234.9</v>
      </c>
      <c r="M460" s="55" t="n">
        <v>8.9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142994</t>
        </is>
      </c>
      <c r="B461" s="52" t="n">
        <v>46065</v>
      </c>
      <c r="C461" s="36" t="inlineStr">
        <is>
          <t>00186037020</t>
        </is>
      </c>
      <c r="D461" s="53" t="inlineStr">
        <is>
          <t>SYMBICORT 160-4.5MCG/ACT AEROSOL</t>
        </is>
      </c>
      <c r="E461" s="36" t="n">
        <v>10.2</v>
      </c>
      <c r="F461" s="54" t="n">
        <v>10.2</v>
      </c>
      <c r="G461" s="54" t="n">
        <v>1</v>
      </c>
      <c r="H461" s="55" t="n">
        <v>226</v>
      </c>
      <c r="I461" s="55" t="n">
        <v>234.87</v>
      </c>
      <c r="J461" s="55" t="n">
        <v>0</v>
      </c>
      <c r="K461" s="55" t="n">
        <v>0</v>
      </c>
      <c r="L461" s="55" t="n">
        <v>234.87</v>
      </c>
      <c r="M461" s="55" t="n">
        <v>8.869999999999999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129232</t>
        </is>
      </c>
      <c r="B462" s="52" t="n">
        <v>46071</v>
      </c>
      <c r="C462" s="36" t="inlineStr">
        <is>
          <t>00186037020</t>
        </is>
      </c>
      <c r="D462" s="53" t="inlineStr">
        <is>
          <t>SYMBICORT 160-4.5MCG/ACT AEROSOL</t>
        </is>
      </c>
      <c r="E462" s="36" t="n">
        <v>10.2</v>
      </c>
      <c r="F462" s="54" t="n">
        <v>10.2</v>
      </c>
      <c r="G462" s="54" t="n">
        <v>1</v>
      </c>
      <c r="H462" s="55" t="n">
        <v>226</v>
      </c>
      <c r="I462" s="55" t="n">
        <v>234.87</v>
      </c>
      <c r="J462" s="55" t="n">
        <v>0</v>
      </c>
      <c r="K462" s="55" t="n">
        <v>0</v>
      </c>
      <c r="L462" s="55" t="n">
        <v>234.87</v>
      </c>
      <c r="M462" s="55" t="n">
        <v>8.869999999999999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134221</t>
        </is>
      </c>
      <c r="B463" s="52" t="n">
        <v>45999</v>
      </c>
      <c r="C463" s="36" t="inlineStr">
        <is>
          <t>00186037020</t>
        </is>
      </c>
      <c r="D463" s="53" t="inlineStr">
        <is>
          <t>SYMBICORT 160-4.5MCG/ACT AEROSOL</t>
        </is>
      </c>
      <c r="E463" s="36" t="n">
        <v>10.2</v>
      </c>
      <c r="F463" s="54" t="n">
        <v>10.2</v>
      </c>
      <c r="G463" s="54" t="n">
        <v>1</v>
      </c>
      <c r="H463" s="55" t="n">
        <v>226</v>
      </c>
      <c r="I463" s="55" t="n">
        <v>234.9</v>
      </c>
      <c r="J463" s="55" t="n">
        <v>0</v>
      </c>
      <c r="K463" s="55" t="n">
        <v>0</v>
      </c>
      <c r="L463" s="55" t="n">
        <v>234.9</v>
      </c>
      <c r="M463" s="55" t="n">
        <v>8.9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138885</t>
        </is>
      </c>
      <c r="B464" s="52" t="n">
        <v>46035</v>
      </c>
      <c r="C464" s="36" t="inlineStr">
        <is>
          <t>00186037020</t>
        </is>
      </c>
      <c r="D464" s="53" t="inlineStr">
        <is>
          <t>SYMBICORT 160-4.5MCG/ACT AEROSOL</t>
        </is>
      </c>
      <c r="E464" s="36" t="n">
        <v>10.2</v>
      </c>
      <c r="F464" s="54" t="n">
        <v>10.2</v>
      </c>
      <c r="G464" s="54" t="n">
        <v>1</v>
      </c>
      <c r="H464" s="55" t="n">
        <v>226</v>
      </c>
      <c r="I464" s="55" t="n">
        <v>233.87</v>
      </c>
      <c r="J464" s="55" t="n">
        <v>0</v>
      </c>
      <c r="K464" s="55" t="n">
        <v>1</v>
      </c>
      <c r="L464" s="55" t="n">
        <v>234.87</v>
      </c>
      <c r="M464" s="55" t="n">
        <v>8.869999999999999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126849</t>
        </is>
      </c>
      <c r="B465" s="52" t="n">
        <v>46030</v>
      </c>
      <c r="C465" s="36" t="inlineStr">
        <is>
          <t>00186037020</t>
        </is>
      </c>
      <c r="D465" s="53" t="inlineStr">
        <is>
          <t>SYMBICORT 160-4.5MCG/ACT AEROSOL</t>
        </is>
      </c>
      <c r="E465" s="36" t="n">
        <v>10.2</v>
      </c>
      <c r="F465" s="54" t="n">
        <v>30.6</v>
      </c>
      <c r="G465" s="54" t="n">
        <v>3</v>
      </c>
      <c r="H465" s="55" t="n">
        <v>678</v>
      </c>
      <c r="I465" s="55" t="n">
        <v>683.25</v>
      </c>
      <c r="J465" s="55" t="n">
        <v>0</v>
      </c>
      <c r="K465" s="55" t="n">
        <v>1</v>
      </c>
      <c r="L465" s="55" t="n">
        <v>684.25</v>
      </c>
      <c r="M465" s="55" t="n">
        <v>6.25</v>
      </c>
      <c r="N465" s="36" t="inlineStr">
        <is>
          <t>004740</t>
        </is>
      </c>
      <c r="O465" s="36" t="inlineStr">
        <is>
          <t>NYM</t>
        </is>
      </c>
      <c r="P465" s="36" t="inlineStr">
        <is>
          <t>9314DA31</t>
        </is>
      </c>
      <c r="Q465" s="36" t="n">
        <v/>
      </c>
    </row>
    <row r="466">
      <c r="A466" s="36" t="inlineStr">
        <is>
          <t>136723</t>
        </is>
      </c>
      <c r="B466" s="52" t="n">
        <v>46077</v>
      </c>
      <c r="C466" s="36" t="inlineStr">
        <is>
          <t>00186037020</t>
        </is>
      </c>
      <c r="D466" s="53" t="inlineStr">
        <is>
          <t>SYMBICORT 160-4.5MCG/ACT AEROSOL</t>
        </is>
      </c>
      <c r="E466" s="36" t="n">
        <v>10.2</v>
      </c>
      <c r="F466" s="54" t="n">
        <v>10.2</v>
      </c>
      <c r="G466" s="54" t="n">
        <v>1</v>
      </c>
      <c r="H466" s="55" t="n">
        <v>226</v>
      </c>
      <c r="I466" s="55" t="n">
        <v>234.85</v>
      </c>
      <c r="J466" s="55" t="n">
        <v>0</v>
      </c>
      <c r="K466" s="55" t="n">
        <v>0</v>
      </c>
      <c r="L466" s="55" t="n">
        <v>234.85</v>
      </c>
      <c r="M466" s="55" t="n">
        <v>8.85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126787</t>
        </is>
      </c>
      <c r="B467" s="52" t="n">
        <v>45996</v>
      </c>
      <c r="C467" s="36" t="inlineStr">
        <is>
          <t>00186037020</t>
        </is>
      </c>
      <c r="D467" s="53" t="inlineStr">
        <is>
          <t>SYMBICORT 160-4.5MCG/ACT AEROSOL</t>
        </is>
      </c>
      <c r="E467" s="36" t="n">
        <v>10.2</v>
      </c>
      <c r="F467" s="54" t="n">
        <v>10.2</v>
      </c>
      <c r="G467" s="54" t="n">
        <v>1</v>
      </c>
      <c r="H467" s="55" t="n">
        <v>226</v>
      </c>
      <c r="I467" s="55" t="n">
        <v>234.9</v>
      </c>
      <c r="J467" s="55" t="n">
        <v>0</v>
      </c>
      <c r="K467" s="55" t="n">
        <v>0</v>
      </c>
      <c r="L467" s="55" t="n">
        <v>234.9</v>
      </c>
      <c r="M467" s="55" t="n">
        <v>8.9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143257</t>
        </is>
      </c>
      <c r="B468" s="52" t="n">
        <v>46066</v>
      </c>
      <c r="C468" s="36" t="inlineStr">
        <is>
          <t>00186037020</t>
        </is>
      </c>
      <c r="D468" s="53" t="inlineStr">
        <is>
          <t>SYMBICORT 160-4.5MCG/ACT AEROSOL</t>
        </is>
      </c>
      <c r="E468" s="36" t="n">
        <v>10.2</v>
      </c>
      <c r="F468" s="54" t="n">
        <v>10.2</v>
      </c>
      <c r="G468" s="54" t="n">
        <v>1</v>
      </c>
      <c r="H468" s="55" t="n">
        <v>226</v>
      </c>
      <c r="I468" s="55" t="n">
        <v>234.87</v>
      </c>
      <c r="J468" s="55" t="n">
        <v>0</v>
      </c>
      <c r="K468" s="55" t="n">
        <v>0</v>
      </c>
      <c r="L468" s="55" t="n">
        <v>234.87</v>
      </c>
      <c r="M468" s="55" t="n">
        <v>8.869999999999999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134221</t>
        </is>
      </c>
      <c r="B469" s="52" t="n">
        <v>46027</v>
      </c>
      <c r="C469" s="36" t="inlineStr">
        <is>
          <t>00186037020</t>
        </is>
      </c>
      <c r="D469" s="53" t="inlineStr">
        <is>
          <t>SYMBICORT 160-4.5MCG/ACT AEROSOL</t>
        </is>
      </c>
      <c r="E469" s="36" t="n">
        <v>10.2</v>
      </c>
      <c r="F469" s="54" t="n">
        <v>10.2</v>
      </c>
      <c r="G469" s="54" t="n">
        <v>1</v>
      </c>
      <c r="H469" s="55" t="n">
        <v>226</v>
      </c>
      <c r="I469" s="55" t="n">
        <v>233.87</v>
      </c>
      <c r="J469" s="55" t="n">
        <v>0</v>
      </c>
      <c r="K469" s="55" t="n">
        <v>1</v>
      </c>
      <c r="L469" s="55" t="n">
        <v>234.87</v>
      </c>
      <c r="M469" s="55" t="n">
        <v>8.869999999999999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121891</t>
        </is>
      </c>
      <c r="B470" s="52" t="n">
        <v>45992</v>
      </c>
      <c r="C470" s="36" t="inlineStr">
        <is>
          <t>00186037020</t>
        </is>
      </c>
      <c r="D470" s="53" t="inlineStr">
        <is>
          <t>SYMBICORT 160-4.5MCG/ACT AEROSOL</t>
        </is>
      </c>
      <c r="E470" s="36" t="n">
        <v>10.2</v>
      </c>
      <c r="F470" s="54" t="n">
        <v>30.6</v>
      </c>
      <c r="G470" s="54" t="n">
        <v>3</v>
      </c>
      <c r="H470" s="55" t="n">
        <v>678</v>
      </c>
      <c r="I470" s="55" t="n">
        <v>684.34</v>
      </c>
      <c r="J470" s="55" t="n">
        <v>0</v>
      </c>
      <c r="K470" s="55" t="n">
        <v>0</v>
      </c>
      <c r="L470" s="55" t="n">
        <v>684.34</v>
      </c>
      <c r="M470" s="55" t="n">
        <v>6.34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141437</t>
        </is>
      </c>
      <c r="B471" s="52" t="n">
        <v>46055</v>
      </c>
      <c r="C471" s="36" t="inlineStr">
        <is>
          <t>00186037020</t>
        </is>
      </c>
      <c r="D471" s="53" t="inlineStr">
        <is>
          <t>SYMBICORT 160-4.5MCG/ACT AEROSOL</t>
        </is>
      </c>
      <c r="E471" s="36" t="n">
        <v>10.2</v>
      </c>
      <c r="F471" s="54" t="n">
        <v>10.2</v>
      </c>
      <c r="G471" s="54" t="n">
        <v>1</v>
      </c>
      <c r="H471" s="55" t="n">
        <v>226</v>
      </c>
      <c r="I471" s="55" t="n">
        <v>234.87</v>
      </c>
      <c r="J471" s="55" t="n">
        <v>0</v>
      </c>
      <c r="K471" s="55" t="n">
        <v>0</v>
      </c>
      <c r="L471" s="55" t="n">
        <v>234.87</v>
      </c>
      <c r="M471" s="55" t="n">
        <v>8.869999999999999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128548</t>
        </is>
      </c>
      <c r="B472" s="52" t="n">
        <v>46037</v>
      </c>
      <c r="C472" s="36" t="inlineStr">
        <is>
          <t>00186037020</t>
        </is>
      </c>
      <c r="D472" s="53" t="inlineStr">
        <is>
          <t>SYMBICORT 160-4.5MCG/ACT AEROSOL</t>
        </is>
      </c>
      <c r="E472" s="36" t="n">
        <v>10.2</v>
      </c>
      <c r="F472" s="54" t="n">
        <v>10.2</v>
      </c>
      <c r="G472" s="54" t="n">
        <v>1</v>
      </c>
      <c r="H472" s="55" t="n">
        <v>226</v>
      </c>
      <c r="I472" s="55" t="n">
        <v>234.87</v>
      </c>
      <c r="J472" s="55" t="n">
        <v>0</v>
      </c>
      <c r="K472" s="55" t="n">
        <v>0</v>
      </c>
      <c r="L472" s="55" t="n">
        <v>234.87</v>
      </c>
      <c r="M472" s="55" t="n">
        <v>8.869999999999999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126787</t>
        </is>
      </c>
      <c r="B473" s="52" t="n">
        <v>46024</v>
      </c>
      <c r="C473" s="36" t="inlineStr">
        <is>
          <t>00186037020</t>
        </is>
      </c>
      <c r="D473" s="53" t="inlineStr">
        <is>
          <t>SYMBICORT 160-4.5MCG/ACT AEROSOL</t>
        </is>
      </c>
      <c r="E473" s="36" t="n">
        <v>10.2</v>
      </c>
      <c r="F473" s="54" t="n">
        <v>10.2</v>
      </c>
      <c r="G473" s="54" t="n">
        <v>1</v>
      </c>
      <c r="H473" s="55" t="n">
        <v>226</v>
      </c>
      <c r="I473" s="55" t="n">
        <v>234.87</v>
      </c>
      <c r="J473" s="55" t="n">
        <v>0</v>
      </c>
      <c r="K473" s="55" t="n">
        <v>0</v>
      </c>
      <c r="L473" s="55" t="n">
        <v>234.87</v>
      </c>
      <c r="M473" s="55" t="n">
        <v>8.869999999999999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129232</t>
        </is>
      </c>
      <c r="B474" s="52" t="n">
        <v>46015</v>
      </c>
      <c r="C474" s="36" t="inlineStr">
        <is>
          <t>00186037020</t>
        </is>
      </c>
      <c r="D474" s="53" t="inlineStr">
        <is>
          <t>SYMBICORT 160-4.5MCG/ACT AEROSOL</t>
        </is>
      </c>
      <c r="E474" s="36" t="n">
        <v>10.2</v>
      </c>
      <c r="F474" s="54" t="n">
        <v>10.2</v>
      </c>
      <c r="G474" s="54" t="n">
        <v>1</v>
      </c>
      <c r="H474" s="55" t="n">
        <v>226</v>
      </c>
      <c r="I474" s="55" t="n">
        <v>234.87</v>
      </c>
      <c r="J474" s="55" t="n">
        <v>0</v>
      </c>
      <c r="K474" s="55" t="n">
        <v>0</v>
      </c>
      <c r="L474" s="55" t="n">
        <v>234.87</v>
      </c>
      <c r="M474" s="55" t="n">
        <v>8.869999999999999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130922</t>
        </is>
      </c>
      <c r="B475" s="52" t="n">
        <v>46000</v>
      </c>
      <c r="C475" s="36" t="inlineStr">
        <is>
          <t>00186037020</t>
        </is>
      </c>
      <c r="D475" s="53" t="inlineStr">
        <is>
          <t>SYMBICORT 160-4.5MCG/ACT AEROSOL</t>
        </is>
      </c>
      <c r="E475" s="36" t="n">
        <v>10.2</v>
      </c>
      <c r="F475" s="54" t="n">
        <v>10.2</v>
      </c>
      <c r="G475" s="54" t="n">
        <v>1</v>
      </c>
      <c r="H475" s="55" t="n">
        <v>226</v>
      </c>
      <c r="I475" s="55" t="n">
        <v>234.9</v>
      </c>
      <c r="J475" s="55" t="n">
        <v>0</v>
      </c>
      <c r="K475" s="55" t="n">
        <v>0</v>
      </c>
      <c r="L475" s="55" t="n">
        <v>234.9</v>
      </c>
      <c r="M475" s="55" t="n">
        <v>8.9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136723</t>
        </is>
      </c>
      <c r="B476" s="52" t="n">
        <v>46020</v>
      </c>
      <c r="C476" s="36" t="inlineStr">
        <is>
          <t>00186037020</t>
        </is>
      </c>
      <c r="D476" s="53" t="inlineStr">
        <is>
          <t>SYMBICORT 160-4.5MCG/ACT AEROSOL</t>
        </is>
      </c>
      <c r="E476" s="36" t="n">
        <v>10.2</v>
      </c>
      <c r="F476" s="54" t="n">
        <v>10.2</v>
      </c>
      <c r="G476" s="54" t="n">
        <v>1</v>
      </c>
      <c r="H476" s="55" t="n">
        <v>226</v>
      </c>
      <c r="I476" s="55" t="n">
        <v>234.87</v>
      </c>
      <c r="J476" s="55" t="n">
        <v>0</v>
      </c>
      <c r="K476" s="55" t="n">
        <v>0</v>
      </c>
      <c r="L476" s="55" t="n">
        <v>234.87</v>
      </c>
      <c r="M476" s="55" t="n">
        <v>8.869999999999999</v>
      </c>
      <c r="N476" s="36" t="inlineStr">
        <is>
          <t>004740</t>
        </is>
      </c>
      <c r="O476" s="36" t="inlineStr">
        <is>
          <t>NYM</t>
        </is>
      </c>
      <c r="P476" s="36" t="inlineStr">
        <is>
          <t>9314DA31</t>
        </is>
      </c>
      <c r="Q476" s="36" t="n">
        <v/>
      </c>
    </row>
    <row r="477">
      <c r="A477" s="36" t="inlineStr">
        <is>
          <t>143749</t>
        </is>
      </c>
      <c r="B477" s="52" t="n">
        <v>46071</v>
      </c>
      <c r="C477" s="36" t="inlineStr">
        <is>
          <t>00597017560</t>
        </is>
      </c>
      <c r="D477" s="53" t="inlineStr">
        <is>
          <t>SYNJARDY 5-1000 MG TABLET</t>
        </is>
      </c>
      <c r="E477" s="36" t="n">
        <v>60</v>
      </c>
      <c r="F477" s="54" t="n">
        <v>60</v>
      </c>
      <c r="G477" s="54" t="n">
        <v>1</v>
      </c>
      <c r="H477" s="55" t="n">
        <v>338</v>
      </c>
      <c r="I477" s="55" t="n">
        <v>346.38</v>
      </c>
      <c r="J477" s="55" t="n">
        <v>0</v>
      </c>
      <c r="K477" s="55" t="n">
        <v>0</v>
      </c>
      <c r="L477" s="55" t="n">
        <v>346.38</v>
      </c>
      <c r="M477" s="55" t="n">
        <v>8.380000000000001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120447</t>
        </is>
      </c>
      <c r="B478" s="52" t="n">
        <v>46013</v>
      </c>
      <c r="C478" s="36" t="inlineStr">
        <is>
          <t>00597017560</t>
        </is>
      </c>
      <c r="D478" s="53" t="inlineStr">
        <is>
          <t>SYNJARDY 5-1000 MG TABLET</t>
        </is>
      </c>
      <c r="E478" s="36" t="n">
        <v>60</v>
      </c>
      <c r="F478" s="54" t="n">
        <v>60</v>
      </c>
      <c r="G478" s="54" t="n">
        <v>1</v>
      </c>
      <c r="H478" s="55" t="n">
        <v>606</v>
      </c>
      <c r="I478" s="55" t="n">
        <v>614.92</v>
      </c>
      <c r="J478" s="55" t="n">
        <v>0</v>
      </c>
      <c r="K478" s="55" t="n">
        <v>0</v>
      </c>
      <c r="L478" s="55" t="n">
        <v>614.92</v>
      </c>
      <c r="M478" s="55" t="n">
        <v>8.92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120447</t>
        </is>
      </c>
      <c r="B479" s="52" t="n">
        <v>46041</v>
      </c>
      <c r="C479" s="36" t="inlineStr">
        <is>
          <t>00597017560</t>
        </is>
      </c>
      <c r="D479" s="53" t="inlineStr">
        <is>
          <t>SYNJARDY 5-1000 MG TABLET</t>
        </is>
      </c>
      <c r="E479" s="36" t="n">
        <v>60</v>
      </c>
      <c r="F479" s="54" t="n">
        <v>60</v>
      </c>
      <c r="G479" s="54" t="n">
        <v>1</v>
      </c>
      <c r="H479" s="55" t="n">
        <v>338</v>
      </c>
      <c r="I479" s="55" t="n">
        <v>346.38</v>
      </c>
      <c r="J479" s="55" t="n">
        <v>0</v>
      </c>
      <c r="K479" s="55" t="n">
        <v>0</v>
      </c>
      <c r="L479" s="55" t="n">
        <v>346.38</v>
      </c>
      <c r="M479" s="55" t="n">
        <v>8.380000000000001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133661</t>
        </is>
      </c>
      <c r="B480" s="52" t="n">
        <v>45995</v>
      </c>
      <c r="C480" s="36" t="inlineStr">
        <is>
          <t>00597029074</t>
        </is>
      </c>
      <c r="D480" s="53" t="inlineStr">
        <is>
          <t>SYNJARDY 5-1000MG TABLET XR</t>
        </is>
      </c>
      <c r="E480" s="36" t="n">
        <v>60</v>
      </c>
      <c r="F480" s="54" t="n">
        <v>90</v>
      </c>
      <c r="G480" s="54" t="n">
        <v>1.5</v>
      </c>
      <c r="H480" s="55" t="n">
        <v>507</v>
      </c>
      <c r="I480" s="55" t="n">
        <v>877.72</v>
      </c>
      <c r="J480" s="55" t="n">
        <v>0</v>
      </c>
      <c r="K480" s="55" t="n">
        <v>0</v>
      </c>
      <c r="L480" s="55" t="n">
        <v>877.72</v>
      </c>
      <c r="M480" s="55" t="n">
        <v>370.72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135716</t>
        </is>
      </c>
      <c r="B481" s="52" t="n">
        <v>46010</v>
      </c>
      <c r="C481" s="36" t="inlineStr">
        <is>
          <t>00597029074</t>
        </is>
      </c>
      <c r="D481" s="53" t="inlineStr">
        <is>
          <t>SYNJARDY 5-1000MG TABLET XR</t>
        </is>
      </c>
      <c r="E481" s="36" t="n">
        <v>60</v>
      </c>
      <c r="F481" s="54" t="n">
        <v>180</v>
      </c>
      <c r="G481" s="54" t="n">
        <v>3</v>
      </c>
      <c r="H481" s="55" t="n">
        <v>1014</v>
      </c>
      <c r="I481" s="55" t="n">
        <v>1826.18</v>
      </c>
      <c r="J481" s="55" t="n">
        <v>0</v>
      </c>
      <c r="K481" s="55" t="n">
        <v>0</v>
      </c>
      <c r="L481" s="55" t="n">
        <v>1826.18</v>
      </c>
      <c r="M481" s="55" t="n">
        <v>812.1799999999999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139193</t>
        </is>
      </c>
      <c r="B482" s="52" t="n">
        <v>46037</v>
      </c>
      <c r="C482" s="36" t="inlineStr">
        <is>
          <t>00597030045</t>
        </is>
      </c>
      <c r="D482" s="53" t="inlineStr">
        <is>
          <t>SYNJARDY XR 12.5-1000 MG TABLET ER</t>
        </is>
      </c>
      <c r="E482" s="36" t="n">
        <v>60</v>
      </c>
      <c r="F482" s="54" t="n">
        <v>180</v>
      </c>
      <c r="G482" s="54" t="n">
        <v>3</v>
      </c>
      <c r="H482" s="55" t="n">
        <v>1014</v>
      </c>
      <c r="I482" s="55" t="n">
        <v>1017.07</v>
      </c>
      <c r="J482" s="55" t="n">
        <v>0</v>
      </c>
      <c r="K482" s="55" t="n">
        <v>0</v>
      </c>
      <c r="L482" s="55" t="n">
        <v>1017.07</v>
      </c>
      <c r="M482" s="55" t="n">
        <v>3.07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133897</t>
        </is>
      </c>
      <c r="B483" s="52" t="n">
        <v>45996</v>
      </c>
      <c r="C483" s="36" t="inlineStr">
        <is>
          <t>00597030045</t>
        </is>
      </c>
      <c r="D483" s="53" t="inlineStr">
        <is>
          <t>SYNJARDY XR 12.5-1000 MG TABLET ER</t>
        </is>
      </c>
      <c r="E483" s="36" t="n">
        <v>60</v>
      </c>
      <c r="F483" s="54" t="n">
        <v>90</v>
      </c>
      <c r="G483" s="54" t="n">
        <v>1.5</v>
      </c>
      <c r="H483" s="55" t="n">
        <v>909</v>
      </c>
      <c r="I483" s="55" t="n">
        <v>914.66</v>
      </c>
      <c r="J483" s="55" t="n">
        <v>0</v>
      </c>
      <c r="K483" s="55" t="n">
        <v>1</v>
      </c>
      <c r="L483" s="55" t="n">
        <v>915.66</v>
      </c>
      <c r="M483" s="55" t="n">
        <v>6.66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135731</t>
        </is>
      </c>
      <c r="B484" s="52" t="n">
        <v>46010</v>
      </c>
      <c r="C484" s="36" t="inlineStr">
        <is>
          <t>00074455290</t>
        </is>
      </c>
      <c r="D484" s="53" t="inlineStr">
        <is>
          <t>SYNTHROID 50MCG TABLET</t>
        </is>
      </c>
      <c r="E484" s="36" t="n">
        <v>90</v>
      </c>
      <c r="F484" s="54" t="n">
        <v>90</v>
      </c>
      <c r="G484" s="54" t="n">
        <v>1</v>
      </c>
      <c r="H484" s="55" t="n">
        <v>143</v>
      </c>
      <c r="I484" s="55" t="n">
        <v>152.82</v>
      </c>
      <c r="J484" s="55" t="n">
        <v>0</v>
      </c>
      <c r="K484" s="55" t="n">
        <v>0</v>
      </c>
      <c r="L484" s="55" t="n">
        <v>152.82</v>
      </c>
      <c r="M484" s="55" t="n">
        <v>9.82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142500</t>
        </is>
      </c>
      <c r="B485" s="52" t="n">
        <v>46063</v>
      </c>
      <c r="C485" s="36" t="inlineStr">
        <is>
          <t>00173088710</t>
        </is>
      </c>
      <c r="D485" s="53" t="inlineStr">
        <is>
          <t>TRELEGY ELLIPTA 100-62.5-25MCG/INH AEROSOL</t>
        </is>
      </c>
      <c r="E485" s="36" t="n">
        <v>60</v>
      </c>
      <c r="F485" s="54" t="n">
        <v>180</v>
      </c>
      <c r="G485" s="54" t="n">
        <v>3</v>
      </c>
      <c r="H485" s="55" t="n">
        <v>1956</v>
      </c>
      <c r="I485" s="55" t="n">
        <v>2016.5</v>
      </c>
      <c r="J485" s="55" t="n">
        <v>0</v>
      </c>
      <c r="K485" s="55" t="n">
        <v>3</v>
      </c>
      <c r="L485" s="55" t="n">
        <v>2019.5</v>
      </c>
      <c r="M485" s="55" t="n">
        <v>63.5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140877</t>
        </is>
      </c>
      <c r="B486" s="52" t="n">
        <v>46050</v>
      </c>
      <c r="C486" s="36" t="inlineStr">
        <is>
          <t>00173088710</t>
        </is>
      </c>
      <c r="D486" s="53" t="inlineStr">
        <is>
          <t>TRELEGY ELLIPTA 100-62.5-25MCG/INH AEROSOL</t>
        </is>
      </c>
      <c r="E486" s="36" t="n">
        <v>60</v>
      </c>
      <c r="F486" s="54" t="n">
        <v>180</v>
      </c>
      <c r="G486" s="54" t="n">
        <v>3</v>
      </c>
      <c r="H486" s="55" t="n">
        <v>1956</v>
      </c>
      <c r="I486" s="55" t="n">
        <v>2019.5</v>
      </c>
      <c r="J486" s="55" t="n">
        <v>0</v>
      </c>
      <c r="K486" s="55" t="n">
        <v>0</v>
      </c>
      <c r="L486" s="55" t="n">
        <v>2019.5</v>
      </c>
      <c r="M486" s="55" t="n">
        <v>63.5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123404</t>
        </is>
      </c>
      <c r="B487" s="52" t="n">
        <v>46029</v>
      </c>
      <c r="C487" s="36" t="inlineStr">
        <is>
          <t>00173088710</t>
        </is>
      </c>
      <c r="D487" s="53" t="inlineStr">
        <is>
          <t>TRELEGY ELLIPTA 100-62.5-25MCG/INH AEROSOL</t>
        </is>
      </c>
      <c r="E487" s="36" t="n">
        <v>60</v>
      </c>
      <c r="F487" s="54" t="n">
        <v>60</v>
      </c>
      <c r="G487" s="54" t="n">
        <v>1</v>
      </c>
      <c r="H487" s="55" t="n">
        <v>652</v>
      </c>
      <c r="I487" s="55" t="n">
        <v>658.8200000000001</v>
      </c>
      <c r="J487" s="55" t="n">
        <v>0</v>
      </c>
      <c r="K487" s="55" t="n">
        <v>4.9</v>
      </c>
      <c r="L487" s="55" t="n">
        <v>663.72</v>
      </c>
      <c r="M487" s="55" t="n">
        <v>11.72</v>
      </c>
      <c r="N487" s="36" t="inlineStr">
        <is>
          <t>004336</t>
        </is>
      </c>
      <c r="O487" s="36" t="inlineStr">
        <is>
          <t>CAREMARK</t>
        </is>
      </c>
      <c r="P487" s="36" t="inlineStr">
        <is>
          <t>MEDDADV</t>
        </is>
      </c>
      <c r="Q487" s="36" t="inlineStr">
        <is>
          <t>RX1110</t>
        </is>
      </c>
    </row>
    <row r="488">
      <c r="A488" s="36" t="inlineStr">
        <is>
          <t>123404</t>
        </is>
      </c>
      <c r="B488" s="52" t="n">
        <v>46057</v>
      </c>
      <c r="C488" s="36" t="inlineStr">
        <is>
          <t>00173088710</t>
        </is>
      </c>
      <c r="D488" s="53" t="inlineStr">
        <is>
          <t>TRELEGY ELLIPTA 100-62.5-25MCG/INH AEROSOL</t>
        </is>
      </c>
      <c r="E488" s="36" t="n">
        <v>60</v>
      </c>
      <c r="F488" s="54" t="n">
        <v>60</v>
      </c>
      <c r="G488" s="54" t="n">
        <v>1</v>
      </c>
      <c r="H488" s="55" t="n">
        <v>652</v>
      </c>
      <c r="I488" s="55" t="n">
        <v>658.8200000000001</v>
      </c>
      <c r="J488" s="55" t="n">
        <v>0</v>
      </c>
      <c r="K488" s="55" t="n">
        <v>4.9</v>
      </c>
      <c r="L488" s="55" t="n">
        <v>663.72</v>
      </c>
      <c r="M488" s="55" t="n">
        <v>11.72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133701</t>
        </is>
      </c>
      <c r="B489" s="52" t="n">
        <v>46050</v>
      </c>
      <c r="C489" s="36" t="inlineStr">
        <is>
          <t>00173088710</t>
        </is>
      </c>
      <c r="D489" s="53" t="inlineStr">
        <is>
          <t>TRELEGY ELLIPTA 100-62.5-25MCG/INH AEROSOL</t>
        </is>
      </c>
      <c r="E489" s="36" t="n">
        <v>60</v>
      </c>
      <c r="F489" s="54" t="n">
        <v>60</v>
      </c>
      <c r="G489" s="54" t="n">
        <v>1</v>
      </c>
      <c r="H489" s="55" t="n">
        <v>652</v>
      </c>
      <c r="I489" s="55" t="n">
        <v>663.72</v>
      </c>
      <c r="J489" s="55" t="n">
        <v>0</v>
      </c>
      <c r="K489" s="55" t="n">
        <v>0</v>
      </c>
      <c r="L489" s="55" t="n">
        <v>663.72</v>
      </c>
      <c r="M489" s="55" t="n">
        <v>11.72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143945</t>
        </is>
      </c>
      <c r="B490" s="52" t="n">
        <v>46072</v>
      </c>
      <c r="C490" s="36" t="inlineStr">
        <is>
          <t>00173089310</t>
        </is>
      </c>
      <c r="D490" s="53" t="inlineStr">
        <is>
          <t>TRELEGY ELLIPTA 200-62.5-25 MCG/ACT INHALATION AER</t>
        </is>
      </c>
      <c r="E490" s="36" t="n">
        <v>60</v>
      </c>
      <c r="F490" s="54" t="n">
        <v>60</v>
      </c>
      <c r="G490" s="54" t="n">
        <v>1</v>
      </c>
      <c r="H490" s="55" t="n">
        <v>652</v>
      </c>
      <c r="I490" s="55" t="n">
        <v>663.72</v>
      </c>
      <c r="J490" s="55" t="n">
        <v>0</v>
      </c>
      <c r="K490" s="55" t="n">
        <v>0</v>
      </c>
      <c r="L490" s="55" t="n">
        <v>663.72</v>
      </c>
      <c r="M490" s="55" t="n">
        <v>11.72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RX1110</t>
        </is>
      </c>
    </row>
    <row r="491">
      <c r="A491" s="36" t="inlineStr">
        <is>
          <t>127334</t>
        </is>
      </c>
      <c r="B491" s="52" t="n">
        <v>46000</v>
      </c>
      <c r="C491" s="36" t="inlineStr">
        <is>
          <t>00173089310</t>
        </is>
      </c>
      <c r="D491" s="53" t="inlineStr">
        <is>
          <t>TRELEGY ELLIPTA 200-62.5-25 MCG/ACT INHALATION AER</t>
        </is>
      </c>
      <c r="E491" s="36" t="n">
        <v>60</v>
      </c>
      <c r="F491" s="54" t="n">
        <v>60</v>
      </c>
      <c r="G491" s="54" t="n">
        <v>1</v>
      </c>
      <c r="H491" s="55" t="n">
        <v>652</v>
      </c>
      <c r="I491" s="55" t="n">
        <v>660.33</v>
      </c>
      <c r="J491" s="55" t="n">
        <v>0</v>
      </c>
      <c r="K491" s="55" t="n">
        <v>0</v>
      </c>
      <c r="L491" s="55" t="n">
        <v>660.33</v>
      </c>
      <c r="M491" s="55" t="n">
        <v>8.33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121774</t>
        </is>
      </c>
      <c r="B492" s="52" t="n">
        <v>46043</v>
      </c>
      <c r="C492" s="36" t="inlineStr">
        <is>
          <t>00173089310</t>
        </is>
      </c>
      <c r="D492" s="53" t="inlineStr">
        <is>
          <t>TRELEGY ELLIPTA 200-62.5-25 MCG/ACT INHALATION AER</t>
        </is>
      </c>
      <c r="E492" s="36" t="n">
        <v>60</v>
      </c>
      <c r="F492" s="54" t="n">
        <v>60</v>
      </c>
      <c r="G492" s="54" t="n">
        <v>1</v>
      </c>
      <c r="H492" s="55" t="n">
        <v>652</v>
      </c>
      <c r="I492" s="55" t="n">
        <v>663.72</v>
      </c>
      <c r="J492" s="55" t="n">
        <v>0</v>
      </c>
      <c r="K492" s="55" t="n">
        <v>0</v>
      </c>
      <c r="L492" s="55" t="n">
        <v>663.72</v>
      </c>
      <c r="M492" s="55" t="n">
        <v>11.72</v>
      </c>
      <c r="N492" s="36" t="inlineStr">
        <is>
          <t>004336</t>
        </is>
      </c>
      <c r="O492" s="36" t="inlineStr">
        <is>
          <t>CAREMARK</t>
        </is>
      </c>
      <c r="P492" s="36" t="inlineStr">
        <is>
          <t>MEDDADV</t>
        </is>
      </c>
      <c r="Q492" s="36" t="inlineStr">
        <is>
          <t>RX1110</t>
        </is>
      </c>
    </row>
    <row r="493">
      <c r="A493" s="36" t="inlineStr">
        <is>
          <t>123111</t>
        </is>
      </c>
      <c r="B493" s="52" t="n">
        <v>46055</v>
      </c>
      <c r="C493" s="36" t="inlineStr">
        <is>
          <t>00173089310</t>
        </is>
      </c>
      <c r="D493" s="53" t="inlineStr">
        <is>
          <t>TRELEGY ELLIPTA 200-62.5-25 MCG/ACT INHALATION AER</t>
        </is>
      </c>
      <c r="E493" s="36" t="n">
        <v>60</v>
      </c>
      <c r="F493" s="54" t="n">
        <v>60</v>
      </c>
      <c r="G493" s="54" t="n">
        <v>1</v>
      </c>
      <c r="H493" s="55" t="n">
        <v>652</v>
      </c>
      <c r="I493" s="55" t="n">
        <v>658.8200000000001</v>
      </c>
      <c r="J493" s="55" t="n">
        <v>0</v>
      </c>
      <c r="K493" s="55" t="n">
        <v>4.9</v>
      </c>
      <c r="L493" s="55" t="n">
        <v>663.72</v>
      </c>
      <c r="M493" s="55" t="n">
        <v>11.72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138106</t>
        </is>
      </c>
      <c r="B494" s="52" t="n">
        <v>46030</v>
      </c>
      <c r="C494" s="36" t="inlineStr">
        <is>
          <t>00173089310</t>
        </is>
      </c>
      <c r="D494" s="53" t="inlineStr">
        <is>
          <t>TRELEGY ELLIPTA 200-62.5-25 MCG/ACT INHALATION AER</t>
        </is>
      </c>
      <c r="E494" s="36" t="n">
        <v>60</v>
      </c>
      <c r="F494" s="54" t="n">
        <v>60</v>
      </c>
      <c r="G494" s="54" t="n">
        <v>1</v>
      </c>
      <c r="H494" s="55" t="n">
        <v>652</v>
      </c>
      <c r="I494" s="55" t="n">
        <v>660.4299999999999</v>
      </c>
      <c r="J494" s="55" t="n">
        <v>0</v>
      </c>
      <c r="K494" s="55" t="n">
        <v>0</v>
      </c>
      <c r="L494" s="55" t="n">
        <v>660.4299999999999</v>
      </c>
      <c r="M494" s="55" t="n">
        <v>8.43</v>
      </c>
      <c r="N494" s="36" t="inlineStr">
        <is>
          <t>004740</t>
        </is>
      </c>
      <c r="O494" s="36" t="inlineStr">
        <is>
          <t>NYM</t>
        </is>
      </c>
      <c r="P494" s="36" t="inlineStr">
        <is>
          <t>9314DA31</t>
        </is>
      </c>
      <c r="Q494" s="36" t="n">
        <v/>
      </c>
    </row>
    <row r="495">
      <c r="A495" s="36" t="inlineStr">
        <is>
          <t>123111</t>
        </is>
      </c>
      <c r="B495" s="52" t="n">
        <v>46027</v>
      </c>
      <c r="C495" s="36" t="inlineStr">
        <is>
          <t>00173089310</t>
        </is>
      </c>
      <c r="D495" s="53" t="inlineStr">
        <is>
          <t>TRELEGY ELLIPTA 200-62.5-25 MCG/ACT INHALATION AER</t>
        </is>
      </c>
      <c r="E495" s="36" t="n">
        <v>60</v>
      </c>
      <c r="F495" s="54" t="n">
        <v>60</v>
      </c>
      <c r="G495" s="54" t="n">
        <v>1</v>
      </c>
      <c r="H495" s="55" t="n">
        <v>652</v>
      </c>
      <c r="I495" s="55" t="n">
        <v>658.8200000000001</v>
      </c>
      <c r="J495" s="55" t="n">
        <v>0</v>
      </c>
      <c r="K495" s="55" t="n">
        <v>4.9</v>
      </c>
      <c r="L495" s="55" t="n">
        <v>663.72</v>
      </c>
      <c r="M495" s="55" t="n">
        <v>11.72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138106</t>
        </is>
      </c>
      <c r="B496" s="52" t="n">
        <v>46058</v>
      </c>
      <c r="C496" s="36" t="inlineStr">
        <is>
          <t>00173089310</t>
        </is>
      </c>
      <c r="D496" s="53" t="inlineStr">
        <is>
          <t>TRELEGY ELLIPTA 200-62.5-25 MCG/ACT INHALATION AER</t>
        </is>
      </c>
      <c r="E496" s="36" t="n">
        <v>60</v>
      </c>
      <c r="F496" s="54" t="n">
        <v>60</v>
      </c>
      <c r="G496" s="54" t="n">
        <v>1</v>
      </c>
      <c r="H496" s="55" t="n">
        <v>652</v>
      </c>
      <c r="I496" s="55" t="n">
        <v>679.9400000000001</v>
      </c>
      <c r="J496" s="55" t="n">
        <v>0</v>
      </c>
      <c r="K496" s="55" t="n">
        <v>0</v>
      </c>
      <c r="L496" s="55" t="n">
        <v>679.9400000000001</v>
      </c>
      <c r="M496" s="55" t="n">
        <v>27.94</v>
      </c>
      <c r="N496" s="36" t="inlineStr">
        <is>
          <t>004740</t>
        </is>
      </c>
      <c r="O496" s="36" t="inlineStr">
        <is>
          <t>NYM</t>
        </is>
      </c>
      <c r="P496" s="36" t="inlineStr">
        <is>
          <t>9314DA31</t>
        </is>
      </c>
      <c r="Q496" s="36" t="n">
        <v/>
      </c>
    </row>
    <row r="497">
      <c r="A497" s="36" t="inlineStr">
        <is>
          <t>122542</t>
        </is>
      </c>
      <c r="B497" s="52" t="n">
        <v>46050</v>
      </c>
      <c r="C497" s="36" t="inlineStr">
        <is>
          <t>64764073030</t>
        </is>
      </c>
      <c r="D497" s="53" t="inlineStr">
        <is>
          <t>TRINTELLIX 10MG TABLET</t>
        </is>
      </c>
      <c r="E497" s="36" t="n">
        <v>30</v>
      </c>
      <c r="F497" s="54" t="n">
        <v>30</v>
      </c>
      <c r="G497" s="54" t="n">
        <v>1</v>
      </c>
      <c r="H497" s="55" t="n">
        <v>495</v>
      </c>
      <c r="I497" s="55" t="n">
        <v>513.49</v>
      </c>
      <c r="J497" s="55" t="n">
        <v>0</v>
      </c>
      <c r="K497" s="55" t="n">
        <v>0</v>
      </c>
      <c r="L497" s="55" t="n">
        <v>513.49</v>
      </c>
      <c r="M497" s="55" t="n">
        <v>18.49</v>
      </c>
      <c r="N497" s="36" t="inlineStr">
        <is>
          <t>004336</t>
        </is>
      </c>
      <c r="O497" s="36" t="inlineStr">
        <is>
          <t>CAREMARK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131584</t>
        </is>
      </c>
      <c r="B498" s="52" t="n">
        <v>46007</v>
      </c>
      <c r="C498" s="36" t="inlineStr">
        <is>
          <t>00002143380</t>
        </is>
      </c>
      <c r="D498" s="53" t="inlineStr">
        <is>
          <t>TRULICITY 0.75MG/0.5ML INJECTION</t>
        </is>
      </c>
      <c r="E498" s="36" t="n">
        <v>2</v>
      </c>
      <c r="F498" s="54" t="n">
        <v>2</v>
      </c>
      <c r="G498" s="54" t="n">
        <v>1</v>
      </c>
      <c r="H498" s="55" t="n">
        <v>950</v>
      </c>
      <c r="I498" s="55" t="n">
        <v>966.5599999999999</v>
      </c>
      <c r="J498" s="55" t="n">
        <v>0</v>
      </c>
      <c r="K498" s="55" t="n">
        <v>0</v>
      </c>
      <c r="L498" s="55" t="n">
        <v>966.5599999999999</v>
      </c>
      <c r="M498" s="55" t="n">
        <v>16.56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131584</t>
        </is>
      </c>
      <c r="B499" s="52" t="n">
        <v>46062</v>
      </c>
      <c r="C499" s="36" t="inlineStr">
        <is>
          <t>00002143380</t>
        </is>
      </c>
      <c r="D499" s="53" t="inlineStr">
        <is>
          <t>TRULICITY 0.75MG/0.5ML INJECTION</t>
        </is>
      </c>
      <c r="E499" s="36" t="n">
        <v>2</v>
      </c>
      <c r="F499" s="54" t="n">
        <v>2</v>
      </c>
      <c r="G499" s="54" t="n">
        <v>1</v>
      </c>
      <c r="H499" s="55" t="n">
        <v>979</v>
      </c>
      <c r="I499" s="55" t="n">
        <v>985.62</v>
      </c>
      <c r="J499" s="55" t="n">
        <v>0</v>
      </c>
      <c r="K499" s="55" t="n">
        <v>0</v>
      </c>
      <c r="L499" s="55" t="n">
        <v>985.62</v>
      </c>
      <c r="M499" s="55" t="n">
        <v>6.62</v>
      </c>
      <c r="N499" s="36" t="inlineStr">
        <is>
          <t>004740</t>
        </is>
      </c>
      <c r="O499" s="36" t="inlineStr">
        <is>
          <t>NYM</t>
        </is>
      </c>
      <c r="P499" s="36" t="inlineStr">
        <is>
          <t>9314DA31</t>
        </is>
      </c>
      <c r="Q499" s="36" t="n">
        <v/>
      </c>
    </row>
    <row r="500">
      <c r="A500" s="36" t="inlineStr">
        <is>
          <t>134648</t>
        </is>
      </c>
      <c r="B500" s="52" t="n">
        <v>46001</v>
      </c>
      <c r="C500" s="36" t="inlineStr">
        <is>
          <t>00002143380</t>
        </is>
      </c>
      <c r="D500" s="53" t="inlineStr">
        <is>
          <t>TRULICITY 0.75MG/0.5ML INJECTION</t>
        </is>
      </c>
      <c r="E500" s="36" t="n">
        <v>2</v>
      </c>
      <c r="F500" s="54" t="n">
        <v>6</v>
      </c>
      <c r="G500" s="54" t="n">
        <v>3</v>
      </c>
      <c r="H500" s="55" t="n">
        <v>2850</v>
      </c>
      <c r="I500" s="55" t="n">
        <v>2879.32</v>
      </c>
      <c r="J500" s="55" t="n">
        <v>0</v>
      </c>
      <c r="K500" s="55" t="n">
        <v>0</v>
      </c>
      <c r="L500" s="55" t="n">
        <v>2879.32</v>
      </c>
      <c r="M500" s="55" t="n">
        <v>29.32</v>
      </c>
      <c r="N500" s="36" t="inlineStr">
        <is>
          <t>004740</t>
        </is>
      </c>
      <c r="O500" s="36" t="inlineStr">
        <is>
          <t>NYM</t>
        </is>
      </c>
      <c r="P500" s="36" t="inlineStr">
        <is>
          <t>9314DA31</t>
        </is>
      </c>
      <c r="Q500" s="36" t="n">
        <v/>
      </c>
    </row>
    <row r="501">
      <c r="A501" s="36" t="inlineStr">
        <is>
          <t>129664</t>
        </is>
      </c>
      <c r="B501" s="52" t="n">
        <v>46043</v>
      </c>
      <c r="C501" s="36" t="inlineStr">
        <is>
          <t>00002143480</t>
        </is>
      </c>
      <c r="D501" s="53" t="inlineStr">
        <is>
          <t>TRULICITY 1.5MG/0.5ML INJECTION</t>
        </is>
      </c>
      <c r="E501" s="36" t="n">
        <v>2</v>
      </c>
      <c r="F501" s="54" t="n">
        <v>2</v>
      </c>
      <c r="G501" s="54" t="n">
        <v>1</v>
      </c>
      <c r="H501" s="55" t="n">
        <v>972</v>
      </c>
      <c r="I501" s="55" t="n">
        <v>985.4400000000001</v>
      </c>
      <c r="J501" s="55" t="n">
        <v>0</v>
      </c>
      <c r="K501" s="55" t="n">
        <v>0</v>
      </c>
      <c r="L501" s="55" t="n">
        <v>985.4400000000001</v>
      </c>
      <c r="M501" s="55" t="n">
        <v>13.44</v>
      </c>
      <c r="N501" s="36" t="inlineStr">
        <is>
          <t>004740</t>
        </is>
      </c>
      <c r="O501" s="36" t="inlineStr">
        <is>
          <t>NYM</t>
        </is>
      </c>
      <c r="P501" s="36" t="inlineStr">
        <is>
          <t>9314DA31</t>
        </is>
      </c>
      <c r="Q501" s="36" t="n">
        <v/>
      </c>
    </row>
    <row r="502">
      <c r="A502" s="36" t="inlineStr">
        <is>
          <t>129664</t>
        </is>
      </c>
      <c r="B502" s="52" t="n">
        <v>46069</v>
      </c>
      <c r="C502" s="36" t="inlineStr">
        <is>
          <t>00002143480</t>
        </is>
      </c>
      <c r="D502" s="53" t="inlineStr">
        <is>
          <t>TRULICITY 1.5MG/0.5ML INJECTION</t>
        </is>
      </c>
      <c r="E502" s="36" t="n">
        <v>2</v>
      </c>
      <c r="F502" s="54" t="n">
        <v>2</v>
      </c>
      <c r="G502" s="54" t="n">
        <v>1</v>
      </c>
      <c r="H502" s="55" t="n">
        <v>979</v>
      </c>
      <c r="I502" s="55" t="n">
        <v>985.4400000000001</v>
      </c>
      <c r="J502" s="55" t="n">
        <v>0</v>
      </c>
      <c r="K502" s="55" t="n">
        <v>0</v>
      </c>
      <c r="L502" s="55" t="n">
        <v>985.4400000000001</v>
      </c>
      <c r="M502" s="55" t="n">
        <v>6.44</v>
      </c>
      <c r="N502" s="36" t="inlineStr">
        <is>
          <t>004740</t>
        </is>
      </c>
      <c r="O502" s="36" t="inlineStr">
        <is>
          <t>NYM</t>
        </is>
      </c>
      <c r="P502" s="36" t="inlineStr">
        <is>
          <t>9314DA31</t>
        </is>
      </c>
      <c r="Q502" s="36" t="n">
        <v/>
      </c>
    </row>
    <row r="503">
      <c r="A503" s="36" t="inlineStr">
        <is>
          <t>140310</t>
        </is>
      </c>
      <c r="B503" s="52" t="n">
        <v>46045</v>
      </c>
      <c r="C503" s="36" t="inlineStr">
        <is>
          <t>00023649810</t>
        </is>
      </c>
      <c r="D503" s="53" t="inlineStr">
        <is>
          <t>UBRELVY 50 MG ORAL TABLET</t>
        </is>
      </c>
      <c r="E503" s="36" t="n">
        <v>10</v>
      </c>
      <c r="F503" s="54" t="n">
        <v>10</v>
      </c>
      <c r="G503" s="54" t="n">
        <v>1</v>
      </c>
      <c r="H503" s="55" t="n">
        <v>1099</v>
      </c>
      <c r="I503" s="55" t="n">
        <v>1100.95</v>
      </c>
      <c r="J503" s="55" t="n">
        <v>0</v>
      </c>
      <c r="K503" s="55" t="n">
        <v>0</v>
      </c>
      <c r="L503" s="55" t="n">
        <v>1100.95</v>
      </c>
      <c r="M503" s="55" t="n">
        <v>1.95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128580</t>
        </is>
      </c>
      <c r="B504" s="52" t="n">
        <v>46038</v>
      </c>
      <c r="C504" s="36" t="inlineStr">
        <is>
          <t>61874011530</t>
        </is>
      </c>
      <c r="D504" s="53" t="inlineStr">
        <is>
          <t>VRAYLAR 1.5MG CAPSULE</t>
        </is>
      </c>
      <c r="E504" s="36" t="n">
        <v>30</v>
      </c>
      <c r="F504" s="54" t="n">
        <v>30</v>
      </c>
      <c r="G504" s="54" t="n">
        <v>1</v>
      </c>
      <c r="H504" s="55" t="n">
        <v>1462</v>
      </c>
      <c r="I504" s="55" t="n">
        <v>1466.32</v>
      </c>
      <c r="J504" s="55" t="n">
        <v>0</v>
      </c>
      <c r="K504" s="55" t="n">
        <v>0</v>
      </c>
      <c r="L504" s="55" t="n">
        <v>1466.32</v>
      </c>
      <c r="M504" s="55" t="n">
        <v>4.32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139147</t>
        </is>
      </c>
      <c r="B505" s="52" t="n">
        <v>46037</v>
      </c>
      <c r="C505" s="36" t="inlineStr">
        <is>
          <t>61874011530</t>
        </is>
      </c>
      <c r="D505" s="53" t="inlineStr">
        <is>
          <t>VRAYLAR 1.5MG CAPSULE</t>
        </is>
      </c>
      <c r="E505" s="36" t="n">
        <v>30</v>
      </c>
      <c r="F505" s="54" t="n">
        <v>30</v>
      </c>
      <c r="G505" s="54" t="n">
        <v>1</v>
      </c>
      <c r="H505" s="55" t="n">
        <v>1462</v>
      </c>
      <c r="I505" s="55" t="n">
        <v>1466.32</v>
      </c>
      <c r="J505" s="55" t="n">
        <v>0</v>
      </c>
      <c r="K505" s="55" t="n">
        <v>0</v>
      </c>
      <c r="L505" s="55" t="n">
        <v>1466.32</v>
      </c>
      <c r="M505" s="55" t="n">
        <v>4.32</v>
      </c>
      <c r="N505" s="36" t="inlineStr">
        <is>
          <t>004740</t>
        </is>
      </c>
      <c r="O505" s="36" t="inlineStr">
        <is>
          <t>NYM</t>
        </is>
      </c>
      <c r="P505" s="36" t="inlineStr">
        <is>
          <t>9314DA31</t>
        </is>
      </c>
      <c r="Q505" s="36" t="n">
        <v/>
      </c>
    </row>
    <row r="506">
      <c r="A506" s="36" t="inlineStr">
        <is>
          <t>131724</t>
        </is>
      </c>
      <c r="B506" s="52" t="n">
        <v>46007</v>
      </c>
      <c r="C506" s="36" t="inlineStr">
        <is>
          <t>61874011530</t>
        </is>
      </c>
      <c r="D506" s="53" t="inlineStr">
        <is>
          <t>VRAYLAR 1.5MG CAPSULE</t>
        </is>
      </c>
      <c r="E506" s="36" t="n">
        <v>30</v>
      </c>
      <c r="F506" s="54" t="n">
        <v>30</v>
      </c>
      <c r="G506" s="54" t="n">
        <v>1</v>
      </c>
      <c r="H506" s="55" t="n">
        <v>1462</v>
      </c>
      <c r="I506" s="55" t="n">
        <v>1466.42</v>
      </c>
      <c r="J506" s="55" t="n">
        <v>0</v>
      </c>
      <c r="K506" s="55" t="n">
        <v>0</v>
      </c>
      <c r="L506" s="55" t="n">
        <v>1466.42</v>
      </c>
      <c r="M506" s="55" t="n">
        <v>4.42</v>
      </c>
      <c r="N506" s="36" t="inlineStr">
        <is>
          <t>004740</t>
        </is>
      </c>
      <c r="O506" s="36" t="inlineStr">
        <is>
          <t>NYM</t>
        </is>
      </c>
      <c r="P506" s="36" t="inlineStr">
        <is>
          <t>9314DA31</t>
        </is>
      </c>
      <c r="Q506" s="36" t="n">
        <v/>
      </c>
    </row>
    <row r="507">
      <c r="A507" s="36" t="inlineStr">
        <is>
          <t>128580</t>
        </is>
      </c>
      <c r="B507" s="52" t="n">
        <v>46010</v>
      </c>
      <c r="C507" s="36" t="inlineStr">
        <is>
          <t>61874011530</t>
        </is>
      </c>
      <c r="D507" s="53" t="inlineStr">
        <is>
          <t>VRAYLAR 1.5MG CAPSULE</t>
        </is>
      </c>
      <c r="E507" s="36" t="n">
        <v>30</v>
      </c>
      <c r="F507" s="54" t="n">
        <v>30</v>
      </c>
      <c r="G507" s="54" t="n">
        <v>1</v>
      </c>
      <c r="H507" s="55" t="n">
        <v>1462</v>
      </c>
      <c r="I507" s="55" t="n">
        <v>1466.42</v>
      </c>
      <c r="J507" s="55" t="n">
        <v>0</v>
      </c>
      <c r="K507" s="55" t="n">
        <v>0</v>
      </c>
      <c r="L507" s="55" t="n">
        <v>1466.42</v>
      </c>
      <c r="M507" s="55" t="n">
        <v>4.42</v>
      </c>
      <c r="N507" s="36" t="inlineStr">
        <is>
          <t>004740</t>
        </is>
      </c>
      <c r="O507" s="36" t="inlineStr">
        <is>
          <t>NYM</t>
        </is>
      </c>
      <c r="P507" s="36" t="inlineStr">
        <is>
          <t>9314DA31</t>
        </is>
      </c>
      <c r="Q507" s="36" t="n">
        <v/>
      </c>
    </row>
    <row r="508">
      <c r="A508" s="36" t="inlineStr">
        <is>
          <t>142986</t>
        </is>
      </c>
      <c r="B508" s="52" t="n">
        <v>46065</v>
      </c>
      <c r="C508" s="36" t="inlineStr">
        <is>
          <t>61874013030</t>
        </is>
      </c>
      <c r="D508" s="53" t="inlineStr">
        <is>
          <t>VRAYLAR 3MG CAPSULE</t>
        </is>
      </c>
      <c r="E508" s="36" t="n">
        <v>30</v>
      </c>
      <c r="F508" s="54" t="n">
        <v>30</v>
      </c>
      <c r="G508" s="54" t="n">
        <v>1</v>
      </c>
      <c r="H508" s="55" t="n">
        <v>1462</v>
      </c>
      <c r="I508" s="55" t="n">
        <v>1538.86</v>
      </c>
      <c r="J508" s="55" t="n">
        <v>0</v>
      </c>
      <c r="K508" s="55" t="n">
        <v>0</v>
      </c>
      <c r="L508" s="55" t="n">
        <v>1538.86</v>
      </c>
      <c r="M508" s="55" t="n">
        <v>76.86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139996</t>
        </is>
      </c>
      <c r="B509" s="52" t="n">
        <v>46043</v>
      </c>
      <c r="C509" s="36" t="inlineStr">
        <is>
          <t>61874013030</t>
        </is>
      </c>
      <c r="D509" s="53" t="inlineStr">
        <is>
          <t>VRAYLAR 3MG CAPSULE</t>
        </is>
      </c>
      <c r="E509" s="36" t="n">
        <v>30</v>
      </c>
      <c r="F509" s="54" t="n">
        <v>30</v>
      </c>
      <c r="G509" s="54" t="n">
        <v>1</v>
      </c>
      <c r="H509" s="55" t="n">
        <v>1462</v>
      </c>
      <c r="I509" s="55" t="n">
        <v>1538.86</v>
      </c>
      <c r="J509" s="55" t="n">
        <v>0</v>
      </c>
      <c r="K509" s="55" t="n">
        <v>0</v>
      </c>
      <c r="L509" s="55" t="n">
        <v>1538.86</v>
      </c>
      <c r="M509" s="55" t="n">
        <v>76.86</v>
      </c>
      <c r="N509" s="36" t="inlineStr">
        <is>
          <t>004740</t>
        </is>
      </c>
      <c r="O509" s="36" t="inlineStr">
        <is>
          <t>NYM</t>
        </is>
      </c>
      <c r="P509" s="36" t="inlineStr">
        <is>
          <t>9314DA31</t>
        </is>
      </c>
      <c r="Q509" s="36" t="n">
        <v/>
      </c>
    </row>
    <row r="510">
      <c r="A510" s="36" t="inlineStr">
        <is>
          <t>134029</t>
        </is>
      </c>
      <c r="B510" s="52" t="n">
        <v>45996</v>
      </c>
      <c r="C510" s="36" t="inlineStr">
        <is>
          <t>61874013030</t>
        </is>
      </c>
      <c r="D510" s="53" t="inlineStr">
        <is>
          <t>VRAYLAR 3MG CAPSULE</t>
        </is>
      </c>
      <c r="E510" s="36" t="n">
        <v>30</v>
      </c>
      <c r="F510" s="54" t="n">
        <v>30</v>
      </c>
      <c r="G510" s="54" t="n">
        <v>1</v>
      </c>
      <c r="H510" s="55" t="n">
        <v>1462</v>
      </c>
      <c r="I510" s="55" t="n">
        <v>1465.95</v>
      </c>
      <c r="J510" s="55" t="n">
        <v>0</v>
      </c>
      <c r="K510" s="55" t="n">
        <v>0</v>
      </c>
      <c r="L510" s="55" t="n">
        <v>1465.95</v>
      </c>
      <c r="M510" s="55" t="n">
        <v>3.95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139253</t>
        </is>
      </c>
      <c r="B511" s="52" t="n">
        <v>46037</v>
      </c>
      <c r="C511" s="36" t="inlineStr">
        <is>
          <t>61874013030</t>
        </is>
      </c>
      <c r="D511" s="53" t="inlineStr">
        <is>
          <t>VRAYLAR 3MG CAPSULE</t>
        </is>
      </c>
      <c r="E511" s="36" t="n">
        <v>30</v>
      </c>
      <c r="F511" s="54" t="n">
        <v>30</v>
      </c>
      <c r="G511" s="54" t="n">
        <v>1</v>
      </c>
      <c r="H511" s="55" t="n">
        <v>1462</v>
      </c>
      <c r="I511" s="55" t="n">
        <v>1466.07</v>
      </c>
      <c r="J511" s="55" t="n">
        <v>0</v>
      </c>
      <c r="K511" s="55" t="n">
        <v>0</v>
      </c>
      <c r="L511" s="55" t="n">
        <v>1466.07</v>
      </c>
      <c r="M511" s="55" t="n">
        <v>4.07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132049</t>
        </is>
      </c>
      <c r="B512" s="52" t="n">
        <v>46008</v>
      </c>
      <c r="C512" s="36" t="inlineStr">
        <is>
          <t>61874013030</t>
        </is>
      </c>
      <c r="D512" s="53" t="inlineStr">
        <is>
          <t>VRAYLAR 3MG CAPSULE</t>
        </is>
      </c>
      <c r="E512" s="36" t="n">
        <v>30</v>
      </c>
      <c r="F512" s="54" t="n">
        <v>30</v>
      </c>
      <c r="G512" s="54" t="n">
        <v>1</v>
      </c>
      <c r="H512" s="55" t="n">
        <v>1462</v>
      </c>
      <c r="I512" s="55" t="n">
        <v>1465.95</v>
      </c>
      <c r="J512" s="55" t="n">
        <v>0</v>
      </c>
      <c r="K512" s="55" t="n">
        <v>0</v>
      </c>
      <c r="L512" s="55" t="n">
        <v>1465.95</v>
      </c>
      <c r="M512" s="55" t="n">
        <v>3.95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131912</t>
        </is>
      </c>
      <c r="B513" s="52" t="n">
        <v>46008</v>
      </c>
      <c r="C513" s="36" t="inlineStr">
        <is>
          <t>00169452414</t>
        </is>
      </c>
      <c r="D513" s="53" t="inlineStr">
        <is>
          <t>WEGOVY 2.4 MG/0.75ML AUTO-INJECTOR</t>
        </is>
      </c>
      <c r="E513" s="36" t="n">
        <v>3</v>
      </c>
      <c r="F513" s="54" t="n">
        <v>3</v>
      </c>
      <c r="G513" s="54" t="n">
        <v>1</v>
      </c>
      <c r="H513" s="55" t="n">
        <v>1298</v>
      </c>
      <c r="I513" s="55" t="n">
        <v>1280.63</v>
      </c>
      <c r="J513" s="55" t="n">
        <v>0</v>
      </c>
      <c r="K513" s="55" t="n">
        <v>21</v>
      </c>
      <c r="L513" s="55" t="n">
        <v>1301.63</v>
      </c>
      <c r="M513" s="55" t="n">
        <v>3.63</v>
      </c>
      <c r="N513" s="36" t="inlineStr">
        <is>
          <t>004336</t>
        </is>
      </c>
      <c r="O513" s="36" t="inlineStr">
        <is>
          <t>CAREMARK</t>
        </is>
      </c>
      <c r="P513" s="36" t="inlineStr">
        <is>
          <t>ADV</t>
        </is>
      </c>
      <c r="Q513" s="36" t="inlineStr">
        <is>
          <t>RX0048</t>
        </is>
      </c>
    </row>
    <row r="514">
      <c r="A514" s="36" t="inlineStr">
        <is>
          <t>138293</t>
        </is>
      </c>
      <c r="B514" s="52" t="n">
        <v>46031</v>
      </c>
      <c r="C514" s="36" t="inlineStr">
        <is>
          <t>50458057830</t>
        </is>
      </c>
      <c r="D514" s="53" t="inlineStr">
        <is>
          <t>XARELTO 15MG TAB</t>
        </is>
      </c>
      <c r="E514" s="36" t="n">
        <v>30</v>
      </c>
      <c r="F514" s="54" t="n">
        <v>90</v>
      </c>
      <c r="G514" s="54" t="n">
        <v>3</v>
      </c>
      <c r="H514" s="55" t="n">
        <v>1731</v>
      </c>
      <c r="I514" s="55" t="n">
        <v>618.42</v>
      </c>
      <c r="J514" s="55" t="n">
        <v>1175.42</v>
      </c>
      <c r="K514" s="55" t="n">
        <v>0</v>
      </c>
      <c r="L514" s="55" t="n">
        <v>1793.84</v>
      </c>
      <c r="M514" s="55" t="n">
        <v>62.84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MEDDADV</t>
        </is>
      </c>
      <c r="Q514" s="36" t="inlineStr">
        <is>
          <t>RX1110</t>
        </is>
      </c>
    </row>
    <row r="515">
      <c r="A515" s="36" t="inlineStr">
        <is>
          <t>139187</t>
        </is>
      </c>
      <c r="B515" s="52" t="n">
        <v>46037</v>
      </c>
      <c r="C515" s="36" t="inlineStr">
        <is>
          <t>50458057830</t>
        </is>
      </c>
      <c r="D515" s="53" t="inlineStr">
        <is>
          <t>XARELTO 15MG TAB</t>
        </is>
      </c>
      <c r="E515" s="36" t="n">
        <v>30</v>
      </c>
      <c r="F515" s="54" t="n">
        <v>90</v>
      </c>
      <c r="G515" s="54" t="n">
        <v>3</v>
      </c>
      <c r="H515" s="55" t="n">
        <v>1731</v>
      </c>
      <c r="I515" s="55" t="n">
        <v>613.5700000000001</v>
      </c>
      <c r="J515" s="55" t="n">
        <v>1175.42</v>
      </c>
      <c r="K515" s="55" t="n">
        <v>4.9</v>
      </c>
      <c r="L515" s="55" t="n">
        <v>1793.89</v>
      </c>
      <c r="M515" s="55" t="n">
        <v>62.89</v>
      </c>
      <c r="N515" s="36" t="inlineStr">
        <is>
          <t>004336</t>
        </is>
      </c>
      <c r="O515" s="36" t="inlineStr">
        <is>
          <t>CAREMARK</t>
        </is>
      </c>
      <c r="P515" s="36" t="inlineStr">
        <is>
          <t>MEDDADV</t>
        </is>
      </c>
      <c r="Q515" s="36" t="inlineStr">
        <is>
          <t>RXCVSD</t>
        </is>
      </c>
    </row>
    <row r="516">
      <c r="A516" s="36" t="inlineStr">
        <is>
          <t>141966</t>
        </is>
      </c>
      <c r="B516" s="52" t="n">
        <v>46058</v>
      </c>
      <c r="C516" s="36" t="inlineStr">
        <is>
          <t>50458057830</t>
        </is>
      </c>
      <c r="D516" s="53" t="inlineStr">
        <is>
          <t>XARELTO 15MG TAB</t>
        </is>
      </c>
      <c r="E516" s="36" t="n">
        <v>30</v>
      </c>
      <c r="F516" s="54" t="n">
        <v>90</v>
      </c>
      <c r="G516" s="54" t="n">
        <v>3</v>
      </c>
      <c r="H516" s="55" t="n">
        <v>1731</v>
      </c>
      <c r="I516" s="55" t="n">
        <v>619.76</v>
      </c>
      <c r="J516" s="55" t="n">
        <v>1216.7</v>
      </c>
      <c r="K516" s="55" t="n">
        <v>0</v>
      </c>
      <c r="L516" s="55" t="n">
        <v>1836.46</v>
      </c>
      <c r="M516" s="55" t="n">
        <v>105.46</v>
      </c>
      <c r="N516" s="36" t="inlineStr">
        <is>
          <t>610014</t>
        </is>
      </c>
      <c r="O516" s="36" t="inlineStr">
        <is>
          <t>EXPRESS</t>
        </is>
      </c>
      <c r="P516" s="36" t="inlineStr">
        <is>
          <t>MEDDPRIME</t>
        </is>
      </c>
      <c r="Q516" s="36" t="inlineStr">
        <is>
          <t>2FGA</t>
        </is>
      </c>
    </row>
    <row r="517">
      <c r="A517" s="36" t="inlineStr">
        <is>
          <t>102488</t>
        </is>
      </c>
      <c r="B517" s="52" t="n">
        <v>45996</v>
      </c>
      <c r="C517" s="36" t="inlineStr">
        <is>
          <t>50458057930</t>
        </is>
      </c>
      <c r="D517" s="53" t="inlineStr">
        <is>
          <t>XARELTO 20MG TAB</t>
        </is>
      </c>
      <c r="E517" s="36" t="n">
        <v>30</v>
      </c>
      <c r="F517" s="54" t="n">
        <v>90</v>
      </c>
      <c r="G517" s="54" t="n">
        <v>3</v>
      </c>
      <c r="H517" s="55" t="n">
        <v>1728</v>
      </c>
      <c r="I517" s="55" t="n">
        <v>1799.59</v>
      </c>
      <c r="J517" s="55" t="n">
        <v>0</v>
      </c>
      <c r="K517" s="55" t="n">
        <v>0</v>
      </c>
      <c r="L517" s="55" t="n">
        <v>1799.59</v>
      </c>
      <c r="M517" s="55" t="n">
        <v>71.59</v>
      </c>
      <c r="N517" s="36" t="inlineStr">
        <is>
          <t>610097</t>
        </is>
      </c>
      <c r="O517" s="36" t="inlineStr">
        <is>
          <t>OPTUM</t>
        </is>
      </c>
      <c r="P517" s="36" t="inlineStr">
        <is>
          <t>9999</t>
        </is>
      </c>
      <c r="Q517" s="36" t="inlineStr">
        <is>
          <t>PDPIND</t>
        </is>
      </c>
    </row>
    <row r="518">
      <c r="A518" s="36" t="inlineStr">
        <is>
          <t>143033</t>
        </is>
      </c>
      <c r="B518" s="52" t="n">
        <v>46065</v>
      </c>
      <c r="C518" s="36" t="inlineStr">
        <is>
          <t>50458057930</t>
        </is>
      </c>
      <c r="D518" s="53" t="inlineStr">
        <is>
          <t>XARELTO 20MG TAB</t>
        </is>
      </c>
      <c r="E518" s="36" t="n">
        <v>30</v>
      </c>
      <c r="F518" s="54" t="n">
        <v>90</v>
      </c>
      <c r="G518" s="54" t="n">
        <v>3</v>
      </c>
      <c r="H518" s="55" t="n">
        <v>1785</v>
      </c>
      <c r="I518" s="55" t="n">
        <v>620.28</v>
      </c>
      <c r="J518" s="55" t="n">
        <v>1216.18</v>
      </c>
      <c r="K518" s="55" t="n">
        <v>0</v>
      </c>
      <c r="L518" s="55" t="n">
        <v>1836.46</v>
      </c>
      <c r="M518" s="55" t="n">
        <v>51.46</v>
      </c>
      <c r="N518" s="36" t="inlineStr">
        <is>
          <t>610014</t>
        </is>
      </c>
      <c r="O518" s="36" t="inlineStr">
        <is>
          <t>EXPRESS</t>
        </is>
      </c>
      <c r="P518" s="36" t="inlineStr">
        <is>
          <t>MEDDPRIME</t>
        </is>
      </c>
      <c r="Q518" s="36" t="inlineStr">
        <is>
          <t>2FFA</t>
        </is>
      </c>
    </row>
    <row r="519">
      <c r="A519" s="36" t="inlineStr">
        <is>
          <t>120707</t>
        </is>
      </c>
      <c r="B519" s="52" t="n">
        <v>46070</v>
      </c>
      <c r="C519" s="36" t="inlineStr">
        <is>
          <t>50458057930</t>
        </is>
      </c>
      <c r="D519" s="53" t="inlineStr">
        <is>
          <t>XARELTO 20MG TAB</t>
        </is>
      </c>
      <c r="E519" s="36" t="n">
        <v>30</v>
      </c>
      <c r="F519" s="54" t="n">
        <v>90</v>
      </c>
      <c r="G519" s="54" t="n">
        <v>3</v>
      </c>
      <c r="H519" s="55" t="n">
        <v>1785</v>
      </c>
      <c r="I519" s="55" t="n">
        <v>614.04</v>
      </c>
      <c r="J519" s="55" t="n">
        <v>1216.18</v>
      </c>
      <c r="K519" s="55" t="n">
        <v>4.9</v>
      </c>
      <c r="L519" s="55" t="n">
        <v>1835.12</v>
      </c>
      <c r="M519" s="55" t="n">
        <v>50.12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137975</t>
        </is>
      </c>
      <c r="B520" s="52" t="n">
        <v>46029</v>
      </c>
      <c r="C520" s="36" t="inlineStr">
        <is>
          <t>50458057930</t>
        </is>
      </c>
      <c r="D520" s="53" t="inlineStr">
        <is>
          <t>XARELTO 20MG TAB</t>
        </is>
      </c>
      <c r="E520" s="36" t="n">
        <v>30</v>
      </c>
      <c r="F520" s="54" t="n">
        <v>90</v>
      </c>
      <c r="G520" s="54" t="n">
        <v>3</v>
      </c>
      <c r="H520" s="55" t="n">
        <v>1731</v>
      </c>
      <c r="I520" s="55" t="n">
        <v>618.9400000000001</v>
      </c>
      <c r="J520" s="55" t="n">
        <v>1174.9</v>
      </c>
      <c r="K520" s="55" t="n">
        <v>0</v>
      </c>
      <c r="L520" s="55" t="n">
        <v>1793.84</v>
      </c>
      <c r="M520" s="55" t="n">
        <v>62.84</v>
      </c>
      <c r="N520" s="36" t="inlineStr">
        <is>
          <t>004336</t>
        </is>
      </c>
      <c r="O520" s="36" t="inlineStr">
        <is>
          <t>CAREMARK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119831</t>
        </is>
      </c>
      <c r="B521" s="52" t="n">
        <v>46065</v>
      </c>
      <c r="C521" s="36" t="inlineStr">
        <is>
          <t>50458057930</t>
        </is>
      </c>
      <c r="D521" s="53" t="inlineStr">
        <is>
          <t>XARELTO 20MG TAB</t>
        </is>
      </c>
      <c r="E521" s="36" t="n">
        <v>30</v>
      </c>
      <c r="F521" s="54" t="n">
        <v>90</v>
      </c>
      <c r="G521" s="54" t="n">
        <v>3</v>
      </c>
      <c r="H521" s="55" t="n">
        <v>1785</v>
      </c>
      <c r="I521" s="55" t="n">
        <v>618.9400000000001</v>
      </c>
      <c r="J521" s="55" t="n">
        <v>1216.18</v>
      </c>
      <c r="K521" s="55" t="n">
        <v>0</v>
      </c>
      <c r="L521" s="55" t="n">
        <v>1835.12</v>
      </c>
      <c r="M521" s="55" t="n">
        <v>50.12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128903</t>
        </is>
      </c>
      <c r="B522" s="52" t="n">
        <v>46045</v>
      </c>
      <c r="C522" s="36" t="inlineStr">
        <is>
          <t>50458057930</t>
        </is>
      </c>
      <c r="D522" s="53" t="inlineStr">
        <is>
          <t>XARELTO 20MG TAB</t>
        </is>
      </c>
      <c r="E522" s="36" t="n">
        <v>30</v>
      </c>
      <c r="F522" s="54" t="n">
        <v>90</v>
      </c>
      <c r="G522" s="54" t="n">
        <v>3</v>
      </c>
      <c r="H522" s="55" t="n">
        <v>1731</v>
      </c>
      <c r="I522" s="55" t="n">
        <v>464.12</v>
      </c>
      <c r="J522" s="55" t="n">
        <v>1174.9</v>
      </c>
      <c r="K522" s="55" t="n">
        <v>154.82</v>
      </c>
      <c r="L522" s="55" t="n">
        <v>1793.84</v>
      </c>
      <c r="M522" s="55" t="n">
        <v>62.84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RXCVSD</t>
        </is>
      </c>
    </row>
    <row r="523">
      <c r="A523" s="36" t="inlineStr">
        <is>
          <t>139753</t>
        </is>
      </c>
      <c r="B523" s="52" t="n">
        <v>46042</v>
      </c>
      <c r="C523" s="36" t="inlineStr">
        <is>
          <t>50458057930</t>
        </is>
      </c>
      <c r="D523" s="53" t="inlineStr">
        <is>
          <t>XARELTO 20MG TAB</t>
        </is>
      </c>
      <c r="E523" s="36" t="n">
        <v>30</v>
      </c>
      <c r="F523" s="54" t="n">
        <v>90</v>
      </c>
      <c r="G523" s="54" t="n">
        <v>3</v>
      </c>
      <c r="H523" s="55" t="n">
        <v>1731</v>
      </c>
      <c r="I523" s="55" t="n">
        <v>618.9400000000001</v>
      </c>
      <c r="J523" s="55" t="n">
        <v>1174.9</v>
      </c>
      <c r="K523" s="55" t="n">
        <v>0</v>
      </c>
      <c r="L523" s="55" t="n">
        <v>1793.84</v>
      </c>
      <c r="M523" s="55" t="n">
        <v>62.84</v>
      </c>
      <c r="N523" s="36" t="inlineStr">
        <is>
          <t>004336</t>
        </is>
      </c>
      <c r="O523" s="36" t="inlineStr">
        <is>
          <t>CAREMARK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126029</t>
        </is>
      </c>
      <c r="B524" s="52" t="n">
        <v>46021</v>
      </c>
      <c r="C524" s="36" t="inlineStr">
        <is>
          <t>71143037501</t>
        </is>
      </c>
      <c r="D524" s="53" t="inlineStr">
        <is>
          <t>XHANCE 93 MCG/ACT NASAL EXHALER SUSPENSION</t>
        </is>
      </c>
      <c r="E524" s="36" t="n">
        <v>16</v>
      </c>
      <c r="F524" s="54" t="n">
        <v>16</v>
      </c>
      <c r="G524" s="54" t="n">
        <v>1</v>
      </c>
      <c r="H524" s="55" t="n">
        <v>632</v>
      </c>
      <c r="I524" s="55" t="n">
        <v>639.4400000000001</v>
      </c>
      <c r="J524" s="55" t="n">
        <v>0</v>
      </c>
      <c r="K524" s="55" t="n">
        <v>0</v>
      </c>
      <c r="L524" s="55" t="n">
        <v>639.4400000000001</v>
      </c>
      <c r="M524" s="55" t="n">
        <v>7.44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144202</t>
        </is>
      </c>
      <c r="B525" s="52" t="n">
        <v>46076</v>
      </c>
      <c r="C525" s="36" t="inlineStr">
        <is>
          <t>71143037501</t>
        </is>
      </c>
      <c r="D525" s="53" t="inlineStr">
        <is>
          <t>XHANCE 93 MCG/ACT NASAL EXHALER SUSPENSION</t>
        </is>
      </c>
      <c r="E525" s="36" t="n">
        <v>16</v>
      </c>
      <c r="F525" s="54" t="n">
        <v>16</v>
      </c>
      <c r="G525" s="54" t="n">
        <v>1</v>
      </c>
      <c r="H525" s="55" t="n">
        <v>632</v>
      </c>
      <c r="I525" s="55" t="n">
        <v>664.6</v>
      </c>
      <c r="J525" s="55" t="n">
        <v>0</v>
      </c>
      <c r="K525" s="55" t="n">
        <v>0</v>
      </c>
      <c r="L525" s="55" t="n">
        <v>664.6</v>
      </c>
      <c r="M525" s="55" t="n">
        <v>32.6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126029</t>
        </is>
      </c>
      <c r="B526" s="52" t="n">
        <v>46049</v>
      </c>
      <c r="C526" s="36" t="inlineStr">
        <is>
          <t>71143037501</t>
        </is>
      </c>
      <c r="D526" s="53" t="inlineStr">
        <is>
          <t>XHANCE 93 MCG/ACT NASAL EXHALER SUSPENSION</t>
        </is>
      </c>
      <c r="E526" s="36" t="n">
        <v>16</v>
      </c>
      <c r="F526" s="54" t="n">
        <v>16</v>
      </c>
      <c r="G526" s="54" t="n">
        <v>1</v>
      </c>
      <c r="H526" s="55" t="n">
        <v>632</v>
      </c>
      <c r="I526" s="55" t="n">
        <v>664.6</v>
      </c>
      <c r="J526" s="55" t="n">
        <v>0</v>
      </c>
      <c r="K526" s="55" t="n">
        <v>0</v>
      </c>
      <c r="L526" s="55" t="n">
        <v>664.6</v>
      </c>
      <c r="M526" s="55" t="n">
        <v>32.6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126029</t>
        </is>
      </c>
      <c r="B527" s="52" t="n">
        <v>45993</v>
      </c>
      <c r="C527" s="36" t="inlineStr">
        <is>
          <t>71143037501</t>
        </is>
      </c>
      <c r="D527" s="53" t="inlineStr">
        <is>
          <t>XHANCE 93 MCG/ACT NASAL EXHALER SUSPENSION</t>
        </is>
      </c>
      <c r="E527" s="36" t="n">
        <v>16</v>
      </c>
      <c r="F527" s="54" t="n">
        <v>16</v>
      </c>
      <c r="G527" s="54" t="n">
        <v>1</v>
      </c>
      <c r="H527" s="55" t="n">
        <v>632</v>
      </c>
      <c r="I527" s="55" t="n">
        <v>639.49</v>
      </c>
      <c r="J527" s="55" t="n">
        <v>0</v>
      </c>
      <c r="K527" s="55" t="n">
        <v>0</v>
      </c>
      <c r="L527" s="55" t="n">
        <v>639.49</v>
      </c>
      <c r="M527" s="55" t="n">
        <v>7.49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128424</t>
        </is>
      </c>
      <c r="B528" s="52" t="n">
        <v>46041</v>
      </c>
      <c r="C528" s="36" t="inlineStr">
        <is>
          <t>24208091112</t>
        </is>
      </c>
      <c r="D528" s="53" t="inlineStr">
        <is>
          <t>XIIDRA 5 % OPHTHALMIC SOLUTION</t>
        </is>
      </c>
      <c r="E528" s="36" t="n">
        <v>60</v>
      </c>
      <c r="F528" s="54" t="n">
        <v>180</v>
      </c>
      <c r="G528" s="54" t="n">
        <v>3</v>
      </c>
      <c r="H528" s="55" t="n">
        <v>2076</v>
      </c>
      <c r="I528" s="55" t="n">
        <v>2079.45</v>
      </c>
      <c r="J528" s="55" t="n">
        <v>0</v>
      </c>
      <c r="K528" s="55" t="n">
        <v>0</v>
      </c>
      <c r="L528" s="55" t="n">
        <v>2079.45</v>
      </c>
      <c r="M528" s="55" t="n">
        <v>3.45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122877</t>
        </is>
      </c>
      <c r="B529" s="52" t="n">
        <v>45996</v>
      </c>
      <c r="C529" s="36" t="inlineStr">
        <is>
          <t>24208091112</t>
        </is>
      </c>
      <c r="D529" s="53" t="inlineStr">
        <is>
          <t>XIIDRA 5 % OPHTHALMIC SOLUTION</t>
        </is>
      </c>
      <c r="E529" s="36" t="n">
        <v>60</v>
      </c>
      <c r="F529" s="54" t="n">
        <v>60</v>
      </c>
      <c r="G529" s="54" t="n">
        <v>1</v>
      </c>
      <c r="H529" s="55" t="n">
        <v>692</v>
      </c>
      <c r="I529" s="55" t="n">
        <v>678.17</v>
      </c>
      <c r="J529" s="55" t="n">
        <v>0</v>
      </c>
      <c r="K529" s="55" t="n">
        <v>21.55</v>
      </c>
      <c r="L529" s="55" t="n">
        <v>699.72</v>
      </c>
      <c r="M529" s="55" t="n">
        <v>7.72</v>
      </c>
      <c r="N529" s="36" t="inlineStr">
        <is>
          <t>610097</t>
        </is>
      </c>
      <c r="O529" s="36" t="inlineStr">
        <is>
          <t>OPTUM</t>
        </is>
      </c>
      <c r="P529" s="36" t="inlineStr">
        <is>
          <t>9999</t>
        </is>
      </c>
      <c r="Q529" s="36" t="inlineStr">
        <is>
          <t>UAWP</t>
        </is>
      </c>
    </row>
    <row r="530">
      <c r="A530" s="36" t="inlineStr">
        <is>
          <t>125241</t>
        </is>
      </c>
      <c r="B530" s="52" t="n">
        <v>45992</v>
      </c>
      <c r="C530" s="36" t="inlineStr">
        <is>
          <t>24208091112</t>
        </is>
      </c>
      <c r="D530" s="53" t="inlineStr">
        <is>
          <t>XIIDRA 5 % OPHTHALMIC SOLUTION</t>
        </is>
      </c>
      <c r="E530" s="36" t="n">
        <v>60</v>
      </c>
      <c r="F530" s="54" t="n">
        <v>60</v>
      </c>
      <c r="G530" s="54" t="n">
        <v>1</v>
      </c>
      <c r="H530" s="55" t="n">
        <v>692</v>
      </c>
      <c r="I530" s="55" t="n">
        <v>699.74</v>
      </c>
      <c r="J530" s="55" t="n">
        <v>0</v>
      </c>
      <c r="K530" s="55" t="n">
        <v>0</v>
      </c>
      <c r="L530" s="55" t="n">
        <v>699.74</v>
      </c>
      <c r="M530" s="55" t="n">
        <v>7.74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125241</t>
        </is>
      </c>
      <c r="B531" s="52" t="n">
        <v>46076</v>
      </c>
      <c r="C531" s="36" t="inlineStr">
        <is>
          <t>24208091112</t>
        </is>
      </c>
      <c r="D531" s="53" t="inlineStr">
        <is>
          <t>XIIDRA 5 % OPHTHALMIC SOLUTION</t>
        </is>
      </c>
      <c r="E531" s="36" t="n">
        <v>60</v>
      </c>
      <c r="F531" s="54" t="n">
        <v>60</v>
      </c>
      <c r="G531" s="54" t="n">
        <v>1</v>
      </c>
      <c r="H531" s="55" t="n">
        <v>720</v>
      </c>
      <c r="I531" s="55" t="n">
        <v>720.5</v>
      </c>
      <c r="J531" s="55" t="n">
        <v>0</v>
      </c>
      <c r="K531" s="55" t="n">
        <v>0</v>
      </c>
      <c r="L531" s="55" t="n">
        <v>720.5</v>
      </c>
      <c r="M531" s="55" t="n">
        <v>0.5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122800</t>
        </is>
      </c>
      <c r="B532" s="52" t="n">
        <v>45994</v>
      </c>
      <c r="C532" s="36" t="inlineStr">
        <is>
          <t>24208091112</t>
        </is>
      </c>
      <c r="D532" s="53" t="inlineStr">
        <is>
          <t>XIIDRA 5 % OPHTHALMIC SOLUTION</t>
        </is>
      </c>
      <c r="E532" s="36" t="n">
        <v>60</v>
      </c>
      <c r="F532" s="54" t="n">
        <v>60</v>
      </c>
      <c r="G532" s="54" t="n">
        <v>1</v>
      </c>
      <c r="H532" s="55" t="n">
        <v>692</v>
      </c>
      <c r="I532" s="55" t="n">
        <v>699.74</v>
      </c>
      <c r="J532" s="55" t="n">
        <v>0</v>
      </c>
      <c r="K532" s="55" t="n">
        <v>0</v>
      </c>
      <c r="L532" s="55" t="n">
        <v>699.74</v>
      </c>
      <c r="M532" s="55" t="n">
        <v>7.74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139777</t>
        </is>
      </c>
      <c r="B533" s="52" t="n">
        <v>46042</v>
      </c>
      <c r="C533" s="36" t="inlineStr">
        <is>
          <t>24208091112</t>
        </is>
      </c>
      <c r="D533" s="53" t="inlineStr">
        <is>
          <t>XIIDRA 5 % OPHTHALMIC SOLUTION</t>
        </is>
      </c>
      <c r="E533" s="36" t="n">
        <v>60</v>
      </c>
      <c r="F533" s="54" t="n">
        <v>180</v>
      </c>
      <c r="G533" s="54" t="n">
        <v>3</v>
      </c>
      <c r="H533" s="55" t="n">
        <v>2076</v>
      </c>
      <c r="I533" s="55" t="n">
        <v>2079.45</v>
      </c>
      <c r="J533" s="55" t="n">
        <v>0</v>
      </c>
      <c r="K533" s="55" t="n">
        <v>0</v>
      </c>
      <c r="L533" s="55" t="n">
        <v>2079.45</v>
      </c>
      <c r="M533" s="55" t="n">
        <v>3.45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RX1110</t>
        </is>
      </c>
    </row>
    <row r="534">
      <c r="A534" s="36" t="inlineStr">
        <is>
          <t>122800</t>
        </is>
      </c>
      <c r="B534" s="52" t="n">
        <v>46077</v>
      </c>
      <c r="C534" s="36" t="inlineStr">
        <is>
          <t>24208091112</t>
        </is>
      </c>
      <c r="D534" s="53" t="inlineStr">
        <is>
          <t>XIIDRA 5 % OPHTHALMIC SOLUTION</t>
        </is>
      </c>
      <c r="E534" s="36" t="n">
        <v>60</v>
      </c>
      <c r="F534" s="54" t="n">
        <v>60</v>
      </c>
      <c r="G534" s="54" t="n">
        <v>1</v>
      </c>
      <c r="H534" s="55" t="n">
        <v>720</v>
      </c>
      <c r="I534" s="55" t="n">
        <v>720.5</v>
      </c>
      <c r="J534" s="55" t="n">
        <v>0</v>
      </c>
      <c r="K534" s="55" t="n">
        <v>0</v>
      </c>
      <c r="L534" s="55" t="n">
        <v>720.5</v>
      </c>
      <c r="M534" s="55" t="n">
        <v>0.5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139455</t>
        </is>
      </c>
      <c r="B535" s="52" t="n">
        <v>46038</v>
      </c>
      <c r="C535" s="36" t="inlineStr">
        <is>
          <t>24208091112</t>
        </is>
      </c>
      <c r="D535" s="53" t="inlineStr">
        <is>
          <t>XIIDRA 5 % OPHTHALMIC SOLUTION</t>
        </is>
      </c>
      <c r="E535" s="36" t="n">
        <v>60</v>
      </c>
      <c r="F535" s="54" t="n">
        <v>60</v>
      </c>
      <c r="G535" s="54" t="n">
        <v>1</v>
      </c>
      <c r="H535" s="55" t="n">
        <v>692</v>
      </c>
      <c r="I535" s="55" t="n">
        <v>702.3</v>
      </c>
      <c r="J535" s="55" t="n">
        <v>0</v>
      </c>
      <c r="K535" s="55" t="n">
        <v>0</v>
      </c>
      <c r="L535" s="55" t="n">
        <v>702.3</v>
      </c>
      <c r="M535" s="55" t="n">
        <v>10.3</v>
      </c>
      <c r="N535" s="36" t="inlineStr">
        <is>
          <t>015574</t>
        </is>
      </c>
      <c r="O535" s="36" t="inlineStr">
        <is>
          <t>MEDIMP</t>
        </is>
      </c>
      <c r="P535" s="36" t="inlineStr">
        <is>
          <t>ASPROD1</t>
        </is>
      </c>
      <c r="Q535" s="36" t="inlineStr">
        <is>
          <t>VNS01</t>
        </is>
      </c>
    </row>
    <row r="536">
      <c r="A536" s="36" t="inlineStr">
        <is>
          <t>131414</t>
        </is>
      </c>
      <c r="B536" s="52" t="n">
        <v>46034</v>
      </c>
      <c r="C536" s="36" t="inlineStr">
        <is>
          <t>24208091112</t>
        </is>
      </c>
      <c r="D536" s="53" t="inlineStr">
        <is>
          <t>XIIDRA 5 % OPHTHALMIC SOLUTION</t>
        </is>
      </c>
      <c r="E536" s="36" t="n">
        <v>60</v>
      </c>
      <c r="F536" s="54" t="n">
        <v>60</v>
      </c>
      <c r="G536" s="54" t="n">
        <v>1</v>
      </c>
      <c r="H536" s="55" t="n">
        <v>692</v>
      </c>
      <c r="I536" s="55" t="n">
        <v>702.3</v>
      </c>
      <c r="J536" s="55" t="n">
        <v>0</v>
      </c>
      <c r="K536" s="55" t="n">
        <v>0</v>
      </c>
      <c r="L536" s="55" t="n">
        <v>702.3</v>
      </c>
      <c r="M536" s="55" t="n">
        <v>10.3</v>
      </c>
      <c r="N536" s="36" t="inlineStr">
        <is>
          <t>015574</t>
        </is>
      </c>
      <c r="O536" s="36" t="inlineStr">
        <is>
          <t>MEDIMP</t>
        </is>
      </c>
      <c r="P536" s="36" t="inlineStr">
        <is>
          <t>ASPROD1</t>
        </is>
      </c>
      <c r="Q536" s="36" t="inlineStr">
        <is>
          <t>VNS01</t>
        </is>
      </c>
    </row>
    <row r="537">
      <c r="A537" s="36" t="inlineStr">
        <is>
          <t>122800</t>
        </is>
      </c>
      <c r="B537" s="52" t="n">
        <v>46021</v>
      </c>
      <c r="C537" s="36" t="inlineStr">
        <is>
          <t>24208091112</t>
        </is>
      </c>
      <c r="D537" s="53" t="inlineStr">
        <is>
          <t>XIIDRA 5 % OPHTHALMIC SOLUTION</t>
        </is>
      </c>
      <c r="E537" s="36" t="n">
        <v>60</v>
      </c>
      <c r="F537" s="54" t="n">
        <v>60</v>
      </c>
      <c r="G537" s="54" t="n">
        <v>1</v>
      </c>
      <c r="H537" s="55" t="n">
        <v>692</v>
      </c>
      <c r="I537" s="55" t="n">
        <v>699.8099999999999</v>
      </c>
      <c r="J537" s="55" t="n">
        <v>0</v>
      </c>
      <c r="K537" s="55" t="n">
        <v>0</v>
      </c>
      <c r="L537" s="55" t="n">
        <v>699.8099999999999</v>
      </c>
      <c r="M537" s="55" t="n">
        <v>7.81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127322</t>
        </is>
      </c>
      <c r="B538" s="52" t="n">
        <v>46032</v>
      </c>
      <c r="C538" s="36" t="inlineStr">
        <is>
          <t>24208091112</t>
        </is>
      </c>
      <c r="D538" s="53" t="inlineStr">
        <is>
          <t>XIIDRA 5 % OPHTHALMIC SOLUTION</t>
        </is>
      </c>
      <c r="E538" s="36" t="n">
        <v>60</v>
      </c>
      <c r="F538" s="54" t="n">
        <v>180</v>
      </c>
      <c r="G538" s="54" t="n">
        <v>3</v>
      </c>
      <c r="H538" s="55" t="n">
        <v>2076</v>
      </c>
      <c r="I538" s="55" t="n">
        <v>2074.55</v>
      </c>
      <c r="J538" s="55" t="n">
        <v>0</v>
      </c>
      <c r="K538" s="55" t="n">
        <v>4.9</v>
      </c>
      <c r="L538" s="55" t="n">
        <v>2079.45</v>
      </c>
      <c r="M538" s="55" t="n">
        <v>3.45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114389</t>
        </is>
      </c>
      <c r="B539" s="52" t="n">
        <v>46044</v>
      </c>
      <c r="C539" s="36" t="inlineStr">
        <is>
          <t>24208091112</t>
        </is>
      </c>
      <c r="D539" s="53" t="inlineStr">
        <is>
          <t>XIIDRA 5 % OPHTHALMIC SOLUTION</t>
        </is>
      </c>
      <c r="E539" s="36" t="n">
        <v>60</v>
      </c>
      <c r="F539" s="54" t="n">
        <v>60</v>
      </c>
      <c r="G539" s="54" t="n">
        <v>1</v>
      </c>
      <c r="H539" s="55" t="n">
        <v>692</v>
      </c>
      <c r="I539" s="55" t="n">
        <v>704.58</v>
      </c>
      <c r="J539" s="55" t="n">
        <v>0</v>
      </c>
      <c r="K539" s="55" t="n">
        <v>0</v>
      </c>
      <c r="L539" s="55" t="n">
        <v>704.58</v>
      </c>
      <c r="M539" s="55" t="n">
        <v>12.58</v>
      </c>
      <c r="N539" s="36" t="inlineStr">
        <is>
          <t>004336</t>
        </is>
      </c>
      <c r="O539" s="36" t="inlineStr">
        <is>
          <t>CAREMARK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129434</t>
        </is>
      </c>
      <c r="B540" s="52" t="n">
        <v>46044</v>
      </c>
      <c r="C540" s="36" t="inlineStr">
        <is>
          <t>24208091112</t>
        </is>
      </c>
      <c r="D540" s="53" t="inlineStr">
        <is>
          <t>XIIDRA 5 % OPHTHALMIC SOLUTION</t>
        </is>
      </c>
      <c r="E540" s="36" t="n">
        <v>60</v>
      </c>
      <c r="F540" s="54" t="n">
        <v>60</v>
      </c>
      <c r="G540" s="54" t="n">
        <v>1</v>
      </c>
      <c r="H540" s="55" t="n">
        <v>692</v>
      </c>
      <c r="I540" s="55" t="n">
        <v>690.75</v>
      </c>
      <c r="J540" s="55" t="n">
        <v>0</v>
      </c>
      <c r="K540" s="55" t="n">
        <v>20</v>
      </c>
      <c r="L540" s="55" t="n">
        <v>710.75</v>
      </c>
      <c r="M540" s="55" t="n">
        <v>18.75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RXCVSD</t>
        </is>
      </c>
    </row>
    <row r="541">
      <c r="A541" s="36" t="inlineStr">
        <is>
          <t>122727</t>
        </is>
      </c>
      <c r="B541" s="52" t="n">
        <v>45999</v>
      </c>
      <c r="C541" s="36" t="inlineStr">
        <is>
          <t>24208091112</t>
        </is>
      </c>
      <c r="D541" s="53" t="inlineStr">
        <is>
          <t>XIIDRA 5 % OPHTHALMIC SOLUTION</t>
        </is>
      </c>
      <c r="E541" s="36" t="n">
        <v>60</v>
      </c>
      <c r="F541" s="54" t="n">
        <v>180</v>
      </c>
      <c r="G541" s="54" t="n">
        <v>3</v>
      </c>
      <c r="H541" s="55" t="n">
        <v>2076</v>
      </c>
      <c r="I541" s="55" t="n">
        <v>2077.87</v>
      </c>
      <c r="J541" s="55" t="n">
        <v>0</v>
      </c>
      <c r="K541" s="55" t="n">
        <v>1</v>
      </c>
      <c r="L541" s="55" t="n">
        <v>2078.87</v>
      </c>
      <c r="M541" s="55" t="n">
        <v>2.87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132083</t>
        </is>
      </c>
      <c r="B542" s="52" t="n">
        <v>46035</v>
      </c>
      <c r="C542" s="36" t="inlineStr">
        <is>
          <t>24208091112</t>
        </is>
      </c>
      <c r="D542" s="53" t="inlineStr">
        <is>
          <t>XIIDRA 5 % OPHTHALMIC SOLUTION</t>
        </is>
      </c>
      <c r="E542" s="36" t="n">
        <v>60</v>
      </c>
      <c r="F542" s="54" t="n">
        <v>60</v>
      </c>
      <c r="G542" s="54" t="n">
        <v>1</v>
      </c>
      <c r="H542" s="55" t="n">
        <v>692</v>
      </c>
      <c r="I542" s="55" t="n">
        <v>699.6799999999999</v>
      </c>
      <c r="J542" s="55" t="n">
        <v>0</v>
      </c>
      <c r="K542" s="55" t="n">
        <v>4.9</v>
      </c>
      <c r="L542" s="55" t="n">
        <v>704.58</v>
      </c>
      <c r="M542" s="55" t="n">
        <v>12.58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125241</t>
        </is>
      </c>
      <c r="B543" s="52" t="n">
        <v>46048</v>
      </c>
      <c r="C543" s="36" t="inlineStr">
        <is>
          <t>24208091112</t>
        </is>
      </c>
      <c r="D543" s="53" t="inlineStr">
        <is>
          <t>XIIDRA 5 % OPHTHALMIC SOLUTION</t>
        </is>
      </c>
      <c r="E543" s="36" t="n">
        <v>60</v>
      </c>
      <c r="F543" s="54" t="n">
        <v>60</v>
      </c>
      <c r="G543" s="54" t="n">
        <v>1</v>
      </c>
      <c r="H543" s="55" t="n">
        <v>692</v>
      </c>
      <c r="I543" s="55" t="n">
        <v>720.5</v>
      </c>
      <c r="J543" s="55" t="n">
        <v>0</v>
      </c>
      <c r="K543" s="55" t="n">
        <v>0</v>
      </c>
      <c r="L543" s="55" t="n">
        <v>720.5</v>
      </c>
      <c r="M543" s="55" t="n">
        <v>28.5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138586</t>
        </is>
      </c>
      <c r="B544" s="52" t="n">
        <v>46034</v>
      </c>
      <c r="C544" s="36" t="inlineStr">
        <is>
          <t>24208091112</t>
        </is>
      </c>
      <c r="D544" s="53" t="inlineStr">
        <is>
          <t>XIIDRA 5 % OPHTHALMIC SOLUTION</t>
        </is>
      </c>
      <c r="E544" s="36" t="n">
        <v>60</v>
      </c>
      <c r="F544" s="54" t="n">
        <v>60</v>
      </c>
      <c r="G544" s="54" t="n">
        <v>1</v>
      </c>
      <c r="H544" s="55" t="n">
        <v>692</v>
      </c>
      <c r="I544" s="55" t="n">
        <v>699.6799999999999</v>
      </c>
      <c r="J544" s="55" t="n">
        <v>0</v>
      </c>
      <c r="K544" s="55" t="n">
        <v>4.9</v>
      </c>
      <c r="L544" s="55" t="n">
        <v>704.58</v>
      </c>
      <c r="M544" s="55" t="n">
        <v>12.58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122877</t>
        </is>
      </c>
      <c r="B545" s="52" t="n">
        <v>46024</v>
      </c>
      <c r="C545" s="36" t="inlineStr">
        <is>
          <t>24208091112</t>
        </is>
      </c>
      <c r="D545" s="53" t="inlineStr">
        <is>
          <t>XIIDRA 5 % OPHTHALMIC SOLUTION</t>
        </is>
      </c>
      <c r="E545" s="36" t="n">
        <v>60</v>
      </c>
      <c r="F545" s="54" t="n">
        <v>60</v>
      </c>
      <c r="G545" s="54" t="n">
        <v>1</v>
      </c>
      <c r="H545" s="55" t="n">
        <v>692</v>
      </c>
      <c r="I545" s="55" t="n">
        <v>691.1799999999999</v>
      </c>
      <c r="J545" s="55" t="n">
        <v>0</v>
      </c>
      <c r="K545" s="55" t="n">
        <v>33</v>
      </c>
      <c r="L545" s="55" t="n">
        <v>724.1799999999999</v>
      </c>
      <c r="M545" s="55" t="n">
        <v>32.18</v>
      </c>
      <c r="N545" s="36" t="inlineStr">
        <is>
          <t>610011</t>
        </is>
      </c>
      <c r="O545" s="36" t="inlineStr">
        <is>
          <t>OPTUM</t>
        </is>
      </c>
      <c r="P545" s="36" t="inlineStr">
        <is>
          <t>CTRXMEDD</t>
        </is>
      </c>
      <c r="Q545" s="36" t="inlineStr">
        <is>
          <t>EGWPS062</t>
        </is>
      </c>
    </row>
    <row r="546">
      <c r="A546" s="36" t="inlineStr">
        <is>
          <t>115684</t>
        </is>
      </c>
      <c r="B546" s="52" t="n">
        <v>46029</v>
      </c>
      <c r="C546" s="36" t="inlineStr">
        <is>
          <t>24208091112</t>
        </is>
      </c>
      <c r="D546" s="53" t="inlineStr">
        <is>
          <t>XIIDRA 5 % OPHTHALMIC SOLUTION</t>
        </is>
      </c>
      <c r="E546" s="36" t="n">
        <v>60</v>
      </c>
      <c r="F546" s="54" t="n">
        <v>180</v>
      </c>
      <c r="G546" s="54" t="n">
        <v>3</v>
      </c>
      <c r="H546" s="55" t="n">
        <v>2076</v>
      </c>
      <c r="I546" s="55" t="n">
        <v>2079.07</v>
      </c>
      <c r="J546" s="55" t="n">
        <v>0</v>
      </c>
      <c r="K546" s="55" t="n">
        <v>0</v>
      </c>
      <c r="L546" s="55" t="n">
        <v>2079.07</v>
      </c>
      <c r="M546" s="55" t="n">
        <v>3.07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133085</t>
        </is>
      </c>
      <c r="B547" s="52" t="n">
        <v>46048</v>
      </c>
      <c r="C547" s="36" t="inlineStr">
        <is>
          <t>24208091112</t>
        </is>
      </c>
      <c r="D547" s="53" t="inlineStr">
        <is>
          <t>XIIDRA 5 % OPHTHALMIC SOLUTION</t>
        </is>
      </c>
      <c r="E547" s="36" t="n">
        <v>60</v>
      </c>
      <c r="F547" s="54" t="n">
        <v>60</v>
      </c>
      <c r="G547" s="54" t="n">
        <v>1</v>
      </c>
      <c r="H547" s="55" t="n">
        <v>692</v>
      </c>
      <c r="I547" s="55" t="n">
        <v>697.4</v>
      </c>
      <c r="J547" s="55" t="n">
        <v>0</v>
      </c>
      <c r="K547" s="55" t="n">
        <v>4.9</v>
      </c>
      <c r="L547" s="55" t="n">
        <v>702.3</v>
      </c>
      <c r="M547" s="55" t="n">
        <v>10.3</v>
      </c>
      <c r="N547" s="36" t="inlineStr">
        <is>
          <t>015574</t>
        </is>
      </c>
      <c r="O547" s="36" t="inlineStr">
        <is>
          <t>MEDIMP</t>
        </is>
      </c>
      <c r="P547" s="36" t="inlineStr">
        <is>
          <t>ASPROD1</t>
        </is>
      </c>
      <c r="Q547" s="36" t="inlineStr">
        <is>
          <t>VNS01</t>
        </is>
      </c>
    </row>
    <row r="548">
      <c r="A548" s="36" t="inlineStr">
        <is>
          <t>125241</t>
        </is>
      </c>
      <c r="B548" s="52" t="n">
        <v>46020</v>
      </c>
      <c r="C548" s="36" t="inlineStr">
        <is>
          <t>24208091112</t>
        </is>
      </c>
      <c r="D548" s="53" t="inlineStr">
        <is>
          <t>XIIDRA 5 % OPHTHALMIC SOLUTION</t>
        </is>
      </c>
      <c r="E548" s="36" t="n">
        <v>60</v>
      </c>
      <c r="F548" s="54" t="n">
        <v>60</v>
      </c>
      <c r="G548" s="54" t="n">
        <v>1</v>
      </c>
      <c r="H548" s="55" t="n">
        <v>692</v>
      </c>
      <c r="I548" s="55" t="n">
        <v>699.8099999999999</v>
      </c>
      <c r="J548" s="55" t="n">
        <v>0</v>
      </c>
      <c r="K548" s="55" t="n">
        <v>0</v>
      </c>
      <c r="L548" s="55" t="n">
        <v>699.8099999999999</v>
      </c>
      <c r="M548" s="55" t="n">
        <v>7.81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115776</t>
        </is>
      </c>
      <c r="B549" s="52" t="n">
        <v>46029</v>
      </c>
      <c r="C549" s="36" t="inlineStr">
        <is>
          <t>24208091112</t>
        </is>
      </c>
      <c r="D549" s="53" t="inlineStr">
        <is>
          <t>XIIDRA 5 % OPHTHALMIC SOLUTION</t>
        </is>
      </c>
      <c r="E549" s="36" t="n">
        <v>60</v>
      </c>
      <c r="F549" s="54" t="n">
        <v>180</v>
      </c>
      <c r="G549" s="54" t="n">
        <v>3</v>
      </c>
      <c r="H549" s="55" t="n">
        <v>2076</v>
      </c>
      <c r="I549" s="55" t="n">
        <v>2074.55</v>
      </c>
      <c r="J549" s="55" t="n">
        <v>0</v>
      </c>
      <c r="K549" s="55" t="n">
        <v>4.9</v>
      </c>
      <c r="L549" s="55" t="n">
        <v>2079.45</v>
      </c>
      <c r="M549" s="55" t="n">
        <v>3.45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122800</t>
        </is>
      </c>
      <c r="B550" s="52" t="n">
        <v>46049</v>
      </c>
      <c r="C550" s="36" t="inlineStr">
        <is>
          <t>24208091112</t>
        </is>
      </c>
      <c r="D550" s="53" t="inlineStr">
        <is>
          <t>XIIDRA 5 % OPHTHALMIC SOLUTION</t>
        </is>
      </c>
      <c r="E550" s="36" t="n">
        <v>60</v>
      </c>
      <c r="F550" s="54" t="n">
        <v>60</v>
      </c>
      <c r="G550" s="54" t="n">
        <v>1</v>
      </c>
      <c r="H550" s="55" t="n">
        <v>692</v>
      </c>
      <c r="I550" s="55" t="n">
        <v>720.5</v>
      </c>
      <c r="J550" s="55" t="n">
        <v>0</v>
      </c>
      <c r="K550" s="55" t="n">
        <v>0</v>
      </c>
      <c r="L550" s="55" t="n">
        <v>720.5</v>
      </c>
      <c r="M550" s="55" t="n">
        <v>28.5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140689</t>
        </is>
      </c>
      <c r="B551" s="52" t="n">
        <v>46049</v>
      </c>
      <c r="C551" s="36" t="inlineStr">
        <is>
          <t>24208091112</t>
        </is>
      </c>
      <c r="D551" s="53" t="inlineStr">
        <is>
          <t>XIIDRA 5 % OPHTHALMIC SOLUTION</t>
        </is>
      </c>
      <c r="E551" s="36" t="n">
        <v>60</v>
      </c>
      <c r="F551" s="54" t="n">
        <v>60</v>
      </c>
      <c r="G551" s="54" t="n">
        <v>1</v>
      </c>
      <c r="H551" s="55" t="n">
        <v>692</v>
      </c>
      <c r="I551" s="55" t="n">
        <v>699.6799999999999</v>
      </c>
      <c r="J551" s="55" t="n">
        <v>0</v>
      </c>
      <c r="K551" s="55" t="n">
        <v>4.9</v>
      </c>
      <c r="L551" s="55" t="n">
        <v>704.58</v>
      </c>
      <c r="M551" s="55" t="n">
        <v>12.58</v>
      </c>
      <c r="N551" s="36" t="inlineStr">
        <is>
          <t>004336</t>
        </is>
      </c>
      <c r="O551" s="36" t="inlineStr">
        <is>
          <t>CAREMARK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129888</t>
        </is>
      </c>
      <c r="B552" s="52" t="n">
        <v>46020</v>
      </c>
      <c r="C552" s="36" t="inlineStr">
        <is>
          <t>65162035803</t>
        </is>
      </c>
      <c r="D552" s="53" t="inlineStr">
        <is>
          <t>ZAFEMY 150-35 MCG/24HR TRANSDERMAL PATCH WEEKLY</t>
        </is>
      </c>
      <c r="E552" s="36" t="n">
        <v>3</v>
      </c>
      <c r="F552" s="54" t="n">
        <v>3</v>
      </c>
      <c r="G552" s="54" t="n">
        <v>1</v>
      </c>
      <c r="H552" s="55" t="n">
        <v>71</v>
      </c>
      <c r="I552" s="55" t="n">
        <v>104.53</v>
      </c>
      <c r="J552" s="55" t="n">
        <v>0</v>
      </c>
      <c r="K552" s="55" t="n">
        <v>0</v>
      </c>
      <c r="L552" s="55" t="n">
        <v>104.53</v>
      </c>
      <c r="M552" s="55" t="n">
        <v>33.53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129888</t>
        </is>
      </c>
      <c r="B553" s="52" t="n">
        <v>46048</v>
      </c>
      <c r="C553" s="36" t="inlineStr">
        <is>
          <t>65162035803</t>
        </is>
      </c>
      <c r="D553" s="53" t="inlineStr">
        <is>
          <t>ZAFEMY 150-35 MCG/24HR TRANSDERMAL PATCH WEEKLY</t>
        </is>
      </c>
      <c r="E553" s="36" t="n">
        <v>3</v>
      </c>
      <c r="F553" s="54" t="n">
        <v>3</v>
      </c>
      <c r="G553" s="54" t="n">
        <v>1</v>
      </c>
      <c r="H553" s="55" t="n">
        <v>71</v>
      </c>
      <c r="I553" s="55" t="n">
        <v>104.53</v>
      </c>
      <c r="J553" s="55" t="n">
        <v>0</v>
      </c>
      <c r="K553" s="55" t="n">
        <v>0</v>
      </c>
      <c r="L553" s="55" t="n">
        <v>104.53</v>
      </c>
      <c r="M553" s="55" t="n">
        <v>33.53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129888</t>
        </is>
      </c>
      <c r="B554" s="52" t="n">
        <v>46073</v>
      </c>
      <c r="C554" s="36" t="inlineStr">
        <is>
          <t>65162035803</t>
        </is>
      </c>
      <c r="D554" s="53" t="inlineStr">
        <is>
          <t>ZAFEMY 150-35 MCG/24HR TRANSDERMAL PATCH WEEKLY</t>
        </is>
      </c>
      <c r="E554" s="36" t="n">
        <v>3</v>
      </c>
      <c r="F554" s="54" t="n">
        <v>3</v>
      </c>
      <c r="G554" s="54" t="n">
        <v>1</v>
      </c>
      <c r="H554" s="55" t="n">
        <v>71</v>
      </c>
      <c r="I554" s="55" t="n">
        <v>105.46</v>
      </c>
      <c r="J554" s="55" t="n">
        <v>0</v>
      </c>
      <c r="K554" s="55" t="n">
        <v>0</v>
      </c>
      <c r="L554" s="55" t="n">
        <v>105.46</v>
      </c>
      <c r="M554" s="55" t="n">
        <v>34.46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136437</t>
        </is>
      </c>
      <c r="B555" s="52" t="n">
        <v>46015</v>
      </c>
      <c r="C555" s="36" t="inlineStr">
        <is>
          <t>00002247180</t>
        </is>
      </c>
      <c r="D555" s="53" t="inlineStr">
        <is>
          <t>ZEPBOUND 10 MG/0.5ML AUTO-INJECTOR</t>
        </is>
      </c>
      <c r="E555" s="36" t="n">
        <v>2</v>
      </c>
      <c r="F555" s="54" t="n">
        <v>2</v>
      </c>
      <c r="G555" s="54" t="n">
        <v>1</v>
      </c>
      <c r="H555" s="55" t="n">
        <v>1046</v>
      </c>
      <c r="I555" s="55" t="n">
        <v>1025.18</v>
      </c>
      <c r="J555" s="55" t="n">
        <v>0</v>
      </c>
      <c r="K555" s="55" t="n">
        <v>25</v>
      </c>
      <c r="L555" s="55" t="n">
        <v>1050.18</v>
      </c>
      <c r="M555" s="55" t="n">
        <v>4.18</v>
      </c>
      <c r="N555" s="36" t="inlineStr">
        <is>
          <t>610494</t>
        </is>
      </c>
      <c r="O555" s="36" t="inlineStr">
        <is>
          <t>OPTUM</t>
        </is>
      </c>
      <c r="P555" s="36" t="inlineStr">
        <is>
          <t>9999</t>
        </is>
      </c>
      <c r="Q555" s="36" t="inlineStr">
        <is>
          <t>CURX</t>
        </is>
      </c>
    </row>
    <row r="556">
      <c r="A556" s="36" t="inlineStr">
        <is>
          <t>139927</t>
        </is>
      </c>
      <c r="B556" s="52" t="n">
        <v>46043</v>
      </c>
      <c r="C556" s="36" t="inlineStr">
        <is>
          <t>00002247180</t>
        </is>
      </c>
      <c r="D556" s="53" t="inlineStr">
        <is>
          <t>ZEPBOUND 10 MG/0.5ML AUTO-INJECTOR</t>
        </is>
      </c>
      <c r="E556" s="36" t="n">
        <v>2</v>
      </c>
      <c r="F556" s="54" t="n">
        <v>2</v>
      </c>
      <c r="G556" s="54" t="n">
        <v>1</v>
      </c>
      <c r="H556" s="55" t="n">
        <v>1048</v>
      </c>
      <c r="I556" s="55" t="n">
        <v>1025.18</v>
      </c>
      <c r="J556" s="55" t="n">
        <v>0</v>
      </c>
      <c r="K556" s="55" t="n">
        <v>25</v>
      </c>
      <c r="L556" s="55" t="n">
        <v>1050.18</v>
      </c>
      <c r="M556" s="55" t="n">
        <v>2.18</v>
      </c>
      <c r="N556" s="36" t="inlineStr">
        <is>
          <t>610494</t>
        </is>
      </c>
      <c r="O556" s="36" t="inlineStr">
        <is>
          <t>OPTUM</t>
        </is>
      </c>
      <c r="P556" s="36" t="inlineStr">
        <is>
          <t>9999</t>
        </is>
      </c>
      <c r="Q556" s="36" t="inlineStr">
        <is>
          <t>CURX</t>
        </is>
      </c>
    </row>
    <row r="557">
      <c r="A557" s="36" t="inlineStr">
        <is>
          <t>137672</t>
        </is>
      </c>
      <c r="B557" s="52" t="n">
        <v>46027</v>
      </c>
      <c r="C557" s="36" t="inlineStr">
        <is>
          <t>00002250680</t>
        </is>
      </c>
      <c r="D557" s="53" t="inlineStr">
        <is>
          <t>ZEPBOUND 2.5 MG/0.5ML AUTO-INJECTOR</t>
        </is>
      </c>
      <c r="E557" s="36" t="n">
        <v>2</v>
      </c>
      <c r="F557" s="54" t="n">
        <v>2</v>
      </c>
      <c r="G557" s="54" t="n">
        <v>1</v>
      </c>
      <c r="H557" s="55" t="n">
        <v>1048</v>
      </c>
      <c r="I557" s="55" t="n">
        <v>1027.23</v>
      </c>
      <c r="J557" s="55" t="n">
        <v>0</v>
      </c>
      <c r="K557" s="55" t="n">
        <v>21</v>
      </c>
      <c r="L557" s="55" t="n">
        <v>1048.23</v>
      </c>
      <c r="M557" s="55" t="n">
        <v>0.23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RX0048</t>
        </is>
      </c>
    </row>
    <row r="558">
      <c r="A558" s="36" t="inlineStr">
        <is>
          <t>139325</t>
        </is>
      </c>
      <c r="B558" s="52" t="n">
        <v>46037</v>
      </c>
      <c r="C558" s="36" t="inlineStr">
        <is>
          <t>00002249580</t>
        </is>
      </c>
      <c r="D558" s="53" t="inlineStr">
        <is>
          <t>ZEPBOUND 5 MG/0.5ML AUTO-INJECTOR</t>
        </is>
      </c>
      <c r="E558" s="36" t="n">
        <v>2</v>
      </c>
      <c r="F558" s="54" t="n">
        <v>2</v>
      </c>
      <c r="G558" s="54" t="n">
        <v>1</v>
      </c>
      <c r="H558" s="55" t="n">
        <v>1048</v>
      </c>
      <c r="I558" s="55" t="n">
        <v>1027.23</v>
      </c>
      <c r="J558" s="55" t="n">
        <v>0</v>
      </c>
      <c r="K558" s="55" t="n">
        <v>21</v>
      </c>
      <c r="L558" s="55" t="n">
        <v>1048.23</v>
      </c>
      <c r="M558" s="55" t="n">
        <v>0.23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ADV</t>
        </is>
      </c>
      <c r="Q558" s="36" t="inlineStr">
        <is>
          <t>RX0048</t>
        </is>
      </c>
    </row>
    <row r="559">
      <c r="A559" s="36" t="inlineStr">
        <is>
          <t>141379</t>
        </is>
      </c>
      <c r="B559" s="52" t="n">
        <v>46053</v>
      </c>
      <c r="C559" s="36" t="inlineStr">
        <is>
          <t>00002248480</t>
        </is>
      </c>
      <c r="D559" s="53" t="inlineStr">
        <is>
          <t>ZEPBOUND 7.5 MG/0.5ML AUTO-INJECTOR</t>
        </is>
      </c>
      <c r="E559" s="36" t="n">
        <v>2</v>
      </c>
      <c r="F559" s="54" t="n">
        <v>2</v>
      </c>
      <c r="G559" s="54" t="n">
        <v>1</v>
      </c>
      <c r="H559" s="55" t="n">
        <v>1046</v>
      </c>
      <c r="I559" s="55" t="n">
        <v>1027.23</v>
      </c>
      <c r="J559" s="55" t="n">
        <v>0</v>
      </c>
      <c r="K559" s="55" t="n">
        <v>21</v>
      </c>
      <c r="L559" s="55" t="n">
        <v>1048.23</v>
      </c>
      <c r="M559" s="55" t="n">
        <v>2.23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RX0048</t>
        </is>
      </c>
    </row>
    <row r="560">
      <c r="A560" s="36" t="inlineStr">
        <is>
          <t>133081</t>
        </is>
      </c>
      <c r="B560" s="52" t="n">
        <v>45992</v>
      </c>
      <c r="C560" s="36" t="inlineStr">
        <is>
          <t>00002248480</t>
        </is>
      </c>
      <c r="D560" s="53" t="inlineStr">
        <is>
          <t>ZEPBOUND 7.5 MG/0.5ML AUTO-INJECTOR</t>
        </is>
      </c>
      <c r="E560" s="36" t="n">
        <v>2</v>
      </c>
      <c r="F560" s="54" t="n">
        <v>2</v>
      </c>
      <c r="G560" s="54" t="n">
        <v>1</v>
      </c>
      <c r="H560" s="55" t="n">
        <v>1046</v>
      </c>
      <c r="I560" s="55" t="n">
        <v>1025.18</v>
      </c>
      <c r="J560" s="55" t="n">
        <v>0</v>
      </c>
      <c r="K560" s="55" t="n">
        <v>25</v>
      </c>
      <c r="L560" s="55" t="n">
        <v>1050.18</v>
      </c>
      <c r="M560" s="55" t="n">
        <v>4.18</v>
      </c>
      <c r="N560" s="36" t="inlineStr">
        <is>
          <t>610494</t>
        </is>
      </c>
      <c r="O560" s="36" t="inlineStr">
        <is>
          <t>OPTUM</t>
        </is>
      </c>
      <c r="P560" s="36" t="inlineStr">
        <is>
          <t>9999</t>
        </is>
      </c>
      <c r="Q560" s="36" t="inlineStr">
        <is>
          <t>CURX</t>
        </is>
      </c>
    </row>
    <row r="561">
      <c r="A561" s="36" t="inlineStr">
        <is>
          <t>141958</t>
        </is>
      </c>
      <c r="B561" s="52" t="n">
        <v>46058</v>
      </c>
      <c r="C561" s="36" t="inlineStr">
        <is>
          <t>80610013060</t>
        </is>
      </c>
      <c r="D561" s="53" t="inlineStr">
        <is>
          <t>ZORYVE 0.3 % EXTERNAL CREAM</t>
        </is>
      </c>
      <c r="E561" s="36" t="n">
        <v>60</v>
      </c>
      <c r="F561" s="54" t="n">
        <v>60</v>
      </c>
      <c r="G561" s="54" t="n">
        <v>1</v>
      </c>
      <c r="H561" s="55" t="n">
        <v>932</v>
      </c>
      <c r="I561" s="55" t="n">
        <v>933.5599999999999</v>
      </c>
      <c r="J561" s="55" t="n">
        <v>0</v>
      </c>
      <c r="K561" s="55" t="n">
        <v>0</v>
      </c>
      <c r="L561" s="55" t="n">
        <v>933.5599999999999</v>
      </c>
      <c r="M561" s="55" t="n">
        <v>1.56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L562" s="56" t="inlineStr">
        <is>
          <t>Total Difference</t>
        </is>
      </c>
      <c r="M562" s="56">
        <f>SUBTOTAL(109,M3:M561)</f>
        <v/>
      </c>
    </row>
  </sheetData>
  <autoFilter ref="A2:Q561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133556</t>
        </is>
      </c>
      <c r="B9" s="52" t="n">
        <v>46077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218.46</v>
      </c>
      <c r="K9" s="55" t="n">
        <v>0</v>
      </c>
      <c r="L9" s="55" t="n">
        <v>96.89</v>
      </c>
      <c r="M9" s="55" t="n">
        <v>30</v>
      </c>
      <c r="N9" s="55" t="n">
        <v>218.46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RXCVSD</t>
        </is>
      </c>
    </row>
    <row r="10">
      <c r="A10" s="36" t="inlineStr">
        <is>
          <t>143964</t>
        </is>
      </c>
      <c r="B10" s="52" t="n">
        <v>46072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180</v>
      </c>
      <c r="G10" s="54" t="n">
        <v>3</v>
      </c>
      <c r="H10" s="55" t="n">
        <v>336</v>
      </c>
      <c r="I10" s="55" t="n">
        <v>1008</v>
      </c>
      <c r="J10" s="55" t="n">
        <v>750.8</v>
      </c>
      <c r="K10" s="55" t="n">
        <v>0</v>
      </c>
      <c r="L10" s="55" t="n">
        <v>290.66</v>
      </c>
      <c r="M10" s="55" t="n">
        <v>0</v>
      </c>
      <c r="N10" s="55" t="n">
        <v>750.8</v>
      </c>
      <c r="O10" s="55" t="n">
        <v>1041.46</v>
      </c>
      <c r="P10" s="55" t="n">
        <v>33.46000000000015</v>
      </c>
      <c r="Q10" s="36" t="inlineStr">
        <is>
          <t>015574</t>
        </is>
      </c>
      <c r="R10" s="36" t="inlineStr">
        <is>
          <t>MEDIMP</t>
        </is>
      </c>
      <c r="S10" s="36" t="inlineStr">
        <is>
          <t>ASPROD1</t>
        </is>
      </c>
      <c r="T10" s="36" t="inlineStr">
        <is>
          <t>VNS01</t>
        </is>
      </c>
    </row>
    <row r="11">
      <c r="A11" s="36" t="inlineStr">
        <is>
          <t>143572</t>
        </is>
      </c>
      <c r="B11" s="52" t="n">
        <v>46070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180</v>
      </c>
      <c r="G11" s="54" t="n">
        <v>3</v>
      </c>
      <c r="H11" s="55" t="n">
        <v>336</v>
      </c>
      <c r="I11" s="55" t="n">
        <v>1008</v>
      </c>
      <c r="J11" s="55" t="n">
        <v>740.87</v>
      </c>
      <c r="K11" s="55" t="n">
        <v>0</v>
      </c>
      <c r="L11" s="55" t="n">
        <v>290.66</v>
      </c>
      <c r="M11" s="55" t="n">
        <v>4.9</v>
      </c>
      <c r="N11" s="55" t="n">
        <v>740.87</v>
      </c>
      <c r="O11" s="55" t="n">
        <v>1036.43</v>
      </c>
      <c r="P11" s="55" t="n">
        <v>28.43000000000018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142332</t>
        </is>
      </c>
      <c r="B12" s="52" t="n">
        <v>46062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130641</t>
        </is>
      </c>
      <c r="B13" s="52" t="n">
        <v>46059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740.87</v>
      </c>
      <c r="K13" s="55" t="n">
        <v>0</v>
      </c>
      <c r="L13" s="55" t="n">
        <v>290.66</v>
      </c>
      <c r="M13" s="55" t="n">
        <v>4.9</v>
      </c>
      <c r="N13" s="55" t="n">
        <v>740.87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CAREMARK</t>
        </is>
      </c>
      <c r="S13" s="36" t="inlineStr">
        <is>
          <t>MEDDADV</t>
        </is>
      </c>
      <c r="T13" s="36" t="inlineStr">
        <is>
          <t>RX1110</t>
        </is>
      </c>
    </row>
    <row r="14">
      <c r="A14" s="36" t="inlineStr">
        <is>
          <t>141828</t>
        </is>
      </c>
      <c r="B14" s="52" t="n">
        <v>46059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130287</t>
        </is>
      </c>
      <c r="B15" s="52" t="n">
        <v>46056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734.46</v>
      </c>
      <c r="K15" s="55" t="n">
        <v>0</v>
      </c>
      <c r="L15" s="55" t="n">
        <v>290.66</v>
      </c>
      <c r="M15" s="55" t="n">
        <v>12.65</v>
      </c>
      <c r="N15" s="55" t="n">
        <v>734.46</v>
      </c>
      <c r="O15" s="55" t="n">
        <v>1037.77</v>
      </c>
      <c r="P15" s="55" t="n">
        <v>29.77000000000032</v>
      </c>
      <c r="Q15" s="36" t="inlineStr">
        <is>
          <t>610014</t>
        </is>
      </c>
      <c r="R15" s="36" t="inlineStr">
        <is>
          <t>EXPRESS</t>
        </is>
      </c>
      <c r="S15" s="36" t="inlineStr">
        <is>
          <t>MEDDPRIME</t>
        </is>
      </c>
      <c r="T15" s="36" t="inlineStr">
        <is>
          <t>2FFA</t>
        </is>
      </c>
    </row>
    <row r="16">
      <c r="A16" s="36" t="inlineStr">
        <is>
          <t>109682</t>
        </is>
      </c>
      <c r="B16" s="52" t="n">
        <v>46055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60</v>
      </c>
      <c r="G16" s="54" t="n">
        <v>1</v>
      </c>
      <c r="H16" s="55" t="n">
        <v>336</v>
      </c>
      <c r="I16" s="55" t="n">
        <v>336</v>
      </c>
      <c r="J16" s="55" t="n">
        <v>248.46</v>
      </c>
      <c r="K16" s="55" t="n">
        <v>0</v>
      </c>
      <c r="L16" s="55" t="n">
        <v>96.89</v>
      </c>
      <c r="M16" s="55" t="n">
        <v>0</v>
      </c>
      <c r="N16" s="55" t="n">
        <v>248.46</v>
      </c>
      <c r="O16" s="55" t="n">
        <v>345.35</v>
      </c>
      <c r="P16" s="55" t="n">
        <v>9.350000000000023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123048</t>
        </is>
      </c>
      <c r="B17" s="52" t="n">
        <v>46055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60</v>
      </c>
      <c r="G17" s="54" t="n">
        <v>1</v>
      </c>
      <c r="H17" s="55" t="n">
        <v>336</v>
      </c>
      <c r="I17" s="55" t="n">
        <v>336</v>
      </c>
      <c r="J17" s="55" t="n">
        <v>248.46</v>
      </c>
      <c r="K17" s="55" t="n">
        <v>0</v>
      </c>
      <c r="L17" s="55" t="n">
        <v>96.89</v>
      </c>
      <c r="M17" s="55" t="n">
        <v>0</v>
      </c>
      <c r="N17" s="55" t="n">
        <v>248.46</v>
      </c>
      <c r="O17" s="55" t="n">
        <v>345.35</v>
      </c>
      <c r="P17" s="55" t="n">
        <v>9.350000000000023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141178</t>
        </is>
      </c>
      <c r="B18" s="52" t="n">
        <v>46052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333</v>
      </c>
      <c r="I18" s="55" t="n">
        <v>999</v>
      </c>
      <c r="J18" s="55" t="n">
        <v>745.9</v>
      </c>
      <c r="K18" s="55" t="n">
        <v>0</v>
      </c>
      <c r="L18" s="55" t="n">
        <v>290.66</v>
      </c>
      <c r="M18" s="55" t="n">
        <v>4.9</v>
      </c>
      <c r="N18" s="55" t="n">
        <v>745.9</v>
      </c>
      <c r="O18" s="55" t="n">
        <v>1041.46</v>
      </c>
      <c r="P18" s="55" t="n">
        <v>42.46000000000004</v>
      </c>
      <c r="Q18" s="36" t="inlineStr">
        <is>
          <t>015574</t>
        </is>
      </c>
      <c r="R18" s="36" t="inlineStr">
        <is>
          <t>MEDIMP</t>
        </is>
      </c>
      <c r="S18" s="36" t="inlineStr">
        <is>
          <t>ASPROD1</t>
        </is>
      </c>
      <c r="T18" s="36" t="inlineStr">
        <is>
          <t>VNS01</t>
        </is>
      </c>
    </row>
    <row r="19">
      <c r="A19" s="36" t="inlineStr">
        <is>
          <t>141179</t>
        </is>
      </c>
      <c r="B19" s="52" t="n">
        <v>46052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333</v>
      </c>
      <c r="I19" s="55" t="n">
        <v>999</v>
      </c>
      <c r="J19" s="55" t="n">
        <v>745.77</v>
      </c>
      <c r="K19" s="55" t="n">
        <v>0</v>
      </c>
      <c r="L19" s="55" t="n">
        <v>290.66</v>
      </c>
      <c r="M19" s="55" t="n">
        <v>0</v>
      </c>
      <c r="N19" s="55" t="n">
        <v>745.77</v>
      </c>
      <c r="O19" s="55" t="n">
        <v>1036.43</v>
      </c>
      <c r="P19" s="55" t="n">
        <v>37.43000000000006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133556</t>
        </is>
      </c>
      <c r="B20" s="52" t="n">
        <v>46049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333</v>
      </c>
      <c r="I20" s="55" t="n">
        <v>333</v>
      </c>
      <c r="J20" s="55" t="n">
        <v>218.46</v>
      </c>
      <c r="K20" s="55" t="n">
        <v>0</v>
      </c>
      <c r="L20" s="55" t="n">
        <v>96.89</v>
      </c>
      <c r="M20" s="55" t="n">
        <v>30</v>
      </c>
      <c r="N20" s="55" t="n">
        <v>218.46</v>
      </c>
      <c r="O20" s="55" t="n">
        <v>345.35</v>
      </c>
      <c r="P20" s="55" t="n">
        <v>12.35000000000002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RXCVSD</t>
        </is>
      </c>
    </row>
    <row r="21">
      <c r="A21" s="36" t="inlineStr">
        <is>
          <t>140717</t>
        </is>
      </c>
      <c r="B21" s="52" t="n">
        <v>46049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141.29</v>
      </c>
      <c r="K21" s="55" t="n">
        <v>0</v>
      </c>
      <c r="L21" s="55" t="n">
        <v>290.66</v>
      </c>
      <c r="M21" s="55" t="n">
        <v>604.48</v>
      </c>
      <c r="N21" s="55" t="n">
        <v>141.29</v>
      </c>
      <c r="O21" s="55" t="n">
        <v>1036.43</v>
      </c>
      <c r="P21" s="55" t="n">
        <v>37.43000000000006</v>
      </c>
      <c r="Q21" s="36" t="inlineStr">
        <is>
          <t>004336</t>
        </is>
      </c>
      <c r="R21" s="36" t="inlineStr">
        <is>
          <t>CAREMARK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96294</t>
        </is>
      </c>
      <c r="B22" s="52" t="n">
        <v>46048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129391</t>
        </is>
      </c>
      <c r="B23" s="52" t="n">
        <v>46048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180</v>
      </c>
      <c r="G23" s="54" t="n">
        <v>3</v>
      </c>
      <c r="H23" s="55" t="n">
        <v>333</v>
      </c>
      <c r="I23" s="55" t="n">
        <v>999</v>
      </c>
      <c r="J23" s="55" t="n">
        <v>745.77</v>
      </c>
      <c r="K23" s="55" t="n">
        <v>0</v>
      </c>
      <c r="L23" s="55" t="n">
        <v>290.66</v>
      </c>
      <c r="M23" s="55" t="n">
        <v>0</v>
      </c>
      <c r="N23" s="55" t="n">
        <v>745.77</v>
      </c>
      <c r="O23" s="55" t="n">
        <v>1036.43</v>
      </c>
      <c r="P23" s="55" t="n">
        <v>37.43000000000006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140318</t>
        </is>
      </c>
      <c r="B24" s="52" t="n">
        <v>46045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745.77</v>
      </c>
      <c r="K24" s="55" t="n">
        <v>0</v>
      </c>
      <c r="L24" s="55" t="n">
        <v>290.66</v>
      </c>
      <c r="M24" s="55" t="n">
        <v>0</v>
      </c>
      <c r="N24" s="55" t="n">
        <v>745.77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127615</t>
        </is>
      </c>
      <c r="B25" s="52" t="n">
        <v>46041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740.87</v>
      </c>
      <c r="K25" s="55" t="n">
        <v>0</v>
      </c>
      <c r="L25" s="55" t="n">
        <v>290.66</v>
      </c>
      <c r="M25" s="55" t="n">
        <v>4.9</v>
      </c>
      <c r="N25" s="55" t="n">
        <v>740.87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116765</t>
        </is>
      </c>
      <c r="B26" s="52" t="n">
        <v>46034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60</v>
      </c>
      <c r="G26" s="54" t="n">
        <v>1</v>
      </c>
      <c r="H26" s="55" t="n">
        <v>333</v>
      </c>
      <c r="I26" s="55" t="n">
        <v>333</v>
      </c>
      <c r="J26" s="55" t="n">
        <v>0</v>
      </c>
      <c r="K26" s="55" t="n">
        <v>0</v>
      </c>
      <c r="L26" s="55" t="n">
        <v>96.89</v>
      </c>
      <c r="M26" s="55" t="n">
        <v>248.46</v>
      </c>
      <c r="N26" s="55" t="n">
        <v>0</v>
      </c>
      <c r="O26" s="55" t="n">
        <v>345.35</v>
      </c>
      <c r="P26" s="55" t="n">
        <v>12.35000000000002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138346</t>
        </is>
      </c>
      <c r="B27" s="52" t="n">
        <v>46031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109682</t>
        </is>
      </c>
      <c r="B28" s="52" t="n">
        <v>46027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60</v>
      </c>
      <c r="G28" s="54" t="n">
        <v>1</v>
      </c>
      <c r="H28" s="55" t="n">
        <v>333</v>
      </c>
      <c r="I28" s="55" t="n">
        <v>333</v>
      </c>
      <c r="J28" s="55" t="n">
        <v>248.46</v>
      </c>
      <c r="K28" s="55" t="n">
        <v>0</v>
      </c>
      <c r="L28" s="55" t="n">
        <v>96.89</v>
      </c>
      <c r="M28" s="55" t="n">
        <v>0</v>
      </c>
      <c r="N28" s="55" t="n">
        <v>248.46</v>
      </c>
      <c r="O28" s="55" t="n">
        <v>345.35</v>
      </c>
      <c r="P28" s="55" t="n">
        <v>12.35000000000002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123048</t>
        </is>
      </c>
      <c r="B29" s="52" t="n">
        <v>46027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248.46</v>
      </c>
      <c r="K29" s="55" t="n">
        <v>0</v>
      </c>
      <c r="L29" s="55" t="n">
        <v>96.89</v>
      </c>
      <c r="M29" s="55" t="n">
        <v>0</v>
      </c>
      <c r="N29" s="55" t="n">
        <v>248.46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119916</t>
        </is>
      </c>
      <c r="B30" s="52" t="n">
        <v>46024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589.16</v>
      </c>
      <c r="K30" s="55" t="n">
        <v>0</v>
      </c>
      <c r="L30" s="55" t="n">
        <v>290.66</v>
      </c>
      <c r="M30" s="55" t="n">
        <v>156.61</v>
      </c>
      <c r="N30" s="55" t="n">
        <v>589.16</v>
      </c>
      <c r="O30" s="55" t="n">
        <v>1036.43</v>
      </c>
      <c r="P30" s="55" t="n">
        <v>37.42999999999984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122107</t>
        </is>
      </c>
      <c r="B31" s="52" t="n">
        <v>46024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137248</t>
        </is>
      </c>
      <c r="B32" s="52" t="n">
        <v>46024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248.49</v>
      </c>
      <c r="K32" s="55" t="n">
        <v>0</v>
      </c>
      <c r="L32" s="55" t="n">
        <v>96.89</v>
      </c>
      <c r="M32" s="55" t="n">
        <v>4.9</v>
      </c>
      <c r="N32" s="55" t="n">
        <v>248.49</v>
      </c>
      <c r="O32" s="55" t="n">
        <v>350.28</v>
      </c>
      <c r="P32" s="55" t="n">
        <v>17.27999999999997</v>
      </c>
      <c r="Q32" s="36" t="inlineStr">
        <is>
          <t>015574</t>
        </is>
      </c>
      <c r="R32" s="36" t="inlineStr">
        <is>
          <t>MEDIMP</t>
        </is>
      </c>
      <c r="S32" s="36" t="inlineStr">
        <is>
          <t>ASPROD1</t>
        </is>
      </c>
      <c r="T32" s="36" t="inlineStr">
        <is>
          <t>VNS01</t>
        </is>
      </c>
    </row>
    <row r="33">
      <c r="A33" s="36" t="inlineStr">
        <is>
          <t>121812</t>
        </is>
      </c>
      <c r="B33" s="52" t="n">
        <v>46055</v>
      </c>
      <c r="C33" s="36" t="inlineStr">
        <is>
          <t>00310621030</t>
        </is>
      </c>
      <c r="D33" s="53" t="inlineStr">
        <is>
          <t>FARXIGA 10MG TABLET</t>
        </is>
      </c>
      <c r="E33" s="36" t="n">
        <v>30</v>
      </c>
      <c r="F33" s="54" t="n">
        <v>30</v>
      </c>
      <c r="G33" s="54" t="n">
        <v>1</v>
      </c>
      <c r="H33" s="55" t="n">
        <v>367</v>
      </c>
      <c r="I33" s="55" t="n">
        <v>367</v>
      </c>
      <c r="J33" s="55" t="n">
        <v>181.38</v>
      </c>
      <c r="K33" s="55" t="n">
        <v>0</v>
      </c>
      <c r="L33" s="55" t="n">
        <v>196.23</v>
      </c>
      <c r="M33" s="55" t="n">
        <v>4.9</v>
      </c>
      <c r="N33" s="55" t="n">
        <v>181.38</v>
      </c>
      <c r="O33" s="55" t="n">
        <v>382.51</v>
      </c>
      <c r="P33" s="55" t="n">
        <v>15.50999999999999</v>
      </c>
      <c r="Q33" s="36" t="inlineStr">
        <is>
          <t>015574</t>
        </is>
      </c>
      <c r="R33" s="36" t="inlineStr">
        <is>
          <t>MEDIMP</t>
        </is>
      </c>
      <c r="S33" s="36" t="inlineStr">
        <is>
          <t>ASPROD1</t>
        </is>
      </c>
      <c r="T33" s="36" t="inlineStr">
        <is>
          <t>VNS01</t>
        </is>
      </c>
    </row>
    <row r="34">
      <c r="A34" s="36" t="inlineStr">
        <is>
          <t>141159</t>
        </is>
      </c>
      <c r="B34" s="52" t="n">
        <v>46052</v>
      </c>
      <c r="C34" s="36" t="inlineStr">
        <is>
          <t>00310621030</t>
        </is>
      </c>
      <c r="D34" s="53" t="inlineStr">
        <is>
          <t>FARXIGA 10MG TABLET</t>
        </is>
      </c>
      <c r="E34" s="36" t="n">
        <v>30</v>
      </c>
      <c r="F34" s="54" t="n">
        <v>90</v>
      </c>
      <c r="G34" s="54" t="n">
        <v>3</v>
      </c>
      <c r="H34" s="55" t="n">
        <v>365</v>
      </c>
      <c r="I34" s="55" t="n">
        <v>1095</v>
      </c>
      <c r="J34" s="55" t="n">
        <v>542.8200000000001</v>
      </c>
      <c r="K34" s="55" t="n">
        <v>0</v>
      </c>
      <c r="L34" s="55" t="n">
        <v>588.7</v>
      </c>
      <c r="M34" s="55" t="n">
        <v>1.6</v>
      </c>
      <c r="N34" s="55" t="n">
        <v>542.8200000000001</v>
      </c>
      <c r="O34" s="55" t="n">
        <v>1133.12</v>
      </c>
      <c r="P34" s="55" t="n">
        <v>38.11999999999989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129765</t>
        </is>
      </c>
      <c r="B35" s="52" t="n">
        <v>46050</v>
      </c>
      <c r="C35" s="36" t="inlineStr">
        <is>
          <t>00310621030</t>
        </is>
      </c>
      <c r="D35" s="53" t="inlineStr">
        <is>
          <t>FARXIGA 10MG TABLET</t>
        </is>
      </c>
      <c r="E35" s="36" t="n">
        <v>30</v>
      </c>
      <c r="F35" s="54" t="n">
        <v>90</v>
      </c>
      <c r="G35" s="54" t="n">
        <v>3</v>
      </c>
      <c r="H35" s="55" t="n">
        <v>365</v>
      </c>
      <c r="I35" s="55" t="n">
        <v>1095</v>
      </c>
      <c r="J35" s="55" t="n">
        <v>544.55</v>
      </c>
      <c r="K35" s="55" t="n">
        <v>0</v>
      </c>
      <c r="L35" s="55" t="n">
        <v>588.7</v>
      </c>
      <c r="M35" s="55" t="n">
        <v>4.9</v>
      </c>
      <c r="N35" s="55" t="n">
        <v>544.55</v>
      </c>
      <c r="O35" s="55" t="n">
        <v>1138.15</v>
      </c>
      <c r="P35" s="55" t="n">
        <v>43.15000000000009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n">
        <v/>
      </c>
    </row>
    <row r="36">
      <c r="A36" s="36" t="inlineStr">
        <is>
          <t>140829</t>
        </is>
      </c>
      <c r="B36" s="52" t="n">
        <v>46050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90</v>
      </c>
      <c r="G36" s="54" t="n">
        <v>3</v>
      </c>
      <c r="H36" s="55" t="n">
        <v>365</v>
      </c>
      <c r="I36" s="55" t="n">
        <v>1095</v>
      </c>
      <c r="J36" s="55" t="n">
        <v>542.8200000000001</v>
      </c>
      <c r="K36" s="55" t="n">
        <v>0</v>
      </c>
      <c r="L36" s="55" t="n">
        <v>588.7</v>
      </c>
      <c r="M36" s="55" t="n">
        <v>1.6</v>
      </c>
      <c r="N36" s="55" t="n">
        <v>542.8200000000001</v>
      </c>
      <c r="O36" s="55" t="n">
        <v>1133.12</v>
      </c>
      <c r="P36" s="55" t="n">
        <v>38.11999999999989</v>
      </c>
      <c r="Q36" s="36" t="inlineStr">
        <is>
          <t>004336</t>
        </is>
      </c>
      <c r="R36" s="36" t="inlineStr">
        <is>
          <t>CAREMARK</t>
        </is>
      </c>
      <c r="S36" s="36" t="inlineStr">
        <is>
          <t>MEDDADV</t>
        </is>
      </c>
      <c r="T36" s="36" t="inlineStr">
        <is>
          <t>RX1110</t>
        </is>
      </c>
    </row>
    <row r="37">
      <c r="A37" s="36" t="inlineStr">
        <is>
          <t>140537</t>
        </is>
      </c>
      <c r="B37" s="52" t="n">
        <v>46048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430.1</v>
      </c>
      <c r="K37" s="55" t="n">
        <v>0</v>
      </c>
      <c r="L37" s="55" t="n">
        <v>588.7</v>
      </c>
      <c r="M37" s="55" t="n">
        <v>114.32</v>
      </c>
      <c r="N37" s="55" t="n">
        <v>430.1</v>
      </c>
      <c r="O37" s="55" t="n">
        <v>1133.12</v>
      </c>
      <c r="P37" s="55" t="n">
        <v>38.12000000000012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140180</t>
        </is>
      </c>
      <c r="B38" s="52" t="n">
        <v>46044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542.8200000000001</v>
      </c>
      <c r="K38" s="55" t="n">
        <v>0</v>
      </c>
      <c r="L38" s="55" t="n">
        <v>588.7</v>
      </c>
      <c r="M38" s="55" t="n">
        <v>1.6</v>
      </c>
      <c r="N38" s="55" t="n">
        <v>542.8200000000001</v>
      </c>
      <c r="O38" s="55" t="n">
        <v>1133.12</v>
      </c>
      <c r="P38" s="55" t="n">
        <v>38.11999999999989</v>
      </c>
      <c r="Q38" s="36" t="inlineStr">
        <is>
          <t>004336</t>
        </is>
      </c>
      <c r="R38" s="36" t="inlineStr">
        <is>
          <t>CAREMARK</t>
        </is>
      </c>
      <c r="S38" s="36" t="inlineStr">
        <is>
          <t>MEDDADV</t>
        </is>
      </c>
      <c r="T38" s="36" t="inlineStr">
        <is>
          <t>RX1110</t>
        </is>
      </c>
    </row>
    <row r="39">
      <c r="A39" s="36" t="inlineStr">
        <is>
          <t>128113</t>
        </is>
      </c>
      <c r="B39" s="52" t="n">
        <v>46038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126072</t>
        </is>
      </c>
      <c r="B40" s="52" t="n">
        <v>46035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544.42</v>
      </c>
      <c r="K40" s="55" t="n">
        <v>0</v>
      </c>
      <c r="L40" s="55" t="n">
        <v>588.7</v>
      </c>
      <c r="M40" s="55" t="n">
        <v>0</v>
      </c>
      <c r="N40" s="55" t="n">
        <v>544.42</v>
      </c>
      <c r="O40" s="55" t="n">
        <v>1133.12</v>
      </c>
      <c r="P40" s="55" t="n">
        <v>38.11999999999989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138948</t>
        </is>
      </c>
      <c r="B41" s="52" t="n">
        <v>46035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545.76</v>
      </c>
      <c r="K41" s="55" t="n">
        <v>0</v>
      </c>
      <c r="L41" s="55" t="n">
        <v>588.7</v>
      </c>
      <c r="M41" s="55" t="n">
        <v>0</v>
      </c>
      <c r="N41" s="55" t="n">
        <v>545.76</v>
      </c>
      <c r="O41" s="55" t="n">
        <v>1134.46</v>
      </c>
      <c r="P41" s="55" t="n">
        <v>39.46000000000004</v>
      </c>
      <c r="Q41" s="36" t="inlineStr">
        <is>
          <t>610014</t>
        </is>
      </c>
      <c r="R41" s="36" t="inlineStr">
        <is>
          <t>EXPRESS</t>
        </is>
      </c>
      <c r="S41" s="36" t="inlineStr">
        <is>
          <t>MEDDPRIME</t>
        </is>
      </c>
      <c r="T41" s="36" t="inlineStr">
        <is>
          <t>2FFA</t>
        </is>
      </c>
    </row>
    <row r="42">
      <c r="A42" s="36" t="inlineStr">
        <is>
          <t>138950</t>
        </is>
      </c>
      <c r="B42" s="52" t="n">
        <v>46035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549.45</v>
      </c>
      <c r="K42" s="55" t="n">
        <v>0</v>
      </c>
      <c r="L42" s="55" t="n">
        <v>588.7</v>
      </c>
      <c r="M42" s="55" t="n">
        <v>0</v>
      </c>
      <c r="N42" s="55" t="n">
        <v>549.45</v>
      </c>
      <c r="O42" s="55" t="n">
        <v>1138.15</v>
      </c>
      <c r="P42" s="55" t="n">
        <v>43.15000000000009</v>
      </c>
      <c r="Q42" s="36" t="inlineStr">
        <is>
          <t>015574</t>
        </is>
      </c>
      <c r="R42" s="36" t="inlineStr">
        <is>
          <t>MEDIMP</t>
        </is>
      </c>
      <c r="S42" s="36" t="inlineStr">
        <is>
          <t>ASPROD1</t>
        </is>
      </c>
      <c r="T42" s="36" t="inlineStr">
        <is>
          <t>VNS01</t>
        </is>
      </c>
    </row>
    <row r="43">
      <c r="A43" s="36" t="inlineStr">
        <is>
          <t>121812</t>
        </is>
      </c>
      <c r="B43" s="52" t="n">
        <v>46024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30</v>
      </c>
      <c r="G43" s="54" t="n">
        <v>1</v>
      </c>
      <c r="H43" s="55" t="n">
        <v>365</v>
      </c>
      <c r="I43" s="55" t="n">
        <v>365</v>
      </c>
      <c r="J43" s="55" t="n">
        <v>181.38</v>
      </c>
      <c r="K43" s="55" t="n">
        <v>0</v>
      </c>
      <c r="L43" s="55" t="n">
        <v>196.23</v>
      </c>
      <c r="M43" s="55" t="n">
        <v>4.9</v>
      </c>
      <c r="N43" s="55" t="n">
        <v>181.38</v>
      </c>
      <c r="O43" s="55" t="n">
        <v>382.51</v>
      </c>
      <c r="P43" s="55" t="n">
        <v>17.50999999999999</v>
      </c>
      <c r="Q43" s="36" t="inlineStr">
        <is>
          <t>015574</t>
        </is>
      </c>
      <c r="R43" s="36" t="inlineStr">
        <is>
          <t>MEDIMP</t>
        </is>
      </c>
      <c r="S43" s="36" t="inlineStr">
        <is>
          <t>ASPROD1</t>
        </is>
      </c>
      <c r="T43" s="36" t="inlineStr">
        <is>
          <t>VNS01</t>
        </is>
      </c>
    </row>
    <row r="44">
      <c r="A44" s="36" t="inlineStr">
        <is>
          <t>139593</t>
        </is>
      </c>
      <c r="B44" s="52" t="n">
        <v>46041</v>
      </c>
      <c r="C44" s="36" t="inlineStr">
        <is>
          <t>00310620530</t>
        </is>
      </c>
      <c r="D44" s="53" t="inlineStr">
        <is>
          <t>FARXIGA 5MG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544.42</v>
      </c>
      <c r="K44" s="55" t="n">
        <v>0</v>
      </c>
      <c r="L44" s="55" t="n">
        <v>588.7</v>
      </c>
      <c r="M44" s="55" t="n">
        <v>0</v>
      </c>
      <c r="N44" s="55" t="n">
        <v>544.42</v>
      </c>
      <c r="O44" s="55" t="n">
        <v>1133.12</v>
      </c>
      <c r="P44" s="55" t="n">
        <v>38.11999999999989</v>
      </c>
      <c r="Q44" s="36" t="inlineStr">
        <is>
          <t>004336</t>
        </is>
      </c>
      <c r="R44" s="36" t="inlineStr">
        <is>
          <t>CAREMARK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135058</t>
        </is>
      </c>
      <c r="B45" s="52" t="n">
        <v>46035</v>
      </c>
      <c r="C45" s="36" t="inlineStr">
        <is>
          <t>00310620530</t>
        </is>
      </c>
      <c r="D45" s="53" t="inlineStr">
        <is>
          <t>FARXIGA 5MG TABLET</t>
        </is>
      </c>
      <c r="E45" s="36" t="n">
        <v>30</v>
      </c>
      <c r="F45" s="54" t="n">
        <v>30</v>
      </c>
      <c r="G45" s="54" t="n">
        <v>1</v>
      </c>
      <c r="H45" s="55" t="n">
        <v>365</v>
      </c>
      <c r="I45" s="55" t="n">
        <v>365</v>
      </c>
      <c r="J45" s="55" t="n">
        <v>181.35</v>
      </c>
      <c r="K45" s="55" t="n">
        <v>0</v>
      </c>
      <c r="L45" s="55" t="n">
        <v>196.23</v>
      </c>
      <c r="M45" s="55" t="n">
        <v>0</v>
      </c>
      <c r="N45" s="55" t="n">
        <v>181.35</v>
      </c>
      <c r="O45" s="55" t="n">
        <v>377.58</v>
      </c>
      <c r="P45" s="55" t="n">
        <v>12.57999999999998</v>
      </c>
      <c r="Q45" s="36" t="inlineStr">
        <is>
          <t>004336</t>
        </is>
      </c>
      <c r="R45" s="36" t="inlineStr">
        <is>
          <t>CAREMARK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143116</t>
        </is>
      </c>
      <c r="B46" s="52" t="n">
        <v>46065</v>
      </c>
      <c r="C46" s="36" t="inlineStr">
        <is>
          <t>00006027731</t>
        </is>
      </c>
      <c r="D46" s="53" t="inlineStr">
        <is>
          <t>JANUVIA 100MG TAB</t>
        </is>
      </c>
      <c r="E46" s="36" t="n">
        <v>30</v>
      </c>
      <c r="F46" s="54" t="n">
        <v>90</v>
      </c>
      <c r="G46" s="54" t="n">
        <v>3</v>
      </c>
      <c r="H46" s="55" t="n">
        <v>321</v>
      </c>
      <c r="I46" s="55" t="n">
        <v>962.9999999999999</v>
      </c>
      <c r="J46" s="55" t="n">
        <v>346.47</v>
      </c>
      <c r="K46" s="55" t="n">
        <v>0</v>
      </c>
      <c r="L46" s="55" t="n">
        <v>638.29</v>
      </c>
      <c r="M46" s="55" t="n">
        <v>4.9</v>
      </c>
      <c r="N46" s="55" t="n">
        <v>346.47</v>
      </c>
      <c r="O46" s="55" t="n">
        <v>989.66</v>
      </c>
      <c r="P46" s="55" t="n">
        <v>26.66000000000008</v>
      </c>
      <c r="Q46" s="36" t="inlineStr">
        <is>
          <t>004336</t>
        </is>
      </c>
      <c r="R46" s="36" t="inlineStr">
        <is>
          <t>CAREMARK</t>
        </is>
      </c>
      <c r="S46" s="36" t="inlineStr">
        <is>
          <t>MEDDADV</t>
        </is>
      </c>
      <c r="T46" s="36" t="inlineStr">
        <is>
          <t>RX1110</t>
        </is>
      </c>
    </row>
    <row r="47">
      <c r="A47" s="36" t="inlineStr">
        <is>
          <t>138331</t>
        </is>
      </c>
      <c r="B47" s="52" t="n">
        <v>46064</v>
      </c>
      <c r="C47" s="36" t="inlineStr">
        <is>
          <t>00006027731</t>
        </is>
      </c>
      <c r="D47" s="53" t="inlineStr">
        <is>
          <t>JANUVIA 100MG TAB</t>
        </is>
      </c>
      <c r="E47" s="36" t="n">
        <v>30</v>
      </c>
      <c r="F47" s="54" t="n">
        <v>90</v>
      </c>
      <c r="G47" s="54" t="n">
        <v>3</v>
      </c>
      <c r="H47" s="55" t="n">
        <v>321</v>
      </c>
      <c r="I47" s="55" t="n">
        <v>962.9999999999999</v>
      </c>
      <c r="J47" s="55" t="n">
        <v>351.37</v>
      </c>
      <c r="K47" s="55" t="n">
        <v>0</v>
      </c>
      <c r="L47" s="55" t="n">
        <v>638.29</v>
      </c>
      <c r="M47" s="55" t="n">
        <v>0</v>
      </c>
      <c r="N47" s="55" t="n">
        <v>351.37</v>
      </c>
      <c r="O47" s="55" t="n">
        <v>989.66</v>
      </c>
      <c r="P47" s="55" t="n">
        <v>26.66000000000008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130807</t>
        </is>
      </c>
      <c r="B48" s="52" t="n">
        <v>46060</v>
      </c>
      <c r="C48" s="36" t="inlineStr">
        <is>
          <t>00006027731</t>
        </is>
      </c>
      <c r="D48" s="53" t="inlineStr">
        <is>
          <t>JANUVIA 100MG TAB</t>
        </is>
      </c>
      <c r="E48" s="36" t="n">
        <v>30</v>
      </c>
      <c r="F48" s="54" t="n">
        <v>90</v>
      </c>
      <c r="G48" s="54" t="n">
        <v>3</v>
      </c>
      <c r="H48" s="55" t="n">
        <v>321</v>
      </c>
      <c r="I48" s="55" t="n">
        <v>962.9999999999999</v>
      </c>
      <c r="J48" s="55" t="n">
        <v>351.37</v>
      </c>
      <c r="K48" s="55" t="n">
        <v>0</v>
      </c>
      <c r="L48" s="55" t="n">
        <v>638.29</v>
      </c>
      <c r="M48" s="55" t="n">
        <v>0</v>
      </c>
      <c r="N48" s="55" t="n">
        <v>351.37</v>
      </c>
      <c r="O48" s="55" t="n">
        <v>989.66</v>
      </c>
      <c r="P48" s="55" t="n">
        <v>26.66000000000008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119371</t>
        </is>
      </c>
      <c r="B49" s="52" t="n">
        <v>46059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346.47</v>
      </c>
      <c r="K49" s="55" t="n">
        <v>0</v>
      </c>
      <c r="L49" s="55" t="n">
        <v>638.29</v>
      </c>
      <c r="M49" s="55" t="n">
        <v>4.9</v>
      </c>
      <c r="N49" s="55" t="n">
        <v>346.47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137678</t>
        </is>
      </c>
      <c r="B50" s="52" t="n">
        <v>46056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30</v>
      </c>
      <c r="G50" s="54" t="n">
        <v>1</v>
      </c>
      <c r="H50" s="55" t="n">
        <v>321</v>
      </c>
      <c r="I50" s="55" t="n">
        <v>321</v>
      </c>
      <c r="J50" s="55" t="n">
        <v>117</v>
      </c>
      <c r="K50" s="55" t="n">
        <v>0</v>
      </c>
      <c r="L50" s="55" t="n">
        <v>212.76</v>
      </c>
      <c r="M50" s="55" t="n">
        <v>0</v>
      </c>
      <c r="N50" s="55" t="n">
        <v>117</v>
      </c>
      <c r="O50" s="55" t="n">
        <v>329.76</v>
      </c>
      <c r="P50" s="55" t="n">
        <v>8.759999999999991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141186</t>
        </is>
      </c>
      <c r="B51" s="52" t="n">
        <v>46052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318</v>
      </c>
      <c r="I51" s="55" t="n">
        <v>954</v>
      </c>
      <c r="J51" s="55" t="n">
        <v>351.5</v>
      </c>
      <c r="K51" s="55" t="n">
        <v>0</v>
      </c>
      <c r="L51" s="55" t="n">
        <v>638.29</v>
      </c>
      <c r="M51" s="55" t="n">
        <v>4.9</v>
      </c>
      <c r="N51" s="55" t="n">
        <v>351.5</v>
      </c>
      <c r="O51" s="55" t="n">
        <v>994.6899999999999</v>
      </c>
      <c r="P51" s="55" t="n">
        <v>40.68999999999994</v>
      </c>
      <c r="Q51" s="36" t="inlineStr">
        <is>
          <t>015574</t>
        </is>
      </c>
      <c r="R51" s="36" t="inlineStr">
        <is>
          <t>MEDIMP</t>
        </is>
      </c>
      <c r="S51" s="36" t="inlineStr">
        <is>
          <t>ASPROD1</t>
        </is>
      </c>
      <c r="T51" s="36" t="inlineStr">
        <is>
          <t>VNS01</t>
        </is>
      </c>
    </row>
    <row r="52">
      <c r="A52" s="36" t="inlineStr">
        <is>
          <t>126112</t>
        </is>
      </c>
      <c r="B52" s="52" t="n">
        <v>46043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318</v>
      </c>
      <c r="I52" s="55" t="n">
        <v>954</v>
      </c>
      <c r="J52" s="55" t="n">
        <v>343.75</v>
      </c>
      <c r="K52" s="55" t="n">
        <v>0</v>
      </c>
      <c r="L52" s="55" t="n">
        <v>638.29</v>
      </c>
      <c r="M52" s="55" t="n">
        <v>12.65</v>
      </c>
      <c r="N52" s="55" t="n">
        <v>343.75</v>
      </c>
      <c r="O52" s="55" t="n">
        <v>994.6899999999999</v>
      </c>
      <c r="P52" s="55" t="n">
        <v>40.68999999999994</v>
      </c>
      <c r="Q52" s="36" t="inlineStr">
        <is>
          <t>015574</t>
        </is>
      </c>
      <c r="R52" s="36" t="inlineStr">
        <is>
          <t>MEDIMP</t>
        </is>
      </c>
      <c r="S52" s="36" t="inlineStr">
        <is>
          <t>ASPROD1</t>
        </is>
      </c>
      <c r="T52" s="36" t="inlineStr">
        <is>
          <t>VNS01</t>
        </is>
      </c>
    </row>
    <row r="53">
      <c r="A53" s="36" t="inlineStr">
        <is>
          <t>139890</t>
        </is>
      </c>
      <c r="B53" s="52" t="n">
        <v>46042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318</v>
      </c>
      <c r="I53" s="55" t="n">
        <v>954</v>
      </c>
      <c r="J53" s="55" t="n">
        <v>346.47</v>
      </c>
      <c r="K53" s="55" t="n">
        <v>0</v>
      </c>
      <c r="L53" s="55" t="n">
        <v>638.29</v>
      </c>
      <c r="M53" s="55" t="n">
        <v>4.9</v>
      </c>
      <c r="N53" s="55" t="n">
        <v>346.47</v>
      </c>
      <c r="O53" s="55" t="n">
        <v>989.66</v>
      </c>
      <c r="P53" s="55" t="n">
        <v>35.65999999999997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139180</t>
        </is>
      </c>
      <c r="B54" s="52" t="n">
        <v>46037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318</v>
      </c>
      <c r="I54" s="55" t="n">
        <v>954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35.65999999999997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138531</t>
        </is>
      </c>
      <c r="B55" s="52" t="n">
        <v>46034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90</v>
      </c>
      <c r="G55" s="54" t="n">
        <v>3</v>
      </c>
      <c r="H55" s="55" t="n">
        <v>318</v>
      </c>
      <c r="I55" s="55" t="n">
        <v>954</v>
      </c>
      <c r="J55" s="55" t="n">
        <v>346.47</v>
      </c>
      <c r="K55" s="55" t="n">
        <v>0</v>
      </c>
      <c r="L55" s="55" t="n">
        <v>638.29</v>
      </c>
      <c r="M55" s="55" t="n">
        <v>4.9</v>
      </c>
      <c r="N55" s="55" t="n">
        <v>346.47</v>
      </c>
      <c r="O55" s="55" t="n">
        <v>989.66</v>
      </c>
      <c r="P55" s="55" t="n">
        <v>35.65999999999997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138331</t>
        </is>
      </c>
      <c r="B56" s="52" t="n">
        <v>46031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352.71</v>
      </c>
      <c r="K56" s="55" t="n">
        <v>0</v>
      </c>
      <c r="L56" s="55" t="n">
        <v>638.29</v>
      </c>
      <c r="M56" s="55" t="n">
        <v>0</v>
      </c>
      <c r="N56" s="55" t="n">
        <v>352.71</v>
      </c>
      <c r="O56" s="55" t="n">
        <v>991</v>
      </c>
      <c r="P56" s="55" t="n">
        <v>37</v>
      </c>
      <c r="Q56" s="36" t="inlineStr">
        <is>
          <t>610014</t>
        </is>
      </c>
      <c r="R56" s="36" t="inlineStr">
        <is>
          <t>EXPRESS</t>
        </is>
      </c>
      <c r="S56" s="36" t="inlineStr">
        <is>
          <t>MEDDPRIME</t>
        </is>
      </c>
      <c r="T56" s="36" t="inlineStr">
        <is>
          <t>2FFA</t>
        </is>
      </c>
    </row>
    <row r="57">
      <c r="A57" s="36" t="inlineStr">
        <is>
          <t>137678</t>
        </is>
      </c>
      <c r="B57" s="52" t="n">
        <v>46028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30</v>
      </c>
      <c r="G57" s="54" t="n">
        <v>1</v>
      </c>
      <c r="H57" s="55" t="n">
        <v>318</v>
      </c>
      <c r="I57" s="55" t="n">
        <v>318</v>
      </c>
      <c r="J57" s="55" t="n">
        <v>117</v>
      </c>
      <c r="K57" s="55" t="n">
        <v>0</v>
      </c>
      <c r="L57" s="55" t="n">
        <v>212.76</v>
      </c>
      <c r="M57" s="55" t="n">
        <v>0</v>
      </c>
      <c r="N57" s="55" t="n">
        <v>117</v>
      </c>
      <c r="O57" s="55" t="n">
        <v>329.76</v>
      </c>
      <c r="P57" s="55" t="n">
        <v>11.75999999999999</v>
      </c>
      <c r="Q57" s="36" t="inlineStr">
        <is>
          <t>004336</t>
        </is>
      </c>
      <c r="R57" s="36" t="inlineStr">
        <is>
          <t>CAREMARK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115240</t>
        </is>
      </c>
      <c r="B58" s="52" t="n">
        <v>46027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351.37</v>
      </c>
      <c r="K58" s="55" t="n">
        <v>0</v>
      </c>
      <c r="L58" s="55" t="n">
        <v>638.29</v>
      </c>
      <c r="M58" s="55" t="n">
        <v>0</v>
      </c>
      <c r="N58" s="55" t="n">
        <v>351.37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133674</t>
        </is>
      </c>
      <c r="B59" s="52" t="n">
        <v>46027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356.4</v>
      </c>
      <c r="K59" s="55" t="n">
        <v>0</v>
      </c>
      <c r="L59" s="55" t="n">
        <v>638.29</v>
      </c>
      <c r="M59" s="55" t="n">
        <v>0</v>
      </c>
      <c r="N59" s="55" t="n">
        <v>356.4</v>
      </c>
      <c r="O59" s="55" t="n">
        <v>994.6899999999999</v>
      </c>
      <c r="P59" s="55" t="n">
        <v>40.68999999999994</v>
      </c>
      <c r="Q59" s="36" t="inlineStr">
        <is>
          <t>015574</t>
        </is>
      </c>
      <c r="R59" s="36" t="inlineStr">
        <is>
          <t>MEDIMP</t>
        </is>
      </c>
      <c r="S59" s="36" t="inlineStr">
        <is>
          <t>ASPROD1</t>
        </is>
      </c>
      <c r="T59" s="36" t="n">
        <v/>
      </c>
    </row>
    <row r="60">
      <c r="A60" s="36" t="inlineStr">
        <is>
          <t>137417</t>
        </is>
      </c>
      <c r="B60" s="52" t="n">
        <v>46027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137451</t>
        </is>
      </c>
      <c r="B61" s="52" t="n">
        <v>46027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346.47</v>
      </c>
      <c r="K61" s="55" t="n">
        <v>0</v>
      </c>
      <c r="L61" s="55" t="n">
        <v>638.29</v>
      </c>
      <c r="M61" s="55" t="n">
        <v>4.9</v>
      </c>
      <c r="N61" s="55" t="n">
        <v>346.47</v>
      </c>
      <c r="O61" s="55" t="n">
        <v>989.66</v>
      </c>
      <c r="P61" s="55" t="n">
        <v>35.65999999999997</v>
      </c>
      <c r="Q61" s="36" t="inlineStr">
        <is>
          <t>004336</t>
        </is>
      </c>
      <c r="R61" s="36" t="inlineStr">
        <is>
          <t>CAREMARK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144507</t>
        </is>
      </c>
      <c r="B62" s="52" t="n">
        <v>46077</v>
      </c>
      <c r="C62" s="36" t="inlineStr">
        <is>
          <t>00006022131</t>
        </is>
      </c>
      <c r="D62" s="53" t="inlineStr">
        <is>
          <t>JANUVIA 25MG TABLET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127.74</v>
      </c>
      <c r="K62" s="55" t="n">
        <v>0</v>
      </c>
      <c r="L62" s="55" t="n">
        <v>212.76</v>
      </c>
      <c r="M62" s="55" t="n">
        <v>0</v>
      </c>
      <c r="N62" s="55" t="n">
        <v>127.74</v>
      </c>
      <c r="O62" s="55" t="n">
        <v>340.5</v>
      </c>
      <c r="P62" s="55" t="n">
        <v>22.5</v>
      </c>
      <c r="Q62" s="36" t="inlineStr">
        <is>
          <t>017010</t>
        </is>
      </c>
      <c r="R62" s="36" t="inlineStr">
        <is>
          <t>EXPRESS</t>
        </is>
      </c>
      <c r="S62" s="36" t="inlineStr">
        <is>
          <t>CIMCARE</t>
        </is>
      </c>
      <c r="T62" s="36" t="inlineStr">
        <is>
          <t>CIGPDPRX</t>
        </is>
      </c>
    </row>
    <row r="63">
      <c r="A63" s="36" t="inlineStr">
        <is>
          <t>140578</t>
        </is>
      </c>
      <c r="B63" s="52" t="n">
        <v>46049</v>
      </c>
      <c r="C63" s="36" t="inlineStr">
        <is>
          <t>00006022131</t>
        </is>
      </c>
      <c r="D63" s="53" t="inlineStr">
        <is>
          <t>JANUVIA 25MG TABLET</t>
        </is>
      </c>
      <c r="E63" s="36" t="n">
        <v>30</v>
      </c>
      <c r="F63" s="54" t="n">
        <v>30</v>
      </c>
      <c r="G63" s="54" t="n">
        <v>1</v>
      </c>
      <c r="H63" s="55" t="n">
        <v>318</v>
      </c>
      <c r="I63" s="55" t="n">
        <v>318</v>
      </c>
      <c r="J63" s="55" t="n">
        <v>127.74</v>
      </c>
      <c r="K63" s="55" t="n">
        <v>0</v>
      </c>
      <c r="L63" s="55" t="n">
        <v>212.76</v>
      </c>
      <c r="M63" s="55" t="n">
        <v>0</v>
      </c>
      <c r="N63" s="55" t="n">
        <v>127.74</v>
      </c>
      <c r="O63" s="55" t="n">
        <v>340.5</v>
      </c>
      <c r="P63" s="55" t="n">
        <v>22.5</v>
      </c>
      <c r="Q63" s="36" t="inlineStr">
        <is>
          <t>017010</t>
        </is>
      </c>
      <c r="R63" s="36" t="inlineStr">
        <is>
          <t>EXPRESS</t>
        </is>
      </c>
      <c r="S63" s="36" t="inlineStr">
        <is>
          <t>CIMCARE</t>
        </is>
      </c>
      <c r="T63" s="36" t="inlineStr">
        <is>
          <t>CIGPDPRX</t>
        </is>
      </c>
    </row>
    <row r="64">
      <c r="A64" s="36" t="inlineStr">
        <is>
          <t>116072</t>
        </is>
      </c>
      <c r="B64" s="52" t="n">
        <v>46077</v>
      </c>
      <c r="C64" s="36" t="inlineStr">
        <is>
          <t>00006011231</t>
        </is>
      </c>
      <c r="D64" s="53" t="inlineStr">
        <is>
          <t>JANUVIA 50MG TABLET</t>
        </is>
      </c>
      <c r="E64" s="36" t="n">
        <v>30</v>
      </c>
      <c r="F64" s="54" t="n">
        <v>30</v>
      </c>
      <c r="G64" s="54" t="n">
        <v>1</v>
      </c>
      <c r="H64" s="55" t="n">
        <v>321</v>
      </c>
      <c r="I64" s="55" t="n">
        <v>321</v>
      </c>
      <c r="J64" s="55" t="n">
        <v>113.34</v>
      </c>
      <c r="K64" s="55" t="n">
        <v>0</v>
      </c>
      <c r="L64" s="55" t="n">
        <v>212.76</v>
      </c>
      <c r="M64" s="55" t="n">
        <v>4.9</v>
      </c>
      <c r="N64" s="55" t="n">
        <v>113.34</v>
      </c>
      <c r="O64" s="55" t="n">
        <v>331</v>
      </c>
      <c r="P64" s="55" t="n">
        <v>10</v>
      </c>
      <c r="Q64" s="36" t="inlineStr">
        <is>
          <t>610014</t>
        </is>
      </c>
      <c r="R64" s="36" t="inlineStr">
        <is>
          <t>EXPRESS</t>
        </is>
      </c>
      <c r="S64" s="36" t="inlineStr">
        <is>
          <t>MEDDPRIME</t>
        </is>
      </c>
      <c r="T64" s="36" t="inlineStr">
        <is>
          <t>2FFA</t>
        </is>
      </c>
    </row>
    <row r="65">
      <c r="A65" s="36" t="inlineStr">
        <is>
          <t>131732</t>
        </is>
      </c>
      <c r="B65" s="52" t="n">
        <v>46069</v>
      </c>
      <c r="C65" s="36" t="inlineStr">
        <is>
          <t>00006011231</t>
        </is>
      </c>
      <c r="D65" s="53" t="inlineStr">
        <is>
          <t>JANUVIA 50MG TABLET</t>
        </is>
      </c>
      <c r="E65" s="36" t="n">
        <v>30</v>
      </c>
      <c r="F65" s="54" t="n">
        <v>90</v>
      </c>
      <c r="G65" s="54" t="n">
        <v>3</v>
      </c>
      <c r="H65" s="55" t="n">
        <v>321</v>
      </c>
      <c r="I65" s="55" t="n">
        <v>962.9999999999999</v>
      </c>
      <c r="J65" s="55" t="n">
        <v>316.71</v>
      </c>
      <c r="K65" s="55" t="n">
        <v>0</v>
      </c>
      <c r="L65" s="55" t="n">
        <v>638.29</v>
      </c>
      <c r="M65" s="55" t="n">
        <v>45</v>
      </c>
      <c r="N65" s="55" t="n">
        <v>316.71</v>
      </c>
      <c r="O65" s="55" t="n">
        <v>1000</v>
      </c>
      <c r="P65" s="55" t="n">
        <v>37.00000000000011</v>
      </c>
      <c r="Q65" s="36" t="inlineStr">
        <is>
          <t>610455</t>
        </is>
      </c>
      <c r="R65" s="36" t="inlineStr">
        <is>
          <t>PRIMECAPRX</t>
        </is>
      </c>
      <c r="S65" s="36" t="inlineStr">
        <is>
          <t>NY4000</t>
        </is>
      </c>
      <c r="T65" s="36" t="inlineStr">
        <is>
          <t>MAPD</t>
        </is>
      </c>
    </row>
    <row r="66">
      <c r="A66" s="36" t="inlineStr">
        <is>
          <t>142710</t>
        </is>
      </c>
      <c r="B66" s="52" t="n">
        <v>46064</v>
      </c>
      <c r="C66" s="36" t="inlineStr">
        <is>
          <t>00006011231</t>
        </is>
      </c>
      <c r="D66" s="53" t="inlineStr">
        <is>
          <t>JANUVIA 50MG TABLET</t>
        </is>
      </c>
      <c r="E66" s="36" t="n">
        <v>30</v>
      </c>
      <c r="F66" s="54" t="n">
        <v>90</v>
      </c>
      <c r="G66" s="54" t="n">
        <v>3</v>
      </c>
      <c r="H66" s="55" t="n">
        <v>321</v>
      </c>
      <c r="I66" s="55" t="n">
        <v>962.9999999999999</v>
      </c>
      <c r="J66" s="55" t="n">
        <v>351.37</v>
      </c>
      <c r="K66" s="55" t="n">
        <v>0</v>
      </c>
      <c r="L66" s="55" t="n">
        <v>638.29</v>
      </c>
      <c r="M66" s="55" t="n">
        <v>0</v>
      </c>
      <c r="N66" s="55" t="n">
        <v>351.37</v>
      </c>
      <c r="O66" s="55" t="n">
        <v>989.66</v>
      </c>
      <c r="P66" s="55" t="n">
        <v>26.66000000000008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142886</t>
        </is>
      </c>
      <c r="B67" s="52" t="n">
        <v>46064</v>
      </c>
      <c r="C67" s="36" t="inlineStr">
        <is>
          <t>00006011231</t>
        </is>
      </c>
      <c r="D67" s="53" t="inlineStr">
        <is>
          <t>JANUVIA 50MG TABLET</t>
        </is>
      </c>
      <c r="E67" s="36" t="n">
        <v>30</v>
      </c>
      <c r="F67" s="54" t="n">
        <v>60</v>
      </c>
      <c r="G67" s="54" t="n">
        <v>2</v>
      </c>
      <c r="H67" s="55" t="n">
        <v>321</v>
      </c>
      <c r="I67" s="55" t="n">
        <v>642</v>
      </c>
      <c r="J67" s="55" t="n">
        <v>234.77</v>
      </c>
      <c r="K67" s="55" t="n">
        <v>0</v>
      </c>
      <c r="L67" s="55" t="n">
        <v>425.53</v>
      </c>
      <c r="M67" s="55" t="n">
        <v>0</v>
      </c>
      <c r="N67" s="55" t="n">
        <v>234.77</v>
      </c>
      <c r="O67" s="55" t="n">
        <v>660.3</v>
      </c>
      <c r="P67" s="55" t="n">
        <v>18.29999999999995</v>
      </c>
      <c r="Q67" s="36" t="inlineStr">
        <is>
          <t>015599</t>
        </is>
      </c>
      <c r="R67" s="36" t="inlineStr">
        <is>
          <t>ARG/HUM</t>
        </is>
      </c>
      <c r="S67" s="36" t="inlineStr">
        <is>
          <t>05440000</t>
        </is>
      </c>
      <c r="T67" s="36" t="n">
        <v/>
      </c>
    </row>
    <row r="68">
      <c r="A68" s="36" t="inlineStr">
        <is>
          <t>142289</t>
        </is>
      </c>
      <c r="B68" s="52" t="n">
        <v>46062</v>
      </c>
      <c r="C68" s="36" t="inlineStr">
        <is>
          <t>00006011231</t>
        </is>
      </c>
      <c r="D68" s="53" t="inlineStr">
        <is>
          <t>JANUVIA 50MG TABLET</t>
        </is>
      </c>
      <c r="E68" s="36" t="n">
        <v>30</v>
      </c>
      <c r="F68" s="54" t="n">
        <v>90</v>
      </c>
      <c r="G68" s="54" t="n">
        <v>3</v>
      </c>
      <c r="H68" s="55" t="n">
        <v>321</v>
      </c>
      <c r="I68" s="55" t="n">
        <v>962.9999999999999</v>
      </c>
      <c r="J68" s="55" t="n">
        <v>351.37</v>
      </c>
      <c r="K68" s="55" t="n">
        <v>0</v>
      </c>
      <c r="L68" s="55" t="n">
        <v>638.29</v>
      </c>
      <c r="M68" s="55" t="n">
        <v>0</v>
      </c>
      <c r="N68" s="55" t="n">
        <v>351.37</v>
      </c>
      <c r="O68" s="55" t="n">
        <v>989.66</v>
      </c>
      <c r="P68" s="55" t="n">
        <v>26.66000000000008</v>
      </c>
      <c r="Q68" s="36" t="inlineStr">
        <is>
          <t>004336</t>
        </is>
      </c>
      <c r="R68" s="36" t="inlineStr">
        <is>
          <t>CAREMARK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116072</t>
        </is>
      </c>
      <c r="B69" s="52" t="n">
        <v>46049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318</v>
      </c>
      <c r="I69" s="55" t="n">
        <v>318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13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107980</t>
        </is>
      </c>
      <c r="B70" s="52" t="n">
        <v>46048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318</v>
      </c>
      <c r="I70" s="55" t="n">
        <v>954</v>
      </c>
      <c r="J70" s="55" t="n">
        <v>346.47</v>
      </c>
      <c r="K70" s="55" t="n">
        <v>0</v>
      </c>
      <c r="L70" s="55" t="n">
        <v>638.29</v>
      </c>
      <c r="M70" s="55" t="n">
        <v>4.9</v>
      </c>
      <c r="N70" s="55" t="n">
        <v>346.47</v>
      </c>
      <c r="O70" s="55" t="n">
        <v>989.66</v>
      </c>
      <c r="P70" s="55" t="n">
        <v>35.65999999999997</v>
      </c>
      <c r="Q70" s="36" t="inlineStr">
        <is>
          <t>004336</t>
        </is>
      </c>
      <c r="R70" s="36" t="inlineStr">
        <is>
          <t>CAREMARK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138860</t>
        </is>
      </c>
      <c r="B71" s="52" t="n">
        <v>46035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318</v>
      </c>
      <c r="I71" s="55" t="n">
        <v>954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35.65999999999997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138446</t>
        </is>
      </c>
      <c r="B72" s="52" t="n">
        <v>46032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90</v>
      </c>
      <c r="G72" s="54" t="n">
        <v>3</v>
      </c>
      <c r="H72" s="55" t="n">
        <v>318</v>
      </c>
      <c r="I72" s="55" t="n">
        <v>954</v>
      </c>
      <c r="J72" s="55" t="n">
        <v>346.47</v>
      </c>
      <c r="K72" s="55" t="n">
        <v>0</v>
      </c>
      <c r="L72" s="55" t="n">
        <v>638.29</v>
      </c>
      <c r="M72" s="55" t="n">
        <v>4.9</v>
      </c>
      <c r="N72" s="55" t="n">
        <v>346.47</v>
      </c>
      <c r="O72" s="55" t="n">
        <v>989.66</v>
      </c>
      <c r="P72" s="55" t="n">
        <v>35.65999999999997</v>
      </c>
      <c r="Q72" s="36" t="inlineStr">
        <is>
          <t>004336</t>
        </is>
      </c>
      <c r="R72" s="36" t="inlineStr">
        <is>
          <t>CAREMARK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137603</t>
        </is>
      </c>
      <c r="B73" s="52" t="n">
        <v>46027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318</v>
      </c>
      <c r="I73" s="55" t="n">
        <v>954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35.65999999999997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144564</t>
        </is>
      </c>
      <c r="B74" s="52" t="n">
        <v>46077</v>
      </c>
      <c r="C74" s="36" t="inlineStr">
        <is>
          <t>00597015230</t>
        </is>
      </c>
      <c r="D74" s="53" t="inlineStr">
        <is>
          <t xml:space="preserve">JARDIANCE 10MG TAB </t>
        </is>
      </c>
      <c r="E74" s="36" t="n">
        <v>30</v>
      </c>
      <c r="F74" s="54" t="n">
        <v>90</v>
      </c>
      <c r="G74" s="54" t="n">
        <v>3</v>
      </c>
      <c r="H74" s="55" t="n">
        <v>340</v>
      </c>
      <c r="I74" s="55" t="n">
        <v>1020</v>
      </c>
      <c r="J74" s="55" t="n">
        <v>606.22</v>
      </c>
      <c r="K74" s="55" t="n">
        <v>0</v>
      </c>
      <c r="L74" s="55" t="n">
        <v>438.54</v>
      </c>
      <c r="M74" s="55" t="n">
        <v>4.9</v>
      </c>
      <c r="N74" s="55" t="n">
        <v>606.22</v>
      </c>
      <c r="O74" s="55" t="n">
        <v>1049.66</v>
      </c>
      <c r="P74" s="55" t="n">
        <v>29.66000000000008</v>
      </c>
      <c r="Q74" s="36" t="inlineStr">
        <is>
          <t>004336</t>
        </is>
      </c>
      <c r="R74" s="36" t="inlineStr">
        <is>
          <t>CAREMARK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144395</t>
        </is>
      </c>
      <c r="B75" s="52" t="n">
        <v>46076</v>
      </c>
      <c r="C75" s="36" t="inlineStr">
        <is>
          <t>00597015230</t>
        </is>
      </c>
      <c r="D75" s="53" t="inlineStr">
        <is>
          <t xml:space="preserve">JARDIANCE 10MG TAB </t>
        </is>
      </c>
      <c r="E75" s="36" t="n">
        <v>30</v>
      </c>
      <c r="F75" s="54" t="n">
        <v>30</v>
      </c>
      <c r="G75" s="54" t="n">
        <v>1</v>
      </c>
      <c r="H75" s="55" t="n">
        <v>340</v>
      </c>
      <c r="I75" s="55" t="n">
        <v>340</v>
      </c>
      <c r="J75" s="55" t="n">
        <v>203.61</v>
      </c>
      <c r="K75" s="55" t="n">
        <v>0</v>
      </c>
      <c r="L75" s="55" t="n">
        <v>146.18</v>
      </c>
      <c r="M75" s="55" t="n">
        <v>4.9</v>
      </c>
      <c r="N75" s="55" t="n">
        <v>203.61</v>
      </c>
      <c r="O75" s="55" t="n">
        <v>354.69</v>
      </c>
      <c r="P75" s="55" t="n">
        <v>14.69</v>
      </c>
      <c r="Q75" s="36" t="inlineStr">
        <is>
          <t>015574</t>
        </is>
      </c>
      <c r="R75" s="36" t="inlineStr">
        <is>
          <t>MEDIMP</t>
        </is>
      </c>
      <c r="S75" s="36" t="inlineStr">
        <is>
          <t>ASPROD1</t>
        </is>
      </c>
      <c r="T75" s="36" t="inlineStr">
        <is>
          <t>VNS01</t>
        </is>
      </c>
    </row>
    <row r="76">
      <c r="A76" s="36" t="inlineStr">
        <is>
          <t>110099</t>
        </is>
      </c>
      <c r="B76" s="52" t="n">
        <v>46072</v>
      </c>
      <c r="C76" s="36" t="inlineStr">
        <is>
          <t>00597015230</t>
        </is>
      </c>
      <c r="D76" s="53" t="inlineStr">
        <is>
          <t xml:space="preserve">JARDIANCE 10MG TAB </t>
        </is>
      </c>
      <c r="E76" s="36" t="n">
        <v>30</v>
      </c>
      <c r="F76" s="54" t="n">
        <v>90</v>
      </c>
      <c r="G76" s="54" t="n">
        <v>3</v>
      </c>
      <c r="H76" s="55" t="n">
        <v>340</v>
      </c>
      <c r="I76" s="55" t="n">
        <v>1020</v>
      </c>
      <c r="J76" s="55" t="n">
        <v>606.22</v>
      </c>
      <c r="K76" s="55" t="n">
        <v>0</v>
      </c>
      <c r="L76" s="55" t="n">
        <v>438.54</v>
      </c>
      <c r="M76" s="55" t="n">
        <v>4.9</v>
      </c>
      <c r="N76" s="55" t="n">
        <v>606.22</v>
      </c>
      <c r="O76" s="55" t="n">
        <v>1049.66</v>
      </c>
      <c r="P76" s="55" t="n">
        <v>29.66000000000008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143416</t>
        </is>
      </c>
      <c r="B77" s="52" t="n">
        <v>46069</v>
      </c>
      <c r="C77" s="36" t="inlineStr">
        <is>
          <t>00597015230</t>
        </is>
      </c>
      <c r="D77" s="53" t="inlineStr">
        <is>
          <t xml:space="preserve">JARDIANCE 10MG TAB </t>
        </is>
      </c>
      <c r="E77" s="36" t="n">
        <v>30</v>
      </c>
      <c r="F77" s="54" t="n">
        <v>90</v>
      </c>
      <c r="G77" s="54" t="n">
        <v>3</v>
      </c>
      <c r="H77" s="55" t="n">
        <v>340</v>
      </c>
      <c r="I77" s="55" t="n">
        <v>1020</v>
      </c>
      <c r="J77" s="55" t="n">
        <v>458.34</v>
      </c>
      <c r="K77" s="55" t="n">
        <v>0</v>
      </c>
      <c r="L77" s="55" t="n">
        <v>438.54</v>
      </c>
      <c r="M77" s="55" t="n">
        <v>152.78</v>
      </c>
      <c r="N77" s="55" t="n">
        <v>458.34</v>
      </c>
      <c r="O77" s="55" t="n">
        <v>1049.66</v>
      </c>
      <c r="P77" s="55" t="n">
        <v>29.66000000000008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RXCVSD</t>
        </is>
      </c>
    </row>
    <row r="78">
      <c r="A78" s="36" t="inlineStr">
        <is>
          <t>122708</t>
        </is>
      </c>
      <c r="B78" s="52" t="n">
        <v>46063</v>
      </c>
      <c r="C78" s="36" t="inlineStr">
        <is>
          <t>00597015230</t>
        </is>
      </c>
      <c r="D78" s="53" t="inlineStr">
        <is>
          <t xml:space="preserve">JARDIANCE 10MG TAB </t>
        </is>
      </c>
      <c r="E78" s="36" t="n">
        <v>30</v>
      </c>
      <c r="F78" s="54" t="n">
        <v>60</v>
      </c>
      <c r="G78" s="54" t="n">
        <v>2</v>
      </c>
      <c r="H78" s="55" t="n">
        <v>340</v>
      </c>
      <c r="I78" s="55" t="n">
        <v>680</v>
      </c>
      <c r="J78" s="55" t="n">
        <v>407.4</v>
      </c>
      <c r="K78" s="55" t="n">
        <v>0</v>
      </c>
      <c r="L78" s="55" t="n">
        <v>292.36</v>
      </c>
      <c r="M78" s="55" t="n">
        <v>0</v>
      </c>
      <c r="N78" s="55" t="n">
        <v>407.4</v>
      </c>
      <c r="O78" s="55" t="n">
        <v>699.76</v>
      </c>
      <c r="P78" s="55" t="n">
        <v>19.75999999999999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RX8585</t>
        </is>
      </c>
    </row>
    <row r="79">
      <c r="A79" s="36" t="inlineStr">
        <is>
          <t>142599</t>
        </is>
      </c>
      <c r="B79" s="52" t="n">
        <v>46063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606.22</v>
      </c>
      <c r="K79" s="55" t="n">
        <v>0</v>
      </c>
      <c r="L79" s="55" t="n">
        <v>438.54</v>
      </c>
      <c r="M79" s="55" t="n">
        <v>4.9</v>
      </c>
      <c r="N79" s="55" t="n">
        <v>606.22</v>
      </c>
      <c r="O79" s="55" t="n">
        <v>1049.66</v>
      </c>
      <c r="P79" s="55" t="n">
        <v>29.66000000000008</v>
      </c>
      <c r="Q79" s="36" t="inlineStr">
        <is>
          <t>004336</t>
        </is>
      </c>
      <c r="R79" s="36" t="inlineStr">
        <is>
          <t>CAREMARK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142421</t>
        </is>
      </c>
      <c r="B80" s="52" t="n">
        <v>46062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90</v>
      </c>
      <c r="G80" s="54" t="n">
        <v>3</v>
      </c>
      <c r="H80" s="55" t="n">
        <v>340</v>
      </c>
      <c r="I80" s="55" t="n">
        <v>1020</v>
      </c>
      <c r="J80" s="55" t="n">
        <v>612.46</v>
      </c>
      <c r="K80" s="55" t="n">
        <v>0</v>
      </c>
      <c r="L80" s="55" t="n">
        <v>438.54</v>
      </c>
      <c r="M80" s="55" t="n">
        <v>0</v>
      </c>
      <c r="N80" s="55" t="n">
        <v>612.46</v>
      </c>
      <c r="O80" s="55" t="n">
        <v>1051</v>
      </c>
      <c r="P80" s="55" t="n">
        <v>31</v>
      </c>
      <c r="Q80" s="36" t="inlineStr">
        <is>
          <t>610014</t>
        </is>
      </c>
      <c r="R80" s="36" t="inlineStr">
        <is>
          <t>EXPRESS</t>
        </is>
      </c>
      <c r="S80" s="36" t="inlineStr">
        <is>
          <t>MEDDPRIME</t>
        </is>
      </c>
      <c r="T80" s="36" t="inlineStr">
        <is>
          <t>2FFA</t>
        </is>
      </c>
    </row>
    <row r="81">
      <c r="A81" s="36" t="inlineStr">
        <is>
          <t>130931</t>
        </is>
      </c>
      <c r="B81" s="52" t="n">
        <v>46060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142130</t>
        </is>
      </c>
      <c r="B82" s="52" t="n">
        <v>46059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90</v>
      </c>
      <c r="G82" s="54" t="n">
        <v>3</v>
      </c>
      <c r="H82" s="55" t="n">
        <v>340</v>
      </c>
      <c r="I82" s="55" t="n">
        <v>1020</v>
      </c>
      <c r="J82" s="55" t="n">
        <v>571.17</v>
      </c>
      <c r="K82" s="55" t="n">
        <v>0</v>
      </c>
      <c r="L82" s="55" t="n">
        <v>438.54</v>
      </c>
      <c r="M82" s="55" t="n">
        <v>40</v>
      </c>
      <c r="N82" s="55" t="n">
        <v>571.17</v>
      </c>
      <c r="O82" s="55" t="n">
        <v>1049.71</v>
      </c>
      <c r="P82" s="55" t="n">
        <v>29.71000000000004</v>
      </c>
      <c r="Q82" s="36" t="inlineStr">
        <is>
          <t>004336</t>
        </is>
      </c>
      <c r="R82" s="36" t="inlineStr">
        <is>
          <t>CAREMARK</t>
        </is>
      </c>
      <c r="S82" s="36" t="inlineStr">
        <is>
          <t>MEDDADV</t>
        </is>
      </c>
      <c r="T82" s="36" t="inlineStr">
        <is>
          <t>RXCVSD</t>
        </is>
      </c>
    </row>
    <row r="83">
      <c r="A83" s="36" t="inlineStr">
        <is>
          <t>142175</t>
        </is>
      </c>
      <c r="B83" s="52" t="n">
        <v>46059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RX8585</t>
        </is>
      </c>
    </row>
    <row r="84">
      <c r="A84" s="36" t="inlineStr">
        <is>
          <t>142225</t>
        </is>
      </c>
      <c r="B84" s="52" t="n">
        <v>46059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621.96</v>
      </c>
      <c r="K84" s="55" t="n">
        <v>0</v>
      </c>
      <c r="L84" s="55" t="n">
        <v>438.54</v>
      </c>
      <c r="M84" s="55" t="n">
        <v>0</v>
      </c>
      <c r="N84" s="55" t="n">
        <v>621.96</v>
      </c>
      <c r="O84" s="55" t="n">
        <v>1060.5</v>
      </c>
      <c r="P84" s="55" t="n">
        <v>40.5</v>
      </c>
      <c r="Q84" s="36" t="inlineStr">
        <is>
          <t>017010</t>
        </is>
      </c>
      <c r="R84" s="36" t="inlineStr">
        <is>
          <t>EXPRESS</t>
        </is>
      </c>
      <c r="S84" s="36" t="inlineStr">
        <is>
          <t>CIMCARE</t>
        </is>
      </c>
      <c r="T84" s="36" t="inlineStr">
        <is>
          <t>CIGPDPRX</t>
        </is>
      </c>
    </row>
    <row r="85">
      <c r="A85" s="36" t="inlineStr">
        <is>
          <t>130404</t>
        </is>
      </c>
      <c r="B85" s="52" t="n">
        <v>46056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90</v>
      </c>
      <c r="G85" s="54" t="n">
        <v>3</v>
      </c>
      <c r="H85" s="55" t="n">
        <v>340</v>
      </c>
      <c r="I85" s="55" t="n">
        <v>1020</v>
      </c>
      <c r="J85" s="55" t="n">
        <v>611.12</v>
      </c>
      <c r="K85" s="55" t="n">
        <v>0</v>
      </c>
      <c r="L85" s="55" t="n">
        <v>438.54</v>
      </c>
      <c r="M85" s="55" t="n">
        <v>0</v>
      </c>
      <c r="N85" s="55" t="n">
        <v>611.12</v>
      </c>
      <c r="O85" s="55" t="n">
        <v>1049.66</v>
      </c>
      <c r="P85" s="55" t="n">
        <v>29.66000000000008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141668</t>
        </is>
      </c>
      <c r="B86" s="52" t="n">
        <v>46056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611.17</v>
      </c>
      <c r="K86" s="55" t="n">
        <v>0</v>
      </c>
      <c r="L86" s="55" t="n">
        <v>438.54</v>
      </c>
      <c r="M86" s="55" t="n">
        <v>0</v>
      </c>
      <c r="N86" s="55" t="n">
        <v>611.17</v>
      </c>
      <c r="O86" s="55" t="n">
        <v>1049.71</v>
      </c>
      <c r="P86" s="55" t="n">
        <v>29.71000000000004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RXCVSD</t>
        </is>
      </c>
    </row>
    <row r="87">
      <c r="A87" s="36" t="inlineStr">
        <is>
          <t>141487</t>
        </is>
      </c>
      <c r="B87" s="52" t="n">
        <v>46055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611.12</v>
      </c>
      <c r="K87" s="55" t="n">
        <v>0</v>
      </c>
      <c r="L87" s="55" t="n">
        <v>438.54</v>
      </c>
      <c r="M87" s="55" t="n">
        <v>0</v>
      </c>
      <c r="N87" s="55" t="n">
        <v>611.12</v>
      </c>
      <c r="O87" s="55" t="n">
        <v>1049.66</v>
      </c>
      <c r="P87" s="55" t="n">
        <v>29.66000000000008</v>
      </c>
      <c r="Q87" s="36" t="inlineStr">
        <is>
          <t>004336</t>
        </is>
      </c>
      <c r="R87" s="36" t="inlineStr">
        <is>
          <t>CAREMARK</t>
        </is>
      </c>
      <c r="S87" s="36" t="inlineStr">
        <is>
          <t>MEDDADV</t>
        </is>
      </c>
      <c r="T87" s="36" t="inlineStr">
        <is>
          <t>RX1110</t>
        </is>
      </c>
    </row>
    <row r="88">
      <c r="A88" s="36" t="inlineStr">
        <is>
          <t>137349</t>
        </is>
      </c>
      <c r="B88" s="52" t="n">
        <v>46051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30</v>
      </c>
      <c r="G88" s="54" t="n">
        <v>1</v>
      </c>
      <c r="H88" s="55" t="n">
        <v>338</v>
      </c>
      <c r="I88" s="55" t="n">
        <v>338</v>
      </c>
      <c r="J88" s="55" t="n">
        <v>203.58</v>
      </c>
      <c r="K88" s="55" t="n">
        <v>0</v>
      </c>
      <c r="L88" s="55" t="n">
        <v>146.18</v>
      </c>
      <c r="M88" s="55" t="n">
        <v>0</v>
      </c>
      <c r="N88" s="55" t="n">
        <v>203.58</v>
      </c>
      <c r="O88" s="55" t="n">
        <v>349.76</v>
      </c>
      <c r="P88" s="55" t="n">
        <v>11.75999999999999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RXCVSD</t>
        </is>
      </c>
    </row>
    <row r="89">
      <c r="A89" s="36" t="inlineStr">
        <is>
          <t>107982</t>
        </is>
      </c>
      <c r="B89" s="52" t="n">
        <v>46048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338</v>
      </c>
      <c r="I89" s="55" t="n">
        <v>1014</v>
      </c>
      <c r="J89" s="55" t="n">
        <v>606.22</v>
      </c>
      <c r="K89" s="55" t="n">
        <v>0</v>
      </c>
      <c r="L89" s="55" t="n">
        <v>438.54</v>
      </c>
      <c r="M89" s="55" t="n">
        <v>4.9</v>
      </c>
      <c r="N89" s="55" t="n">
        <v>606.22</v>
      </c>
      <c r="O89" s="55" t="n">
        <v>1049.66</v>
      </c>
      <c r="P89" s="55" t="n">
        <v>35.65999999999997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RX1110</t>
        </is>
      </c>
    </row>
    <row r="90">
      <c r="A90" s="36" t="inlineStr">
        <is>
          <t>140562</t>
        </is>
      </c>
      <c r="B90" s="52" t="n">
        <v>46048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30</v>
      </c>
      <c r="G90" s="54" t="n">
        <v>1</v>
      </c>
      <c r="H90" s="55" t="n">
        <v>338</v>
      </c>
      <c r="I90" s="55" t="n">
        <v>338</v>
      </c>
      <c r="J90" s="55" t="n">
        <v>203.61</v>
      </c>
      <c r="K90" s="55" t="n">
        <v>0</v>
      </c>
      <c r="L90" s="55" t="n">
        <v>146.18</v>
      </c>
      <c r="M90" s="55" t="n">
        <v>4.9</v>
      </c>
      <c r="N90" s="55" t="n">
        <v>203.61</v>
      </c>
      <c r="O90" s="55" t="n">
        <v>354.69</v>
      </c>
      <c r="P90" s="55" t="n">
        <v>16.69</v>
      </c>
      <c r="Q90" s="36" t="inlineStr">
        <is>
          <t>015574</t>
        </is>
      </c>
      <c r="R90" s="36" t="inlineStr">
        <is>
          <t>MEDIMP</t>
        </is>
      </c>
      <c r="S90" s="36" t="inlineStr">
        <is>
          <t>ASPROD1</t>
        </is>
      </c>
      <c r="T90" s="36" t="inlineStr">
        <is>
          <t>VNS01</t>
        </is>
      </c>
    </row>
    <row r="91">
      <c r="A91" s="36" t="inlineStr">
        <is>
          <t>128876</t>
        </is>
      </c>
      <c r="B91" s="52" t="n">
        <v>46044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338</v>
      </c>
      <c r="I91" s="55" t="n">
        <v>1014</v>
      </c>
      <c r="J91" s="55" t="n">
        <v>606.22</v>
      </c>
      <c r="K91" s="55" t="n">
        <v>0</v>
      </c>
      <c r="L91" s="55" t="n">
        <v>438.54</v>
      </c>
      <c r="M91" s="55" t="n">
        <v>4.9</v>
      </c>
      <c r="N91" s="55" t="n">
        <v>606.22</v>
      </c>
      <c r="O91" s="55" t="n">
        <v>1049.66</v>
      </c>
      <c r="P91" s="55" t="n">
        <v>35.65999999999997</v>
      </c>
      <c r="Q91" s="36" t="inlineStr">
        <is>
          <t>004336</t>
        </is>
      </c>
      <c r="R91" s="36" t="inlineStr">
        <is>
          <t>CAREMARK</t>
        </is>
      </c>
      <c r="S91" s="36" t="inlineStr">
        <is>
          <t>MEDDADV</t>
        </is>
      </c>
      <c r="T91" s="36" t="inlineStr">
        <is>
          <t>RX8541</t>
        </is>
      </c>
    </row>
    <row r="92">
      <c r="A92" s="36" t="inlineStr">
        <is>
          <t>139138</t>
        </is>
      </c>
      <c r="B92" s="52" t="n">
        <v>46037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338</v>
      </c>
      <c r="I92" s="55" t="n">
        <v>1014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35.65999999999997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RX1110</t>
        </is>
      </c>
    </row>
    <row r="93">
      <c r="A93" s="36" t="inlineStr">
        <is>
          <t>139186</t>
        </is>
      </c>
      <c r="B93" s="52" t="n">
        <v>46037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338</v>
      </c>
      <c r="I93" s="55" t="n">
        <v>1014</v>
      </c>
      <c r="J93" s="55" t="n">
        <v>606.27</v>
      </c>
      <c r="K93" s="55" t="n">
        <v>0</v>
      </c>
      <c r="L93" s="55" t="n">
        <v>438.54</v>
      </c>
      <c r="M93" s="55" t="n">
        <v>4.9</v>
      </c>
      <c r="N93" s="55" t="n">
        <v>606.27</v>
      </c>
      <c r="O93" s="55" t="n">
        <v>1049.71</v>
      </c>
      <c r="P93" s="55" t="n">
        <v>35.70999999999992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139219</t>
        </is>
      </c>
      <c r="B94" s="52" t="n">
        <v>46037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338</v>
      </c>
      <c r="I94" s="55" t="n">
        <v>1014</v>
      </c>
      <c r="J94" s="55" t="n">
        <v>607.5599999999999</v>
      </c>
      <c r="K94" s="55" t="n">
        <v>0</v>
      </c>
      <c r="L94" s="55" t="n">
        <v>438.54</v>
      </c>
      <c r="M94" s="55" t="n">
        <v>4.9</v>
      </c>
      <c r="N94" s="55" t="n">
        <v>607.5599999999999</v>
      </c>
      <c r="O94" s="55" t="n">
        <v>1051</v>
      </c>
      <c r="P94" s="55" t="n">
        <v>36.99999999999989</v>
      </c>
      <c r="Q94" s="36" t="inlineStr">
        <is>
          <t>610014</t>
        </is>
      </c>
      <c r="R94" s="36" t="inlineStr">
        <is>
          <t>EXPRESS</t>
        </is>
      </c>
      <c r="S94" s="36" t="inlineStr">
        <is>
          <t>MEDDPRIME</t>
        </is>
      </c>
      <c r="T94" s="36" t="inlineStr">
        <is>
          <t>2FFA</t>
        </is>
      </c>
    </row>
    <row r="95">
      <c r="A95" s="36" t="inlineStr">
        <is>
          <t>138951</t>
        </is>
      </c>
      <c r="B95" s="52" t="n">
        <v>46035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90</v>
      </c>
      <c r="G95" s="54" t="n">
        <v>3</v>
      </c>
      <c r="H95" s="55" t="n">
        <v>338</v>
      </c>
      <c r="I95" s="55" t="n">
        <v>1014</v>
      </c>
      <c r="J95" s="55" t="n">
        <v>611.12</v>
      </c>
      <c r="K95" s="55" t="n">
        <v>0</v>
      </c>
      <c r="L95" s="55" t="n">
        <v>438.54</v>
      </c>
      <c r="M95" s="55" t="n">
        <v>0</v>
      </c>
      <c r="N95" s="55" t="n">
        <v>611.12</v>
      </c>
      <c r="O95" s="55" t="n">
        <v>1049.66</v>
      </c>
      <c r="P95" s="55" t="n">
        <v>35.65999999999997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RX1110</t>
        </is>
      </c>
    </row>
    <row r="96">
      <c r="A96" s="36" t="inlineStr">
        <is>
          <t>126424</t>
        </is>
      </c>
      <c r="B96" s="52" t="n">
        <v>46027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18.65</v>
      </c>
      <c r="K96" s="55" t="n">
        <v>0</v>
      </c>
      <c r="L96" s="55" t="n">
        <v>438.54</v>
      </c>
      <c r="M96" s="55" t="n">
        <v>592.47</v>
      </c>
      <c r="N96" s="55" t="n">
        <v>18.65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126746</t>
        </is>
      </c>
      <c r="B97" s="52" t="n">
        <v>46027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90</v>
      </c>
      <c r="G97" s="54" t="n">
        <v>3</v>
      </c>
      <c r="H97" s="55" t="n">
        <v>338</v>
      </c>
      <c r="I97" s="55" t="n">
        <v>1014</v>
      </c>
      <c r="J97" s="55" t="n">
        <v>606.22</v>
      </c>
      <c r="K97" s="55" t="n">
        <v>0</v>
      </c>
      <c r="L97" s="55" t="n">
        <v>438.54</v>
      </c>
      <c r="M97" s="55" t="n">
        <v>4.9</v>
      </c>
      <c r="N97" s="55" t="n">
        <v>606.22</v>
      </c>
      <c r="O97" s="55" t="n">
        <v>1049.66</v>
      </c>
      <c r="P97" s="55" t="n">
        <v>35.65999999999997</v>
      </c>
      <c r="Q97" s="36" t="inlineStr">
        <is>
          <t>004336</t>
        </is>
      </c>
      <c r="R97" s="36" t="inlineStr">
        <is>
          <t>CAREMARK</t>
        </is>
      </c>
      <c r="S97" s="36" t="inlineStr">
        <is>
          <t>MEDDADV</t>
        </is>
      </c>
      <c r="T97" s="36" t="inlineStr">
        <is>
          <t>RX1110</t>
        </is>
      </c>
    </row>
    <row r="98">
      <c r="A98" s="36" t="inlineStr">
        <is>
          <t>137349</t>
        </is>
      </c>
      <c r="B98" s="52" t="n">
        <v>46024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30</v>
      </c>
      <c r="G98" s="54" t="n">
        <v>1</v>
      </c>
      <c r="H98" s="55" t="n">
        <v>338</v>
      </c>
      <c r="I98" s="55" t="n">
        <v>338</v>
      </c>
      <c r="J98" s="55" t="n">
        <v>203.58</v>
      </c>
      <c r="K98" s="55" t="n">
        <v>0</v>
      </c>
      <c r="L98" s="55" t="n">
        <v>146.18</v>
      </c>
      <c r="M98" s="55" t="n">
        <v>0</v>
      </c>
      <c r="N98" s="55" t="n">
        <v>203.58</v>
      </c>
      <c r="O98" s="55" t="n">
        <v>349.76</v>
      </c>
      <c r="P98" s="55" t="n">
        <v>11.75999999999999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RXCVSD</t>
        </is>
      </c>
    </row>
    <row r="99">
      <c r="A99" s="36" t="inlineStr">
        <is>
          <t>144641</t>
        </is>
      </c>
      <c r="B99" s="52" t="n">
        <v>46077</v>
      </c>
      <c r="C99" s="36" t="inlineStr">
        <is>
          <t>00597015330</t>
        </is>
      </c>
      <c r="D99" s="53" t="inlineStr">
        <is>
          <t xml:space="preserve">JARDIANCE 25MG TAB </t>
        </is>
      </c>
      <c r="E99" s="36" t="n">
        <v>30</v>
      </c>
      <c r="F99" s="54" t="n">
        <v>30</v>
      </c>
      <c r="G99" s="54" t="n">
        <v>1</v>
      </c>
      <c r="H99" s="55" t="n">
        <v>340</v>
      </c>
      <c r="I99" s="55" t="n">
        <v>340</v>
      </c>
      <c r="J99" s="55" t="n">
        <v>198.68</v>
      </c>
      <c r="K99" s="55" t="n">
        <v>0</v>
      </c>
      <c r="L99" s="55" t="n">
        <v>146.18</v>
      </c>
      <c r="M99" s="55" t="n">
        <v>4.9</v>
      </c>
      <c r="N99" s="55" t="n">
        <v>198.68</v>
      </c>
      <c r="O99" s="55" t="n">
        <v>349.76</v>
      </c>
      <c r="P99" s="55" t="n">
        <v>9.759999999999991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127562</t>
        </is>
      </c>
      <c r="B100" s="52" t="n">
        <v>46076</v>
      </c>
      <c r="C100" s="36" t="inlineStr">
        <is>
          <t>00597015330</t>
        </is>
      </c>
      <c r="D100" s="53" t="inlineStr">
        <is>
          <t xml:space="preserve">JARDIANCE 25MG TAB </t>
        </is>
      </c>
      <c r="E100" s="36" t="n">
        <v>30</v>
      </c>
      <c r="F100" s="54" t="n">
        <v>30</v>
      </c>
      <c r="G100" s="54" t="n">
        <v>1</v>
      </c>
      <c r="H100" s="55" t="n">
        <v>340</v>
      </c>
      <c r="I100" s="55" t="n">
        <v>340</v>
      </c>
      <c r="J100" s="55" t="n">
        <v>198.68</v>
      </c>
      <c r="K100" s="55" t="n">
        <v>0</v>
      </c>
      <c r="L100" s="55" t="n">
        <v>146.18</v>
      </c>
      <c r="M100" s="55" t="n">
        <v>4.9</v>
      </c>
      <c r="N100" s="55" t="n">
        <v>198.68</v>
      </c>
      <c r="O100" s="55" t="n">
        <v>349.76</v>
      </c>
      <c r="P100" s="55" t="n">
        <v>9.759999999999991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RX1110</t>
        </is>
      </c>
    </row>
    <row r="101">
      <c r="A101" s="36" t="inlineStr">
        <is>
          <t>120982</t>
        </is>
      </c>
      <c r="B101" s="52" t="n">
        <v>46072</v>
      </c>
      <c r="C101" s="36" t="inlineStr">
        <is>
          <t>00597015330</t>
        </is>
      </c>
      <c r="D101" s="53" t="inlineStr">
        <is>
          <t xml:space="preserve">JARDIANCE 25MG TAB </t>
        </is>
      </c>
      <c r="E101" s="36" t="n">
        <v>30</v>
      </c>
      <c r="F101" s="54" t="n">
        <v>90</v>
      </c>
      <c r="G101" s="54" t="n">
        <v>3</v>
      </c>
      <c r="H101" s="55" t="n">
        <v>340</v>
      </c>
      <c r="I101" s="55" t="n">
        <v>1020</v>
      </c>
      <c r="J101" s="55" t="n">
        <v>598.47</v>
      </c>
      <c r="K101" s="55" t="n">
        <v>0</v>
      </c>
      <c r="L101" s="55" t="n">
        <v>438.54</v>
      </c>
      <c r="M101" s="55" t="n">
        <v>12.65</v>
      </c>
      <c r="N101" s="55" t="n">
        <v>598.47</v>
      </c>
      <c r="O101" s="55" t="n">
        <v>1049.66</v>
      </c>
      <c r="P101" s="55" t="n">
        <v>29.66000000000008</v>
      </c>
      <c r="Q101" s="36" t="inlineStr">
        <is>
          <t>004336</t>
        </is>
      </c>
      <c r="R101" s="36" t="inlineStr">
        <is>
          <t>CAREMARK</t>
        </is>
      </c>
      <c r="S101" s="36" t="inlineStr">
        <is>
          <t>MEDDADV</t>
        </is>
      </c>
      <c r="T101" s="36" t="inlineStr">
        <is>
          <t>RX1110</t>
        </is>
      </c>
    </row>
    <row r="102">
      <c r="A102" s="36" t="inlineStr">
        <is>
          <t>143957</t>
        </is>
      </c>
      <c r="B102" s="52" t="n">
        <v>46072</v>
      </c>
      <c r="C102" s="36" t="inlineStr">
        <is>
          <t>00597015330</t>
        </is>
      </c>
      <c r="D102" s="53" t="inlineStr">
        <is>
          <t xml:space="preserve">JARDIANCE 25MG TAB </t>
        </is>
      </c>
      <c r="E102" s="36" t="n">
        <v>30</v>
      </c>
      <c r="F102" s="54" t="n">
        <v>90</v>
      </c>
      <c r="G102" s="54" t="n">
        <v>3</v>
      </c>
      <c r="H102" s="55" t="n">
        <v>340</v>
      </c>
      <c r="I102" s="55" t="n">
        <v>1020</v>
      </c>
      <c r="J102" s="55" t="n">
        <v>606.22</v>
      </c>
      <c r="K102" s="55" t="n">
        <v>0</v>
      </c>
      <c r="L102" s="55" t="n">
        <v>438.54</v>
      </c>
      <c r="M102" s="55" t="n">
        <v>4.9</v>
      </c>
      <c r="N102" s="55" t="n">
        <v>606.22</v>
      </c>
      <c r="O102" s="55" t="n">
        <v>1049.66</v>
      </c>
      <c r="P102" s="55" t="n">
        <v>29.66000000000008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143963</t>
        </is>
      </c>
      <c r="B103" s="52" t="n">
        <v>46072</v>
      </c>
      <c r="C103" s="36" t="inlineStr">
        <is>
          <t>00597015330</t>
        </is>
      </c>
      <c r="D103" s="53" t="inlineStr">
        <is>
          <t xml:space="preserve">JARDIANCE 25MG TAB </t>
        </is>
      </c>
      <c r="E103" s="36" t="n">
        <v>30</v>
      </c>
      <c r="F103" s="54" t="n">
        <v>30</v>
      </c>
      <c r="G103" s="54" t="n">
        <v>1</v>
      </c>
      <c r="H103" s="55" t="n">
        <v>340</v>
      </c>
      <c r="I103" s="55" t="n">
        <v>340</v>
      </c>
      <c r="J103" s="55" t="n">
        <v>208.51</v>
      </c>
      <c r="K103" s="55" t="n">
        <v>0</v>
      </c>
      <c r="L103" s="55" t="n">
        <v>146.18</v>
      </c>
      <c r="M103" s="55" t="n">
        <v>0</v>
      </c>
      <c r="N103" s="55" t="n">
        <v>208.51</v>
      </c>
      <c r="O103" s="55" t="n">
        <v>354.69</v>
      </c>
      <c r="P103" s="55" t="n">
        <v>14.69</v>
      </c>
      <c r="Q103" s="36" t="inlineStr">
        <is>
          <t>015574</t>
        </is>
      </c>
      <c r="R103" s="36" t="inlineStr">
        <is>
          <t>MEDIMP</t>
        </is>
      </c>
      <c r="S103" s="36" t="inlineStr">
        <is>
          <t>ASPROD1</t>
        </is>
      </c>
      <c r="T103" s="36" t="inlineStr">
        <is>
          <t>VNS01</t>
        </is>
      </c>
    </row>
    <row r="104">
      <c r="A104" s="36" t="inlineStr">
        <is>
          <t>143966</t>
        </is>
      </c>
      <c r="B104" s="52" t="n">
        <v>46072</v>
      </c>
      <c r="C104" s="36" t="inlineStr">
        <is>
          <t>00597015330</t>
        </is>
      </c>
      <c r="D104" s="53" t="inlineStr">
        <is>
          <t xml:space="preserve">JARDIANCE 25MG TAB </t>
        </is>
      </c>
      <c r="E104" s="36" t="n">
        <v>30</v>
      </c>
      <c r="F104" s="54" t="n">
        <v>90</v>
      </c>
      <c r="G104" s="54" t="n">
        <v>3</v>
      </c>
      <c r="H104" s="55" t="n">
        <v>340</v>
      </c>
      <c r="I104" s="55" t="n">
        <v>1020</v>
      </c>
      <c r="J104" s="55" t="n">
        <v>598.47</v>
      </c>
      <c r="K104" s="55" t="n">
        <v>0</v>
      </c>
      <c r="L104" s="55" t="n">
        <v>438.54</v>
      </c>
      <c r="M104" s="55" t="n">
        <v>12.65</v>
      </c>
      <c r="N104" s="55" t="n">
        <v>598.47</v>
      </c>
      <c r="O104" s="55" t="n">
        <v>1049.66</v>
      </c>
      <c r="P104" s="55" t="n">
        <v>29.66000000000008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143566</t>
        </is>
      </c>
      <c r="B105" s="52" t="n">
        <v>46070</v>
      </c>
      <c r="C105" s="36" t="inlineStr">
        <is>
          <t>00597015330</t>
        </is>
      </c>
      <c r="D105" s="53" t="inlineStr">
        <is>
          <t xml:space="preserve">JARDIANCE 25MG TAB </t>
        </is>
      </c>
      <c r="E105" s="36" t="n">
        <v>30</v>
      </c>
      <c r="F105" s="54" t="n">
        <v>90</v>
      </c>
      <c r="G105" s="54" t="n">
        <v>3</v>
      </c>
      <c r="H105" s="55" t="n">
        <v>340</v>
      </c>
      <c r="I105" s="55" t="n">
        <v>1020</v>
      </c>
      <c r="J105" s="55" t="n">
        <v>606.47</v>
      </c>
      <c r="K105" s="55" t="n">
        <v>0</v>
      </c>
      <c r="L105" s="55" t="n">
        <v>438.54</v>
      </c>
      <c r="M105" s="55" t="n">
        <v>4.9</v>
      </c>
      <c r="N105" s="55" t="n">
        <v>606.47</v>
      </c>
      <c r="O105" s="55" t="n">
        <v>1049.91</v>
      </c>
      <c r="P105" s="55" t="n">
        <v>29.91000000000008</v>
      </c>
      <c r="Q105" s="36" t="inlineStr">
        <is>
          <t>020115</t>
        </is>
      </c>
      <c r="R105" s="36" t="inlineStr">
        <is>
          <t>CAREMARK</t>
        </is>
      </c>
      <c r="S105" s="36" t="inlineStr">
        <is>
          <t>IS</t>
        </is>
      </c>
      <c r="T105" s="36" t="inlineStr">
        <is>
          <t>WM2A</t>
        </is>
      </c>
    </row>
    <row r="106">
      <c r="A106" s="36" t="inlineStr">
        <is>
          <t>143510</t>
        </is>
      </c>
      <c r="B106" s="52" t="n">
        <v>46069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109458</t>
        </is>
      </c>
      <c r="B107" s="52" t="n">
        <v>46065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90</v>
      </c>
      <c r="G107" s="54" t="n">
        <v>3</v>
      </c>
      <c r="H107" s="55" t="n">
        <v>340</v>
      </c>
      <c r="I107" s="55" t="n">
        <v>1020</v>
      </c>
      <c r="J107" s="55" t="n">
        <v>606.22</v>
      </c>
      <c r="K107" s="55" t="n">
        <v>0</v>
      </c>
      <c r="L107" s="55" t="n">
        <v>438.54</v>
      </c>
      <c r="M107" s="55" t="n">
        <v>4.9</v>
      </c>
      <c r="N107" s="55" t="n">
        <v>606.22</v>
      </c>
      <c r="O107" s="55" t="n">
        <v>1049.66</v>
      </c>
      <c r="P107" s="55" t="n">
        <v>29.66000000000008</v>
      </c>
      <c r="Q107" s="36" t="inlineStr">
        <is>
          <t>004336</t>
        </is>
      </c>
      <c r="R107" s="36" t="inlineStr">
        <is>
          <t>CAREMARK</t>
        </is>
      </c>
      <c r="S107" s="36" t="inlineStr">
        <is>
          <t>MEDDADV</t>
        </is>
      </c>
      <c r="T107" s="36" t="inlineStr">
        <is>
          <t>RX1110</t>
        </is>
      </c>
    </row>
    <row r="108">
      <c r="A108" s="36" t="inlineStr">
        <is>
          <t>132244</t>
        </is>
      </c>
      <c r="B108" s="52" t="n">
        <v>46065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203.61</v>
      </c>
      <c r="K108" s="55" t="n">
        <v>0</v>
      </c>
      <c r="L108" s="55" t="n">
        <v>146.18</v>
      </c>
      <c r="M108" s="55" t="n">
        <v>4.9</v>
      </c>
      <c r="N108" s="55" t="n">
        <v>203.61</v>
      </c>
      <c r="O108" s="55" t="n">
        <v>354.69</v>
      </c>
      <c r="P108" s="55" t="n">
        <v>14.69</v>
      </c>
      <c r="Q108" s="36" t="inlineStr">
        <is>
          <t>015574</t>
        </is>
      </c>
      <c r="R108" s="36" t="inlineStr">
        <is>
          <t>MEDIMP</t>
        </is>
      </c>
      <c r="S108" s="36" t="inlineStr">
        <is>
          <t>ASPROD1</t>
        </is>
      </c>
      <c r="T108" s="36" t="inlineStr">
        <is>
          <t>VNS01</t>
        </is>
      </c>
    </row>
    <row r="109">
      <c r="A109" s="36" t="inlineStr">
        <is>
          <t>142853</t>
        </is>
      </c>
      <c r="B109" s="52" t="n">
        <v>46064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606.22</v>
      </c>
      <c r="K109" s="55" t="n">
        <v>0</v>
      </c>
      <c r="L109" s="55" t="n">
        <v>438.54</v>
      </c>
      <c r="M109" s="55" t="n">
        <v>4.9</v>
      </c>
      <c r="N109" s="55" t="n">
        <v>606.22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142863</t>
        </is>
      </c>
      <c r="B110" s="52" t="n">
        <v>46064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90</v>
      </c>
      <c r="G110" s="54" t="n">
        <v>3</v>
      </c>
      <c r="H110" s="55" t="n">
        <v>340</v>
      </c>
      <c r="I110" s="55" t="n">
        <v>1020</v>
      </c>
      <c r="J110" s="55" t="n">
        <v>611.12</v>
      </c>
      <c r="K110" s="55" t="n">
        <v>0</v>
      </c>
      <c r="L110" s="55" t="n">
        <v>438.54</v>
      </c>
      <c r="M110" s="55" t="n">
        <v>0</v>
      </c>
      <c r="N110" s="55" t="n">
        <v>611.12</v>
      </c>
      <c r="O110" s="55" t="n">
        <v>1049.66</v>
      </c>
      <c r="P110" s="55" t="n">
        <v>29.66000000000008</v>
      </c>
      <c r="Q110" s="36" t="inlineStr">
        <is>
          <t>004336</t>
        </is>
      </c>
      <c r="R110" s="36" t="inlineStr">
        <is>
          <t>CAREMARK</t>
        </is>
      </c>
      <c r="S110" s="36" t="inlineStr">
        <is>
          <t>MEDDADV</t>
        </is>
      </c>
      <c r="T110" s="36" t="inlineStr">
        <is>
          <t>RX1110</t>
        </is>
      </c>
    </row>
    <row r="111">
      <c r="A111" s="36" t="inlineStr">
        <is>
          <t>142333</t>
        </is>
      </c>
      <c r="B111" s="52" t="n">
        <v>46062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90</v>
      </c>
      <c r="G111" s="54" t="n">
        <v>3</v>
      </c>
      <c r="H111" s="55" t="n">
        <v>340</v>
      </c>
      <c r="I111" s="55" t="n">
        <v>1020</v>
      </c>
      <c r="J111" s="55" t="n">
        <v>611.12</v>
      </c>
      <c r="K111" s="55" t="n">
        <v>0</v>
      </c>
      <c r="L111" s="55" t="n">
        <v>438.54</v>
      </c>
      <c r="M111" s="55" t="n">
        <v>0</v>
      </c>
      <c r="N111" s="55" t="n">
        <v>611.12</v>
      </c>
      <c r="O111" s="55" t="n">
        <v>1049.66</v>
      </c>
      <c r="P111" s="55" t="n">
        <v>29.66000000000008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130031</t>
        </is>
      </c>
      <c r="B112" s="52" t="n">
        <v>46060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90</v>
      </c>
      <c r="G112" s="54" t="n">
        <v>3</v>
      </c>
      <c r="H112" s="55" t="n">
        <v>340</v>
      </c>
      <c r="I112" s="55" t="n">
        <v>1020</v>
      </c>
      <c r="J112" s="55" t="n">
        <v>611.12</v>
      </c>
      <c r="K112" s="55" t="n">
        <v>0</v>
      </c>
      <c r="L112" s="55" t="n">
        <v>438.54</v>
      </c>
      <c r="M112" s="55" t="n">
        <v>0</v>
      </c>
      <c r="N112" s="55" t="n">
        <v>611.12</v>
      </c>
      <c r="O112" s="55" t="n">
        <v>1049.66</v>
      </c>
      <c r="P112" s="55" t="n">
        <v>29.66000000000008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130635</t>
        </is>
      </c>
      <c r="B113" s="52" t="n">
        <v>46059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611.12</v>
      </c>
      <c r="K113" s="55" t="n">
        <v>0</v>
      </c>
      <c r="L113" s="55" t="n">
        <v>438.54</v>
      </c>
      <c r="M113" s="55" t="n">
        <v>0</v>
      </c>
      <c r="N113" s="55" t="n">
        <v>611.12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142141</t>
        </is>
      </c>
      <c r="B114" s="52" t="n">
        <v>46059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611.12</v>
      </c>
      <c r="K114" s="55" t="n">
        <v>0</v>
      </c>
      <c r="L114" s="55" t="n">
        <v>438.54</v>
      </c>
      <c r="M114" s="55" t="n">
        <v>0</v>
      </c>
      <c r="N114" s="55" t="n">
        <v>611.12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123052</t>
        </is>
      </c>
      <c r="B115" s="52" t="n">
        <v>46055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203.58</v>
      </c>
      <c r="K115" s="55" t="n">
        <v>0</v>
      </c>
      <c r="L115" s="55" t="n">
        <v>146.18</v>
      </c>
      <c r="M115" s="55" t="n">
        <v>0</v>
      </c>
      <c r="N115" s="55" t="n">
        <v>203.58</v>
      </c>
      <c r="O115" s="55" t="n">
        <v>349.76</v>
      </c>
      <c r="P115" s="55" t="n">
        <v>9.759999999999991</v>
      </c>
      <c r="Q115" s="36" t="inlineStr">
        <is>
          <t>004336</t>
        </is>
      </c>
      <c r="R115" s="36" t="inlineStr">
        <is>
          <t>CAREMARK</t>
        </is>
      </c>
      <c r="S115" s="36" t="inlineStr">
        <is>
          <t>MEDDADV</t>
        </is>
      </c>
      <c r="T115" s="36" t="inlineStr">
        <is>
          <t>RX1110</t>
        </is>
      </c>
    </row>
    <row r="116">
      <c r="A116" s="36" t="inlineStr">
        <is>
          <t>141026</t>
        </is>
      </c>
      <c r="B116" s="52" t="n">
        <v>46051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338</v>
      </c>
      <c r="I116" s="55" t="n">
        <v>1014</v>
      </c>
      <c r="J116" s="55" t="n">
        <v>611.12</v>
      </c>
      <c r="K116" s="55" t="n">
        <v>0</v>
      </c>
      <c r="L116" s="55" t="n">
        <v>438.54</v>
      </c>
      <c r="M116" s="55" t="n">
        <v>0</v>
      </c>
      <c r="N116" s="55" t="n">
        <v>611.12</v>
      </c>
      <c r="O116" s="55" t="n">
        <v>1049.66</v>
      </c>
      <c r="P116" s="55" t="n">
        <v>35.65999999999997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130251</t>
        </is>
      </c>
      <c r="B117" s="52" t="n">
        <v>46050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30</v>
      </c>
      <c r="G117" s="54" t="n">
        <v>1</v>
      </c>
      <c r="H117" s="55" t="n">
        <v>338</v>
      </c>
      <c r="I117" s="55" t="n">
        <v>338</v>
      </c>
      <c r="J117" s="55" t="n">
        <v>199.92</v>
      </c>
      <c r="K117" s="55" t="n">
        <v>0</v>
      </c>
      <c r="L117" s="55" t="n">
        <v>146.18</v>
      </c>
      <c r="M117" s="55" t="n">
        <v>4.9</v>
      </c>
      <c r="N117" s="55" t="n">
        <v>199.92</v>
      </c>
      <c r="O117" s="55" t="n">
        <v>351</v>
      </c>
      <c r="P117" s="55" t="n">
        <v>13</v>
      </c>
      <c r="Q117" s="36" t="inlineStr">
        <is>
          <t>610014</t>
        </is>
      </c>
      <c r="R117" s="36" t="inlineStr">
        <is>
          <t>EXPRESS</t>
        </is>
      </c>
      <c r="S117" s="36" t="inlineStr">
        <is>
          <t>MEDDPRIME</t>
        </is>
      </c>
      <c r="T117" s="36" t="inlineStr">
        <is>
          <t>2FFA</t>
        </is>
      </c>
    </row>
    <row r="118">
      <c r="A118" s="36" t="inlineStr">
        <is>
          <t>129542</t>
        </is>
      </c>
      <c r="B118" s="52" t="n">
        <v>46049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338</v>
      </c>
      <c r="I118" s="55" t="n">
        <v>1014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35.65999999999997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140549</t>
        </is>
      </c>
      <c r="B119" s="52" t="n">
        <v>46048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338</v>
      </c>
      <c r="I119" s="55" t="n">
        <v>1014</v>
      </c>
      <c r="J119" s="55" t="n">
        <v>616.15</v>
      </c>
      <c r="K119" s="55" t="n">
        <v>0</v>
      </c>
      <c r="L119" s="55" t="n">
        <v>438.54</v>
      </c>
      <c r="M119" s="55" t="n">
        <v>0</v>
      </c>
      <c r="N119" s="55" t="n">
        <v>616.15</v>
      </c>
      <c r="O119" s="55" t="n">
        <v>1054.69</v>
      </c>
      <c r="P119" s="55" t="n">
        <v>40.68999999999994</v>
      </c>
      <c r="Q119" s="36" t="inlineStr">
        <is>
          <t>015574</t>
        </is>
      </c>
      <c r="R119" s="36" t="inlineStr">
        <is>
          <t>MEDIMP</t>
        </is>
      </c>
      <c r="S119" s="36" t="inlineStr">
        <is>
          <t>ASPROD1</t>
        </is>
      </c>
      <c r="T119" s="36" t="inlineStr">
        <is>
          <t>VNS01</t>
        </is>
      </c>
    </row>
    <row r="120">
      <c r="A120" s="36" t="inlineStr">
        <is>
          <t>122086</t>
        </is>
      </c>
      <c r="B120" s="52" t="n">
        <v>46044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338</v>
      </c>
      <c r="I120" s="55" t="n">
        <v>338</v>
      </c>
      <c r="J120" s="55" t="n">
        <v>208.51</v>
      </c>
      <c r="K120" s="55" t="n">
        <v>0</v>
      </c>
      <c r="L120" s="55" t="n">
        <v>146.18</v>
      </c>
      <c r="M120" s="55" t="n">
        <v>0</v>
      </c>
      <c r="N120" s="55" t="n">
        <v>208.51</v>
      </c>
      <c r="O120" s="55" t="n">
        <v>354.69</v>
      </c>
      <c r="P120" s="55" t="n">
        <v>16.69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inlineStr">
        <is>
          <t>VNS01</t>
        </is>
      </c>
    </row>
    <row r="121">
      <c r="A121" s="36" t="inlineStr">
        <is>
          <t>140100</t>
        </is>
      </c>
      <c r="B121" s="52" t="n">
        <v>46044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338</v>
      </c>
      <c r="I121" s="55" t="n">
        <v>1014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35.65999999999997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139746</t>
        </is>
      </c>
      <c r="B122" s="52" t="n">
        <v>46042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338</v>
      </c>
      <c r="I122" s="55" t="n">
        <v>1014</v>
      </c>
      <c r="J122" s="55" t="n">
        <v>606.22</v>
      </c>
      <c r="K122" s="55" t="n">
        <v>0</v>
      </c>
      <c r="L122" s="55" t="n">
        <v>438.54</v>
      </c>
      <c r="M122" s="55" t="n">
        <v>4.9</v>
      </c>
      <c r="N122" s="55" t="n">
        <v>606.22</v>
      </c>
      <c r="O122" s="55" t="n">
        <v>1049.66</v>
      </c>
      <c r="P122" s="55" t="n">
        <v>35.65999999999997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117435</t>
        </is>
      </c>
      <c r="B123" s="52" t="n">
        <v>46039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338</v>
      </c>
      <c r="I123" s="55" t="n">
        <v>1014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35.65999999999997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132244</t>
        </is>
      </c>
      <c r="B124" s="52" t="n">
        <v>46037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30</v>
      </c>
      <c r="G124" s="54" t="n">
        <v>1</v>
      </c>
      <c r="H124" s="55" t="n">
        <v>338</v>
      </c>
      <c r="I124" s="55" t="n">
        <v>338</v>
      </c>
      <c r="J124" s="55" t="n">
        <v>203.61</v>
      </c>
      <c r="K124" s="55" t="n">
        <v>0</v>
      </c>
      <c r="L124" s="55" t="n">
        <v>146.18</v>
      </c>
      <c r="M124" s="55" t="n">
        <v>4.9</v>
      </c>
      <c r="N124" s="55" t="n">
        <v>203.61</v>
      </c>
      <c r="O124" s="55" t="n">
        <v>354.69</v>
      </c>
      <c r="P124" s="55" t="n">
        <v>16.69</v>
      </c>
      <c r="Q124" s="36" t="inlineStr">
        <is>
          <t>015574</t>
        </is>
      </c>
      <c r="R124" s="36" t="inlineStr">
        <is>
          <t>MEDIMP</t>
        </is>
      </c>
      <c r="S124" s="36" t="inlineStr">
        <is>
          <t>ASPROD1</t>
        </is>
      </c>
      <c r="T124" s="36" t="inlineStr">
        <is>
          <t>VNS01</t>
        </is>
      </c>
    </row>
    <row r="125">
      <c r="A125" s="36" t="inlineStr">
        <is>
          <t>139157</t>
        </is>
      </c>
      <c r="B125" s="52" t="n">
        <v>46037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338</v>
      </c>
      <c r="I125" s="55" t="n">
        <v>1014</v>
      </c>
      <c r="J125" s="55" t="n">
        <v>606.22</v>
      </c>
      <c r="K125" s="55" t="n">
        <v>0</v>
      </c>
      <c r="L125" s="55" t="n">
        <v>438.54</v>
      </c>
      <c r="M125" s="55" t="n">
        <v>4.9</v>
      </c>
      <c r="N125" s="55" t="n">
        <v>606.22</v>
      </c>
      <c r="O125" s="55" t="n">
        <v>1049.66</v>
      </c>
      <c r="P125" s="55" t="n">
        <v>35.65999999999997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139194</t>
        </is>
      </c>
      <c r="B126" s="52" t="n">
        <v>46037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338</v>
      </c>
      <c r="I126" s="55" t="n">
        <v>1014</v>
      </c>
      <c r="J126" s="55" t="n">
        <v>606.22</v>
      </c>
      <c r="K126" s="55" t="n">
        <v>0</v>
      </c>
      <c r="L126" s="55" t="n">
        <v>438.54</v>
      </c>
      <c r="M126" s="55" t="n">
        <v>4.9</v>
      </c>
      <c r="N126" s="55" t="n">
        <v>606.22</v>
      </c>
      <c r="O126" s="55" t="n">
        <v>1049.66</v>
      </c>
      <c r="P126" s="55" t="n">
        <v>35.65999999999997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138969</t>
        </is>
      </c>
      <c r="B127" s="52" t="n">
        <v>46036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90</v>
      </c>
      <c r="G127" s="54" t="n">
        <v>3</v>
      </c>
      <c r="H127" s="55" t="n">
        <v>338</v>
      </c>
      <c r="I127" s="55" t="n">
        <v>1014</v>
      </c>
      <c r="J127" s="55" t="n">
        <v>611.12</v>
      </c>
      <c r="K127" s="55" t="n">
        <v>0</v>
      </c>
      <c r="L127" s="55" t="n">
        <v>438.54</v>
      </c>
      <c r="M127" s="55" t="n">
        <v>0</v>
      </c>
      <c r="N127" s="55" t="n">
        <v>611.12</v>
      </c>
      <c r="O127" s="55" t="n">
        <v>1049.66</v>
      </c>
      <c r="P127" s="55" t="n">
        <v>35.65999999999997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138809</t>
        </is>
      </c>
      <c r="B128" s="52" t="n">
        <v>46035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138876</t>
        </is>
      </c>
      <c r="B129" s="52" t="n">
        <v>46035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90</v>
      </c>
      <c r="G129" s="54" t="n">
        <v>3</v>
      </c>
      <c r="H129" s="55" t="n">
        <v>338</v>
      </c>
      <c r="I129" s="55" t="n">
        <v>1014</v>
      </c>
      <c r="J129" s="55" t="n">
        <v>606.22</v>
      </c>
      <c r="K129" s="55" t="n">
        <v>0</v>
      </c>
      <c r="L129" s="55" t="n">
        <v>438.54</v>
      </c>
      <c r="M129" s="55" t="n">
        <v>4.9</v>
      </c>
      <c r="N129" s="55" t="n">
        <v>606.22</v>
      </c>
      <c r="O129" s="55" t="n">
        <v>1049.66</v>
      </c>
      <c r="P129" s="55" t="n">
        <v>35.65999999999997</v>
      </c>
      <c r="Q129" s="36" t="inlineStr">
        <is>
          <t>004336</t>
        </is>
      </c>
      <c r="R129" s="36" t="inlineStr">
        <is>
          <t>CAREMARK</t>
        </is>
      </c>
      <c r="S129" s="36" t="inlineStr">
        <is>
          <t>MEDDADV</t>
        </is>
      </c>
      <c r="T129" s="36" t="inlineStr">
        <is>
          <t>RX8585</t>
        </is>
      </c>
    </row>
    <row r="130">
      <c r="A130" s="36" t="inlineStr">
        <is>
          <t>138900</t>
        </is>
      </c>
      <c r="B130" s="52" t="n">
        <v>46035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115881</t>
        </is>
      </c>
      <c r="B131" s="52" t="n">
        <v>46034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606.22</v>
      </c>
      <c r="K131" s="55" t="n">
        <v>0</v>
      </c>
      <c r="L131" s="55" t="n">
        <v>438.54</v>
      </c>
      <c r="M131" s="55" t="n">
        <v>4.9</v>
      </c>
      <c r="N131" s="55" t="n">
        <v>606.22</v>
      </c>
      <c r="O131" s="55" t="n">
        <v>1049.66</v>
      </c>
      <c r="P131" s="55" t="n">
        <v>35.65999999999997</v>
      </c>
      <c r="Q131" s="36" t="inlineStr">
        <is>
          <t>004336</t>
        </is>
      </c>
      <c r="R131" s="36" t="inlineStr">
        <is>
          <t>CAREMARK</t>
        </is>
      </c>
      <c r="S131" s="36" t="inlineStr">
        <is>
          <t>MEDDADV</t>
        </is>
      </c>
      <c r="T131" s="36" t="inlineStr">
        <is>
          <t>RX1110</t>
        </is>
      </c>
    </row>
    <row r="132">
      <c r="A132" s="36" t="inlineStr">
        <is>
          <t>138680</t>
        </is>
      </c>
      <c r="B132" s="52" t="n">
        <v>46034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90</v>
      </c>
      <c r="G132" s="54" t="n">
        <v>3</v>
      </c>
      <c r="H132" s="55" t="n">
        <v>338</v>
      </c>
      <c r="I132" s="55" t="n">
        <v>1014</v>
      </c>
      <c r="J132" s="55" t="n">
        <v>606.22</v>
      </c>
      <c r="K132" s="55" t="n">
        <v>0</v>
      </c>
      <c r="L132" s="55" t="n">
        <v>438.54</v>
      </c>
      <c r="M132" s="55" t="n">
        <v>4.9</v>
      </c>
      <c r="N132" s="55" t="n">
        <v>606.22</v>
      </c>
      <c r="O132" s="55" t="n">
        <v>1049.66</v>
      </c>
      <c r="P132" s="55" t="n">
        <v>35.65999999999997</v>
      </c>
      <c r="Q132" s="36" t="inlineStr">
        <is>
          <t>004336</t>
        </is>
      </c>
      <c r="R132" s="36" t="inlineStr">
        <is>
          <t>CAREMARK</t>
        </is>
      </c>
      <c r="S132" s="36" t="inlineStr">
        <is>
          <t>MEDDADV</t>
        </is>
      </c>
      <c r="T132" s="36" t="inlineStr">
        <is>
          <t>RX1110</t>
        </is>
      </c>
    </row>
    <row r="133">
      <c r="A133" s="36" t="inlineStr">
        <is>
          <t>126980</t>
        </is>
      </c>
      <c r="B133" s="52" t="n">
        <v>46032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616.15</v>
      </c>
      <c r="K133" s="55" t="n">
        <v>0</v>
      </c>
      <c r="L133" s="55" t="n">
        <v>438.54</v>
      </c>
      <c r="M133" s="55" t="n">
        <v>0</v>
      </c>
      <c r="N133" s="55" t="n">
        <v>616.15</v>
      </c>
      <c r="O133" s="55" t="n">
        <v>1054.69</v>
      </c>
      <c r="P133" s="55" t="n">
        <v>40.68999999999994</v>
      </c>
      <c r="Q133" s="36" t="inlineStr">
        <is>
          <t>015574</t>
        </is>
      </c>
      <c r="R133" s="36" t="inlineStr">
        <is>
          <t>MEDIMP</t>
        </is>
      </c>
      <c r="S133" s="36" t="inlineStr">
        <is>
          <t>ASPROD1</t>
        </is>
      </c>
      <c r="T133" s="36" t="inlineStr">
        <is>
          <t>VNS01</t>
        </is>
      </c>
    </row>
    <row r="134">
      <c r="A134" s="36" t="inlineStr">
        <is>
          <t>127136</t>
        </is>
      </c>
      <c r="B134" s="52" t="n">
        <v>46031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611.12</v>
      </c>
      <c r="K134" s="55" t="n">
        <v>0</v>
      </c>
      <c r="L134" s="55" t="n">
        <v>438.54</v>
      </c>
      <c r="M134" s="55" t="n">
        <v>0</v>
      </c>
      <c r="N134" s="55" t="n">
        <v>611.12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138051</t>
        </is>
      </c>
      <c r="B135" s="52" t="n">
        <v>46030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606.22</v>
      </c>
      <c r="K135" s="55" t="n">
        <v>0</v>
      </c>
      <c r="L135" s="55" t="n">
        <v>438.54</v>
      </c>
      <c r="M135" s="55" t="n">
        <v>4.9</v>
      </c>
      <c r="N135" s="55" t="n">
        <v>606.22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137894</t>
        </is>
      </c>
      <c r="B136" s="52" t="n">
        <v>46029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90</v>
      </c>
      <c r="G136" s="54" t="n">
        <v>3</v>
      </c>
      <c r="H136" s="55" t="n">
        <v>338</v>
      </c>
      <c r="I136" s="55" t="n">
        <v>1014</v>
      </c>
      <c r="J136" s="55" t="n">
        <v>611.25</v>
      </c>
      <c r="K136" s="55" t="n">
        <v>0</v>
      </c>
      <c r="L136" s="55" t="n">
        <v>438.54</v>
      </c>
      <c r="M136" s="55" t="n">
        <v>4.9</v>
      </c>
      <c r="N136" s="55" t="n">
        <v>611.25</v>
      </c>
      <c r="O136" s="55" t="n">
        <v>1054.69</v>
      </c>
      <c r="P136" s="55" t="n">
        <v>40.68999999999994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inlineStr">
        <is>
          <t>VNS01</t>
        </is>
      </c>
    </row>
    <row r="137">
      <c r="A137" s="36" t="inlineStr">
        <is>
          <t>123052</t>
        </is>
      </c>
      <c r="B137" s="52" t="n">
        <v>46027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30</v>
      </c>
      <c r="G137" s="54" t="n">
        <v>1</v>
      </c>
      <c r="H137" s="55" t="n">
        <v>338</v>
      </c>
      <c r="I137" s="55" t="n">
        <v>338</v>
      </c>
      <c r="J137" s="55" t="n">
        <v>203.58</v>
      </c>
      <c r="K137" s="55" t="n">
        <v>0</v>
      </c>
      <c r="L137" s="55" t="n">
        <v>146.18</v>
      </c>
      <c r="M137" s="55" t="n">
        <v>0</v>
      </c>
      <c r="N137" s="55" t="n">
        <v>203.58</v>
      </c>
      <c r="O137" s="55" t="n">
        <v>349.76</v>
      </c>
      <c r="P137" s="55" t="n">
        <v>11.75999999999999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137418</t>
        </is>
      </c>
      <c r="B138" s="52" t="n">
        <v>46027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137242</t>
        </is>
      </c>
      <c r="B139" s="52" t="n">
        <v>46022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606</v>
      </c>
      <c r="I139" s="55" t="n">
        <v>1818</v>
      </c>
      <c r="J139" s="55" t="n">
        <v>1812.48</v>
      </c>
      <c r="K139" s="55" t="n">
        <v>0</v>
      </c>
      <c r="L139" s="55" t="n">
        <v>438.54</v>
      </c>
      <c r="M139" s="55" t="n">
        <v>0</v>
      </c>
      <c r="N139" s="55" t="n">
        <v>1812.48</v>
      </c>
      <c r="O139" s="55" t="n">
        <v>2251.02</v>
      </c>
      <c r="P139" s="55" t="n">
        <v>433.02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RXCVSD</t>
        </is>
      </c>
    </row>
    <row r="140">
      <c r="A140" s="36" t="inlineStr">
        <is>
          <t>135626</t>
        </is>
      </c>
      <c r="B140" s="52" t="n">
        <v>46065</v>
      </c>
      <c r="C140" s="36" t="inlineStr">
        <is>
          <t>00169633910</t>
        </is>
      </c>
      <c r="D140" s="53" t="inlineStr">
        <is>
          <t>NOVOLOG FLEXPEN 100UNIT/ML INJECTION</t>
        </is>
      </c>
      <c r="E140" s="36" t="n">
        <v>15</v>
      </c>
      <c r="F140" s="54" t="n">
        <v>9</v>
      </c>
      <c r="G140" s="54" t="n">
        <v>0.6</v>
      </c>
      <c r="H140" s="55" t="n">
        <v>135</v>
      </c>
      <c r="I140" s="55" t="n">
        <v>81</v>
      </c>
      <c r="J140" s="55" t="n">
        <v>74.63</v>
      </c>
      <c r="K140" s="55" t="n">
        <v>0</v>
      </c>
      <c r="L140" s="55" t="n">
        <v>3.22</v>
      </c>
      <c r="M140" s="55" t="n">
        <v>4.9</v>
      </c>
      <c r="N140" s="55" t="n">
        <v>74.63</v>
      </c>
      <c r="O140" s="55" t="n">
        <v>82.75</v>
      </c>
      <c r="P140" s="55" t="n">
        <v>1.75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142875</t>
        </is>
      </c>
      <c r="B141" s="52" t="n">
        <v>46064</v>
      </c>
      <c r="C141" s="36" t="inlineStr">
        <is>
          <t>00169633910</t>
        </is>
      </c>
      <c r="D141" s="53" t="inlineStr">
        <is>
          <t>NOVOLOG FLEXPEN 100UNIT/ML INJECTION</t>
        </is>
      </c>
      <c r="E141" s="36" t="n">
        <v>15</v>
      </c>
      <c r="F141" s="54" t="n">
        <v>36</v>
      </c>
      <c r="G141" s="54" t="n">
        <v>2.4</v>
      </c>
      <c r="H141" s="55" t="n">
        <v>135</v>
      </c>
      <c r="I141" s="55" t="n">
        <v>324</v>
      </c>
      <c r="J141" s="55" t="n">
        <v>313.5</v>
      </c>
      <c r="K141" s="55" t="n">
        <v>0</v>
      </c>
      <c r="L141" s="55" t="n">
        <v>12.85</v>
      </c>
      <c r="M141" s="55" t="n">
        <v>0</v>
      </c>
      <c r="N141" s="55" t="n">
        <v>313.5</v>
      </c>
      <c r="O141" s="55" t="n">
        <v>326.35</v>
      </c>
      <c r="P141" s="55" t="n">
        <v>2.350000000000023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RX1110</t>
        </is>
      </c>
    </row>
    <row r="142">
      <c r="A142" s="36" t="inlineStr">
        <is>
          <t>131111</t>
        </is>
      </c>
      <c r="B142" s="52" t="n">
        <v>46058</v>
      </c>
      <c r="C142" s="36" t="inlineStr">
        <is>
          <t>00169633910</t>
        </is>
      </c>
      <c r="D142" s="53" t="inlineStr">
        <is>
          <t>NOVOLOG FLEXPEN 100UNIT/ML INJECTION</t>
        </is>
      </c>
      <c r="E142" s="36" t="n">
        <v>15</v>
      </c>
      <c r="F142" s="54" t="n">
        <v>6</v>
      </c>
      <c r="G142" s="54" t="n">
        <v>0.4</v>
      </c>
      <c r="H142" s="55" t="n">
        <v>135</v>
      </c>
      <c r="I142" s="55" t="n">
        <v>54</v>
      </c>
      <c r="J142" s="55" t="n">
        <v>47.03</v>
      </c>
      <c r="K142" s="55" t="n">
        <v>0</v>
      </c>
      <c r="L142" s="55" t="n">
        <v>2.14</v>
      </c>
      <c r="M142" s="55" t="n">
        <v>4.9</v>
      </c>
      <c r="N142" s="55" t="n">
        <v>47.03</v>
      </c>
      <c r="O142" s="55" t="n">
        <v>54.07</v>
      </c>
      <c r="P142" s="55" t="n">
        <v>0.07000000000000028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RX8585</t>
        </is>
      </c>
    </row>
    <row r="143">
      <c r="A143" s="36" t="inlineStr">
        <is>
          <t>141796</t>
        </is>
      </c>
      <c r="B143" s="52" t="n">
        <v>46057</v>
      </c>
      <c r="C143" s="36" t="inlineStr">
        <is>
          <t>00169633910</t>
        </is>
      </c>
      <c r="D143" s="53" t="inlineStr">
        <is>
          <t>NOVOLOG FLEXPEN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135</v>
      </c>
      <c r="I143" s="55" t="n">
        <v>81</v>
      </c>
      <c r="J143" s="55" t="n">
        <v>73.27</v>
      </c>
      <c r="K143" s="55" t="n">
        <v>0</v>
      </c>
      <c r="L143" s="55" t="n">
        <v>3.22</v>
      </c>
      <c r="M143" s="55" t="n">
        <v>4.9</v>
      </c>
      <c r="N143" s="55" t="n">
        <v>73.27</v>
      </c>
      <c r="O143" s="55" t="n">
        <v>81.39</v>
      </c>
      <c r="P143" s="55" t="n">
        <v>0.3900000000000006</v>
      </c>
      <c r="Q143" s="36" t="inlineStr">
        <is>
          <t>610502</t>
        </is>
      </c>
      <c r="R143" s="36" t="inlineStr">
        <is>
          <t>CAREMARK</t>
        </is>
      </c>
      <c r="S143" s="36" t="inlineStr">
        <is>
          <t>MEDDAET</t>
        </is>
      </c>
      <c r="T143" s="36" t="inlineStr">
        <is>
          <t>RXAETD</t>
        </is>
      </c>
    </row>
    <row r="144">
      <c r="A144" s="36" t="inlineStr">
        <is>
          <t>141516</t>
        </is>
      </c>
      <c r="B144" s="52" t="n">
        <v>46055</v>
      </c>
      <c r="C144" s="36" t="inlineStr">
        <is>
          <t>00169633910</t>
        </is>
      </c>
      <c r="D144" s="53" t="inlineStr">
        <is>
          <t>NOVOLOG FLEXPEN 100UNIT/ML INJECTION</t>
        </is>
      </c>
      <c r="E144" s="36" t="n">
        <v>15</v>
      </c>
      <c r="F144" s="54" t="n">
        <v>3</v>
      </c>
      <c r="G144" s="54" t="n">
        <v>0.2</v>
      </c>
      <c r="H144" s="55" t="n">
        <v>135</v>
      </c>
      <c r="I144" s="55" t="n">
        <v>27</v>
      </c>
      <c r="J144" s="55" t="n">
        <v>26.35</v>
      </c>
      <c r="K144" s="55" t="n">
        <v>0</v>
      </c>
      <c r="L144" s="55" t="n">
        <v>1.07</v>
      </c>
      <c r="M144" s="55" t="n">
        <v>0</v>
      </c>
      <c r="N144" s="55" t="n">
        <v>26.35</v>
      </c>
      <c r="O144" s="55" t="n">
        <v>27.42</v>
      </c>
      <c r="P144" s="55" t="n">
        <v>0.4200000000000017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132804</t>
        </is>
      </c>
      <c r="B145" s="52" t="n">
        <v>46043</v>
      </c>
      <c r="C145" s="36" t="inlineStr">
        <is>
          <t>00169633910</t>
        </is>
      </c>
      <c r="D145" s="53" t="inlineStr">
        <is>
          <t>NOVOLOG FLEXPEN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135</v>
      </c>
      <c r="I145" s="55" t="n">
        <v>27</v>
      </c>
      <c r="J145" s="55" t="n">
        <v>21.45</v>
      </c>
      <c r="K145" s="55" t="n">
        <v>0</v>
      </c>
      <c r="L145" s="55" t="n">
        <v>1.07</v>
      </c>
      <c r="M145" s="55" t="n">
        <v>4.9</v>
      </c>
      <c r="N145" s="55" t="n">
        <v>21.45</v>
      </c>
      <c r="O145" s="55" t="n">
        <v>27.42</v>
      </c>
      <c r="P145" s="55" t="n">
        <v>0.4200000000000017</v>
      </c>
      <c r="Q145" s="36" t="inlineStr">
        <is>
          <t>004336</t>
        </is>
      </c>
      <c r="R145" s="36" t="inlineStr">
        <is>
          <t>CAREMARK</t>
        </is>
      </c>
      <c r="S145" s="36" t="inlineStr">
        <is>
          <t>MEDDADV</t>
        </is>
      </c>
      <c r="T145" s="36" t="inlineStr">
        <is>
          <t>RX1110</t>
        </is>
      </c>
    </row>
    <row r="146">
      <c r="A146" s="36" t="inlineStr">
        <is>
          <t>139987</t>
        </is>
      </c>
      <c r="B146" s="52" t="n">
        <v>46043</v>
      </c>
      <c r="C146" s="36" t="inlineStr">
        <is>
          <t>00169633910</t>
        </is>
      </c>
      <c r="D146" s="53" t="inlineStr">
        <is>
          <t>NOVOLOG FLEXPEN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135</v>
      </c>
      <c r="I146" s="55" t="n">
        <v>81</v>
      </c>
      <c r="J146" s="55" t="n">
        <v>78.12</v>
      </c>
      <c r="K146" s="55" t="n">
        <v>0</v>
      </c>
      <c r="L146" s="55" t="n">
        <v>3.22</v>
      </c>
      <c r="M146" s="55" t="n">
        <v>0</v>
      </c>
      <c r="N146" s="55" t="n">
        <v>78.12</v>
      </c>
      <c r="O146" s="55" t="n">
        <v>81.34</v>
      </c>
      <c r="P146" s="55" t="n">
        <v>0.3400000000000034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135626</t>
        </is>
      </c>
      <c r="B147" s="52" t="n">
        <v>46037</v>
      </c>
      <c r="C147" s="36" t="inlineStr">
        <is>
          <t>00169633910</t>
        </is>
      </c>
      <c r="D147" s="53" t="inlineStr">
        <is>
          <t>NOVOLOG FLEXPEN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135</v>
      </c>
      <c r="I147" s="55" t="n">
        <v>81</v>
      </c>
      <c r="J147" s="55" t="n">
        <v>74.63</v>
      </c>
      <c r="K147" s="55" t="n">
        <v>0</v>
      </c>
      <c r="L147" s="55" t="n">
        <v>3.22</v>
      </c>
      <c r="M147" s="55" t="n">
        <v>4.9</v>
      </c>
      <c r="N147" s="55" t="n">
        <v>74.63</v>
      </c>
      <c r="O147" s="55" t="n">
        <v>82.75</v>
      </c>
      <c r="P147" s="55" t="n">
        <v>1.75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131111</t>
        </is>
      </c>
      <c r="B148" s="52" t="n">
        <v>46030</v>
      </c>
      <c r="C148" s="36" t="inlineStr">
        <is>
          <t>00169633910</t>
        </is>
      </c>
      <c r="D148" s="53" t="inlineStr">
        <is>
          <t>NOVOLOG FLEXPEN 100UNIT/ML INJECTION</t>
        </is>
      </c>
      <c r="E148" s="36" t="n">
        <v>15</v>
      </c>
      <c r="F148" s="54" t="n">
        <v>6</v>
      </c>
      <c r="G148" s="54" t="n">
        <v>0.4</v>
      </c>
      <c r="H148" s="55" t="n">
        <v>135</v>
      </c>
      <c r="I148" s="55" t="n">
        <v>54</v>
      </c>
      <c r="J148" s="55" t="n">
        <v>47.03</v>
      </c>
      <c r="K148" s="55" t="n">
        <v>0</v>
      </c>
      <c r="L148" s="55" t="n">
        <v>2.14</v>
      </c>
      <c r="M148" s="55" t="n">
        <v>4.9</v>
      </c>
      <c r="N148" s="55" t="n">
        <v>47.03</v>
      </c>
      <c r="O148" s="55" t="n">
        <v>54.07</v>
      </c>
      <c r="P148" s="55" t="n">
        <v>0.07000000000000028</v>
      </c>
      <c r="Q148" s="36" t="inlineStr">
        <is>
          <t>004336</t>
        </is>
      </c>
      <c r="R148" s="36" t="inlineStr">
        <is>
          <t>CAREMARK</t>
        </is>
      </c>
      <c r="S148" s="36" t="inlineStr">
        <is>
          <t>MEDDADV</t>
        </is>
      </c>
      <c r="T148" s="36" t="inlineStr">
        <is>
          <t>RX8585</t>
        </is>
      </c>
    </row>
    <row r="149">
      <c r="A149" s="36" t="inlineStr">
        <is>
          <t>137923</t>
        </is>
      </c>
      <c r="B149" s="52" t="n">
        <v>46029</v>
      </c>
      <c r="C149" s="36" t="inlineStr">
        <is>
          <t>00169633910</t>
        </is>
      </c>
      <c r="D149" s="53" t="inlineStr">
        <is>
          <t>NOVOLOG FLEXPEN 100UNIT/ML INJECTION</t>
        </is>
      </c>
      <c r="E149" s="36" t="n">
        <v>15</v>
      </c>
      <c r="F149" s="54" t="n">
        <v>9</v>
      </c>
      <c r="G149" s="54" t="n">
        <v>0.6</v>
      </c>
      <c r="H149" s="55" t="n">
        <v>135</v>
      </c>
      <c r="I149" s="55" t="n">
        <v>81</v>
      </c>
      <c r="J149" s="55" t="n">
        <v>73.27</v>
      </c>
      <c r="K149" s="55" t="n">
        <v>0</v>
      </c>
      <c r="L149" s="55" t="n">
        <v>3.22</v>
      </c>
      <c r="M149" s="55" t="n">
        <v>4.9</v>
      </c>
      <c r="N149" s="55" t="n">
        <v>73.27</v>
      </c>
      <c r="O149" s="55" t="n">
        <v>81.39</v>
      </c>
      <c r="P149" s="55" t="n">
        <v>0.3900000000000006</v>
      </c>
      <c r="Q149" s="36" t="inlineStr">
        <is>
          <t>610502</t>
        </is>
      </c>
      <c r="R149" s="36" t="inlineStr">
        <is>
          <t>CAREMARK</t>
        </is>
      </c>
      <c r="S149" s="36" t="inlineStr">
        <is>
          <t>MEDDAET</t>
        </is>
      </c>
      <c r="T149" s="36" t="inlineStr">
        <is>
          <t>RXAETD</t>
        </is>
      </c>
    </row>
    <row r="150">
      <c r="A150" s="36" t="inlineStr">
        <is>
          <t>141966</t>
        </is>
      </c>
      <c r="B150" s="52" t="n">
        <v>46058</v>
      </c>
      <c r="C150" s="36" t="inlineStr">
        <is>
          <t>50458057830</t>
        </is>
      </c>
      <c r="D150" s="53" t="inlineStr">
        <is>
          <t>XARELTO 15MG TAB</t>
        </is>
      </c>
      <c r="E150" s="36" t="n">
        <v>30</v>
      </c>
      <c r="F150" s="54" t="n">
        <v>90</v>
      </c>
      <c r="G150" s="54" t="n">
        <v>3</v>
      </c>
      <c r="H150" s="55" t="n">
        <v>577</v>
      </c>
      <c r="I150" s="55" t="n">
        <v>1731</v>
      </c>
      <c r="J150" s="55" t="n">
        <v>619.76</v>
      </c>
      <c r="K150" s="55" t="n">
        <v>0</v>
      </c>
      <c r="L150" s="55" t="n">
        <v>1216.7</v>
      </c>
      <c r="M150" s="55" t="n">
        <v>0</v>
      </c>
      <c r="N150" s="55" t="n">
        <v>619.76</v>
      </c>
      <c r="O150" s="55" t="n">
        <v>1836.46</v>
      </c>
      <c r="P150" s="55" t="n">
        <v>105.46</v>
      </c>
      <c r="Q150" s="36" t="inlineStr">
        <is>
          <t>610014</t>
        </is>
      </c>
      <c r="R150" s="36" t="inlineStr">
        <is>
          <t>EXPRESS</t>
        </is>
      </c>
      <c r="S150" s="36" t="inlineStr">
        <is>
          <t>MEDDPRIME</t>
        </is>
      </c>
      <c r="T150" s="36" t="inlineStr">
        <is>
          <t>2FGA</t>
        </is>
      </c>
    </row>
    <row r="151">
      <c r="A151" s="36" t="inlineStr">
        <is>
          <t>139187</t>
        </is>
      </c>
      <c r="B151" s="52" t="n">
        <v>46037</v>
      </c>
      <c r="C151" s="36" t="inlineStr">
        <is>
          <t>50458057830</t>
        </is>
      </c>
      <c r="D151" s="53" t="inlineStr">
        <is>
          <t>XARELTO 15MG TAB</t>
        </is>
      </c>
      <c r="E151" s="36" t="n">
        <v>30</v>
      </c>
      <c r="F151" s="54" t="n">
        <v>90</v>
      </c>
      <c r="G151" s="54" t="n">
        <v>3</v>
      </c>
      <c r="H151" s="55" t="n">
        <v>577</v>
      </c>
      <c r="I151" s="55" t="n">
        <v>1731</v>
      </c>
      <c r="J151" s="55" t="n">
        <v>613.5700000000001</v>
      </c>
      <c r="K151" s="55" t="n">
        <v>0</v>
      </c>
      <c r="L151" s="55" t="n">
        <v>1175.42</v>
      </c>
      <c r="M151" s="55" t="n">
        <v>4.9</v>
      </c>
      <c r="N151" s="55" t="n">
        <v>613.5700000000001</v>
      </c>
      <c r="O151" s="55" t="n">
        <v>1793.89</v>
      </c>
      <c r="P151" s="55" t="n">
        <v>62.89000000000033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138293</t>
        </is>
      </c>
      <c r="B152" s="52" t="n">
        <v>46031</v>
      </c>
      <c r="C152" s="36" t="inlineStr">
        <is>
          <t>50458057830</t>
        </is>
      </c>
      <c r="D152" s="53" t="inlineStr">
        <is>
          <t>XARELTO 15MG TAB</t>
        </is>
      </c>
      <c r="E152" s="36" t="n">
        <v>30</v>
      </c>
      <c r="F152" s="54" t="n">
        <v>90</v>
      </c>
      <c r="G152" s="54" t="n">
        <v>3</v>
      </c>
      <c r="H152" s="55" t="n">
        <v>577</v>
      </c>
      <c r="I152" s="55" t="n">
        <v>1731</v>
      </c>
      <c r="J152" s="55" t="n">
        <v>618.42</v>
      </c>
      <c r="K152" s="55" t="n">
        <v>0</v>
      </c>
      <c r="L152" s="55" t="n">
        <v>1175.42</v>
      </c>
      <c r="M152" s="55" t="n">
        <v>0</v>
      </c>
      <c r="N152" s="55" t="n">
        <v>618.42</v>
      </c>
      <c r="O152" s="55" t="n">
        <v>1793.84</v>
      </c>
      <c r="P152" s="55" t="n">
        <v>62.84000000000015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120707</t>
        </is>
      </c>
      <c r="B153" s="52" t="n">
        <v>46070</v>
      </c>
      <c r="C153" s="36" t="inlineStr">
        <is>
          <t>50458057930</t>
        </is>
      </c>
      <c r="D153" s="53" t="inlineStr">
        <is>
          <t>XARELTO 20MG TAB</t>
        </is>
      </c>
      <c r="E153" s="36" t="n">
        <v>30</v>
      </c>
      <c r="F153" s="54" t="n">
        <v>90</v>
      </c>
      <c r="G153" s="54" t="n">
        <v>3</v>
      </c>
      <c r="H153" s="55" t="n">
        <v>595</v>
      </c>
      <c r="I153" s="55" t="n">
        <v>1785</v>
      </c>
      <c r="J153" s="55" t="n">
        <v>614.04</v>
      </c>
      <c r="K153" s="55" t="n">
        <v>0</v>
      </c>
      <c r="L153" s="55" t="n">
        <v>1216.18</v>
      </c>
      <c r="M153" s="55" t="n">
        <v>4.9</v>
      </c>
      <c r="N153" s="55" t="n">
        <v>614.04</v>
      </c>
      <c r="O153" s="55" t="n">
        <v>1835.12</v>
      </c>
      <c r="P153" s="55" t="n">
        <v>50.12000000000012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119831</t>
        </is>
      </c>
      <c r="B154" s="52" t="n">
        <v>46065</v>
      </c>
      <c r="C154" s="36" t="inlineStr">
        <is>
          <t>50458057930</t>
        </is>
      </c>
      <c r="D154" s="53" t="inlineStr">
        <is>
          <t>XARELTO 20MG TAB</t>
        </is>
      </c>
      <c r="E154" s="36" t="n">
        <v>30</v>
      </c>
      <c r="F154" s="54" t="n">
        <v>90</v>
      </c>
      <c r="G154" s="54" t="n">
        <v>3</v>
      </c>
      <c r="H154" s="55" t="n">
        <v>595</v>
      </c>
      <c r="I154" s="55" t="n">
        <v>1785</v>
      </c>
      <c r="J154" s="55" t="n">
        <v>618.9400000000001</v>
      </c>
      <c r="K154" s="55" t="n">
        <v>0</v>
      </c>
      <c r="L154" s="55" t="n">
        <v>1216.18</v>
      </c>
      <c r="M154" s="55" t="n">
        <v>0</v>
      </c>
      <c r="N154" s="55" t="n">
        <v>618.9400000000001</v>
      </c>
      <c r="O154" s="55" t="n">
        <v>1835.12</v>
      </c>
      <c r="P154" s="55" t="n">
        <v>50.12000000000012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143033</t>
        </is>
      </c>
      <c r="B155" s="52" t="n">
        <v>46065</v>
      </c>
      <c r="C155" s="36" t="inlineStr">
        <is>
          <t>50458057930</t>
        </is>
      </c>
      <c r="D155" s="53" t="inlineStr">
        <is>
          <t>XARELTO 20MG TAB</t>
        </is>
      </c>
      <c r="E155" s="36" t="n">
        <v>30</v>
      </c>
      <c r="F155" s="54" t="n">
        <v>90</v>
      </c>
      <c r="G155" s="54" t="n">
        <v>3</v>
      </c>
      <c r="H155" s="55" t="n">
        <v>595</v>
      </c>
      <c r="I155" s="55" t="n">
        <v>1785</v>
      </c>
      <c r="J155" s="55" t="n">
        <v>620.28</v>
      </c>
      <c r="K155" s="55" t="n">
        <v>0</v>
      </c>
      <c r="L155" s="55" t="n">
        <v>1216.18</v>
      </c>
      <c r="M155" s="55" t="n">
        <v>0</v>
      </c>
      <c r="N155" s="55" t="n">
        <v>620.28</v>
      </c>
      <c r="O155" s="55" t="n">
        <v>1836.46</v>
      </c>
      <c r="P155" s="55" t="n">
        <v>51.46000000000004</v>
      </c>
      <c r="Q155" s="36" t="inlineStr">
        <is>
          <t>610014</t>
        </is>
      </c>
      <c r="R155" s="36" t="inlineStr">
        <is>
          <t>EXPRESS</t>
        </is>
      </c>
      <c r="S155" s="36" t="inlineStr">
        <is>
          <t>MEDDPRIME</t>
        </is>
      </c>
      <c r="T155" s="36" t="inlineStr">
        <is>
          <t>2FFA</t>
        </is>
      </c>
    </row>
    <row r="156">
      <c r="A156" s="36" t="inlineStr">
        <is>
          <t>128903</t>
        </is>
      </c>
      <c r="B156" s="52" t="n">
        <v>46045</v>
      </c>
      <c r="C156" s="36" t="inlineStr">
        <is>
          <t>50458057930</t>
        </is>
      </c>
      <c r="D156" s="53" t="inlineStr">
        <is>
          <t>XARELTO 20MG TAB</t>
        </is>
      </c>
      <c r="E156" s="36" t="n">
        <v>30</v>
      </c>
      <c r="F156" s="54" t="n">
        <v>90</v>
      </c>
      <c r="G156" s="54" t="n">
        <v>3</v>
      </c>
      <c r="H156" s="55" t="n">
        <v>577</v>
      </c>
      <c r="I156" s="55" t="n">
        <v>1731</v>
      </c>
      <c r="J156" s="55" t="n">
        <v>464.12</v>
      </c>
      <c r="K156" s="55" t="n">
        <v>0</v>
      </c>
      <c r="L156" s="55" t="n">
        <v>1174.9</v>
      </c>
      <c r="M156" s="55" t="n">
        <v>154.82</v>
      </c>
      <c r="N156" s="55" t="n">
        <v>464.12</v>
      </c>
      <c r="O156" s="55" t="n">
        <v>1793.84</v>
      </c>
      <c r="P156" s="55" t="n">
        <v>62.83999999999992</v>
      </c>
      <c r="Q156" s="36" t="inlineStr">
        <is>
          <t>004336</t>
        </is>
      </c>
      <c r="R156" s="36" t="inlineStr">
        <is>
          <t>CAREMARK</t>
        </is>
      </c>
      <c r="S156" s="36" t="inlineStr">
        <is>
          <t>MEDDADV</t>
        </is>
      </c>
      <c r="T156" s="36" t="inlineStr">
        <is>
          <t>RXCVSD</t>
        </is>
      </c>
    </row>
    <row r="157">
      <c r="A157" s="36" t="inlineStr">
        <is>
          <t>139753</t>
        </is>
      </c>
      <c r="B157" s="52" t="n">
        <v>46042</v>
      </c>
      <c r="C157" s="36" t="inlineStr">
        <is>
          <t>50458057930</t>
        </is>
      </c>
      <c r="D157" s="53" t="inlineStr">
        <is>
          <t>XARELTO 20MG TAB</t>
        </is>
      </c>
      <c r="E157" s="36" t="n">
        <v>30</v>
      </c>
      <c r="F157" s="54" t="n">
        <v>90</v>
      </c>
      <c r="G157" s="54" t="n">
        <v>3</v>
      </c>
      <c r="H157" s="55" t="n">
        <v>577</v>
      </c>
      <c r="I157" s="55" t="n">
        <v>1731</v>
      </c>
      <c r="J157" s="55" t="n">
        <v>618.9400000000001</v>
      </c>
      <c r="K157" s="55" t="n">
        <v>0</v>
      </c>
      <c r="L157" s="55" t="n">
        <v>1174.9</v>
      </c>
      <c r="M157" s="55" t="n">
        <v>0</v>
      </c>
      <c r="N157" s="55" t="n">
        <v>618.9400000000001</v>
      </c>
      <c r="O157" s="55" t="n">
        <v>1793.84</v>
      </c>
      <c r="P157" s="55" t="n">
        <v>62.84000000000015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137975</t>
        </is>
      </c>
      <c r="B158" s="52" t="n">
        <v>46029</v>
      </c>
      <c r="C158" s="36" t="inlineStr">
        <is>
          <t>50458057930</t>
        </is>
      </c>
      <c r="D158" s="53" t="inlineStr">
        <is>
          <t>XARELTO 20MG TAB</t>
        </is>
      </c>
      <c r="E158" s="36" t="n">
        <v>30</v>
      </c>
      <c r="F158" s="54" t="n">
        <v>90</v>
      </c>
      <c r="G158" s="54" t="n">
        <v>3</v>
      </c>
      <c r="H158" s="55" t="n">
        <v>577</v>
      </c>
      <c r="I158" s="55" t="n">
        <v>1731</v>
      </c>
      <c r="J158" s="55" t="n">
        <v>618.9400000000001</v>
      </c>
      <c r="K158" s="55" t="n">
        <v>0</v>
      </c>
      <c r="L158" s="55" t="n">
        <v>1174.9</v>
      </c>
      <c r="M158" s="55" t="n">
        <v>0</v>
      </c>
      <c r="N158" s="55" t="n">
        <v>618.9400000000001</v>
      </c>
      <c r="O158" s="55" t="n">
        <v>1793.84</v>
      </c>
      <c r="P158" s="55" t="n">
        <v>62.84000000000015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I159" s="57">
        <f>SUBTOTAL(109,I3:I158)</f>
        <v/>
      </c>
      <c r="J159" s="57">
        <f>SUBTOTAL(109,J3:J158)</f>
        <v/>
      </c>
      <c r="K159" s="57">
        <f>SUBTOTAL(109,K3:K158)</f>
        <v/>
      </c>
      <c r="L159" s="57">
        <f>SUBTOTAL(109,L3:L158)</f>
        <v/>
      </c>
      <c r="M159" s="57">
        <f>SUBTOTAL(109,M3:M158)</f>
        <v/>
      </c>
      <c r="N159" s="57">
        <f>SUBTOTAL(109,N3:N158)</f>
        <v/>
      </c>
      <c r="O159" s="57">
        <f>SUBTOTAL(109,O3:O158)</f>
        <v/>
      </c>
      <c r="P159" s="57">
        <f>SUBTOTAL(109,P3:P158)</f>
        <v/>
      </c>
    </row>
  </sheetData>
  <autoFilter ref="A2:T158"/>
  <mergeCells count="1">
    <mergeCell ref="A1:T1"/>
  </mergeCells>
  <conditionalFormatting sqref="P3:P158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Hil for the date range hh</t>
        </is>
      </c>
    </row>
    <row r="3">
      <c r="A3" s="59" t="inlineStr">
        <is>
          <t>Metric</t>
        </is>
      </c>
      <c r="B3" s="60" t="inlineStr">
        <is>
          <t>ALL_PBM</t>
        </is>
      </c>
      <c r="C3" s="60" t="inlineStr">
        <is>
          <t>ARG/HUM</t>
        </is>
      </c>
      <c r="D3" s="60" t="inlineStr">
        <is>
          <t>CAREMARK</t>
        </is>
      </c>
      <c r="E3" s="60" t="inlineStr">
        <is>
          <t>EXPRESS</t>
        </is>
      </c>
      <c r="F3" s="60" t="inlineStr">
        <is>
          <t>FDS</t>
        </is>
      </c>
      <c r="G3" s="60" t="inlineStr">
        <is>
          <t>MEDIMP</t>
        </is>
      </c>
      <c r="H3" s="60" t="inlineStr">
        <is>
          <t>NYM</t>
        </is>
      </c>
      <c r="I3" s="60" t="inlineStr">
        <is>
          <t>OPTUM</t>
        </is>
      </c>
      <c r="J3" s="60" t="inlineStr">
        <is>
          <t>PRIMECAPRX</t>
        </is>
      </c>
      <c r="K3" s="60" t="inlineStr">
        <is>
          <t>RELAYHLTH</t>
        </is>
      </c>
    </row>
    <row r="4" ht="28" customHeight="1">
      <c r="A4" s="61" t="inlineStr">
        <is>
          <t>Insurance $(BestRX)</t>
        </is>
      </c>
      <c r="B4" s="62">
        <f>SUM('Processed Data'!AK4:AK208)</f>
        <v/>
      </c>
      <c r="C4" s="62">
        <f>SUM('Processed Data'!AL4:AL208)</f>
        <v/>
      </c>
      <c r="D4" s="62">
        <f>SUM('Processed Data'!AM4:AM208)</f>
        <v/>
      </c>
      <c r="E4" s="62">
        <f>SUM('Processed Data'!AN4:AN208)</f>
        <v/>
      </c>
      <c r="F4" s="62">
        <f>SUM('Processed Data'!AO4:AO208)</f>
        <v/>
      </c>
      <c r="G4" s="62">
        <f>SUM('Processed Data'!AP4:AP208)</f>
        <v/>
      </c>
      <c r="H4" s="62">
        <f>SUM('Processed Data'!AQ4:AQ208)</f>
        <v/>
      </c>
      <c r="I4" s="62">
        <f>SUM('Processed Data'!AR4:AR208)</f>
        <v/>
      </c>
      <c r="J4" s="62">
        <f>SUM('Processed Data'!AS4:AS208)</f>
        <v/>
      </c>
      <c r="K4" s="62">
        <f>SUM('Processed Data'!AT4:AT208)</f>
        <v/>
      </c>
    </row>
    <row r="5" ht="28" customHeight="1">
      <c r="A5" s="61" t="inlineStr">
        <is>
          <t>100% $$ Purchased (Kinray)</t>
        </is>
      </c>
      <c r="B5" s="62">
        <f>SUM('Processed Data'!AU4:AU208)</f>
        <v/>
      </c>
      <c r="C5" s="62">
        <f>SUM('Processed Data'!AV4:AV208)</f>
        <v/>
      </c>
      <c r="D5" s="62">
        <f>SUM('Processed Data'!AW4:AW208)</f>
        <v/>
      </c>
      <c r="E5" s="62">
        <f>SUM('Processed Data'!AX4:AX208)</f>
        <v/>
      </c>
      <c r="F5" s="62">
        <f>SUM('Processed Data'!AY4:AY208)</f>
        <v/>
      </c>
      <c r="G5" s="62">
        <f>SUM('Processed Data'!AZ4:AZ208)</f>
        <v/>
      </c>
      <c r="H5" s="62">
        <f>SUM('Processed Data'!BA4:BA208)</f>
        <v/>
      </c>
      <c r="I5" s="62">
        <f>SUM('Processed Data'!BB4:BB208)</f>
        <v/>
      </c>
      <c r="J5" s="62">
        <f>SUM('Processed Data'!BC4:BC208)</f>
        <v/>
      </c>
      <c r="K5" s="62">
        <f>SUM('Processed Data'!BD4:BD208)</f>
        <v/>
      </c>
    </row>
    <row r="6" ht="28" customHeight="1">
      <c r="A6" s="61" t="inlineStr">
        <is>
          <t>Net (Paid − Purchased)</t>
        </is>
      </c>
      <c r="B6" s="62">
        <f>SUM('Processed Data'!BE4:BE208)</f>
        <v/>
      </c>
      <c r="C6" s="62">
        <f>SUM('Processed Data'!BF4:BF208)</f>
        <v/>
      </c>
      <c r="D6" s="62">
        <f>SUM('Processed Data'!BG4:BG208)</f>
        <v/>
      </c>
      <c r="E6" s="62">
        <f>SUM('Processed Data'!BH4:BH208)</f>
        <v/>
      </c>
      <c r="F6" s="62">
        <f>SUM('Processed Data'!BI4:BI208)</f>
        <v/>
      </c>
      <c r="G6" s="62">
        <f>SUM('Processed Data'!BJ4:BJ208)</f>
        <v/>
      </c>
      <c r="H6" s="62">
        <f>SUM('Processed Data'!BK4:BK208)</f>
        <v/>
      </c>
      <c r="I6" s="62">
        <f>SUM('Processed Data'!BL4:BL208)</f>
        <v/>
      </c>
      <c r="J6" s="62">
        <f>SUM('Processed Data'!BM4:BM208)</f>
        <v/>
      </c>
      <c r="K6" s="62">
        <f>SUM('Processed Data'!BN4:BN208)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All'!$R$3:$R$103,MATCH("ALL_PBM_D", 'Needs to be ordered - All'!$Q$3:$Q$103, 0)), 0)</f>
        <v/>
      </c>
      <c r="C7" s="62">
        <f>IFERROR(INDEX('Needs to be ordered - All'!$R$3:$R$103,MATCH("ARG/HUM_D", 'Needs to be ordered - All'!$Q$3:$Q$103, 0)), 0)</f>
        <v/>
      </c>
      <c r="D7" s="62">
        <f>IFERROR(INDEX('Needs to be ordered - All'!$R$3:$R$103,MATCH("CAREMARK_D", 'Needs to be ordered - All'!$Q$3:$Q$103, 0)), 0)</f>
        <v/>
      </c>
      <c r="E7" s="62">
        <f>IFERROR(INDEX('Needs to be ordered - All'!$R$3:$R$103,MATCH("EXPRESS_D", 'Needs to be ordered - All'!$Q$3:$Q$103, 0)), 0)</f>
        <v/>
      </c>
      <c r="F7" s="62">
        <f>IFERROR(INDEX('Needs to be ordered - All'!$R$3:$R$103,MATCH("FDS_D", 'Needs to be ordered - All'!$Q$3:$Q$103, 0)), 0)</f>
        <v/>
      </c>
      <c r="G7" s="62">
        <f>IFERROR(INDEX('Needs to be ordered - All'!$R$3:$R$103,MATCH("MEDIMP_D", 'Needs to be ordered - All'!$Q$3:$Q$103, 0)), 0)</f>
        <v/>
      </c>
      <c r="H7" s="62">
        <f>IFERROR(INDEX('Needs to be ordered - All'!$R$3:$R$103,MATCH("NYM_D", 'Needs to be ordered - All'!$Q$3:$Q$103, 0)), 0)</f>
        <v/>
      </c>
      <c r="I7" s="62">
        <f>IFERROR(INDEX('Needs to be ordered - All'!$R$3:$R$103,MATCH("OPTUM_D", 'Needs to be ordered - All'!$Q$3:$Q$103, 0)), 0)</f>
        <v/>
      </c>
      <c r="J7" s="62">
        <f>IFERROR(INDEX('Needs to be ordered - All'!$R$3:$R$103,MATCH("PRIMECAPRX_D", 'Needs to be ordered - All'!$Q$3:$Q$103, 0)), 0)</f>
        <v/>
      </c>
      <c r="K7" s="62">
        <f>IFERROR(INDEX('Needs to be ordered - All'!$R$3:$R$103,MATCH("RELAYHLTH_D", 'Needs to be ordered - All'!$Q$3:$Q$103,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2026-03-26T18:59:09Z</dcterms:created>
  <dcterms:modified xsi:type="dcterms:W3CDTF">2026-03-26T18:59:23Z</dcterms:modified>
</cp:coreProperties>
</file>