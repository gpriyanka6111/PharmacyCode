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AP" sheetId="1" state="visible" r:id="rId1"/>
    <sheet name="ALL_PBM" sheetId="2" state="visible" r:id="rId2"/>
    <sheet name="ARG_HUM" sheetId="3" state="visible" r:id="rId3"/>
    <sheet name="CVS" sheetId="4" state="visible" r:id="rId4"/>
    <sheet name="ESI" sheetId="5" state="visible" r:id="rId5"/>
    <sheet name="FDS" sheetId="6" state="visible" r:id="rId6"/>
    <sheet name="MEDIMP" sheetId="7" state="visible" r:id="rId7"/>
    <sheet name="NYM" sheetId="8" state="visible" r:id="rId8"/>
    <sheet name="OPTUM" sheetId="9" state="visible" r:id="rId9"/>
    <sheet name="PRIMECAPRX" sheetId="10" state="visible" r:id="rId10"/>
  </sheets>
  <definedNames>
    <definedName name="_xlnm._FilterDatabase" localSheetId="0" hidden="1">'ADAP'!$A$3:$K$4</definedName>
    <definedName name="_xlnm._FilterDatabase" localSheetId="1" hidden="1">'ALL_PBM'!$A$3:$K$220</definedName>
    <definedName name="_xlnm._FilterDatabase" localSheetId="2" hidden="1">'ARG_HUM'!$A$3:$K$10</definedName>
    <definedName name="_xlnm._FilterDatabase" localSheetId="3" hidden="1">'CVS'!$A$3:$K$170</definedName>
    <definedName name="_xlnm._FilterDatabase" localSheetId="4" hidden="1">'ESI'!$A$3:$K$63</definedName>
    <definedName name="_xlnm._FilterDatabase" localSheetId="5" hidden="1">'FDS'!$A$3:$K$5</definedName>
    <definedName name="_xlnm._FilterDatabase" localSheetId="6" hidden="1">'MEDIMP'!$A$3:$K$39</definedName>
    <definedName name="_xlnm._FilterDatabase" localSheetId="7" hidden="1">'NYM'!$A$3:$K$101</definedName>
    <definedName name="_xlnm._FilterDatabase" localSheetId="8" hidden="1">'OPTUM'!$A$3:$K$36</definedName>
    <definedName name="_xlnm._FilterDatabase" localSheetId="9" hidden="1">'PRIMECAPRX'!$A$3:$K$9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-$#,##0.00"/>
  </numFmts>
  <fonts count="4">
    <font>
      <name val="Calibri"/>
      <family val="2"/>
      <color theme="1"/>
      <sz val="11"/>
      <scheme val="minor"/>
    </font>
    <font>
      <b val="1"/>
      <sz val="20"/>
    </font>
    <font>
      <b val="1"/>
      <sz val="15"/>
    </font>
    <font>
      <b val="1"/>
    </font>
  </fonts>
  <fills count="4">
    <fill>
      <patternFill/>
    </fill>
    <fill>
      <patternFill patternType="gray125"/>
    </fill>
    <fill>
      <patternFill patternType="solid">
        <fgColor rgb="00D0CECE"/>
        <bgColor rgb="00D0CE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2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hh — hh — ADAP</t>
        </is>
      </c>
    </row>
    <row r="2" ht="24" customHeight="1">
      <c r="A2" s="2" t="inlineStr">
        <is>
          <t>Overall ADAP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ADAP</t>
        </is>
      </c>
      <c r="G3" s="3" t="inlineStr">
        <is>
          <t>Packages Billed to ADAP</t>
        </is>
      </c>
      <c r="H3" s="3" t="inlineStr">
        <is>
          <t>Total Qty Purchased</t>
        </is>
      </c>
      <c r="I3" s="3" t="inlineStr">
        <is>
          <t>Qty Difference for ADAP</t>
        </is>
      </c>
      <c r="J3" s="3" t="inlineStr">
        <is>
          <t>Actual $ Paid by ADAP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ADAP</t>
        </is>
      </c>
      <c r="C4" s="5" t="inlineStr">
        <is>
          <t>61958250101</t>
        </is>
      </c>
      <c r="D4" s="5" t="inlineStr">
        <is>
          <t>BIKTARVY 50-200-25MG TABLET</t>
        </is>
      </c>
      <c r="E4" s="6" t="inlineStr">
        <is>
          <t>30.0</t>
        </is>
      </c>
      <c r="F4" s="7" t="n">
        <v>150</v>
      </c>
      <c r="G4" s="7" t="n">
        <v>5</v>
      </c>
      <c r="H4" s="7" t="n">
        <v>7</v>
      </c>
      <c r="I4" s="7" t="n">
        <v>2</v>
      </c>
      <c r="J4" s="8" t="n">
        <v>21014</v>
      </c>
      <c r="K4" s="9">
        <f>IFERROR(IF((ROUND((J4/G4)*I4,1))&lt;0,(ROUND((J4/G4)*I4,1)),0),0)</f>
        <v/>
      </c>
    </row>
    <row r="5">
      <c r="E5" s="10" t="inlineStr">
        <is>
          <t>TOTAL</t>
        </is>
      </c>
      <c r="F5" s="11">
        <f>SUM(F4:F4)</f>
        <v/>
      </c>
      <c r="G5" s="11">
        <f>SUM(G4:G4)</f>
        <v/>
      </c>
      <c r="H5" s="11">
        <f>SUM(H4:H4)</f>
        <v/>
      </c>
      <c r="I5" s="11">
        <f>SUM(I4:I4)</f>
        <v/>
      </c>
      <c r="J5" s="12">
        <f>SUM(J4:J4)</f>
        <v/>
      </c>
      <c r="K5" s="13">
        <f>SUM(K4:K4)</f>
        <v/>
      </c>
    </row>
    <row r="6">
      <c r="J6" s="14" t="inlineStr">
        <is>
          <t>Audited Drugs Count</t>
        </is>
      </c>
      <c r="K6" s="15">
        <f>COUNTIF(K4:K4,"&lt;0")</f>
        <v/>
      </c>
    </row>
    <row r="7">
      <c r="J7" s="14" t="inlineStr">
        <is>
          <t>Total Audit Exposure</t>
        </is>
      </c>
      <c r="K7" s="16">
        <f>SUMIF(K4:K4,"&lt;0",K4:K4)</f>
        <v/>
      </c>
    </row>
  </sheetData>
  <autoFilter ref="A3:K4"/>
  <mergeCells count="2">
    <mergeCell ref="A2:K2"/>
    <mergeCell ref="A1:K1"/>
  </mergeCells>
  <conditionalFormatting sqref="E4:K4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hh — hh — ALL_PBM</t>
        </is>
      </c>
    </row>
    <row r="2" ht="24" customHeight="1">
      <c r="A2" s="2" t="inlineStr">
        <is>
          <t>Overall ALL_PBM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ALL_PBM</t>
        </is>
      </c>
      <c r="G3" s="3" t="inlineStr">
        <is>
          <t>Packages Billed to ALL_PBM</t>
        </is>
      </c>
      <c r="H3" s="3" t="inlineStr">
        <is>
          <t>Total Qty Purchased</t>
        </is>
      </c>
      <c r="I3" s="3" t="inlineStr">
        <is>
          <t>Qty Difference for ALL_PBM</t>
        </is>
      </c>
      <c r="J3" s="3" t="inlineStr">
        <is>
          <t>Actual $ Paid by ALL_PBM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ALL_PBM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528</v>
      </c>
      <c r="G4" s="7" t="n">
        <v>176</v>
      </c>
      <c r="H4" s="7" t="n">
        <v>69</v>
      </c>
      <c r="I4" s="7" t="n">
        <v>-107</v>
      </c>
      <c r="J4" s="8" t="n">
        <v>167697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ALL_PBM</t>
        </is>
      </c>
      <c r="C5" s="5" t="inlineStr">
        <is>
          <t>00023916360</t>
        </is>
      </c>
      <c r="D5" s="5" t="inlineStr">
        <is>
          <t xml:space="preserve">RESTASIS 0.05% EMULSION </t>
        </is>
      </c>
      <c r="E5" s="6" t="inlineStr">
        <is>
          <t>60.0</t>
        </is>
      </c>
      <c r="F5" s="7" t="n">
        <v>15840</v>
      </c>
      <c r="G5" s="7" t="n">
        <v>264</v>
      </c>
      <c r="H5" s="7" t="n">
        <v>176</v>
      </c>
      <c r="I5" s="7" t="n">
        <v>-88</v>
      </c>
      <c r="J5" s="8" t="n">
        <v>159248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ALL_PBM</t>
        </is>
      </c>
      <c r="C6" s="5" t="inlineStr">
        <is>
          <t>00597015330</t>
        </is>
      </c>
      <c r="D6" s="5" t="inlineStr">
        <is>
          <t xml:space="preserve">JARDIANCE 25MG TAB </t>
        </is>
      </c>
      <c r="E6" s="6" t="inlineStr">
        <is>
          <t>30.0</t>
        </is>
      </c>
      <c r="F6" s="7" t="n">
        <v>9870</v>
      </c>
      <c r="G6" s="7" t="n">
        <v>329</v>
      </c>
      <c r="H6" s="7" t="n">
        <v>139</v>
      </c>
      <c r="I6" s="7" t="n">
        <v>-190</v>
      </c>
      <c r="J6" s="8" t="n">
        <v>144557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ALL_PBM</t>
        </is>
      </c>
      <c r="C7" s="5" t="inlineStr">
        <is>
          <t>00169413013</t>
        </is>
      </c>
      <c r="D7" s="5" t="inlineStr">
        <is>
          <t>OZEMPIC (1 MG/DOSE) 4MG/3ML INJECTION</t>
        </is>
      </c>
      <c r="E7" s="6" t="inlineStr">
        <is>
          <t>3.0</t>
        </is>
      </c>
      <c r="F7" s="7" t="n">
        <v>369</v>
      </c>
      <c r="G7" s="7" t="n">
        <v>123</v>
      </c>
      <c r="H7" s="7" t="n">
        <v>47</v>
      </c>
      <c r="I7" s="7" t="n">
        <v>-76</v>
      </c>
      <c r="J7" s="8" t="n">
        <v>117365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ALL_PBM</t>
        </is>
      </c>
      <c r="C8" s="5" t="inlineStr">
        <is>
          <t>00597015230</t>
        </is>
      </c>
      <c r="D8" s="5" t="inlineStr">
        <is>
          <t xml:space="preserve">JARDIANCE 10MG TAB </t>
        </is>
      </c>
      <c r="E8" s="6" t="inlineStr">
        <is>
          <t>30.0</t>
        </is>
      </c>
      <c r="F8" s="7" t="n">
        <v>7680</v>
      </c>
      <c r="G8" s="7" t="n">
        <v>256</v>
      </c>
      <c r="H8" s="7" t="n">
        <v>98</v>
      </c>
      <c r="I8" s="7" t="n">
        <v>-158</v>
      </c>
      <c r="J8" s="8" t="n">
        <v>117114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ALL_PBM</t>
        </is>
      </c>
      <c r="C9" s="5" t="inlineStr">
        <is>
          <t>24208091112</t>
        </is>
      </c>
      <c r="D9" s="5" t="inlineStr">
        <is>
          <t>XIIDRA 5 % OPHTHALMIC SOLUTION</t>
        </is>
      </c>
      <c r="E9" s="6" t="inlineStr">
        <is>
          <t>60.0</t>
        </is>
      </c>
      <c r="F9" s="7" t="n">
        <v>7980</v>
      </c>
      <c r="G9" s="7" t="n">
        <v>133</v>
      </c>
      <c r="H9" s="7" t="n">
        <v>84</v>
      </c>
      <c r="I9" s="7" t="n">
        <v>-49</v>
      </c>
      <c r="J9" s="8" t="n">
        <v>91029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ALL_PBM</t>
        </is>
      </c>
      <c r="C10" s="5" t="inlineStr">
        <is>
          <t>00003089421</t>
        </is>
      </c>
      <c r="D10" s="5" t="inlineStr">
        <is>
          <t xml:space="preserve">ELIQUIS 5MG TAB </t>
        </is>
      </c>
      <c r="E10" s="6" t="inlineStr">
        <is>
          <t>60.0</t>
        </is>
      </c>
      <c r="F10" s="7" t="n">
        <v>11220</v>
      </c>
      <c r="G10" s="7" t="n">
        <v>187</v>
      </c>
      <c r="H10" s="7" t="n">
        <v>83</v>
      </c>
      <c r="I10" s="7" t="n">
        <v>-104</v>
      </c>
      <c r="J10" s="8" t="n">
        <v>83776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ALL_PBM</t>
        </is>
      </c>
      <c r="C11" s="5" t="inlineStr">
        <is>
          <t>61958250101</t>
        </is>
      </c>
      <c r="D11" s="5" t="inlineStr">
        <is>
          <t>BIKTARVY 50-200-25MG TABLET</t>
        </is>
      </c>
      <c r="E11" s="6" t="inlineStr">
        <is>
          <t>30.0</t>
        </is>
      </c>
      <c r="F11" s="7" t="n">
        <v>570</v>
      </c>
      <c r="G11" s="7" t="n">
        <v>19</v>
      </c>
      <c r="H11" s="7" t="n">
        <v>7</v>
      </c>
      <c r="I11" s="7" t="n">
        <v>-12</v>
      </c>
      <c r="J11" s="8" t="n">
        <v>76858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ALL_PBM</t>
        </is>
      </c>
      <c r="C12" s="5" t="inlineStr">
        <is>
          <t>00169477212</t>
        </is>
      </c>
      <c r="D12" s="5" t="inlineStr">
        <is>
          <t>OZEMPIC (2 MG/DOSE) 8 MG/3ML PEN-INJECTOR</t>
        </is>
      </c>
      <c r="E12" s="6" t="inlineStr">
        <is>
          <t>3.0</t>
        </is>
      </c>
      <c r="F12" s="7" t="n">
        <v>231</v>
      </c>
      <c r="G12" s="7" t="n">
        <v>77</v>
      </c>
      <c r="H12" s="7" t="n">
        <v>32</v>
      </c>
      <c r="I12" s="7" t="n">
        <v>-45</v>
      </c>
      <c r="J12" s="8" t="n">
        <v>73041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ALL_PBM</t>
        </is>
      </c>
      <c r="C13" s="5" t="inlineStr">
        <is>
          <t>00002149580</t>
        </is>
      </c>
      <c r="D13" s="5" t="inlineStr">
        <is>
          <t>MOUNJARO 5 MG/0.5ML PEN-INJECTOR</t>
        </is>
      </c>
      <c r="E13" s="6" t="inlineStr">
        <is>
          <t>2.0</t>
        </is>
      </c>
      <c r="F13" s="7" t="n">
        <v>136</v>
      </c>
      <c r="G13" s="7" t="n">
        <v>68</v>
      </c>
      <c r="H13" s="7" t="n">
        <v>24</v>
      </c>
      <c r="I13" s="7" t="n">
        <v>-44</v>
      </c>
      <c r="J13" s="8" t="n">
        <v>70362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ALL_PBM</t>
        </is>
      </c>
      <c r="C14" s="5" t="inlineStr">
        <is>
          <t>00310621030</t>
        </is>
      </c>
      <c r="D14" s="5" t="inlineStr">
        <is>
          <t>FARXIGA 10MG TABLET</t>
        </is>
      </c>
      <c r="E14" s="6" t="inlineStr">
        <is>
          <t>30.0</t>
        </is>
      </c>
      <c r="F14" s="7" t="n">
        <v>4080</v>
      </c>
      <c r="G14" s="7" t="n">
        <v>136</v>
      </c>
      <c r="H14" s="7" t="n">
        <v>50</v>
      </c>
      <c r="I14" s="7" t="n">
        <v>-86</v>
      </c>
      <c r="J14" s="8" t="n">
        <v>64334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ALL_PBM</t>
        </is>
      </c>
      <c r="C15" s="5" t="inlineStr">
        <is>
          <t>24208037705</t>
        </is>
      </c>
      <c r="D15" s="5" t="inlineStr">
        <is>
          <t>MIEBO 1.338 GM/ML OPHTHALMIC SOLUTION</t>
        </is>
      </c>
      <c r="E15" s="6" t="inlineStr">
        <is>
          <t>3.0</t>
        </is>
      </c>
      <c r="F15" s="7" t="n">
        <v>237</v>
      </c>
      <c r="G15" s="7" t="n">
        <v>79</v>
      </c>
      <c r="H15" s="7" t="n">
        <v>35</v>
      </c>
      <c r="I15" s="7" t="n">
        <v>-44</v>
      </c>
      <c r="J15" s="8" t="n">
        <v>60716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ALL_PBM</t>
        </is>
      </c>
      <c r="C16" s="5" t="inlineStr">
        <is>
          <t>00002148480</t>
        </is>
      </c>
      <c r="D16" s="5" t="inlineStr">
        <is>
          <t>MOUNJARO 7.5 MG/0.5ML PEN-INJECTOR</t>
        </is>
      </c>
      <c r="E16" s="6" t="inlineStr">
        <is>
          <t>2.0</t>
        </is>
      </c>
      <c r="F16" s="7" t="n">
        <v>88</v>
      </c>
      <c r="G16" s="7" t="n">
        <v>44</v>
      </c>
      <c r="H16" s="7" t="n">
        <v>27</v>
      </c>
      <c r="I16" s="7" t="n">
        <v>-17</v>
      </c>
      <c r="J16" s="8" t="n">
        <v>45354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ALL_PBM</t>
        </is>
      </c>
      <c r="C17" s="5" t="inlineStr">
        <is>
          <t>49702024213</t>
        </is>
      </c>
      <c r="D17" s="5" t="inlineStr">
        <is>
          <t>JULUCA 50-25MG TABLET</t>
        </is>
      </c>
      <c r="E17" s="6" t="inlineStr">
        <is>
          <t>30.0</t>
        </is>
      </c>
      <c r="F17" s="7" t="n">
        <v>330</v>
      </c>
      <c r="G17" s="7" t="n">
        <v>11</v>
      </c>
      <c r="H17" s="7" t="n">
        <v>4</v>
      </c>
      <c r="I17" s="7" t="n">
        <v>-7</v>
      </c>
      <c r="J17" s="8" t="n">
        <v>39088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ALL_PBM</t>
        </is>
      </c>
      <c r="C18" s="5" t="inlineStr">
        <is>
          <t>00193731150</t>
        </is>
      </c>
      <c r="D18" s="5" t="inlineStr">
        <is>
          <t>CONTOUR NEXT TEST  STRIPS</t>
        </is>
      </c>
      <c r="E18" s="6" t="inlineStr">
        <is>
          <t>50.0</t>
        </is>
      </c>
      <c r="F18" s="7" t="n">
        <v>37350</v>
      </c>
      <c r="G18" s="7" t="n">
        <v>747</v>
      </c>
      <c r="H18" s="7" t="n">
        <v>0</v>
      </c>
      <c r="I18" s="7" t="n">
        <v>-747</v>
      </c>
      <c r="J18" s="8" t="n">
        <v>38758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ALL_PBM</t>
        </is>
      </c>
      <c r="C19" s="5" t="inlineStr">
        <is>
          <t>00456120130</t>
        </is>
      </c>
      <c r="D19" s="5" t="inlineStr">
        <is>
          <t>LINZESS 145MCG CAPSULE</t>
        </is>
      </c>
      <c r="E19" s="6" t="inlineStr">
        <is>
          <t>30.0</t>
        </is>
      </c>
      <c r="F19" s="7" t="n">
        <v>2610</v>
      </c>
      <c r="G19" s="7" t="n">
        <v>87</v>
      </c>
      <c r="H19" s="7" t="n">
        <v>30</v>
      </c>
      <c r="I19" s="7" t="n">
        <v>-57</v>
      </c>
      <c r="J19" s="8" t="n">
        <v>37135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ALL_PBM</t>
        </is>
      </c>
      <c r="C20" s="5" t="inlineStr">
        <is>
          <t>00169431430</t>
        </is>
      </c>
      <c r="D20" s="5" t="inlineStr">
        <is>
          <t>RYBELSUS 14MG TABLET</t>
        </is>
      </c>
      <c r="E20" s="6" t="inlineStr">
        <is>
          <t>30.0</t>
        </is>
      </c>
      <c r="F20" s="7" t="n">
        <v>1080</v>
      </c>
      <c r="G20" s="7" t="n">
        <v>36</v>
      </c>
      <c r="H20" s="7" t="n">
        <v>15</v>
      </c>
      <c r="I20" s="7" t="n">
        <v>-21</v>
      </c>
      <c r="J20" s="8" t="n">
        <v>33803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ALL_PBM</t>
        </is>
      </c>
      <c r="C21" s="5" t="inlineStr">
        <is>
          <t>50419054001</t>
        </is>
      </c>
      <c r="D21" s="5" t="inlineStr">
        <is>
          <t>KERENDIA 10 MG TABLET</t>
        </is>
      </c>
      <c r="E21" s="6" t="inlineStr">
        <is>
          <t>30.0</t>
        </is>
      </c>
      <c r="F21" s="7" t="n">
        <v>1530</v>
      </c>
      <c r="G21" s="7" t="n">
        <v>51</v>
      </c>
      <c r="H21" s="7" t="n">
        <v>31</v>
      </c>
      <c r="I21" s="7" t="n">
        <v>-20</v>
      </c>
      <c r="J21" s="8" t="n">
        <v>33375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ALL_PBM</t>
        </is>
      </c>
      <c r="C22" s="5" t="inlineStr">
        <is>
          <t>00006027731</t>
        </is>
      </c>
      <c r="D22" s="5" t="inlineStr">
        <is>
          <t>JANUVIA 100MG TAB</t>
        </is>
      </c>
      <c r="E22" s="6" t="inlineStr">
        <is>
          <t>30.0</t>
        </is>
      </c>
      <c r="F22" s="7" t="n">
        <v>4200</v>
      </c>
      <c r="G22" s="7" t="n">
        <v>140</v>
      </c>
      <c r="H22" s="7" t="n">
        <v>63</v>
      </c>
      <c r="I22" s="7" t="n">
        <v>-77</v>
      </c>
      <c r="J22" s="8" t="n">
        <v>32729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ALL_PBM</t>
        </is>
      </c>
      <c r="C23" s="5" t="inlineStr">
        <is>
          <t>00456120230</t>
        </is>
      </c>
      <c r="D23" s="5" t="inlineStr">
        <is>
          <t xml:space="preserve">LINZESS 290MCG CAP </t>
        </is>
      </c>
      <c r="E23" s="6" t="inlineStr">
        <is>
          <t>30.0</t>
        </is>
      </c>
      <c r="F23" s="7" t="n">
        <v>2250</v>
      </c>
      <c r="G23" s="7" t="n">
        <v>75</v>
      </c>
      <c r="H23" s="7" t="n">
        <v>28</v>
      </c>
      <c r="I23" s="7" t="n">
        <v>-47</v>
      </c>
      <c r="J23" s="8" t="n">
        <v>32617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ALL_PBM</t>
        </is>
      </c>
      <c r="C24" s="5" t="inlineStr">
        <is>
          <t>59676080030</t>
        </is>
      </c>
      <c r="D24" s="5" t="inlineStr">
        <is>
          <t>SYMTUZA 800-150-200-10MG TABLET</t>
        </is>
      </c>
      <c r="E24" s="6" t="inlineStr">
        <is>
          <t>30.0</t>
        </is>
      </c>
      <c r="F24" s="7" t="n">
        <v>210</v>
      </c>
      <c r="G24" s="7" t="n">
        <v>7</v>
      </c>
      <c r="H24" s="7" t="n">
        <v>3</v>
      </c>
      <c r="I24" s="7" t="n">
        <v>-4</v>
      </c>
      <c r="J24" s="8" t="n">
        <v>31392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ALL_PBM</t>
        </is>
      </c>
      <c r="C25" s="5" t="inlineStr">
        <is>
          <t>00002147180</t>
        </is>
      </c>
      <c r="D25" s="5" t="inlineStr">
        <is>
          <t>MOUNJARO 10 MG/0.5ML PEN-INJECTOR</t>
        </is>
      </c>
      <c r="E25" s="6" t="inlineStr">
        <is>
          <t>2.0</t>
        </is>
      </c>
      <c r="F25" s="7" t="n">
        <v>58</v>
      </c>
      <c r="G25" s="7" t="n">
        <v>29</v>
      </c>
      <c r="H25" s="7" t="n">
        <v>10</v>
      </c>
      <c r="I25" s="7" t="n">
        <v>-19</v>
      </c>
      <c r="J25" s="8" t="n">
        <v>29985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ALL_PBM</t>
        </is>
      </c>
      <c r="C26" s="5" t="inlineStr">
        <is>
          <t>00002771559</t>
        </is>
      </c>
      <c r="D26" s="5" t="inlineStr">
        <is>
          <t>BASAGLAR KWIKPEN 100UNIT/ML INJECTION</t>
        </is>
      </c>
      <c r="E26" s="6" t="inlineStr">
        <is>
          <t>15.0</t>
        </is>
      </c>
      <c r="F26" s="7" t="n">
        <v>1461</v>
      </c>
      <c r="G26" s="7" t="n">
        <v>97.40000000000001</v>
      </c>
      <c r="H26" s="7" t="n">
        <v>45</v>
      </c>
      <c r="I26" s="7" t="n">
        <v>-52.40000000000001</v>
      </c>
      <c r="J26" s="8" t="n">
        <v>29768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ALL_PBM</t>
        </is>
      </c>
      <c r="C27" s="5" t="inlineStr">
        <is>
          <t>00002143380</t>
        </is>
      </c>
      <c r="D27" s="5" t="inlineStr">
        <is>
          <t>TRULICITY 0.75MG/0.5ML INJECTION</t>
        </is>
      </c>
      <c r="E27" s="6" t="inlineStr">
        <is>
          <t>2.0</t>
        </is>
      </c>
      <c r="F27" s="7" t="n">
        <v>60</v>
      </c>
      <c r="G27" s="7" t="n">
        <v>30</v>
      </c>
      <c r="H27" s="7" t="n">
        <v>23</v>
      </c>
      <c r="I27" s="7" t="n">
        <v>-7</v>
      </c>
      <c r="J27" s="8" t="n">
        <v>28431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ALL_PBM</t>
        </is>
      </c>
      <c r="C28" s="5" t="inlineStr">
        <is>
          <t>00006057761</t>
        </is>
      </c>
      <c r="D28" s="5" t="inlineStr">
        <is>
          <t>JANUMET 50-1000MG TABLET</t>
        </is>
      </c>
      <c r="E28" s="6" t="inlineStr">
        <is>
          <t>60.0</t>
        </is>
      </c>
      <c r="F28" s="7" t="n">
        <v>5400</v>
      </c>
      <c r="G28" s="7" t="n">
        <v>90</v>
      </c>
      <c r="H28" s="7" t="n">
        <v>61</v>
      </c>
      <c r="I28" s="7" t="n">
        <v>-29</v>
      </c>
      <c r="J28" s="8" t="n">
        <v>27782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ALL_PBM</t>
        </is>
      </c>
      <c r="C29" s="5" t="inlineStr">
        <is>
          <t>00169430330</t>
        </is>
      </c>
      <c r="D29" s="5" t="inlineStr">
        <is>
          <t>RYBELSUS 3MG TABLET</t>
        </is>
      </c>
      <c r="E29" s="6" t="inlineStr">
        <is>
          <t>30.0</t>
        </is>
      </c>
      <c r="F29" s="7" t="n">
        <v>810</v>
      </c>
      <c r="G29" s="7" t="n">
        <v>27</v>
      </c>
      <c r="H29" s="7" t="n">
        <v>0</v>
      </c>
      <c r="I29" s="7" t="n">
        <v>-27</v>
      </c>
      <c r="J29" s="8" t="n">
        <v>25551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ALL_PBM</t>
        </is>
      </c>
      <c r="C30" s="5" t="inlineStr">
        <is>
          <t>00169430730</t>
        </is>
      </c>
      <c r="D30" s="5" t="inlineStr">
        <is>
          <t>RYBELSUS 7MG TABLET</t>
        </is>
      </c>
      <c r="E30" s="6" t="inlineStr">
        <is>
          <t>30.0</t>
        </is>
      </c>
      <c r="F30" s="7" t="n">
        <v>810</v>
      </c>
      <c r="G30" s="7" t="n">
        <v>27</v>
      </c>
      <c r="H30" s="7" t="n">
        <v>7</v>
      </c>
      <c r="I30" s="7" t="n">
        <v>-20</v>
      </c>
      <c r="J30" s="8" t="n">
        <v>25109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ALL_PBM</t>
        </is>
      </c>
      <c r="C31" s="5" t="inlineStr">
        <is>
          <t>61874011530</t>
        </is>
      </c>
      <c r="D31" s="5" t="inlineStr">
        <is>
          <t>VRAYLAR 1.5MG CAPSULE</t>
        </is>
      </c>
      <c r="E31" s="6" t="inlineStr">
        <is>
          <t>30.0</t>
        </is>
      </c>
      <c r="F31" s="7" t="n">
        <v>510</v>
      </c>
      <c r="G31" s="7" t="n">
        <v>17</v>
      </c>
      <c r="H31" s="7" t="n">
        <v>7</v>
      </c>
      <c r="I31" s="7" t="n">
        <v>-10</v>
      </c>
      <c r="J31" s="8" t="n">
        <v>25076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ALL_PBM</t>
        </is>
      </c>
      <c r="C32" s="5" t="inlineStr">
        <is>
          <t>00173088710</t>
        </is>
      </c>
      <c r="D32" s="5" t="inlineStr">
        <is>
          <t>TRELEGY ELLIPTA 100-62.5-25MCG/INH AEROSOL</t>
        </is>
      </c>
      <c r="E32" s="6" t="inlineStr">
        <is>
          <t>60.0</t>
        </is>
      </c>
      <c r="F32" s="7" t="n">
        <v>2340</v>
      </c>
      <c r="G32" s="7" t="n">
        <v>39</v>
      </c>
      <c r="H32" s="7" t="n">
        <v>6</v>
      </c>
      <c r="I32" s="7" t="n">
        <v>-33</v>
      </c>
      <c r="J32" s="8" t="n">
        <v>25034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ALL_PBM</t>
        </is>
      </c>
      <c r="C33" s="5" t="inlineStr">
        <is>
          <t>00310111030</t>
        </is>
      </c>
      <c r="D33" s="5" t="inlineStr">
        <is>
          <t>LOKELMA 10GM PACK</t>
        </is>
      </c>
      <c r="E33" s="6" t="inlineStr">
        <is>
          <t>30.0</t>
        </is>
      </c>
      <c r="F33" s="7" t="n">
        <v>900</v>
      </c>
      <c r="G33" s="7" t="n">
        <v>30</v>
      </c>
      <c r="H33" s="7" t="n">
        <v>12</v>
      </c>
      <c r="I33" s="7" t="n">
        <v>-18</v>
      </c>
      <c r="J33" s="8" t="n">
        <v>24913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ALL_PBM</t>
        </is>
      </c>
      <c r="C34" s="5" t="inlineStr">
        <is>
          <t>00023320508</t>
        </is>
      </c>
      <c r="D34" s="5" t="inlineStr">
        <is>
          <t>LUMIGAN 0.01% SOLUTION</t>
        </is>
      </c>
      <c r="E34" s="6" t="inlineStr">
        <is>
          <t>7.5</t>
        </is>
      </c>
      <c r="F34" s="7" t="n">
        <v>210</v>
      </c>
      <c r="G34" s="7" t="n">
        <v>28</v>
      </c>
      <c r="H34" s="7" t="n">
        <v>10</v>
      </c>
      <c r="I34" s="7" t="n">
        <v>-18</v>
      </c>
      <c r="J34" s="8" t="n">
        <v>21191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ALL_PBM</t>
        </is>
      </c>
      <c r="C35" s="5" t="inlineStr">
        <is>
          <t>00003089321</t>
        </is>
      </c>
      <c r="D35" s="5" t="inlineStr">
        <is>
          <t xml:space="preserve">ELIQUIS 2.5MG TAB </t>
        </is>
      </c>
      <c r="E35" s="6" t="inlineStr">
        <is>
          <t>60.0</t>
        </is>
      </c>
      <c r="F35" s="7" t="n">
        <v>2580</v>
      </c>
      <c r="G35" s="7" t="n">
        <v>43</v>
      </c>
      <c r="H35" s="7" t="n">
        <v>30</v>
      </c>
      <c r="I35" s="7" t="n">
        <v>-13</v>
      </c>
      <c r="J35" s="8" t="n">
        <v>20774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ALL_PBM</t>
        </is>
      </c>
      <c r="C36" s="5" t="inlineStr">
        <is>
          <t>00002146080</t>
        </is>
      </c>
      <c r="D36" s="5" t="inlineStr">
        <is>
          <t>MOUNJARO 12.5 MG/0.5ML PEN-INJECTOR</t>
        </is>
      </c>
      <c r="E36" s="6" t="inlineStr">
        <is>
          <t>2.0</t>
        </is>
      </c>
      <c r="F36" s="7" t="n">
        <v>40</v>
      </c>
      <c r="G36" s="7" t="n">
        <v>20</v>
      </c>
      <c r="H36" s="7" t="n">
        <v>9</v>
      </c>
      <c r="I36" s="7" t="n">
        <v>-11</v>
      </c>
      <c r="J36" s="8" t="n">
        <v>20698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ALL_PBM</t>
        </is>
      </c>
      <c r="C37" s="5" t="inlineStr">
        <is>
          <t>00002223680</t>
        </is>
      </c>
      <c r="D37" s="5" t="inlineStr">
        <is>
          <t>TRULICITY 3MG/0.5ML INJECTION</t>
        </is>
      </c>
      <c r="E37" s="6" t="inlineStr">
        <is>
          <t>2.0</t>
        </is>
      </c>
      <c r="F37" s="7" t="n">
        <v>44</v>
      </c>
      <c r="G37" s="7" t="n">
        <v>22</v>
      </c>
      <c r="H37" s="7" t="n">
        <v>9</v>
      </c>
      <c r="I37" s="7" t="n">
        <v>-13</v>
      </c>
      <c r="J37" s="8" t="n">
        <v>20513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ALL_PBM</t>
        </is>
      </c>
      <c r="C38" s="5" t="inlineStr">
        <is>
          <t>50458057930</t>
        </is>
      </c>
      <c r="D38" s="5" t="inlineStr">
        <is>
          <t>XARELTO 20MG TAB</t>
        </is>
      </c>
      <c r="E38" s="6" t="inlineStr">
        <is>
          <t>30.0</t>
        </is>
      </c>
      <c r="F38" s="7" t="n">
        <v>1410</v>
      </c>
      <c r="G38" s="7" t="n">
        <v>47</v>
      </c>
      <c r="H38" s="7" t="n">
        <v>23</v>
      </c>
      <c r="I38" s="7" t="n">
        <v>-24</v>
      </c>
      <c r="J38" s="8" t="n">
        <v>19869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ALL_PBM</t>
        </is>
      </c>
      <c r="C39" s="5" t="inlineStr">
        <is>
          <t>73336007530</t>
        </is>
      </c>
      <c r="D39" s="5" t="inlineStr">
        <is>
          <t>GEMTESA 75MG TABLET</t>
        </is>
      </c>
      <c r="E39" s="6" t="inlineStr">
        <is>
          <t>30.0</t>
        </is>
      </c>
      <c r="F39" s="7" t="n">
        <v>1230</v>
      </c>
      <c r="G39" s="7" t="n">
        <v>41</v>
      </c>
      <c r="H39" s="7" t="n">
        <v>18</v>
      </c>
      <c r="I39" s="7" t="n">
        <v>-23</v>
      </c>
      <c r="J39" s="8" t="n">
        <v>19559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ALL_PBM</t>
        </is>
      </c>
      <c r="C40" s="5" t="inlineStr">
        <is>
          <t>00002318280</t>
        </is>
      </c>
      <c r="D40" s="5" t="inlineStr">
        <is>
          <t>TRULICITY 4.5 MG/0.5ML SOLUTION</t>
        </is>
      </c>
      <c r="E40" s="6" t="inlineStr">
        <is>
          <t>2.0</t>
        </is>
      </c>
      <c r="F40" s="7" t="n">
        <v>42</v>
      </c>
      <c r="G40" s="7" t="n">
        <v>21</v>
      </c>
      <c r="H40" s="7" t="n">
        <v>10</v>
      </c>
      <c r="I40" s="7" t="n">
        <v>-11</v>
      </c>
      <c r="J40" s="8" t="n">
        <v>19264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ALL_PBM</t>
        </is>
      </c>
      <c r="C41" s="5" t="inlineStr">
        <is>
          <t>00310461612</t>
        </is>
      </c>
      <c r="D41" s="5" t="inlineStr">
        <is>
          <t>BREZTRI AEROSPHERE 160-9-4.8 MCG/ACT INHALATION AEROSOL</t>
        </is>
      </c>
      <c r="E41" s="6" t="inlineStr">
        <is>
          <t>10.7</t>
        </is>
      </c>
      <c r="F41" s="7" t="n">
        <v>299.6</v>
      </c>
      <c r="G41" s="7" t="n">
        <v>28</v>
      </c>
      <c r="H41" s="7" t="n">
        <v>8</v>
      </c>
      <c r="I41" s="7" t="n">
        <v>-20</v>
      </c>
      <c r="J41" s="8" t="n">
        <v>18162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ALL_PBM</t>
        </is>
      </c>
      <c r="C42" s="5" t="inlineStr">
        <is>
          <t>00456120330</t>
        </is>
      </c>
      <c r="D42" s="5" t="inlineStr">
        <is>
          <t>LINZESS 72 MCG ORAL CAPSULE</t>
        </is>
      </c>
      <c r="E42" s="6" t="inlineStr">
        <is>
          <t>30.0</t>
        </is>
      </c>
      <c r="F42" s="7" t="n">
        <v>1230</v>
      </c>
      <c r="G42" s="7" t="n">
        <v>41</v>
      </c>
      <c r="H42" s="7" t="n">
        <v>14</v>
      </c>
      <c r="I42" s="7" t="n">
        <v>-27</v>
      </c>
      <c r="J42" s="8" t="n">
        <v>17946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ALL_PBM</t>
        </is>
      </c>
      <c r="C43" s="5" t="inlineStr">
        <is>
          <t>00002150680</t>
        </is>
      </c>
      <c r="D43" s="5" t="inlineStr">
        <is>
          <t>MOUNJARO 2.5 MG/0.5ML PEN-INJECTOR</t>
        </is>
      </c>
      <c r="E43" s="6" t="inlineStr">
        <is>
          <t>2.0</t>
        </is>
      </c>
      <c r="F43" s="7" t="n">
        <v>34</v>
      </c>
      <c r="G43" s="7" t="n">
        <v>17</v>
      </c>
      <c r="H43" s="7" t="n">
        <v>4</v>
      </c>
      <c r="I43" s="7" t="n">
        <v>-13</v>
      </c>
      <c r="J43" s="8" t="n">
        <v>17565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ALL_PBM</t>
        </is>
      </c>
      <c r="C44" s="5" t="inlineStr">
        <is>
          <t>00006011231</t>
        </is>
      </c>
      <c r="D44" s="5" t="inlineStr">
        <is>
          <t>JANUVIA 50MG TABLET</t>
        </is>
      </c>
      <c r="E44" s="6" t="inlineStr">
        <is>
          <t>30.0</t>
        </is>
      </c>
      <c r="F44" s="7" t="n">
        <v>2100</v>
      </c>
      <c r="G44" s="7" t="n">
        <v>70</v>
      </c>
      <c r="H44" s="7" t="n">
        <v>35</v>
      </c>
      <c r="I44" s="7" t="n">
        <v>-35</v>
      </c>
      <c r="J44" s="8" t="n">
        <v>16534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ALL_PBM</t>
        </is>
      </c>
      <c r="C45" s="5" t="inlineStr">
        <is>
          <t>00002143480</t>
        </is>
      </c>
      <c r="D45" s="5" t="inlineStr">
        <is>
          <t>TRULICITY 1.5MG/0.5ML INJECTION</t>
        </is>
      </c>
      <c r="E45" s="6" t="inlineStr">
        <is>
          <t>2.0</t>
        </is>
      </c>
      <c r="F45" s="7" t="n">
        <v>34</v>
      </c>
      <c r="G45" s="7" t="n">
        <v>17</v>
      </c>
      <c r="H45" s="7" t="n">
        <v>6</v>
      </c>
      <c r="I45" s="7" t="n">
        <v>-11</v>
      </c>
      <c r="J45" s="8" t="n">
        <v>16302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ALL_PBM</t>
        </is>
      </c>
      <c r="C46" s="5" t="inlineStr">
        <is>
          <t>00597014030</t>
        </is>
      </c>
      <c r="D46" s="5" t="inlineStr">
        <is>
          <t xml:space="preserve">TRADJENTA 5MG TAB </t>
        </is>
      </c>
      <c r="E46" s="6" t="inlineStr">
        <is>
          <t>30.0</t>
        </is>
      </c>
      <c r="F46" s="7" t="n">
        <v>990</v>
      </c>
      <c r="G46" s="7" t="n">
        <v>33</v>
      </c>
      <c r="H46" s="7" t="n">
        <v>25</v>
      </c>
      <c r="I46" s="7" t="n">
        <v>-8</v>
      </c>
      <c r="J46" s="8" t="n">
        <v>16112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ALL_PBM</t>
        </is>
      </c>
      <c r="C47" s="5" t="inlineStr">
        <is>
          <t>72618300002</t>
        </is>
      </c>
      <c r="D47" s="5" t="inlineStr">
        <is>
          <t>NURTEC 75MG TABLET DISINTEGRATING</t>
        </is>
      </c>
      <c r="E47" s="6" t="inlineStr">
        <is>
          <t>8.0</t>
        </is>
      </c>
      <c r="F47" s="7" t="n">
        <v>128</v>
      </c>
      <c r="G47" s="7" t="n">
        <v>16</v>
      </c>
      <c r="H47" s="7" t="n">
        <v>6</v>
      </c>
      <c r="I47" s="7" t="n">
        <v>-10</v>
      </c>
      <c r="J47" s="8" t="n">
        <v>16054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ALL_PBM</t>
        </is>
      </c>
      <c r="C48" s="5" t="inlineStr">
        <is>
          <t>49702024613</t>
        </is>
      </c>
      <c r="D48" s="5" t="inlineStr">
        <is>
          <t>DOVATO 50-300 MG ORAL TABLET</t>
        </is>
      </c>
      <c r="E48" s="6" t="inlineStr">
        <is>
          <t>30.0</t>
        </is>
      </c>
      <c r="F48" s="7" t="n">
        <v>150</v>
      </c>
      <c r="G48" s="7" t="n">
        <v>5</v>
      </c>
      <c r="H48" s="7" t="n">
        <v>3</v>
      </c>
      <c r="I48" s="7" t="n">
        <v>-2</v>
      </c>
      <c r="J48" s="8" t="n">
        <v>14933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ALL_PBM</t>
        </is>
      </c>
      <c r="C49" s="5" t="inlineStr">
        <is>
          <t>50242014301</t>
        </is>
      </c>
      <c r="D49" s="5" t="inlineStr">
        <is>
          <t>ACTEMRA ACTPEN 162 MG/0.9ML SUBCUTANEOUS SOLUTION AUTO-INJECTOR</t>
        </is>
      </c>
      <c r="E49" s="6" t="inlineStr">
        <is>
          <t>0.9</t>
        </is>
      </c>
      <c r="F49" s="7" t="n">
        <v>10.8</v>
      </c>
      <c r="G49" s="7" t="n">
        <v>12</v>
      </c>
      <c r="H49" s="7" t="n">
        <v>6</v>
      </c>
      <c r="I49" s="7" t="n">
        <v>-6</v>
      </c>
      <c r="J49" s="8" t="n">
        <v>13892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ALL_PBM</t>
        </is>
      </c>
      <c r="C50" s="5" t="inlineStr">
        <is>
          <t>00002145780</t>
        </is>
      </c>
      <c r="D50" s="5" t="inlineStr">
        <is>
          <t>MOUNJARO 15 MG/0.5ML PEN-INJECTOR</t>
        </is>
      </c>
      <c r="E50" s="6" t="inlineStr">
        <is>
          <t>2.0</t>
        </is>
      </c>
      <c r="F50" s="7" t="n">
        <v>26</v>
      </c>
      <c r="G50" s="7" t="n">
        <v>13</v>
      </c>
      <c r="H50" s="7" t="n">
        <v>8</v>
      </c>
      <c r="I50" s="7" t="n">
        <v>-5</v>
      </c>
      <c r="J50" s="8" t="n">
        <v>13638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ALL_PBM</t>
        </is>
      </c>
      <c r="C51" s="5" t="inlineStr">
        <is>
          <t>00469260230</t>
        </is>
      </c>
      <c r="D51" s="5" t="inlineStr">
        <is>
          <t>MYRBETRIQ 50MG TABLET</t>
        </is>
      </c>
      <c r="E51" s="6" t="inlineStr">
        <is>
          <t>30.0</t>
        </is>
      </c>
      <c r="F51" s="7" t="n">
        <v>900</v>
      </c>
      <c r="G51" s="7" t="n">
        <v>30</v>
      </c>
      <c r="H51" s="7" t="n">
        <v>9</v>
      </c>
      <c r="I51" s="7" t="n">
        <v>-21</v>
      </c>
      <c r="J51" s="8" t="n">
        <v>13228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ALL_PBM</t>
        </is>
      </c>
      <c r="C52" s="5" t="inlineStr">
        <is>
          <t>00173089310</t>
        </is>
      </c>
      <c r="D52" s="5" t="inlineStr">
        <is>
          <t>TRELEGY ELLIPTA 200-62.5-25 MCG/ACT INHALATION AER</t>
        </is>
      </c>
      <c r="E52" s="6" t="inlineStr">
        <is>
          <t>60.0</t>
        </is>
      </c>
      <c r="F52" s="7" t="n">
        <v>1200</v>
      </c>
      <c r="G52" s="7" t="n">
        <v>20</v>
      </c>
      <c r="H52" s="7" t="n">
        <v>6</v>
      </c>
      <c r="I52" s="7" t="n">
        <v>-14</v>
      </c>
      <c r="J52" s="8" t="n">
        <v>12944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ALL_PBM</t>
        </is>
      </c>
      <c r="C53" s="5" t="inlineStr">
        <is>
          <t>00310620530</t>
        </is>
      </c>
      <c r="D53" s="5" t="inlineStr">
        <is>
          <t>FARXIGA 5MG TABLET</t>
        </is>
      </c>
      <c r="E53" s="6" t="inlineStr">
        <is>
          <t>30.0</t>
        </is>
      </c>
      <c r="F53" s="7" t="n">
        <v>750</v>
      </c>
      <c r="G53" s="7" t="n">
        <v>25</v>
      </c>
      <c r="H53" s="7" t="n">
        <v>13</v>
      </c>
      <c r="I53" s="7" t="n">
        <v>-12</v>
      </c>
      <c r="J53" s="8" t="n">
        <v>12461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ALL_PBM</t>
        </is>
      </c>
      <c r="C54" s="5" t="inlineStr">
        <is>
          <t>72511039302</t>
        </is>
      </c>
      <c r="D54" s="5" t="inlineStr">
        <is>
          <t>REPATHA SURECLICK 140 MG/ML SUBCUTANEOUS SOLUTION AUTO-INJECTOR</t>
        </is>
      </c>
      <c r="E54" s="6" t="inlineStr">
        <is>
          <t>2.0</t>
        </is>
      </c>
      <c r="F54" s="7" t="n">
        <v>44</v>
      </c>
      <c r="G54" s="7" t="n">
        <v>22</v>
      </c>
      <c r="H54" s="7" t="n">
        <v>11</v>
      </c>
      <c r="I54" s="7" t="n">
        <v>-11</v>
      </c>
      <c r="J54" s="8" t="n">
        <v>11932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ALL_PBM</t>
        </is>
      </c>
      <c r="C55" s="5" t="inlineStr">
        <is>
          <t>00186037020</t>
        </is>
      </c>
      <c r="D55" s="5" t="inlineStr">
        <is>
          <t>SYMBICORT 160-4.5MCG/ACT AEROSOL</t>
        </is>
      </c>
      <c r="E55" s="6" t="inlineStr">
        <is>
          <t>10.2</t>
        </is>
      </c>
      <c r="F55" s="7" t="n">
        <v>520.2</v>
      </c>
      <c r="G55" s="7" t="n">
        <v>51.00000000000001</v>
      </c>
      <c r="H55" s="7" t="n">
        <v>15</v>
      </c>
      <c r="I55" s="7" t="n">
        <v>-36.00000000000001</v>
      </c>
      <c r="J55" s="8" t="n">
        <v>11878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ALL_PBM</t>
        </is>
      </c>
      <c r="C56" s="5" t="inlineStr">
        <is>
          <t>08627007701</t>
        </is>
      </c>
      <c r="D56" s="5" t="inlineStr">
        <is>
          <t>DEXCOM G7 SENSOR</t>
        </is>
      </c>
      <c r="E56" s="6" t="inlineStr">
        <is>
          <t>1.0</t>
        </is>
      </c>
      <c r="F56" s="7" t="n">
        <v>93</v>
      </c>
      <c r="G56" s="7" t="n">
        <v>93</v>
      </c>
      <c r="H56" s="7" t="n">
        <v>32</v>
      </c>
      <c r="I56" s="7" t="n">
        <v>-61</v>
      </c>
      <c r="J56" s="8" t="n">
        <v>11670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ALL_PBM</t>
        </is>
      </c>
      <c r="C57" s="5" t="inlineStr">
        <is>
          <t>00310110530</t>
        </is>
      </c>
      <c r="D57" s="5" t="inlineStr">
        <is>
          <t>LOKELMA 5GM PACK</t>
        </is>
      </c>
      <c r="E57" s="6" t="inlineStr">
        <is>
          <t>30.0</t>
        </is>
      </c>
      <c r="F57" s="7" t="n">
        <v>390</v>
      </c>
      <c r="G57" s="7" t="n">
        <v>13</v>
      </c>
      <c r="H57" s="7" t="n">
        <v>7</v>
      </c>
      <c r="I57" s="7" t="n">
        <v>-6</v>
      </c>
      <c r="J57" s="8" t="n">
        <v>10742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ALL_PBM</t>
        </is>
      </c>
      <c r="C58" s="5" t="inlineStr">
        <is>
          <t>52937000120</t>
        </is>
      </c>
      <c r="D58" s="5" t="inlineStr">
        <is>
          <t>VASCEPA 1GM CAPSULE</t>
        </is>
      </c>
      <c r="E58" s="6" t="inlineStr">
        <is>
          <t>120.0</t>
        </is>
      </c>
      <c r="F58" s="7" t="n">
        <v>3780</v>
      </c>
      <c r="G58" s="7" t="n">
        <v>31.5</v>
      </c>
      <c r="H58" s="7" t="n">
        <v>21</v>
      </c>
      <c r="I58" s="7" t="n">
        <v>-10.5</v>
      </c>
      <c r="J58" s="8" t="n">
        <v>10478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ALL_PBM</t>
        </is>
      </c>
      <c r="C59" s="5" t="inlineStr">
        <is>
          <t>61874013030</t>
        </is>
      </c>
      <c r="D59" s="5" t="inlineStr">
        <is>
          <t>VRAYLAR 3MG CAPSULE</t>
        </is>
      </c>
      <c r="E59" s="6" t="inlineStr">
        <is>
          <t>30.0</t>
        </is>
      </c>
      <c r="F59" s="7" t="n">
        <v>210</v>
      </c>
      <c r="G59" s="7" t="n">
        <v>7</v>
      </c>
      <c r="H59" s="7" t="n">
        <v>4</v>
      </c>
      <c r="I59" s="7" t="n">
        <v>-3</v>
      </c>
      <c r="J59" s="8" t="n">
        <v>10407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ALL_PBM</t>
        </is>
      </c>
      <c r="C60" s="5" t="inlineStr">
        <is>
          <t>00169452414</t>
        </is>
      </c>
      <c r="D60" s="5" t="inlineStr">
        <is>
          <t>WEGOVY 2.4 MG/0.75ML AUTO-INJECTOR</t>
        </is>
      </c>
      <c r="E60" s="6" t="inlineStr">
        <is>
          <t>3.0</t>
        </is>
      </c>
      <c r="F60" s="7" t="n">
        <v>24</v>
      </c>
      <c r="G60" s="7" t="n">
        <v>8</v>
      </c>
      <c r="H60" s="7" t="n">
        <v>5</v>
      </c>
      <c r="I60" s="7" t="n">
        <v>-3</v>
      </c>
      <c r="J60" s="8" t="n">
        <v>10245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ALL_PBM</t>
        </is>
      </c>
      <c r="C61" s="5" t="inlineStr">
        <is>
          <t>00173085910</t>
        </is>
      </c>
      <c r="D61" s="5" t="inlineStr">
        <is>
          <t>BREO ELLIPTA 100-25 MCG/ACT INH AEROSOL</t>
        </is>
      </c>
      <c r="E61" s="6" t="inlineStr">
        <is>
          <t>60.0</t>
        </is>
      </c>
      <c r="F61" s="7" t="n">
        <v>1620</v>
      </c>
      <c r="G61" s="7" t="n">
        <v>27</v>
      </c>
      <c r="H61" s="7" t="n">
        <v>9</v>
      </c>
      <c r="I61" s="7" t="n">
        <v>-18</v>
      </c>
      <c r="J61" s="8" t="n">
        <v>10215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ALL_PBM</t>
        </is>
      </c>
      <c r="C62" s="5" t="inlineStr">
        <is>
          <t>00310737020</t>
        </is>
      </c>
      <c r="D62" s="5" t="inlineStr">
        <is>
          <t>BUDESONIDE/FORMOTEROL 160 /4.5 MCG (SYMBICORT)</t>
        </is>
      </c>
      <c r="E62" s="6" t="inlineStr">
        <is>
          <t>10.2</t>
        </is>
      </c>
      <c r="F62" s="7" t="n">
        <v>612</v>
      </c>
      <c r="G62" s="7" t="n">
        <v>60.00000000000001</v>
      </c>
      <c r="H62" s="7" t="n">
        <v>19</v>
      </c>
      <c r="I62" s="7" t="n">
        <v>-41.00000000000001</v>
      </c>
      <c r="J62" s="8" t="n">
        <v>9909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ALL_PBM</t>
        </is>
      </c>
      <c r="C63" s="5" t="inlineStr">
        <is>
          <t>00597030045</t>
        </is>
      </c>
      <c r="D63" s="5" t="inlineStr">
        <is>
          <t>SYNJARDY XR 12.5-1000 MG TABLET ER</t>
        </is>
      </c>
      <c r="E63" s="6" t="inlineStr">
        <is>
          <t>60.0</t>
        </is>
      </c>
      <c r="F63" s="7" t="n">
        <v>1170</v>
      </c>
      <c r="G63" s="7" t="n">
        <v>19.5</v>
      </c>
      <c r="H63" s="7" t="n">
        <v>7</v>
      </c>
      <c r="I63" s="7" t="n">
        <v>-12.5</v>
      </c>
      <c r="J63" s="8" t="n">
        <v>9620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ALL_PBM</t>
        </is>
      </c>
      <c r="C64" s="5" t="inlineStr">
        <is>
          <t>00597016860</t>
        </is>
      </c>
      <c r="D64" s="5" t="inlineStr">
        <is>
          <t>SYNJARDY 12.5-1000MG TABLET</t>
        </is>
      </c>
      <c r="E64" s="6" t="inlineStr">
        <is>
          <t>60.0</t>
        </is>
      </c>
      <c r="F64" s="7" t="n">
        <v>930</v>
      </c>
      <c r="G64" s="7" t="n">
        <v>15.5</v>
      </c>
      <c r="H64" s="7" t="n">
        <v>7</v>
      </c>
      <c r="I64" s="7" t="n">
        <v>-8.5</v>
      </c>
      <c r="J64" s="8" t="n">
        <v>8917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ALL_PBM</t>
        </is>
      </c>
      <c r="C65" s="5" t="inlineStr">
        <is>
          <t>73562011401</t>
        </is>
      </c>
      <c r="D65" s="5" t="inlineStr">
        <is>
          <t>ZENPEP 40000-126000U CAPSULE DR</t>
        </is>
      </c>
      <c r="E65" s="6" t="inlineStr">
        <is>
          <t>100.0</t>
        </is>
      </c>
      <c r="F65" s="7" t="n">
        <v>540</v>
      </c>
      <c r="G65" s="7" t="n">
        <v>5.4</v>
      </c>
      <c r="H65" s="7" t="n">
        <v>3</v>
      </c>
      <c r="I65" s="7" t="n">
        <v>-2.4</v>
      </c>
      <c r="J65" s="8" t="n">
        <v>8428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ALL_PBM</t>
        </is>
      </c>
      <c r="C66" s="5" t="inlineStr">
        <is>
          <t>50458057830</t>
        </is>
      </c>
      <c r="D66" s="5" t="inlineStr">
        <is>
          <t>XARELTO 15MG TAB</t>
        </is>
      </c>
      <c r="E66" s="6" t="inlineStr">
        <is>
          <t>30.0</t>
        </is>
      </c>
      <c r="F66" s="7" t="n">
        <v>630</v>
      </c>
      <c r="G66" s="7" t="n">
        <v>21</v>
      </c>
      <c r="H66" s="7" t="n">
        <v>5</v>
      </c>
      <c r="I66" s="7" t="n">
        <v>-16</v>
      </c>
      <c r="J66" s="8" t="n">
        <v>8276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ALL_PBM</t>
        </is>
      </c>
      <c r="C67" s="5" t="inlineStr">
        <is>
          <t>00088221905</t>
        </is>
      </c>
      <c r="D67" s="5" t="inlineStr">
        <is>
          <t>LANTUS SOLOSTAR 100UNIT/ML INJECTION</t>
        </is>
      </c>
      <c r="E67" s="6" t="inlineStr">
        <is>
          <t>15.0</t>
        </is>
      </c>
      <c r="F67" s="7" t="n">
        <v>1230</v>
      </c>
      <c r="G67" s="7" t="n">
        <v>82</v>
      </c>
      <c r="H67" s="7" t="n">
        <v>46</v>
      </c>
      <c r="I67" s="7" t="n">
        <v>-36</v>
      </c>
      <c r="J67" s="8" t="n">
        <v>7621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ALL_PBM</t>
        </is>
      </c>
      <c r="C68" s="5" t="inlineStr">
        <is>
          <t>00002247180</t>
        </is>
      </c>
      <c r="D68" s="5" t="inlineStr">
        <is>
          <t>ZEPBOUND 10 MG/0.5ML AUTO-INJECTOR</t>
        </is>
      </c>
      <c r="E68" s="6" t="inlineStr">
        <is>
          <t>2.0</t>
        </is>
      </c>
      <c r="F68" s="7" t="n">
        <v>14</v>
      </c>
      <c r="G68" s="7" t="n">
        <v>7</v>
      </c>
      <c r="H68" s="7" t="n">
        <v>5</v>
      </c>
      <c r="I68" s="7" t="n">
        <v>-2</v>
      </c>
      <c r="J68" s="8" t="n">
        <v>7354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ALL_PBM</t>
        </is>
      </c>
      <c r="C69" s="5" t="inlineStr">
        <is>
          <t>61958230101</t>
        </is>
      </c>
      <c r="D69" s="5" t="inlineStr">
        <is>
          <t>VEMLIDY 25 MG ORAL TABLET</t>
        </is>
      </c>
      <c r="E69" s="6" t="inlineStr">
        <is>
          <t>30.0</t>
        </is>
      </c>
      <c r="F69" s="7" t="n">
        <v>150</v>
      </c>
      <c r="G69" s="7" t="n">
        <v>5</v>
      </c>
      <c r="H69" s="7" t="n">
        <v>3</v>
      </c>
      <c r="I69" s="7" t="n">
        <v>-2</v>
      </c>
      <c r="J69" s="8" t="n">
        <v>7297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ALL_PBM</t>
        </is>
      </c>
      <c r="C70" s="5" t="inlineStr">
        <is>
          <t>00310628030</t>
        </is>
      </c>
      <c r="D70" s="5" t="inlineStr">
        <is>
          <t>XIGDUO XR 10-1000MG TABLET</t>
        </is>
      </c>
      <c r="E70" s="6" t="inlineStr">
        <is>
          <t>30.0</t>
        </is>
      </c>
      <c r="F70" s="7" t="n">
        <v>360</v>
      </c>
      <c r="G70" s="7" t="n">
        <v>12</v>
      </c>
      <c r="H70" s="7" t="n">
        <v>8</v>
      </c>
      <c r="I70" s="7" t="n">
        <v>-4</v>
      </c>
      <c r="J70" s="8" t="n">
        <v>6638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ALL_PBM</t>
        </is>
      </c>
      <c r="C71" s="5" t="inlineStr">
        <is>
          <t>47335050696</t>
        </is>
      </c>
      <c r="D71" s="5" t="inlineStr">
        <is>
          <t>CEQUA 0.09% SOLUTION</t>
        </is>
      </c>
      <c r="E71" s="6" t="inlineStr">
        <is>
          <t>60.0</t>
        </is>
      </c>
      <c r="F71" s="7" t="n">
        <v>660</v>
      </c>
      <c r="G71" s="7" t="n">
        <v>11</v>
      </c>
      <c r="H71" s="7" t="n">
        <v>5</v>
      </c>
      <c r="I71" s="7" t="n">
        <v>-6</v>
      </c>
      <c r="J71" s="8" t="n">
        <v>6593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ALL_PBM</t>
        </is>
      </c>
      <c r="C72" s="5" t="inlineStr">
        <is>
          <t>00187540008</t>
        </is>
      </c>
      <c r="D72" s="5" t="inlineStr">
        <is>
          <t>JUBLIA 10 % EXTERNAL SOLUTION</t>
        </is>
      </c>
      <c r="E72" s="6" t="inlineStr">
        <is>
          <t>8.0</t>
        </is>
      </c>
      <c r="F72" s="7" t="n">
        <v>32</v>
      </c>
      <c r="G72" s="7" t="n">
        <v>4</v>
      </c>
      <c r="H72" s="7" t="n">
        <v>2</v>
      </c>
      <c r="I72" s="7" t="n">
        <v>-2</v>
      </c>
      <c r="J72" s="8" t="n">
        <v>6373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ALL_PBM</t>
        </is>
      </c>
      <c r="C73" s="5" t="inlineStr">
        <is>
          <t>80610043060</t>
        </is>
      </c>
      <c r="D73" s="5" t="inlineStr">
        <is>
          <t>ZORYVE 0.3 % EXTERNAL FOAM</t>
        </is>
      </c>
      <c r="E73" s="6" t="inlineStr">
        <is>
          <t>60.0</t>
        </is>
      </c>
      <c r="F73" s="7" t="n">
        <v>420</v>
      </c>
      <c r="G73" s="7" t="n">
        <v>7</v>
      </c>
      <c r="H73" s="7" t="n">
        <v>0</v>
      </c>
      <c r="I73" s="7" t="n">
        <v>-7</v>
      </c>
      <c r="J73" s="8" t="n">
        <v>6281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ALL_PBM</t>
        </is>
      </c>
      <c r="C74" s="5" t="inlineStr">
        <is>
          <t>00023530105</t>
        </is>
      </c>
      <c r="D74" s="5" t="inlineStr">
        <is>
          <t>RESTASIS MULTIDOSE 0.05 % OPHTHALMIC EMULSION</t>
        </is>
      </c>
      <c r="E74" s="6" t="inlineStr">
        <is>
          <t>5.5</t>
        </is>
      </c>
      <c r="F74" s="7" t="n">
        <v>55</v>
      </c>
      <c r="G74" s="7" t="n">
        <v>10</v>
      </c>
      <c r="H74" s="7" t="n">
        <v>4</v>
      </c>
      <c r="I74" s="7" t="n">
        <v>-6</v>
      </c>
      <c r="J74" s="8" t="n">
        <v>6103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ALL_PBM</t>
        </is>
      </c>
      <c r="C75" s="5" t="inlineStr">
        <is>
          <t>50881000705</t>
        </is>
      </c>
      <c r="D75" s="5" t="inlineStr">
        <is>
          <t>OPZELURA 1.5 % EXTERNAL CREAM</t>
        </is>
      </c>
      <c r="E75" s="6" t="inlineStr">
        <is>
          <t>60.0</t>
        </is>
      </c>
      <c r="F75" s="7" t="n">
        <v>180</v>
      </c>
      <c r="G75" s="7" t="n">
        <v>3</v>
      </c>
      <c r="H75" s="7" t="n">
        <v>2</v>
      </c>
      <c r="I75" s="7" t="n">
        <v>-1</v>
      </c>
      <c r="J75" s="8" t="n">
        <v>6047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ALL_PBM</t>
        </is>
      </c>
      <c r="C76" s="5" t="inlineStr">
        <is>
          <t>59148003713</t>
        </is>
      </c>
      <c r="D76" s="5" t="inlineStr">
        <is>
          <t>REXULTI 1MG TABLET</t>
        </is>
      </c>
      <c r="E76" s="6" t="inlineStr">
        <is>
          <t>30.0</t>
        </is>
      </c>
      <c r="F76" s="7" t="n">
        <v>120</v>
      </c>
      <c r="G76" s="7" t="n">
        <v>4</v>
      </c>
      <c r="H76" s="7" t="n">
        <v>2</v>
      </c>
      <c r="I76" s="7" t="n">
        <v>-2</v>
      </c>
      <c r="J76" s="8" t="n">
        <v>5856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ALL_PBM</t>
        </is>
      </c>
      <c r="C77" s="5" t="inlineStr">
        <is>
          <t>00186504031</t>
        </is>
      </c>
      <c r="D77" s="5" t="inlineStr">
        <is>
          <t>NEXIUM 40MG CAPSULE</t>
        </is>
      </c>
      <c r="E77" s="6" t="inlineStr">
        <is>
          <t>30.0</t>
        </is>
      </c>
      <c r="F77" s="7" t="n">
        <v>660</v>
      </c>
      <c r="G77" s="7" t="n">
        <v>22</v>
      </c>
      <c r="H77" s="7" t="n">
        <v>9</v>
      </c>
      <c r="I77" s="7" t="n">
        <v>-13</v>
      </c>
      <c r="J77" s="8" t="n">
        <v>5686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ALL_PBM</t>
        </is>
      </c>
      <c r="C78" s="5" t="inlineStr">
        <is>
          <t>00006057561</t>
        </is>
      </c>
      <c r="D78" s="5" t="inlineStr">
        <is>
          <t>JANUMET 50-500 MG ORAL TABLET</t>
        </is>
      </c>
      <c r="E78" s="6" t="inlineStr">
        <is>
          <t>60.0</t>
        </is>
      </c>
      <c r="F78" s="7" t="n">
        <v>1080</v>
      </c>
      <c r="G78" s="7" t="n">
        <v>18</v>
      </c>
      <c r="H78" s="7" t="n">
        <v>3</v>
      </c>
      <c r="I78" s="7" t="n">
        <v>-15</v>
      </c>
      <c r="J78" s="8" t="n">
        <v>5591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ALL_PBM</t>
        </is>
      </c>
      <c r="C79" s="5" t="inlineStr">
        <is>
          <t>80610013060</t>
        </is>
      </c>
      <c r="D79" s="5" t="inlineStr">
        <is>
          <t>ZORYVE 0.3 % EXTERNAL CREAM</t>
        </is>
      </c>
      <c r="E79" s="6" t="inlineStr">
        <is>
          <t>60.0</t>
        </is>
      </c>
      <c r="F79" s="7" t="n">
        <v>360</v>
      </c>
      <c r="G79" s="7" t="n">
        <v>6</v>
      </c>
      <c r="H79" s="7" t="n">
        <v>1</v>
      </c>
      <c r="I79" s="7" t="n">
        <v>-5</v>
      </c>
      <c r="J79" s="8" t="n">
        <v>5378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ALL_PBM</t>
        </is>
      </c>
      <c r="C80" s="5" t="inlineStr">
        <is>
          <t>00173087310</t>
        </is>
      </c>
      <c r="D80" s="5" t="inlineStr">
        <is>
          <t>INCRUSE ELLIPTA 62.5MCG/INH AEROSOL</t>
        </is>
      </c>
      <c r="E80" s="6" t="inlineStr">
        <is>
          <t>30.0</t>
        </is>
      </c>
      <c r="F80" s="7" t="n">
        <v>480</v>
      </c>
      <c r="G80" s="7" t="n">
        <v>16</v>
      </c>
      <c r="H80" s="7" t="n">
        <v>3</v>
      </c>
      <c r="I80" s="7" t="n">
        <v>-13</v>
      </c>
      <c r="J80" s="8" t="n">
        <v>5376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ALL_PBM</t>
        </is>
      </c>
      <c r="C81" s="5" t="inlineStr">
        <is>
          <t>00023649810</t>
        </is>
      </c>
      <c r="D81" s="5" t="inlineStr">
        <is>
          <t>UBRELVY 50 MG ORAL TABLET</t>
        </is>
      </c>
      <c r="E81" s="6" t="inlineStr">
        <is>
          <t>10.0</t>
        </is>
      </c>
      <c r="F81" s="7" t="n">
        <v>50</v>
      </c>
      <c r="G81" s="7" t="n">
        <v>5</v>
      </c>
      <c r="H81" s="7" t="n">
        <v>1</v>
      </c>
      <c r="I81" s="7" t="n">
        <v>-4</v>
      </c>
      <c r="J81" s="8" t="n">
        <v>5369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ALL_PBM</t>
        </is>
      </c>
      <c r="C82" s="5" t="inlineStr">
        <is>
          <t>24208050402</t>
        </is>
      </c>
      <c r="D82" s="5" t="inlineStr">
        <is>
          <t>VYZULTA 0.024 % OPHTHALMIC SOLUTION</t>
        </is>
      </c>
      <c r="E82" s="6" t="inlineStr">
        <is>
          <t>2.5</t>
        </is>
      </c>
      <c r="F82" s="7" t="n">
        <v>52.5</v>
      </c>
      <c r="G82" s="7" t="n">
        <v>21</v>
      </c>
      <c r="H82" s="7" t="n">
        <v>0</v>
      </c>
      <c r="I82" s="7" t="n">
        <v>-21</v>
      </c>
      <c r="J82" s="8" t="n">
        <v>5290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ALL_PBM</t>
        </is>
      </c>
      <c r="C83" s="5" t="inlineStr">
        <is>
          <t>00310908012</t>
        </is>
      </c>
      <c r="D83" s="5" t="inlineStr">
        <is>
          <t>AIRSUPRA 90-80 MCG/ACT INHALATION AEROSOL</t>
        </is>
      </c>
      <c r="E83" s="6" t="inlineStr">
        <is>
          <t>10.7</t>
        </is>
      </c>
      <c r="F83" s="7" t="n">
        <v>117.7</v>
      </c>
      <c r="G83" s="7" t="n">
        <v>11</v>
      </c>
      <c r="H83" s="7" t="n">
        <v>4</v>
      </c>
      <c r="I83" s="7" t="n">
        <v>-7.000000000000002</v>
      </c>
      <c r="J83" s="8" t="n">
        <v>5238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ALL_PBM</t>
        </is>
      </c>
      <c r="C84" s="5" t="inlineStr">
        <is>
          <t>00169451714</t>
        </is>
      </c>
      <c r="D84" s="5" t="inlineStr">
        <is>
          <t>WEGOVY 1.7 MG/0.75ML AUTO-INJECTOR</t>
        </is>
      </c>
      <c r="E84" s="6" t="inlineStr">
        <is>
          <t>3.0</t>
        </is>
      </c>
      <c r="F84" s="7" t="n">
        <v>12</v>
      </c>
      <c r="G84" s="7" t="n">
        <v>4</v>
      </c>
      <c r="H84" s="7" t="n">
        <v>1</v>
      </c>
      <c r="I84" s="7" t="n">
        <v>-3</v>
      </c>
      <c r="J84" s="8" t="n">
        <v>5041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ALL_PBM</t>
        </is>
      </c>
      <c r="C85" s="5" t="inlineStr">
        <is>
          <t>00169291115</t>
        </is>
      </c>
      <c r="D85" s="5" t="inlineStr">
        <is>
          <t>XULTOPHY 100-3.6UNIT INJECTION</t>
        </is>
      </c>
      <c r="E85" s="6" t="inlineStr">
        <is>
          <t>15.0</t>
        </is>
      </c>
      <c r="F85" s="7" t="n">
        <v>60</v>
      </c>
      <c r="G85" s="7" t="n">
        <v>4</v>
      </c>
      <c r="H85" s="7" t="n">
        <v>2</v>
      </c>
      <c r="I85" s="7" t="n">
        <v>-2</v>
      </c>
      <c r="J85" s="8" t="n">
        <v>5004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ALL_PBM</t>
        </is>
      </c>
      <c r="C86" s="5" t="inlineStr">
        <is>
          <t>00310737220</t>
        </is>
      </c>
      <c r="D86" s="5" t="inlineStr">
        <is>
          <t>BUDESONIDE-FORMOTEROL FUMARATE 80-4.5MCG/ACT AEROSOL</t>
        </is>
      </c>
      <c r="E86" s="6" t="inlineStr">
        <is>
          <t>10.2</t>
        </is>
      </c>
      <c r="F86" s="7" t="n">
        <v>408</v>
      </c>
      <c r="G86" s="7" t="n">
        <v>40</v>
      </c>
      <c r="H86" s="7" t="n">
        <v>9</v>
      </c>
      <c r="I86" s="7" t="n">
        <v>-31</v>
      </c>
      <c r="J86" s="8" t="n">
        <v>4970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ALL_PBM</t>
        </is>
      </c>
      <c r="C87" s="5" t="inlineStr">
        <is>
          <t>00006008131</t>
        </is>
      </c>
      <c r="D87" s="5" t="inlineStr">
        <is>
          <t>JANUMET XR 100-1000MG TABLET</t>
        </is>
      </c>
      <c r="E87" s="6" t="inlineStr">
        <is>
          <t>30.0</t>
        </is>
      </c>
      <c r="F87" s="7" t="n">
        <v>450</v>
      </c>
      <c r="G87" s="7" t="n">
        <v>15</v>
      </c>
      <c r="H87" s="7" t="n">
        <v>8</v>
      </c>
      <c r="I87" s="7" t="n">
        <v>-7</v>
      </c>
      <c r="J87" s="8" t="n">
        <v>4632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ALL_PBM</t>
        </is>
      </c>
      <c r="C88" s="5" t="inlineStr">
        <is>
          <t>58151028301</t>
        </is>
      </c>
      <c r="D88" s="5" t="inlineStr">
        <is>
          <t>NEURONTIN 400 MG ORAL CAPSULE</t>
        </is>
      </c>
      <c r="E88" s="6" t="inlineStr">
        <is>
          <t>100.0</t>
        </is>
      </c>
      <c r="F88" s="7" t="n">
        <v>540</v>
      </c>
      <c r="G88" s="7" t="n">
        <v>5.4</v>
      </c>
      <c r="H88" s="7" t="n">
        <v>2</v>
      </c>
      <c r="I88" s="7" t="n">
        <v>-3.4</v>
      </c>
      <c r="J88" s="8" t="n">
        <v>4320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ALL_PBM</t>
        </is>
      </c>
      <c r="C89" s="5" t="inlineStr">
        <is>
          <t>57599081800</t>
        </is>
      </c>
      <c r="D89" s="5" t="inlineStr">
        <is>
          <t>FREESTYLE LIBRE 3 SENSOR</t>
        </is>
      </c>
      <c r="E89" s="6" t="inlineStr">
        <is>
          <t>1.0</t>
        </is>
      </c>
      <c r="F89" s="7" t="n">
        <v>54</v>
      </c>
      <c r="G89" s="7" t="n">
        <v>54</v>
      </c>
      <c r="H89" s="7" t="n">
        <v>16</v>
      </c>
      <c r="I89" s="7" t="n">
        <v>-38</v>
      </c>
      <c r="J89" s="8" t="n">
        <v>4282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ALL_PBM</t>
        </is>
      </c>
      <c r="C90" s="5" t="inlineStr">
        <is>
          <t>00002248480</t>
        </is>
      </c>
      <c r="D90" s="5" t="inlineStr">
        <is>
          <t>ZEPBOUND 7.5 MG/0.5ML AUTO-INJECTOR</t>
        </is>
      </c>
      <c r="E90" s="6" t="inlineStr">
        <is>
          <t>2.0</t>
        </is>
      </c>
      <c r="F90" s="7" t="n">
        <v>8</v>
      </c>
      <c r="G90" s="7" t="n">
        <v>4</v>
      </c>
      <c r="H90" s="7" t="n">
        <v>2</v>
      </c>
      <c r="I90" s="7" t="n">
        <v>-2</v>
      </c>
      <c r="J90" s="8" t="n">
        <v>4199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ALL_PBM</t>
        </is>
      </c>
      <c r="C91" s="5" t="inlineStr">
        <is>
          <t>00023921115</t>
        </is>
      </c>
      <c r="D91" s="5" t="inlineStr">
        <is>
          <t>COMBIGAN 0.2-0.5% OPTH SOLUTION 15ML</t>
        </is>
      </c>
      <c r="E91" s="6" t="inlineStr">
        <is>
          <t>15.0</t>
        </is>
      </c>
      <c r="F91" s="7" t="n">
        <v>105</v>
      </c>
      <c r="G91" s="7" t="n">
        <v>7</v>
      </c>
      <c r="H91" s="7" t="n">
        <v>0</v>
      </c>
      <c r="I91" s="7" t="n">
        <v>-7</v>
      </c>
      <c r="J91" s="8" t="n">
        <v>4062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ALL_PBM</t>
        </is>
      </c>
      <c r="C92" s="5" t="inlineStr">
        <is>
          <t>71143037501</t>
        </is>
      </c>
      <c r="D92" s="5" t="inlineStr">
        <is>
          <t>XHANCE 93 MCG/ACT NASAL EXHALER SUSPENSION</t>
        </is>
      </c>
      <c r="E92" s="6" t="inlineStr">
        <is>
          <t>16.0</t>
        </is>
      </c>
      <c r="F92" s="7" t="n">
        <v>96</v>
      </c>
      <c r="G92" s="7" t="n">
        <v>6</v>
      </c>
      <c r="H92" s="7" t="n">
        <v>1</v>
      </c>
      <c r="I92" s="7" t="n">
        <v>-5</v>
      </c>
      <c r="J92" s="8" t="n">
        <v>3887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ALL_PBM</t>
        </is>
      </c>
      <c r="C93" s="5" t="inlineStr">
        <is>
          <t>50419054101</t>
        </is>
      </c>
      <c r="D93" s="5" t="inlineStr">
        <is>
          <t>KERENDIA 20MG TABLET</t>
        </is>
      </c>
      <c r="E93" s="6" t="inlineStr">
        <is>
          <t>30.0</t>
        </is>
      </c>
      <c r="F93" s="7" t="n">
        <v>180</v>
      </c>
      <c r="G93" s="7" t="n">
        <v>6</v>
      </c>
      <c r="H93" s="7" t="n">
        <v>6</v>
      </c>
      <c r="I93" s="7" t="n">
        <v>0</v>
      </c>
      <c r="J93" s="8" t="n">
        <v>3826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ALL_PBM</t>
        </is>
      </c>
      <c r="C94" s="5" t="inlineStr">
        <is>
          <t>70727049725</t>
        </is>
      </c>
      <c r="D94" s="5" t="inlineStr">
        <is>
          <t>RHOPRESSA 0.02 % OPHTHALMIC SOLUTION</t>
        </is>
      </c>
      <c r="E94" s="6" t="inlineStr">
        <is>
          <t>2.5</t>
        </is>
      </c>
      <c r="F94" s="7" t="n">
        <v>30</v>
      </c>
      <c r="G94" s="7" t="n">
        <v>12</v>
      </c>
      <c r="H94" s="7" t="n">
        <v>0</v>
      </c>
      <c r="I94" s="7" t="n">
        <v>-12</v>
      </c>
      <c r="J94" s="8" t="n">
        <v>3818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ALL_PBM</t>
        </is>
      </c>
      <c r="C95" s="5" t="inlineStr">
        <is>
          <t>55513071021</t>
        </is>
      </c>
      <c r="D95" s="5" t="inlineStr">
        <is>
          <t>PROLIA 60 MG/ML SUBCUTANEOUS SOLUTION PREFILLED SYRINGE</t>
        </is>
      </c>
      <c r="E95" s="6" t="inlineStr">
        <is>
          <t>1.0</t>
        </is>
      </c>
      <c r="F95" s="7" t="n">
        <v>2</v>
      </c>
      <c r="G95" s="7" t="n">
        <v>2</v>
      </c>
      <c r="H95" s="7" t="n">
        <v>0</v>
      </c>
      <c r="I95" s="7" t="n">
        <v>-2</v>
      </c>
      <c r="J95" s="8" t="n">
        <v>3552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ALL_PBM</t>
        </is>
      </c>
      <c r="C96" s="5" t="inlineStr">
        <is>
          <t>69557011130</t>
        </is>
      </c>
      <c r="D96" s="5" t="inlineStr">
        <is>
          <t>ZTLIDO 1.8 % EXTERNAL PATCH</t>
        </is>
      </c>
      <c r="E96" s="6" t="inlineStr">
        <is>
          <t>30.0</t>
        </is>
      </c>
      <c r="F96" s="7" t="n">
        <v>300</v>
      </c>
      <c r="G96" s="7" t="n">
        <v>10</v>
      </c>
      <c r="H96" s="7" t="n">
        <v>4</v>
      </c>
      <c r="I96" s="7" t="n">
        <v>-6</v>
      </c>
      <c r="J96" s="8" t="n">
        <v>3549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ALL_PBM</t>
        </is>
      </c>
      <c r="C97" s="5" t="inlineStr">
        <is>
          <t>71699010030</t>
        </is>
      </c>
      <c r="D97" s="5" t="inlineStr">
        <is>
          <t>XCOPRI 100 MG ORAL TABLET</t>
        </is>
      </c>
      <c r="E97" s="6" t="inlineStr">
        <is>
          <t>30.0</t>
        </is>
      </c>
      <c r="F97" s="7" t="n">
        <v>90</v>
      </c>
      <c r="G97" s="7" t="n">
        <v>3</v>
      </c>
      <c r="H97" s="7" t="n">
        <v>2</v>
      </c>
      <c r="I97" s="7" t="n">
        <v>-1</v>
      </c>
      <c r="J97" s="8" t="n">
        <v>3483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ALL_PBM</t>
        </is>
      </c>
      <c r="C98" s="5" t="inlineStr">
        <is>
          <t>71571033383</t>
        </is>
      </c>
      <c r="D98" s="5" t="inlineStr">
        <is>
          <t>EYSUVIS 0.25 % OPHTHALMIC SUSPENSION</t>
        </is>
      </c>
      <c r="E98" s="6" t="inlineStr">
        <is>
          <t>8.3</t>
        </is>
      </c>
      <c r="F98" s="7" t="n">
        <v>58.1</v>
      </c>
      <c r="G98" s="7" t="n">
        <v>7</v>
      </c>
      <c r="H98" s="7" t="n">
        <v>1</v>
      </c>
      <c r="I98" s="7" t="n">
        <v>-6</v>
      </c>
      <c r="J98" s="8" t="n">
        <v>3477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ALL_PBM</t>
        </is>
      </c>
      <c r="C99" s="5" t="inlineStr">
        <is>
          <t>59148000713</t>
        </is>
      </c>
      <c r="D99" s="5" t="inlineStr">
        <is>
          <t>ABILIFY 5MG TABLET</t>
        </is>
      </c>
      <c r="E99" s="6" t="inlineStr">
        <is>
          <t>30.0</t>
        </is>
      </c>
      <c r="F99" s="7" t="n">
        <v>180</v>
      </c>
      <c r="G99" s="7" t="n">
        <v>6</v>
      </c>
      <c r="H99" s="7" t="n">
        <v>2</v>
      </c>
      <c r="I99" s="7" t="n">
        <v>-4</v>
      </c>
      <c r="J99" s="8" t="n">
        <v>3417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ALL_PBM</t>
        </is>
      </c>
      <c r="C100" s="5" t="inlineStr">
        <is>
          <t>58160082311</t>
        </is>
      </c>
      <c r="D100" s="5" t="inlineStr">
        <is>
          <t>SHINGRIX 50 MCG/0.5ML IM SUSP RECON</t>
        </is>
      </c>
      <c r="E100" s="6" t="inlineStr">
        <is>
          <t>10.0</t>
        </is>
      </c>
      <c r="F100" s="7" t="n">
        <v>16</v>
      </c>
      <c r="G100" s="7" t="n">
        <v>1.6</v>
      </c>
      <c r="H100" s="7" t="n">
        <v>0</v>
      </c>
      <c r="I100" s="7" t="n">
        <v>-1.6</v>
      </c>
      <c r="J100" s="8" t="n">
        <v>3397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ALL_PBM</t>
        </is>
      </c>
      <c r="C101" s="5" t="inlineStr">
        <is>
          <t>00310626060</t>
        </is>
      </c>
      <c r="D101" s="5" t="inlineStr">
        <is>
          <t>XIGDUO XR 5-1000 MG TABLET ER</t>
        </is>
      </c>
      <c r="E101" s="6" t="inlineStr">
        <is>
          <t>60.0</t>
        </is>
      </c>
      <c r="F101" s="7" t="n">
        <v>360</v>
      </c>
      <c r="G101" s="7" t="n">
        <v>6</v>
      </c>
      <c r="H101" s="7" t="n">
        <v>3</v>
      </c>
      <c r="I101" s="7" t="n">
        <v>-3</v>
      </c>
      <c r="J101" s="8" t="n">
        <v>3357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ALL_PBM</t>
        </is>
      </c>
      <c r="C102" s="5" t="inlineStr">
        <is>
          <t>00310625030</t>
        </is>
      </c>
      <c r="D102" s="5" t="inlineStr">
        <is>
          <t>XIGDUO XR 5-500MG TABLET EXTENDED RELEASE</t>
        </is>
      </c>
      <c r="E102" s="6" t="inlineStr">
        <is>
          <t>30.0</t>
        </is>
      </c>
      <c r="F102" s="7" t="n">
        <v>180</v>
      </c>
      <c r="G102" s="7" t="n">
        <v>6</v>
      </c>
      <c r="H102" s="7" t="n">
        <v>2</v>
      </c>
      <c r="I102" s="7" t="n">
        <v>-4</v>
      </c>
      <c r="J102" s="8" t="n">
        <v>3346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ALL_PBM</t>
        </is>
      </c>
      <c r="C103" s="5" t="inlineStr">
        <is>
          <t>59137053004</t>
        </is>
      </c>
      <c r="D103" s="5" t="inlineStr">
        <is>
          <t>RASUVO 20MG/0.4ML INJECTION</t>
        </is>
      </c>
      <c r="E103" s="6" t="inlineStr">
        <is>
          <t>1.6</t>
        </is>
      </c>
      <c r="F103" s="7" t="n">
        <v>9.6</v>
      </c>
      <c r="G103" s="7" t="n">
        <v>5.999999999999999</v>
      </c>
      <c r="H103" s="7" t="n">
        <v>3</v>
      </c>
      <c r="I103" s="7" t="n">
        <v>-2.999999999999999</v>
      </c>
      <c r="J103" s="8" t="n">
        <v>3296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ALL_PBM</t>
        </is>
      </c>
      <c r="C104" s="5" t="inlineStr">
        <is>
          <t>53885024450</t>
        </is>
      </c>
      <c r="D104" s="5" t="inlineStr">
        <is>
          <t>ONETOUCH ULTRA BLUE  STRIP</t>
        </is>
      </c>
      <c r="E104" s="6" t="inlineStr">
        <is>
          <t>50.0</t>
        </is>
      </c>
      <c r="F104" s="7" t="n">
        <v>2200</v>
      </c>
      <c r="G104" s="7" t="n">
        <v>44</v>
      </c>
      <c r="H104" s="7" t="n">
        <v>24</v>
      </c>
      <c r="I104" s="7" t="n">
        <v>-20</v>
      </c>
      <c r="J104" s="8" t="n">
        <v>3282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ALL_PBM</t>
        </is>
      </c>
      <c r="C105" s="5" t="inlineStr">
        <is>
          <t>00006022131</t>
        </is>
      </c>
      <c r="D105" s="5" t="inlineStr">
        <is>
          <t>JANUVIA 25MG TABLET</t>
        </is>
      </c>
      <c r="E105" s="6" t="inlineStr">
        <is>
          <t>30.0</t>
        </is>
      </c>
      <c r="F105" s="7" t="n">
        <v>360</v>
      </c>
      <c r="G105" s="7" t="n">
        <v>12</v>
      </c>
      <c r="H105" s="7" t="n">
        <v>11</v>
      </c>
      <c r="I105" s="7" t="n">
        <v>-1</v>
      </c>
      <c r="J105" s="8" t="n">
        <v>3276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ALL_PBM</t>
        </is>
      </c>
      <c r="C106" s="5" t="inlineStr">
        <is>
          <t>00032301613</t>
        </is>
      </c>
      <c r="D106" s="5" t="inlineStr">
        <is>
          <t>CREON 36000UNIT CAPSULE</t>
        </is>
      </c>
      <c r="E106" s="6" t="inlineStr">
        <is>
          <t>100.0</t>
        </is>
      </c>
      <c r="F106" s="7" t="n">
        <v>270</v>
      </c>
      <c r="G106" s="7" t="n">
        <v>2.7</v>
      </c>
      <c r="H106" s="7" t="n">
        <v>3</v>
      </c>
      <c r="I106" s="7" t="n">
        <v>0.2999999999999998</v>
      </c>
      <c r="J106" s="8" t="n">
        <v>3242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ALL_PBM</t>
        </is>
      </c>
      <c r="C107" s="5" t="inlineStr">
        <is>
          <t>60505451803</t>
        </is>
      </c>
      <c r="D107" s="5" t="inlineStr">
        <is>
          <t>PAXIL 20 MG ORAL TABLET</t>
        </is>
      </c>
      <c r="E107" s="6" t="inlineStr">
        <is>
          <t>30.0</t>
        </is>
      </c>
      <c r="F107" s="7" t="n">
        <v>300</v>
      </c>
      <c r="G107" s="7" t="n">
        <v>10</v>
      </c>
      <c r="H107" s="7" t="n">
        <v>4</v>
      </c>
      <c r="I107" s="7" t="n">
        <v>-6</v>
      </c>
      <c r="J107" s="8" t="n">
        <v>3195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ALL_PBM</t>
        </is>
      </c>
      <c r="C108" s="5" t="inlineStr">
        <is>
          <t>70727052925</t>
        </is>
      </c>
      <c r="D108" s="5" t="inlineStr">
        <is>
          <t>ROCKLATAN 0.02-0.005% SOLUTION</t>
        </is>
      </c>
      <c r="E108" s="6" t="inlineStr">
        <is>
          <t>2.5</t>
        </is>
      </c>
      <c r="F108" s="7" t="n">
        <v>22.5</v>
      </c>
      <c r="G108" s="7" t="n">
        <v>9</v>
      </c>
      <c r="H108" s="7" t="n">
        <v>5</v>
      </c>
      <c r="I108" s="7" t="n">
        <v>-4</v>
      </c>
      <c r="J108" s="8" t="n">
        <v>3079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ALL_PBM</t>
        </is>
      </c>
      <c r="C109" s="5" t="inlineStr">
        <is>
          <t>53436016830</t>
        </is>
      </c>
      <c r="D109" s="5" t="inlineStr">
        <is>
          <t>VELTASSA 16.8 GM ORAL PACKET</t>
        </is>
      </c>
      <c r="E109" s="6" t="inlineStr">
        <is>
          <t>30.0</t>
        </is>
      </c>
      <c r="F109" s="7" t="n">
        <v>90</v>
      </c>
      <c r="G109" s="7" t="n">
        <v>3</v>
      </c>
      <c r="H109" s="7" t="n">
        <v>3</v>
      </c>
      <c r="I109" s="7" t="n">
        <v>0</v>
      </c>
      <c r="J109" s="8" t="n">
        <v>3076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ALL_PBM</t>
        </is>
      </c>
      <c r="C110" s="5" t="inlineStr">
        <is>
          <t>53436008430</t>
        </is>
      </c>
      <c r="D110" s="5" t="inlineStr">
        <is>
          <t>VELTASSA 8.4GM PACK</t>
        </is>
      </c>
      <c r="E110" s="6" t="inlineStr">
        <is>
          <t>30.0</t>
        </is>
      </c>
      <c r="F110" s="7" t="n">
        <v>90</v>
      </c>
      <c r="G110" s="7" t="n">
        <v>3</v>
      </c>
      <c r="H110" s="7" t="n">
        <v>3</v>
      </c>
      <c r="I110" s="7" t="n">
        <v>0</v>
      </c>
      <c r="J110" s="8" t="n">
        <v>3073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ALL_PBM</t>
        </is>
      </c>
      <c r="C111" s="5" t="inlineStr">
        <is>
          <t>00169255013</t>
        </is>
      </c>
      <c r="D111" s="5" t="inlineStr">
        <is>
          <t>TRESIBA FLEXTOUCH 200UNIT/ML INJECTION</t>
        </is>
      </c>
      <c r="E111" s="6" t="inlineStr">
        <is>
          <t>9.0</t>
        </is>
      </c>
      <c r="F111" s="7" t="n">
        <v>66</v>
      </c>
      <c r="G111" s="7" t="n">
        <v>7.333333333333333</v>
      </c>
      <c r="H111" s="7" t="n">
        <v>2</v>
      </c>
      <c r="I111" s="7" t="n">
        <v>-5.333333333333333</v>
      </c>
      <c r="J111" s="8" t="n">
        <v>2983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ALL_PBM</t>
        </is>
      </c>
      <c r="C112" s="5" t="inlineStr">
        <is>
          <t>00469260130</t>
        </is>
      </c>
      <c r="D112" s="5" t="inlineStr">
        <is>
          <t>MYRBETRIQ 25MG TABLET</t>
        </is>
      </c>
      <c r="E112" s="6" t="inlineStr">
        <is>
          <t>30.0</t>
        </is>
      </c>
      <c r="F112" s="7" t="n">
        <v>210</v>
      </c>
      <c r="G112" s="7" t="n">
        <v>7</v>
      </c>
      <c r="H112" s="7" t="n">
        <v>0</v>
      </c>
      <c r="I112" s="7" t="n">
        <v>-7</v>
      </c>
      <c r="J112" s="8" t="n">
        <v>2972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ALL_PBM</t>
        </is>
      </c>
      <c r="C113" s="5" t="inlineStr">
        <is>
          <t>64764073030</t>
        </is>
      </c>
      <c r="D113" s="5" t="inlineStr">
        <is>
          <t>TRINTELLIX 10MG TABLET</t>
        </is>
      </c>
      <c r="E113" s="6" t="inlineStr">
        <is>
          <t>30.0</t>
        </is>
      </c>
      <c r="F113" s="7" t="n">
        <v>180</v>
      </c>
      <c r="G113" s="7" t="n">
        <v>6</v>
      </c>
      <c r="H113" s="7" t="n">
        <v>3</v>
      </c>
      <c r="I113" s="7" t="n">
        <v>-3</v>
      </c>
      <c r="J113" s="8" t="n">
        <v>2966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ALL_PBM</t>
        </is>
      </c>
      <c r="C114" s="5" t="inlineStr">
        <is>
          <t>00032263601</t>
        </is>
      </c>
      <c r="D114" s="5" t="inlineStr">
        <is>
          <t>CREON 24000-76000 UNIT CAPSULE DR</t>
        </is>
      </c>
      <c r="E114" s="6" t="inlineStr">
        <is>
          <t>100.0</t>
        </is>
      </c>
      <c r="F114" s="7" t="n">
        <v>360</v>
      </c>
      <c r="G114" s="7" t="n">
        <v>3.6</v>
      </c>
      <c r="H114" s="7" t="n">
        <v>3</v>
      </c>
      <c r="I114" s="7" t="n">
        <v>-0.6000000000000001</v>
      </c>
      <c r="J114" s="8" t="n">
        <v>2937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ALL_PBM</t>
        </is>
      </c>
      <c r="C115" s="5" t="inlineStr">
        <is>
          <t>00597029074</t>
        </is>
      </c>
      <c r="D115" s="5" t="inlineStr">
        <is>
          <t>SYNJARDY 5-1000MG TABLET XR</t>
        </is>
      </c>
      <c r="E115" s="6" t="inlineStr">
        <is>
          <t>60.0</t>
        </is>
      </c>
      <c r="F115" s="7" t="n">
        <v>300</v>
      </c>
      <c r="G115" s="7" t="n">
        <v>5</v>
      </c>
      <c r="H115" s="7" t="n">
        <v>3</v>
      </c>
      <c r="I115" s="7" t="n">
        <v>-2</v>
      </c>
      <c r="J115" s="8" t="n">
        <v>2870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ALL_PBM</t>
        </is>
      </c>
      <c r="C116" s="5" t="inlineStr">
        <is>
          <t>00169633910</t>
        </is>
      </c>
      <c r="D116" s="5" t="inlineStr">
        <is>
          <t>NOVOLOG FLEXPEN 100UNIT/ML INJECTION</t>
        </is>
      </c>
      <c r="E116" s="6" t="inlineStr">
        <is>
          <t>15.0</t>
        </is>
      </c>
      <c r="F116" s="7" t="n">
        <v>327</v>
      </c>
      <c r="G116" s="7" t="n">
        <v>21.8</v>
      </c>
      <c r="H116" s="7" t="n">
        <v>6</v>
      </c>
      <c r="I116" s="7" t="n">
        <v>-15.8</v>
      </c>
      <c r="J116" s="8" t="n">
        <v>2854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ALL_PBM</t>
        </is>
      </c>
      <c r="C117" s="5" t="inlineStr">
        <is>
          <t>00069504530</t>
        </is>
      </c>
      <c r="D117" s="5" t="inlineStr">
        <is>
          <t>PAXLOVID (300/100) 20 X 150 MG &amp; 10 X 100MG TABLET THERAPY PACK</t>
        </is>
      </c>
      <c r="E117" s="6" t="inlineStr">
        <is>
          <t>30.0</t>
        </is>
      </c>
      <c r="F117" s="7" t="n">
        <v>60</v>
      </c>
      <c r="G117" s="7" t="n">
        <v>2</v>
      </c>
      <c r="H117" s="7" t="n">
        <v>1</v>
      </c>
      <c r="I117" s="7" t="n">
        <v>-1</v>
      </c>
      <c r="J117" s="8" t="n">
        <v>2723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ALL_PBM</t>
        </is>
      </c>
      <c r="C118" s="5" t="inlineStr">
        <is>
          <t>00597017560</t>
        </is>
      </c>
      <c r="D118" s="5" t="inlineStr">
        <is>
          <t>SYNJARDY 5-1000 MG TABLET</t>
        </is>
      </c>
      <c r="E118" s="6" t="inlineStr">
        <is>
          <t>60.0</t>
        </is>
      </c>
      <c r="F118" s="7" t="n">
        <v>300</v>
      </c>
      <c r="G118" s="7" t="n">
        <v>5</v>
      </c>
      <c r="H118" s="7" t="n">
        <v>3</v>
      </c>
      <c r="I118" s="7" t="n">
        <v>-2</v>
      </c>
      <c r="J118" s="8" t="n">
        <v>2538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ALL_PBM</t>
        </is>
      </c>
      <c r="C119" s="5" t="inlineStr">
        <is>
          <t>00169450114</t>
        </is>
      </c>
      <c r="D119" s="5" t="inlineStr">
        <is>
          <t>WEGOVY 1 MG/0.5ML AUTO-INJECTOR</t>
        </is>
      </c>
      <c r="E119" s="6" t="inlineStr">
        <is>
          <t>2.0</t>
        </is>
      </c>
      <c r="F119" s="7" t="n">
        <v>4</v>
      </c>
      <c r="G119" s="7" t="n">
        <v>2</v>
      </c>
      <c r="H119" s="7" t="n">
        <v>1</v>
      </c>
      <c r="I119" s="7" t="n">
        <v>-1</v>
      </c>
      <c r="J119" s="8" t="n">
        <v>2520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ALL_PBM</t>
        </is>
      </c>
      <c r="C120" s="5" t="inlineStr">
        <is>
          <t>00054032756</t>
        </is>
      </c>
      <c r="D120" s="5" t="inlineStr">
        <is>
          <t>FLUTICASONE-SALMETEROL 250-50 MCG/ACT INH AEROSOL</t>
        </is>
      </c>
      <c r="E120" s="6" t="inlineStr">
        <is>
          <t>60.0</t>
        </is>
      </c>
      <c r="F120" s="7" t="n">
        <v>2400</v>
      </c>
      <c r="G120" s="7" t="n">
        <v>40</v>
      </c>
      <c r="H120" s="7" t="n">
        <v>8</v>
      </c>
      <c r="I120" s="7" t="n">
        <v>-32</v>
      </c>
      <c r="J120" s="8" t="n">
        <v>2490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ALL_PBM</t>
        </is>
      </c>
      <c r="C121" s="5" t="inlineStr">
        <is>
          <t>00186037220</t>
        </is>
      </c>
      <c r="D121" s="5" t="inlineStr">
        <is>
          <t>SYMBICORT 80-4.5MCG/ACT AEROSOL</t>
        </is>
      </c>
      <c r="E121" s="6" t="inlineStr">
        <is>
          <t>10.2</t>
        </is>
      </c>
      <c r="F121" s="7" t="n">
        <v>122.4</v>
      </c>
      <c r="G121" s="7" t="n">
        <v>12</v>
      </c>
      <c r="H121" s="7" t="n">
        <v>0</v>
      </c>
      <c r="I121" s="7" t="n">
        <v>-12</v>
      </c>
      <c r="J121" s="8" t="n">
        <v>2480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ALL_PBM</t>
        </is>
      </c>
      <c r="C122" s="5" t="inlineStr">
        <is>
          <t>82584000330</t>
        </is>
      </c>
      <c r="D122" s="5" t="inlineStr">
        <is>
          <t>IYUZEH 0.005 % OPHTHALMIC SOLUTION</t>
        </is>
      </c>
      <c r="E122" s="6" t="inlineStr">
        <is>
          <t>30.0</t>
        </is>
      </c>
      <c r="F122" s="7" t="n">
        <v>240</v>
      </c>
      <c r="G122" s="7" t="n">
        <v>8</v>
      </c>
      <c r="H122" s="7" t="n">
        <v>1</v>
      </c>
      <c r="I122" s="7" t="n">
        <v>-7</v>
      </c>
      <c r="J122" s="8" t="n">
        <v>2400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ALL_PBM</t>
        </is>
      </c>
      <c r="C123" s="5" t="inlineStr">
        <is>
          <t>72426011803</t>
        </is>
      </c>
      <c r="D123" s="5" t="inlineStr">
        <is>
          <t>NEXLETOL 180 MG ORAL TABLET</t>
        </is>
      </c>
      <c r="E123" s="6" t="inlineStr">
        <is>
          <t>30.0</t>
        </is>
      </c>
      <c r="F123" s="7" t="n">
        <v>180</v>
      </c>
      <c r="G123" s="7" t="n">
        <v>6</v>
      </c>
      <c r="H123" s="7" t="n">
        <v>3</v>
      </c>
      <c r="I123" s="7" t="n">
        <v>-3</v>
      </c>
      <c r="J123" s="8" t="n">
        <v>2386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ALL_PBM</t>
        </is>
      </c>
      <c r="C124" s="5" t="inlineStr">
        <is>
          <t>72426081803</t>
        </is>
      </c>
      <c r="D124" s="5" t="inlineStr">
        <is>
          <t>NEXLIZET 180-10MG TABLET</t>
        </is>
      </c>
      <c r="E124" s="6" t="inlineStr">
        <is>
          <t>30.0</t>
        </is>
      </c>
      <c r="F124" s="7" t="n">
        <v>180</v>
      </c>
      <c r="G124" s="7" t="n">
        <v>6</v>
      </c>
      <c r="H124" s="7" t="n">
        <v>3</v>
      </c>
      <c r="I124" s="7" t="n">
        <v>-3</v>
      </c>
      <c r="J124" s="8" t="n">
        <v>2386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ALL_PBM</t>
        </is>
      </c>
      <c r="C125" s="5" t="inlineStr">
        <is>
          <t>99073070822</t>
        </is>
      </c>
      <c r="D125" s="5" t="inlineStr">
        <is>
          <t>FREESTYLE LITE TEST  STRIP</t>
        </is>
      </c>
      <c r="E125" s="6" t="inlineStr">
        <is>
          <t>50.0</t>
        </is>
      </c>
      <c r="F125" s="7" t="n">
        <v>1700</v>
      </c>
      <c r="G125" s="7" t="n">
        <v>34</v>
      </c>
      <c r="H125" s="7" t="n">
        <v>10</v>
      </c>
      <c r="I125" s="7" t="n">
        <v>-24</v>
      </c>
      <c r="J125" s="8" t="n">
        <v>2272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ALL_PBM</t>
        </is>
      </c>
      <c r="C126" s="5" t="inlineStr">
        <is>
          <t>00074709630</t>
        </is>
      </c>
      <c r="D126" s="5" t="inlineStr">
        <is>
          <t>QULIPTA 30 MG ORAL TABLET</t>
        </is>
      </c>
      <c r="E126" s="6" t="inlineStr">
        <is>
          <t>30.0</t>
        </is>
      </c>
      <c r="F126" s="7" t="n">
        <v>60</v>
      </c>
      <c r="G126" s="7" t="n">
        <v>2</v>
      </c>
      <c r="H126" s="7" t="n">
        <v>0</v>
      </c>
      <c r="I126" s="7" t="n">
        <v>-2</v>
      </c>
      <c r="J126" s="8" t="n">
        <v>2262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ALL_PBM</t>
        </is>
      </c>
      <c r="C127" s="5" t="inlineStr">
        <is>
          <t>00074732713</t>
        </is>
      </c>
      <c r="D127" s="5" t="inlineStr">
        <is>
          <t>DEPAKOTE 500MG TABLET DELAYED RELEASE</t>
        </is>
      </c>
      <c r="E127" s="6" t="inlineStr">
        <is>
          <t>100.0</t>
        </is>
      </c>
      <c r="F127" s="7" t="n">
        <v>300</v>
      </c>
      <c r="G127" s="7" t="n">
        <v>3</v>
      </c>
      <c r="H127" s="7" t="n">
        <v>2</v>
      </c>
      <c r="I127" s="7" t="n">
        <v>-1</v>
      </c>
      <c r="J127" s="8" t="n">
        <v>2228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ALL_PBM</t>
        </is>
      </c>
      <c r="C128" s="5" t="inlineStr">
        <is>
          <t>82667090002</t>
        </is>
      </c>
      <c r="D128" s="5" t="inlineStr">
        <is>
          <t>VEVYE 0.1 % OPHTHALMIC SOLUTION</t>
        </is>
      </c>
      <c r="E128" s="6" t="inlineStr">
        <is>
          <t>2.0</t>
        </is>
      </c>
      <c r="F128" s="7" t="n">
        <v>6</v>
      </c>
      <c r="G128" s="7" t="n">
        <v>3</v>
      </c>
      <c r="H128" s="7" t="n">
        <v>3</v>
      </c>
      <c r="I128" s="7" t="n">
        <v>0</v>
      </c>
      <c r="J128" s="8" t="n">
        <v>2191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ALL_PBM</t>
        </is>
      </c>
      <c r="C129" s="5" t="inlineStr">
        <is>
          <t>00173071720</t>
        </is>
      </c>
      <c r="D129" s="5" t="inlineStr">
        <is>
          <t>ADVAIR HFA 230-21 MCG/ACT INHALATION AEROSOL</t>
        </is>
      </c>
      <c r="E129" s="6" t="inlineStr">
        <is>
          <t>12.0</t>
        </is>
      </c>
      <c r="F129" s="7" t="n">
        <v>60</v>
      </c>
      <c r="G129" s="7" t="n">
        <v>5</v>
      </c>
      <c r="H129" s="7" t="n">
        <v>3</v>
      </c>
      <c r="I129" s="7" t="n">
        <v>-2</v>
      </c>
      <c r="J129" s="8" t="n">
        <v>2155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ALL_PBM</t>
        </is>
      </c>
      <c r="C130" s="5" t="inlineStr">
        <is>
          <t>59310030240</t>
        </is>
      </c>
      <c r="D130" s="5" t="inlineStr">
        <is>
          <t>QVAR REDIHALER 40MCG/ACT AEROSOL</t>
        </is>
      </c>
      <c r="E130" s="6" t="inlineStr">
        <is>
          <t>10.6</t>
        </is>
      </c>
      <c r="F130" s="7" t="n">
        <v>106</v>
      </c>
      <c r="G130" s="7" t="n">
        <v>10</v>
      </c>
      <c r="H130" s="7" t="n">
        <v>0</v>
      </c>
      <c r="I130" s="7" t="n">
        <v>-10</v>
      </c>
      <c r="J130" s="8" t="n">
        <v>2132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ALL_PBM</t>
        </is>
      </c>
      <c r="C131" s="5" t="inlineStr">
        <is>
          <t>00002246080</t>
        </is>
      </c>
      <c r="D131" s="5" t="inlineStr">
        <is>
          <t>ZEPBOUND 12.5 MG/0.5ML AUTO-INJECTOR</t>
        </is>
      </c>
      <c r="E131" s="6" t="inlineStr">
        <is>
          <t>2.0</t>
        </is>
      </c>
      <c r="F131" s="7" t="n">
        <v>4</v>
      </c>
      <c r="G131" s="7" t="n">
        <v>2</v>
      </c>
      <c r="H131" s="7" t="n">
        <v>1</v>
      </c>
      <c r="I131" s="7" t="n">
        <v>-1</v>
      </c>
      <c r="J131" s="8" t="n">
        <v>2104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ALL_PBM</t>
        </is>
      </c>
      <c r="C132" s="5" t="inlineStr">
        <is>
          <t>00597029588</t>
        </is>
      </c>
      <c r="D132" s="5" t="inlineStr">
        <is>
          <t>SYNJARDY XR 25-1000MG TABLET</t>
        </is>
      </c>
      <c r="E132" s="6" t="inlineStr">
        <is>
          <t>30.0</t>
        </is>
      </c>
      <c r="F132" s="7" t="n">
        <v>120</v>
      </c>
      <c r="G132" s="7" t="n">
        <v>4</v>
      </c>
      <c r="H132" s="7" t="n">
        <v>0</v>
      </c>
      <c r="I132" s="7" t="n">
        <v>-4</v>
      </c>
      <c r="J132" s="8" t="n">
        <v>2089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ALL_PBM</t>
        </is>
      </c>
      <c r="C133" s="5" t="inlineStr">
        <is>
          <t>00023320505</t>
        </is>
      </c>
      <c r="D133" s="5" t="inlineStr">
        <is>
          <t>LUMIGAN 0.01 % OPHTHALMIC SOLUTION</t>
        </is>
      </c>
      <c r="E133" s="6" t="inlineStr">
        <is>
          <t>5.0</t>
        </is>
      </c>
      <c r="F133" s="7" t="n">
        <v>20</v>
      </c>
      <c r="G133" s="7" t="n">
        <v>4</v>
      </c>
      <c r="H133" s="7" t="n">
        <v>1</v>
      </c>
      <c r="I133" s="7" t="n">
        <v>-3</v>
      </c>
      <c r="J133" s="8" t="n">
        <v>2020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ALL_PBM</t>
        </is>
      </c>
      <c r="C134" s="5" t="inlineStr">
        <is>
          <t>73154005060</t>
        </is>
      </c>
      <c r="D134" s="5" t="inlineStr">
        <is>
          <t>IBSRELA 50 MG ORAL TABLET</t>
        </is>
      </c>
      <c r="E134" s="6" t="inlineStr">
        <is>
          <t>60.0</t>
        </is>
      </c>
      <c r="F134" s="7" t="n">
        <v>60</v>
      </c>
      <c r="G134" s="7" t="n">
        <v>1</v>
      </c>
      <c r="H134" s="7" t="n">
        <v>0</v>
      </c>
      <c r="I134" s="7" t="n">
        <v>-1</v>
      </c>
      <c r="J134" s="8" t="n">
        <v>1965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ALL_PBM</t>
        </is>
      </c>
      <c r="C135" s="5" t="inlineStr">
        <is>
          <t>00597007541</t>
        </is>
      </c>
      <c r="D135" s="5" t="inlineStr">
        <is>
          <t>SPIRIVA HANDIHALER 18MCG CAPSULE</t>
        </is>
      </c>
      <c r="E135" s="6" t="inlineStr">
        <is>
          <t>30.0</t>
        </is>
      </c>
      <c r="F135" s="7" t="n">
        <v>180</v>
      </c>
      <c r="G135" s="7" t="n">
        <v>6</v>
      </c>
      <c r="H135" s="7" t="n">
        <v>0</v>
      </c>
      <c r="I135" s="7" t="n">
        <v>-6</v>
      </c>
      <c r="J135" s="8" t="n">
        <v>1932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ALL_PBM</t>
        </is>
      </c>
      <c r="C136" s="5" t="inlineStr">
        <is>
          <t>00023921110</t>
        </is>
      </c>
      <c r="D136" s="5" t="inlineStr">
        <is>
          <t>COMBIGAN 0.2-0.5% OPTH SOLUTION 10ML</t>
        </is>
      </c>
      <c r="E136" s="6" t="inlineStr">
        <is>
          <t>10.0</t>
        </is>
      </c>
      <c r="F136" s="7" t="n">
        <v>50</v>
      </c>
      <c r="G136" s="7" t="n">
        <v>5</v>
      </c>
      <c r="H136" s="7" t="n">
        <v>0</v>
      </c>
      <c r="I136" s="7" t="n">
        <v>-5</v>
      </c>
      <c r="J136" s="8" t="n">
        <v>1928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ALL_PBM</t>
        </is>
      </c>
      <c r="C137" s="5" t="inlineStr">
        <is>
          <t>50484001090</t>
        </is>
      </c>
      <c r="D137" s="5" t="inlineStr">
        <is>
          <t>SANTYL 250 UNIT/GM EXTERNAL OINTMENT</t>
        </is>
      </c>
      <c r="E137" s="6" t="inlineStr">
        <is>
          <t>90.0</t>
        </is>
      </c>
      <c r="F137" s="7" t="n">
        <v>180</v>
      </c>
      <c r="G137" s="7" t="n">
        <v>2</v>
      </c>
      <c r="H137" s="7" t="n">
        <v>1</v>
      </c>
      <c r="I137" s="7" t="n">
        <v>-1</v>
      </c>
      <c r="J137" s="8" t="n">
        <v>1916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ALL_PBM</t>
        </is>
      </c>
      <c r="C138" s="5" t="inlineStr">
        <is>
          <t>64764080530</t>
        </is>
      </c>
      <c r="D138" s="5" t="inlineStr">
        <is>
          <t>ROZEREM 8MG TABLET</t>
        </is>
      </c>
      <c r="E138" s="6" t="inlineStr">
        <is>
          <t>30.0</t>
        </is>
      </c>
      <c r="F138" s="7" t="n">
        <v>150</v>
      </c>
      <c r="G138" s="7" t="n">
        <v>5</v>
      </c>
      <c r="H138" s="7" t="n">
        <v>2</v>
      </c>
      <c r="I138" s="7" t="n">
        <v>-3</v>
      </c>
      <c r="J138" s="8" t="n">
        <v>1913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ALL_PBM</t>
        </is>
      </c>
      <c r="C139" s="5" t="inlineStr">
        <is>
          <t>00005200010</t>
        </is>
      </c>
      <c r="D139" s="5" t="inlineStr">
        <is>
          <t>PREVNAR 20 0.5 ML PREFILLED SYRINGE</t>
        </is>
      </c>
      <c r="E139" s="6" t="inlineStr">
        <is>
          <t>5.0</t>
        </is>
      </c>
      <c r="F139" s="7" t="n">
        <v>3.5</v>
      </c>
      <c r="G139" s="7" t="n">
        <v>0.7</v>
      </c>
      <c r="H139" s="7" t="n">
        <v>0</v>
      </c>
      <c r="I139" s="7" t="n">
        <v>-0.7</v>
      </c>
      <c r="J139" s="8" t="n">
        <v>1908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ALL_PBM</t>
        </is>
      </c>
      <c r="C140" s="5" t="inlineStr">
        <is>
          <t>00173086910</t>
        </is>
      </c>
      <c r="D140" s="5" t="inlineStr">
        <is>
          <t>ANORO ELLIPTA 62.5-25MCG/INH AEROSOL 60EA</t>
        </is>
      </c>
      <c r="E140" s="6" t="inlineStr">
        <is>
          <t>60.0</t>
        </is>
      </c>
      <c r="F140" s="7" t="n">
        <v>240</v>
      </c>
      <c r="G140" s="7" t="n">
        <v>4</v>
      </c>
      <c r="H140" s="7" t="n">
        <v>3</v>
      </c>
      <c r="I140" s="7" t="n">
        <v>-1</v>
      </c>
      <c r="J140" s="8" t="n">
        <v>1852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ALL_PBM</t>
        </is>
      </c>
      <c r="C141" s="5" t="inlineStr">
        <is>
          <t>59467067901</t>
        </is>
      </c>
      <c r="D141" s="5" t="inlineStr">
        <is>
          <t>KLOXXADO 8 MG/0.1ML NASAL LIQUID</t>
        </is>
      </c>
      <c r="E141" s="6" t="inlineStr">
        <is>
          <t>2.0</t>
        </is>
      </c>
      <c r="F141" s="7" t="n">
        <v>30</v>
      </c>
      <c r="G141" s="7" t="n">
        <v>15</v>
      </c>
      <c r="H141" s="7" t="n">
        <v>8</v>
      </c>
      <c r="I141" s="7" t="n">
        <v>-7</v>
      </c>
      <c r="J141" s="8" t="n">
        <v>1850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ALL_PBM</t>
        </is>
      </c>
      <c r="C142" s="5" t="inlineStr">
        <is>
          <t>81968035101</t>
        </is>
      </c>
      <c r="D142" s="5" t="inlineStr">
        <is>
          <t>SUNOSI 150 MG ORAL TABLET</t>
        </is>
      </c>
      <c r="E142" s="6" t="inlineStr">
        <is>
          <t>30.0</t>
        </is>
      </c>
      <c r="F142" s="7" t="n">
        <v>60</v>
      </c>
      <c r="G142" s="7" t="n">
        <v>2</v>
      </c>
      <c r="H142" s="7" t="n">
        <v>1</v>
      </c>
      <c r="I142" s="7" t="n">
        <v>-1</v>
      </c>
      <c r="J142" s="8" t="n">
        <v>1844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ALL_PBM</t>
        </is>
      </c>
      <c r="C143" s="5" t="inlineStr">
        <is>
          <t>00173069600</t>
        </is>
      </c>
      <c r="D143" s="5" t="inlineStr">
        <is>
          <t>ADVAIR DISKUS 250-50MCG/DOSE AEROSOL 60EA</t>
        </is>
      </c>
      <c r="E143" s="6" t="inlineStr">
        <is>
          <t>60.0</t>
        </is>
      </c>
      <c r="F143" s="7" t="n">
        <v>600</v>
      </c>
      <c r="G143" s="7" t="n">
        <v>10</v>
      </c>
      <c r="H143" s="7" t="n">
        <v>3</v>
      </c>
      <c r="I143" s="7" t="n">
        <v>-7</v>
      </c>
      <c r="J143" s="8" t="n">
        <v>1833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ALL_PBM</t>
        </is>
      </c>
      <c r="C144" s="5" t="inlineStr">
        <is>
          <t>08508300021</t>
        </is>
      </c>
      <c r="D144" s="5" t="inlineStr">
        <is>
          <t>OMNIPOD 5 G6 POD (GEN 5)</t>
        </is>
      </c>
      <c r="E144" s="6" t="inlineStr">
        <is>
          <t>5.0</t>
        </is>
      </c>
      <c r="F144" s="7" t="n">
        <v>30</v>
      </c>
      <c r="G144" s="7" t="n">
        <v>6</v>
      </c>
      <c r="H144" s="7" t="n">
        <v>0</v>
      </c>
      <c r="I144" s="7" t="n">
        <v>-6</v>
      </c>
      <c r="J144" s="8" t="n">
        <v>1770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ALL_PBM</t>
        </is>
      </c>
      <c r="C145" s="5" t="inlineStr">
        <is>
          <t>00006537303</t>
        </is>
      </c>
      <c r="D145" s="5" t="inlineStr">
        <is>
          <t>SEGLUROMET 2.5-1000MG TABLET</t>
        </is>
      </c>
      <c r="E145" s="6" t="inlineStr">
        <is>
          <t>60.0</t>
        </is>
      </c>
      <c r="F145" s="7" t="n">
        <v>300</v>
      </c>
      <c r="G145" s="7" t="n">
        <v>5</v>
      </c>
      <c r="H145" s="7" t="n">
        <v>1</v>
      </c>
      <c r="I145" s="7" t="n">
        <v>-4</v>
      </c>
      <c r="J145" s="8" t="n">
        <v>1767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ALL_PBM</t>
        </is>
      </c>
      <c r="C146" s="5" t="inlineStr">
        <is>
          <t>00046087221</t>
        </is>
      </c>
      <c r="D146" s="5" t="inlineStr">
        <is>
          <t>PREMARIN 0.625 MG/GM VAGINAL CREAM</t>
        </is>
      </c>
      <c r="E146" s="6" t="inlineStr">
        <is>
          <t>30.0</t>
        </is>
      </c>
      <c r="F146" s="7" t="n">
        <v>120</v>
      </c>
      <c r="G146" s="7" t="n">
        <v>4</v>
      </c>
      <c r="H146" s="7" t="n">
        <v>2</v>
      </c>
      <c r="I146" s="7" t="n">
        <v>-2</v>
      </c>
      <c r="J146" s="8" t="n">
        <v>1763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ALL_PBM</t>
        </is>
      </c>
      <c r="C147" s="5" t="inlineStr">
        <is>
          <t>00430042014</t>
        </is>
      </c>
      <c r="D147" s="5" t="inlineStr">
        <is>
          <t>LO LOESTRIN FE 1 MG-10 MCG / 10 MCG ORAL TABLET</t>
        </is>
      </c>
      <c r="E147" s="6" t="inlineStr">
        <is>
          <t>140.0</t>
        </is>
      </c>
      <c r="F147" s="7" t="n">
        <v>252</v>
      </c>
      <c r="G147" s="7" t="n">
        <v>1.8</v>
      </c>
      <c r="H147" s="7" t="n">
        <v>1</v>
      </c>
      <c r="I147" s="7" t="n">
        <v>-0.8</v>
      </c>
      <c r="J147" s="8" t="n">
        <v>1683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ALL_PBM</t>
        </is>
      </c>
      <c r="C148" s="5" t="inlineStr">
        <is>
          <t>00469266030</t>
        </is>
      </c>
      <c r="D148" s="5" t="inlineStr">
        <is>
          <t>VEOZAH 45 MG ORAL TABLET</t>
        </is>
      </c>
      <c r="E148" s="6" t="inlineStr">
        <is>
          <t>30.0</t>
        </is>
      </c>
      <c r="F148" s="7" t="n">
        <v>90</v>
      </c>
      <c r="G148" s="7" t="n">
        <v>3</v>
      </c>
      <c r="H148" s="7" t="n">
        <v>0</v>
      </c>
      <c r="I148" s="7" t="n">
        <v>-3</v>
      </c>
      <c r="J148" s="8" t="n">
        <v>1642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ALL_PBM</t>
        </is>
      </c>
      <c r="C149" s="5" t="inlineStr">
        <is>
          <t>50458057760</t>
        </is>
      </c>
      <c r="D149" s="5" t="inlineStr">
        <is>
          <t>XARELTO 2.5 MG TABLET</t>
        </is>
      </c>
      <c r="E149" s="6" t="inlineStr">
        <is>
          <t>60.0</t>
        </is>
      </c>
      <c r="F149" s="7" t="n">
        <v>180</v>
      </c>
      <c r="G149" s="7" t="n">
        <v>3</v>
      </c>
      <c r="H149" s="7" t="n">
        <v>1</v>
      </c>
      <c r="I149" s="7" t="n">
        <v>-2</v>
      </c>
      <c r="J149" s="8" t="n">
        <v>1604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ALL_PBM</t>
        </is>
      </c>
      <c r="C150" s="5" t="inlineStr">
        <is>
          <t>00310756090</t>
        </is>
      </c>
      <c r="D150" s="5" t="inlineStr">
        <is>
          <t>CRESTOR 5MG TABLET</t>
        </is>
      </c>
      <c r="E150" s="6" t="inlineStr">
        <is>
          <t>90.0</t>
        </is>
      </c>
      <c r="F150" s="7" t="n">
        <v>180</v>
      </c>
      <c r="G150" s="7" t="n">
        <v>2</v>
      </c>
      <c r="H150" s="7" t="n">
        <v>1</v>
      </c>
      <c r="I150" s="7" t="n">
        <v>-1</v>
      </c>
      <c r="J150" s="8" t="n">
        <v>1547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ALL_PBM</t>
        </is>
      </c>
      <c r="C151" s="5" t="inlineStr">
        <is>
          <t>00173088210</t>
        </is>
      </c>
      <c r="D151" s="5" t="inlineStr">
        <is>
          <t>BREO ELLIPTA 200-25MCG/INH AEROSOL 60EA</t>
        </is>
      </c>
      <c r="E151" s="6" t="inlineStr">
        <is>
          <t>60.0</t>
        </is>
      </c>
      <c r="F151" s="7" t="n">
        <v>240</v>
      </c>
      <c r="G151" s="7" t="n">
        <v>4</v>
      </c>
      <c r="H151" s="7" t="n">
        <v>10</v>
      </c>
      <c r="I151" s="7" t="n">
        <v>6</v>
      </c>
      <c r="J151" s="8" t="n">
        <v>1539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ALL_PBM</t>
        </is>
      </c>
      <c r="C152" s="5" t="inlineStr">
        <is>
          <t>55724021121</t>
        </is>
      </c>
      <c r="D152" s="5" t="inlineStr">
        <is>
          <t>EUCRISA 2% OINTMENT</t>
        </is>
      </c>
      <c r="E152" s="6" t="inlineStr">
        <is>
          <t>60.0</t>
        </is>
      </c>
      <c r="F152" s="7" t="n">
        <v>120</v>
      </c>
      <c r="G152" s="7" t="n">
        <v>2</v>
      </c>
      <c r="H152" s="7" t="n">
        <v>0</v>
      </c>
      <c r="I152" s="7" t="n">
        <v>-2</v>
      </c>
      <c r="J152" s="8" t="n">
        <v>1538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ALL_PBM</t>
        </is>
      </c>
      <c r="C153" s="5" t="inlineStr">
        <is>
          <t>00065414727</t>
        </is>
      </c>
      <c r="D153" s="5" t="inlineStr">
        <is>
          <t>SIMBRINZA 1-0.2 % OPHTHALMIC SUSPENSION</t>
        </is>
      </c>
      <c r="E153" s="6" t="inlineStr">
        <is>
          <t>8.0</t>
        </is>
      </c>
      <c r="F153" s="7" t="n">
        <v>56</v>
      </c>
      <c r="G153" s="7" t="n">
        <v>7</v>
      </c>
      <c r="H153" s="7" t="n">
        <v>1</v>
      </c>
      <c r="I153" s="7" t="n">
        <v>-6</v>
      </c>
      <c r="J153" s="8" t="n">
        <v>1506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ALL_PBM</t>
        </is>
      </c>
      <c r="C154" s="5" t="inlineStr">
        <is>
          <t>59148003613</t>
        </is>
      </c>
      <c r="D154" s="5" t="inlineStr">
        <is>
          <t>REXULTI 0.5 MG ORAL TABLET</t>
        </is>
      </c>
      <c r="E154" s="6" t="inlineStr">
        <is>
          <t>30.0</t>
        </is>
      </c>
      <c r="F154" s="7" t="n">
        <v>30</v>
      </c>
      <c r="G154" s="7" t="n">
        <v>1</v>
      </c>
      <c r="H154" s="7" t="n">
        <v>1</v>
      </c>
      <c r="I154" s="7" t="n">
        <v>0</v>
      </c>
      <c r="J154" s="8" t="n">
        <v>1480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ALL_PBM</t>
        </is>
      </c>
      <c r="C155" s="5" t="inlineStr">
        <is>
          <t>61874014530</t>
        </is>
      </c>
      <c r="D155" s="5" t="inlineStr">
        <is>
          <t>VRAYLAR 4.5 MG ORAL CAPSULE</t>
        </is>
      </c>
      <c r="E155" s="6" t="inlineStr">
        <is>
          <t>30.0</t>
        </is>
      </c>
      <c r="F155" s="7" t="n">
        <v>30</v>
      </c>
      <c r="G155" s="7" t="n">
        <v>1</v>
      </c>
      <c r="H155" s="7" t="n">
        <v>1</v>
      </c>
      <c r="I155" s="7" t="n">
        <v>0</v>
      </c>
      <c r="J155" s="8" t="n">
        <v>1466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ALL_PBM</t>
        </is>
      </c>
      <c r="C156" s="5" t="inlineStr">
        <is>
          <t>64764017530</t>
        </is>
      </c>
      <c r="D156" s="5" t="inlineStr">
        <is>
          <t xml:space="preserve">DEXILANT 60MG CAP </t>
        </is>
      </c>
      <c r="E156" s="6" t="inlineStr">
        <is>
          <t>30.0</t>
        </is>
      </c>
      <c r="F156" s="7" t="n">
        <v>150</v>
      </c>
      <c r="G156" s="7" t="n">
        <v>5</v>
      </c>
      <c r="H156" s="7" t="n">
        <v>1</v>
      </c>
      <c r="I156" s="7" t="n">
        <v>-4</v>
      </c>
      <c r="J156" s="8" t="n">
        <v>1458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ALL_PBM</t>
        </is>
      </c>
      <c r="C157" s="5" t="inlineStr">
        <is>
          <t>83257001233</t>
        </is>
      </c>
      <c r="D157" s="5" t="inlineStr">
        <is>
          <t>SEMGLEE (YFGN) 100 UNIT/ML PEN-INJECTOR</t>
        </is>
      </c>
      <c r="E157" s="6" t="inlineStr">
        <is>
          <t>15.0</t>
        </is>
      </c>
      <c r="F157" s="7" t="n">
        <v>57</v>
      </c>
      <c r="G157" s="7" t="n">
        <v>3.8</v>
      </c>
      <c r="H157" s="7" t="n">
        <v>0</v>
      </c>
      <c r="I157" s="7" t="n">
        <v>-3.8</v>
      </c>
      <c r="J157" s="8" t="n">
        <v>1376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ALL_PBM</t>
        </is>
      </c>
      <c r="C158" s="5" t="inlineStr">
        <is>
          <t>62856040530</t>
        </is>
      </c>
      <c r="D158" s="5" t="inlineStr">
        <is>
          <t>DAYVIGO 5 MG ORAL TABLET</t>
        </is>
      </c>
      <c r="E158" s="6" t="inlineStr">
        <is>
          <t>30.0</t>
        </is>
      </c>
      <c r="F158" s="7" t="n">
        <v>120</v>
      </c>
      <c r="G158" s="7" t="n">
        <v>4</v>
      </c>
      <c r="H158" s="7" t="n">
        <v>3</v>
      </c>
      <c r="I158" s="7" t="n">
        <v>-1</v>
      </c>
      <c r="J158" s="8" t="n">
        <v>1355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ALL_PBM</t>
        </is>
      </c>
      <c r="C159" s="5" t="inlineStr">
        <is>
          <t>00169266015</t>
        </is>
      </c>
      <c r="D159" s="5" t="inlineStr">
        <is>
          <t>TRESIBA FLEXTOUCH 100UNIT/ML INJECTION</t>
        </is>
      </c>
      <c r="E159" s="6" t="inlineStr">
        <is>
          <t>15.0</t>
        </is>
      </c>
      <c r="F159" s="7" t="n">
        <v>39</v>
      </c>
      <c r="G159" s="7" t="n">
        <v>2.6</v>
      </c>
      <c r="H159" s="7" t="n">
        <v>0</v>
      </c>
      <c r="I159" s="7" t="n">
        <v>-2.6</v>
      </c>
      <c r="J159" s="8" t="n">
        <v>1225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ALL_PBM</t>
        </is>
      </c>
      <c r="C160" s="5" t="inlineStr">
        <is>
          <t>00023917715</t>
        </is>
      </c>
      <c r="D160" s="5" t="inlineStr">
        <is>
          <t>ALPHAGAN P 0.15 % OPHTHALMIC SOLUTION</t>
        </is>
      </c>
      <c r="E160" s="6" t="inlineStr">
        <is>
          <t>15.0</t>
        </is>
      </c>
      <c r="F160" s="7" t="n">
        <v>30</v>
      </c>
      <c r="G160" s="7" t="n">
        <v>2</v>
      </c>
      <c r="H160" s="7" t="n">
        <v>0</v>
      </c>
      <c r="I160" s="7" t="n">
        <v>-2</v>
      </c>
      <c r="J160" s="8" t="n">
        <v>1217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ALL_PBM</t>
        </is>
      </c>
      <c r="C161" s="5" t="inlineStr">
        <is>
          <t>65702071110</t>
        </is>
      </c>
      <c r="D161" s="5" t="inlineStr">
        <is>
          <t>ACCU-CHEK GUIDE IN VITRO STRIP</t>
        </is>
      </c>
      <c r="E161" s="6" t="inlineStr">
        <is>
          <t>50.0</t>
        </is>
      </c>
      <c r="F161" s="7" t="n">
        <v>3200</v>
      </c>
      <c r="G161" s="7" t="n">
        <v>64</v>
      </c>
      <c r="H161" s="7" t="n">
        <v>22</v>
      </c>
      <c r="I161" s="7" t="n">
        <v>-42</v>
      </c>
      <c r="J161" s="8" t="n">
        <v>1198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ALL_PBM</t>
        </is>
      </c>
      <c r="C162" s="5" t="inlineStr">
        <is>
          <t>71699020030</t>
        </is>
      </c>
      <c r="D162" s="5" t="inlineStr">
        <is>
          <t>XCOPRI 200 MG ORAL TABLET</t>
        </is>
      </c>
      <c r="E162" s="6" t="inlineStr">
        <is>
          <t>30.0</t>
        </is>
      </c>
      <c r="F162" s="7" t="n">
        <v>30</v>
      </c>
      <c r="G162" s="7" t="n">
        <v>1</v>
      </c>
      <c r="H162" s="7" t="n">
        <v>1</v>
      </c>
      <c r="I162" s="7" t="n">
        <v>0</v>
      </c>
      <c r="J162" s="8" t="n">
        <v>1191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ALL_PBM</t>
        </is>
      </c>
      <c r="C163" s="5" t="inlineStr">
        <is>
          <t>00005200002</t>
        </is>
      </c>
      <c r="D163" s="5" t="inlineStr">
        <is>
          <t>PREVNAR 20 0.5 ML INTRAMUSCULAR SUSPENSION PREFILLED SYRINGE</t>
        </is>
      </c>
      <c r="E163" s="6" t="inlineStr">
        <is>
          <t>0.5</t>
        </is>
      </c>
      <c r="F163" s="7" t="n">
        <v>2</v>
      </c>
      <c r="G163" s="7" t="n">
        <v>4</v>
      </c>
      <c r="H163" s="7" t="n">
        <v>0</v>
      </c>
      <c r="I163" s="7" t="n">
        <v>-4</v>
      </c>
      <c r="J163" s="8" t="n">
        <v>1170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ALL_PBM</t>
        </is>
      </c>
      <c r="C164" s="5" t="inlineStr">
        <is>
          <t>00024586903</t>
        </is>
      </c>
      <c r="D164" s="5" t="inlineStr">
        <is>
          <t>TOUJEO SOLOSTAR 300UNIT/ML INJECTION</t>
        </is>
      </c>
      <c r="E164" s="6" t="inlineStr">
        <is>
          <t>4.5</t>
        </is>
      </c>
      <c r="F164" s="7" t="n">
        <v>13.5</v>
      </c>
      <c r="G164" s="7" t="n">
        <v>3</v>
      </c>
      <c r="H164" s="7" t="n">
        <v>0</v>
      </c>
      <c r="I164" s="7" t="n">
        <v>-3</v>
      </c>
      <c r="J164" s="8" t="n">
        <v>1169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ALL_PBM</t>
        </is>
      </c>
      <c r="C165" s="5" t="inlineStr">
        <is>
          <t>71699020328</t>
        </is>
      </c>
      <c r="D165" s="5" t="inlineStr">
        <is>
          <t>XCOPRI 14 X 150 MG &amp; 14 X200 MG ORAL TABLET THERAPY PACK</t>
        </is>
      </c>
      <c r="E165" s="6" t="inlineStr">
        <is>
          <t>28.0</t>
        </is>
      </c>
      <c r="F165" s="7" t="n">
        <v>28</v>
      </c>
      <c r="G165" s="7" t="n">
        <v>1</v>
      </c>
      <c r="H165" s="7" t="n">
        <v>0</v>
      </c>
      <c r="I165" s="7" t="n">
        <v>-1</v>
      </c>
      <c r="J165" s="8" t="n">
        <v>1146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ALL_PBM</t>
        </is>
      </c>
      <c r="C166" s="5" t="inlineStr">
        <is>
          <t>17772013230</t>
        </is>
      </c>
      <c r="D166" s="5" t="inlineStr">
        <is>
          <t>QELBREE 150MG CAPSULE ER</t>
        </is>
      </c>
      <c r="E166" s="6" t="inlineStr">
        <is>
          <t>30.0</t>
        </is>
      </c>
      <c r="F166" s="7" t="n">
        <v>90</v>
      </c>
      <c r="G166" s="7" t="n">
        <v>3</v>
      </c>
      <c r="H166" s="7" t="n">
        <v>3</v>
      </c>
      <c r="I166" s="7" t="n">
        <v>0</v>
      </c>
      <c r="J166" s="8" t="n">
        <v>1113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ALL_PBM</t>
        </is>
      </c>
      <c r="C167" s="5" t="inlineStr">
        <is>
          <t>65162035803</t>
        </is>
      </c>
      <c r="D167" s="5" t="inlineStr">
        <is>
          <t>ZAFEMY 150-35 MCG/24HR TRANSDERMAL PATCH WEEKLY</t>
        </is>
      </c>
      <c r="E167" s="6" t="inlineStr">
        <is>
          <t>3.0</t>
        </is>
      </c>
      <c r="F167" s="7" t="n">
        <v>33</v>
      </c>
      <c r="G167" s="7" t="n">
        <v>11</v>
      </c>
      <c r="H167" s="7" t="n">
        <v>1</v>
      </c>
      <c r="I167" s="7" t="n">
        <v>-10</v>
      </c>
      <c r="J167" s="8" t="n">
        <v>1098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ALL_PBM</t>
        </is>
      </c>
      <c r="C168" s="5" t="inlineStr">
        <is>
          <t>00002882427</t>
        </is>
      </c>
      <c r="D168" s="5" t="inlineStr">
        <is>
          <t>HUMULIN R U-500 KWIKPEN 500UNIT/ML INJECTION</t>
        </is>
      </c>
      <c r="E168" s="6" t="inlineStr">
        <is>
          <t>6.0</t>
        </is>
      </c>
      <c r="F168" s="7" t="n">
        <v>12</v>
      </c>
      <c r="G168" s="7" t="n">
        <v>2</v>
      </c>
      <c r="H168" s="7" t="n">
        <v>1</v>
      </c>
      <c r="I168" s="7" t="n">
        <v>-1</v>
      </c>
      <c r="J168" s="8" t="n">
        <v>1088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ALL_PBM</t>
        </is>
      </c>
      <c r="C169" s="5" t="inlineStr">
        <is>
          <t>00002250680</t>
        </is>
      </c>
      <c r="D169" s="5" t="inlineStr">
        <is>
          <t>ZEPBOUND 2.5 MG/0.5ML AUTO-INJECTOR</t>
        </is>
      </c>
      <c r="E169" s="6" t="inlineStr">
        <is>
          <t>2.0</t>
        </is>
      </c>
      <c r="F169" s="7" t="n">
        <v>2</v>
      </c>
      <c r="G169" s="7" t="n">
        <v>1</v>
      </c>
      <c r="H169" s="7" t="n">
        <v>1</v>
      </c>
      <c r="I169" s="7" t="n">
        <v>0</v>
      </c>
      <c r="J169" s="8" t="n">
        <v>1048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ALL_PBM</t>
        </is>
      </c>
      <c r="C170" s="5" t="inlineStr">
        <is>
          <t>00002249580</t>
        </is>
      </c>
      <c r="D170" s="5" t="inlineStr">
        <is>
          <t>ZEPBOUND 5 MG/0.5ML AUTO-INJECTOR</t>
        </is>
      </c>
      <c r="E170" s="6" t="inlineStr">
        <is>
          <t>2.0</t>
        </is>
      </c>
      <c r="F170" s="7" t="n">
        <v>2</v>
      </c>
      <c r="G170" s="7" t="n">
        <v>1</v>
      </c>
      <c r="H170" s="7" t="n">
        <v>1</v>
      </c>
      <c r="I170" s="7" t="n">
        <v>0</v>
      </c>
      <c r="J170" s="8" t="n">
        <v>1048</v>
      </c>
      <c r="K170" s="9">
        <f>IFERROR(IF((ROUND((J170/G170)*I170,1))&lt;0,(ROUND((J170/G170)*I170,1)),0),0)</f>
        <v/>
      </c>
    </row>
    <row r="171">
      <c r="A171" s="4" t="n">
        <v>168</v>
      </c>
      <c r="B171" s="5" t="inlineStr">
        <is>
          <t>ALL_PBM</t>
        </is>
      </c>
      <c r="C171" s="5" t="inlineStr">
        <is>
          <t>00597010061</t>
        </is>
      </c>
      <c r="D171" s="5" t="inlineStr">
        <is>
          <t>SPIRIVA RESPIMAT 2.5MCG/ACT AEROSOL</t>
        </is>
      </c>
      <c r="E171" s="6" t="inlineStr">
        <is>
          <t>4.0</t>
        </is>
      </c>
      <c r="F171" s="7" t="n">
        <v>8</v>
      </c>
      <c r="G171" s="7" t="n">
        <v>2</v>
      </c>
      <c r="H171" s="7" t="n">
        <v>2</v>
      </c>
      <c r="I171" s="7" t="n">
        <v>0</v>
      </c>
      <c r="J171" s="8" t="n">
        <v>1030</v>
      </c>
      <c r="K171" s="9">
        <f>IFERROR(IF((ROUND((J171/G171)*I171,1))&lt;0,(ROUND((J171/G171)*I171,1)),0),0)</f>
        <v/>
      </c>
    </row>
    <row r="172">
      <c r="A172" s="4" t="n">
        <v>169</v>
      </c>
      <c r="B172" s="5" t="inlineStr">
        <is>
          <t>ALL_PBM</t>
        </is>
      </c>
      <c r="C172" s="5" t="inlineStr">
        <is>
          <t>78206012601</t>
        </is>
      </c>
      <c r="D172" s="5" t="inlineStr">
        <is>
          <t>DULERA 200-5 MCG/ACT INH AEROSOL 13GM</t>
        </is>
      </c>
      <c r="E172" s="6" t="inlineStr">
        <is>
          <t>13.0</t>
        </is>
      </c>
      <c r="F172" s="7" t="n">
        <v>39</v>
      </c>
      <c r="G172" s="7" t="n">
        <v>3</v>
      </c>
      <c r="H172" s="7" t="n">
        <v>2</v>
      </c>
      <c r="I172" s="7" t="n">
        <v>-1</v>
      </c>
      <c r="J172" s="8" t="n">
        <v>995</v>
      </c>
      <c r="K172" s="9">
        <f>IFERROR(IF((ROUND((J172/G172)*I172,1))&lt;0,(ROUND((J172/G172)*I172,1)),0),0)</f>
        <v/>
      </c>
    </row>
    <row r="173">
      <c r="A173" s="4" t="n">
        <v>170</v>
      </c>
      <c r="B173" s="5" t="inlineStr">
        <is>
          <t>ALL_PBM</t>
        </is>
      </c>
      <c r="C173" s="5" t="inlineStr">
        <is>
          <t>00597038068</t>
        </is>
      </c>
      <c r="D173" s="5" t="inlineStr">
        <is>
          <t>TRIJARDY XR 10-5-1000 MG ORAL TABLET EXTENDED RELEASE 24 HOUR</t>
        </is>
      </c>
      <c r="E173" s="6" t="inlineStr">
        <is>
          <t>90.0</t>
        </is>
      </c>
      <c r="F173" s="7" t="n">
        <v>90</v>
      </c>
      <c r="G173" s="7" t="n">
        <v>1</v>
      </c>
      <c r="H173" s="7" t="n">
        <v>1</v>
      </c>
      <c r="I173" s="7" t="n">
        <v>0</v>
      </c>
      <c r="J173" s="8" t="n">
        <v>982</v>
      </c>
      <c r="K173" s="9">
        <f>IFERROR(IF((ROUND((J173/G173)*I173,1))&lt;0,(ROUND((J173/G173)*I173,1)),0),0)</f>
        <v/>
      </c>
    </row>
    <row r="174">
      <c r="A174" s="4" t="n">
        <v>171</v>
      </c>
      <c r="B174" s="5" t="inlineStr">
        <is>
          <t>ALL_PBM</t>
        </is>
      </c>
      <c r="C174" s="5" t="inlineStr">
        <is>
          <t>57599084400</t>
        </is>
      </c>
      <c r="D174" s="5" t="inlineStr">
        <is>
          <t>FREESTYLE LIBRE 3 PLUS SENSOR</t>
        </is>
      </c>
      <c r="E174" s="6" t="inlineStr">
        <is>
          <t>1.0</t>
        </is>
      </c>
      <c r="F174" s="7" t="n">
        <v>12</v>
      </c>
      <c r="G174" s="7" t="n">
        <v>12</v>
      </c>
      <c r="H174" s="7" t="n">
        <v>0</v>
      </c>
      <c r="I174" s="7" t="n">
        <v>-12</v>
      </c>
      <c r="J174" s="8" t="n">
        <v>937</v>
      </c>
      <c r="K174" s="9">
        <f>IFERROR(IF((ROUND((J174/G174)*I174,1))&lt;0,(ROUND((J174/G174)*I174,1)),0),0)</f>
        <v/>
      </c>
    </row>
    <row r="175">
      <c r="A175" s="4" t="n">
        <v>172</v>
      </c>
      <c r="B175" s="5" t="inlineStr">
        <is>
          <t>ALL_PBM</t>
        </is>
      </c>
      <c r="C175" s="5" t="inlineStr">
        <is>
          <t>82625880201</t>
        </is>
      </c>
      <c r="D175" s="5" t="inlineStr">
        <is>
          <t>MOVANTIK 25MG TABLET</t>
        </is>
      </c>
      <c r="E175" s="6" t="inlineStr">
        <is>
          <t>30.0</t>
        </is>
      </c>
      <c r="F175" s="7" t="n">
        <v>60</v>
      </c>
      <c r="G175" s="7" t="n">
        <v>2</v>
      </c>
      <c r="H175" s="7" t="n">
        <v>0</v>
      </c>
      <c r="I175" s="7" t="n">
        <v>-2</v>
      </c>
      <c r="J175" s="8" t="n">
        <v>856</v>
      </c>
      <c r="K175" s="9">
        <f>IFERROR(IF((ROUND((J175/G175)*I175,1))&lt;0,(ROUND((J175/G175)*I175,1)),0),0)</f>
        <v/>
      </c>
    </row>
    <row r="176">
      <c r="A176" s="4" t="n">
        <v>173</v>
      </c>
      <c r="B176" s="5" t="inlineStr">
        <is>
          <t>ALL_PBM</t>
        </is>
      </c>
      <c r="C176" s="5" t="inlineStr">
        <is>
          <t>59676031001</t>
        </is>
      </c>
      <c r="D176" s="5" t="inlineStr">
        <is>
          <t>PROCRIT 10000 UNIT/ML INJECTION SOLUTION</t>
        </is>
      </c>
      <c r="E176" s="6" t="inlineStr">
        <is>
          <t>6.0</t>
        </is>
      </c>
      <c r="F176" s="7" t="n">
        <v>3</v>
      </c>
      <c r="G176" s="7" t="n">
        <v>0.5</v>
      </c>
      <c r="H176" s="7" t="n">
        <v>0</v>
      </c>
      <c r="I176" s="7" t="n">
        <v>-0.5</v>
      </c>
      <c r="J176" s="8" t="n">
        <v>750</v>
      </c>
      <c r="K176" s="9">
        <f>IFERROR(IF((ROUND((J176/G176)*I176,1))&lt;0,(ROUND((J176/G176)*I176,1)),0),0)</f>
        <v/>
      </c>
    </row>
    <row r="177">
      <c r="A177" s="4" t="n">
        <v>174</v>
      </c>
      <c r="B177" s="5" t="inlineStr">
        <is>
          <t>ALL_PBM</t>
        </is>
      </c>
      <c r="C177" s="5" t="inlineStr">
        <is>
          <t>00023320503</t>
        </is>
      </c>
      <c r="D177" s="5" t="inlineStr">
        <is>
          <t>LUMIGAN 0.01% SOLUTION</t>
        </is>
      </c>
      <c r="E177" s="6" t="inlineStr">
        <is>
          <t>2.5</t>
        </is>
      </c>
      <c r="F177" s="7" t="n">
        <v>7.5</v>
      </c>
      <c r="G177" s="7" t="n">
        <v>3</v>
      </c>
      <c r="H177" s="7" t="n">
        <v>0</v>
      </c>
      <c r="I177" s="7" t="n">
        <v>-3</v>
      </c>
      <c r="J177" s="8" t="n">
        <v>740</v>
      </c>
      <c r="K177" s="9">
        <f>IFERROR(IF((ROUND((J177/G177)*I177,1))&lt;0,(ROUND((J177/G177)*I177,1)),0),0)</f>
        <v/>
      </c>
    </row>
    <row r="178">
      <c r="A178" s="4" t="n">
        <v>175</v>
      </c>
      <c r="B178" s="5" t="inlineStr">
        <is>
          <t>ALL_PBM</t>
        </is>
      </c>
      <c r="C178" s="5" t="inlineStr">
        <is>
          <t>81520010030</t>
        </is>
      </c>
      <c r="D178" s="5" t="inlineStr">
        <is>
          <t>VOQUEZNA 10 MG ORAL TABLET</t>
        </is>
      </c>
      <c r="E178" s="6" t="inlineStr">
        <is>
          <t>30.0</t>
        </is>
      </c>
      <c r="F178" s="7" t="n">
        <v>30</v>
      </c>
      <c r="G178" s="7" t="n">
        <v>1</v>
      </c>
      <c r="H178" s="7" t="n">
        <v>1</v>
      </c>
      <c r="I178" s="7" t="n">
        <v>0</v>
      </c>
      <c r="J178" s="8" t="n">
        <v>669</v>
      </c>
      <c r="K178" s="9">
        <f>IFERROR(IF((ROUND((J178/G178)*I178,1))&lt;0,(ROUND((J178/G178)*I178,1)),0),0)</f>
        <v/>
      </c>
    </row>
    <row r="179">
      <c r="A179" s="4" t="n">
        <v>176</v>
      </c>
      <c r="B179" s="5" t="inlineStr">
        <is>
          <t>ALL_PBM</t>
        </is>
      </c>
      <c r="C179" s="5" t="inlineStr">
        <is>
          <t>00006412102</t>
        </is>
      </c>
      <c r="D179" s="5" t="inlineStr">
        <is>
          <t>GARDASIL 9 INTRAMUSCULAR SUSPENSION PREFILLED SYRINGE</t>
        </is>
      </c>
      <c r="E179" s="6" t="inlineStr">
        <is>
          <t>5.0</t>
        </is>
      </c>
      <c r="F179" s="7" t="n">
        <v>1</v>
      </c>
      <c r="G179" s="7" t="n">
        <v>0.2</v>
      </c>
      <c r="H179" s="7" t="n">
        <v>0</v>
      </c>
      <c r="I179" s="7" t="n">
        <v>-0.2</v>
      </c>
      <c r="J179" s="8" t="n">
        <v>666</v>
      </c>
      <c r="K179" s="9">
        <f>IFERROR(IF((ROUND((J179/G179)*I179,1))&lt;0,(ROUND((J179/G179)*I179,1)),0),0)</f>
        <v/>
      </c>
    </row>
    <row r="180">
      <c r="A180" s="4" t="n">
        <v>177</v>
      </c>
      <c r="B180" s="5" t="inlineStr">
        <is>
          <t>ALL_PBM</t>
        </is>
      </c>
      <c r="C180" s="5" t="inlineStr">
        <is>
          <t>50474050015</t>
        </is>
      </c>
      <c r="D180" s="5" t="inlineStr">
        <is>
          <t>NAYZILAM 5 MG/0.1ML NASAL SOLUTION</t>
        </is>
      </c>
      <c r="E180" s="6" t="inlineStr">
        <is>
          <t>2.0</t>
        </is>
      </c>
      <c r="F180" s="7" t="n">
        <v>2</v>
      </c>
      <c r="G180" s="7" t="n">
        <v>1</v>
      </c>
      <c r="H180" s="7" t="n">
        <v>0</v>
      </c>
      <c r="I180" s="7" t="n">
        <v>-1</v>
      </c>
      <c r="J180" s="8" t="n">
        <v>649</v>
      </c>
      <c r="K180" s="9">
        <f>IFERROR(IF((ROUND((J180/G180)*I180,1))&lt;0,(ROUND((J180/G180)*I180,1)),0),0)</f>
        <v/>
      </c>
    </row>
    <row r="181">
      <c r="A181" s="4" t="n">
        <v>178</v>
      </c>
      <c r="B181" s="5" t="inlineStr">
        <is>
          <t>ALL_PBM</t>
        </is>
      </c>
      <c r="C181" s="5" t="inlineStr">
        <is>
          <t>00169750111</t>
        </is>
      </c>
      <c r="D181" s="5" t="inlineStr">
        <is>
          <t>NOVOLOG 100UNIT/ML SOLUTION</t>
        </is>
      </c>
      <c r="E181" s="6" t="inlineStr">
        <is>
          <t>10.0</t>
        </is>
      </c>
      <c r="F181" s="7" t="n">
        <v>90</v>
      </c>
      <c r="G181" s="7" t="n">
        <v>9</v>
      </c>
      <c r="H181" s="7" t="n">
        <v>6</v>
      </c>
      <c r="I181" s="7" t="n">
        <v>-3</v>
      </c>
      <c r="J181" s="8" t="n">
        <v>618</v>
      </c>
      <c r="K181" s="9">
        <f>IFERROR(IF((ROUND((J181/G181)*I181,1))&lt;0,(ROUND((J181/G181)*I181,1)),0),0)</f>
        <v/>
      </c>
    </row>
    <row r="182">
      <c r="A182" s="4" t="n">
        <v>179</v>
      </c>
      <c r="B182" s="5" t="inlineStr">
        <is>
          <t>ALL_PBM</t>
        </is>
      </c>
      <c r="C182" s="5" t="inlineStr">
        <is>
          <t>08627007801</t>
        </is>
      </c>
      <c r="D182" s="5" t="inlineStr">
        <is>
          <t>DEXCOM G7 RECEIVER DEVICE</t>
        </is>
      </c>
      <c r="E182" s="6" t="inlineStr">
        <is>
          <t>1.0</t>
        </is>
      </c>
      <c r="F182" s="7" t="n">
        <v>2</v>
      </c>
      <c r="G182" s="7" t="n">
        <v>2</v>
      </c>
      <c r="H182" s="7" t="n">
        <v>1</v>
      </c>
      <c r="I182" s="7" t="n">
        <v>-1</v>
      </c>
      <c r="J182" s="8" t="n">
        <v>597</v>
      </c>
      <c r="K182" s="9">
        <f>IFERROR(IF((ROUND((J182/G182)*I182,1))&lt;0,(ROUND((J182/G182)*I182,1)),0),0)</f>
        <v/>
      </c>
    </row>
    <row r="183">
      <c r="A183" s="4" t="n">
        <v>180</v>
      </c>
      <c r="B183" s="5" t="inlineStr">
        <is>
          <t>ALL_PBM</t>
        </is>
      </c>
      <c r="C183" s="5" t="inlineStr">
        <is>
          <t>58160084811</t>
        </is>
      </c>
      <c r="D183" s="5" t="inlineStr">
        <is>
          <t>AREXVY 120 MCG/0.5ML INTRAMUSCULAR SUSPENSION RECONSTITUTED</t>
        </is>
      </c>
      <c r="E183" s="6" t="inlineStr">
        <is>
          <t>10.0</t>
        </is>
      </c>
      <c r="F183" s="7" t="n">
        <v>2</v>
      </c>
      <c r="G183" s="7" t="n">
        <v>0.2</v>
      </c>
      <c r="H183" s="7" t="n">
        <v>1</v>
      </c>
      <c r="I183" s="7" t="n">
        <v>0.8</v>
      </c>
      <c r="J183" s="8" t="n">
        <v>595</v>
      </c>
      <c r="K183" s="9">
        <f>IFERROR(IF((ROUND((J183/G183)*I183,1))&lt;0,(ROUND((J183/G183)*I183,1)),0),0)</f>
        <v/>
      </c>
    </row>
    <row r="184">
      <c r="A184" s="4" t="n">
        <v>181</v>
      </c>
      <c r="B184" s="5" t="inlineStr">
        <is>
          <t>ALL_PBM</t>
        </is>
      </c>
      <c r="C184" s="5" t="inlineStr">
        <is>
          <t>49502010102</t>
        </is>
      </c>
      <c r="D184" s="5" t="inlineStr">
        <is>
          <t>EPINEPHRINE (JR) 0.15MG/0.3ML INJECTION 2ML</t>
        </is>
      </c>
      <c r="E184" s="6" t="inlineStr">
        <is>
          <t>2.0</t>
        </is>
      </c>
      <c r="F184" s="7" t="n">
        <v>4</v>
      </c>
      <c r="G184" s="7" t="n">
        <v>2</v>
      </c>
      <c r="H184" s="7" t="n">
        <v>0</v>
      </c>
      <c r="I184" s="7" t="n">
        <v>-2</v>
      </c>
      <c r="J184" s="8" t="n">
        <v>590</v>
      </c>
      <c r="K184" s="9">
        <f>IFERROR(IF((ROUND((J184/G184)*I184,1))&lt;0,(ROUND((J184/G184)*I184,1)),0),0)</f>
        <v/>
      </c>
    </row>
    <row r="185">
      <c r="A185" s="4" t="n">
        <v>182</v>
      </c>
      <c r="B185" s="5" t="inlineStr">
        <is>
          <t>ALL_PBM</t>
        </is>
      </c>
      <c r="C185" s="5" t="inlineStr">
        <is>
          <t>08508300001</t>
        </is>
      </c>
      <c r="D185" s="5" t="inlineStr">
        <is>
          <t>OMNIPOD 5 G6 INTRO (GEN 5) KIT</t>
        </is>
      </c>
      <c r="E185" s="6" t="inlineStr">
        <is>
          <t>1.0</t>
        </is>
      </c>
      <c r="F185" s="7" t="n">
        <v>1</v>
      </c>
      <c r="G185" s="7" t="n">
        <v>1</v>
      </c>
      <c r="H185" s="7" t="n">
        <v>0</v>
      </c>
      <c r="I185" s="7" t="n">
        <v>-1</v>
      </c>
      <c r="J185" s="8" t="n">
        <v>590</v>
      </c>
      <c r="K185" s="9">
        <f>IFERROR(IF((ROUND((J185/G185)*I185,1))&lt;0,(ROUND((J185/G185)*I185,1)),0),0)</f>
        <v/>
      </c>
    </row>
    <row r="186">
      <c r="A186" s="4" t="n">
        <v>183</v>
      </c>
      <c r="B186" s="5" t="inlineStr">
        <is>
          <t>ALL_PBM</t>
        </is>
      </c>
      <c r="C186" s="5" t="inlineStr">
        <is>
          <t>00074740113</t>
        </is>
      </c>
      <c r="D186" s="5" t="inlineStr">
        <is>
          <t>DEPAKOTE ER 250 MG TABLET</t>
        </is>
      </c>
      <c r="E186" s="6" t="inlineStr">
        <is>
          <t>100.0</t>
        </is>
      </c>
      <c r="F186" s="7" t="n">
        <v>150</v>
      </c>
      <c r="G186" s="7" t="n">
        <v>1.5</v>
      </c>
      <c r="H186" s="7" t="n">
        <v>2</v>
      </c>
      <c r="I186" s="7" t="n">
        <v>0.5</v>
      </c>
      <c r="J186" s="8" t="n">
        <v>588</v>
      </c>
      <c r="K186" s="9">
        <f>IFERROR(IF((ROUND((J186/G186)*I186,1))&lt;0,(ROUND((J186/G186)*I186,1)),0),0)</f>
        <v/>
      </c>
    </row>
    <row r="187">
      <c r="A187" s="4" t="n">
        <v>184</v>
      </c>
      <c r="B187" s="5" t="inlineStr">
        <is>
          <t>ALL_PBM</t>
        </is>
      </c>
      <c r="C187" s="5" t="inlineStr">
        <is>
          <t>00173087410</t>
        </is>
      </c>
      <c r="D187" s="5" t="inlineStr">
        <is>
          <t>ARNUITY ELLIPTA 100 MCG/ACT INH AEROSOL</t>
        </is>
      </c>
      <c r="E187" s="6" t="inlineStr">
        <is>
          <t>30.0</t>
        </is>
      </c>
      <c r="F187" s="7" t="n">
        <v>90</v>
      </c>
      <c r="G187" s="7" t="n">
        <v>3</v>
      </c>
      <c r="H187" s="7" t="n">
        <v>2</v>
      </c>
      <c r="I187" s="7" t="n">
        <v>-1</v>
      </c>
      <c r="J187" s="8" t="n">
        <v>585</v>
      </c>
      <c r="K187" s="9">
        <f>IFERROR(IF((ROUND((J187/G187)*I187,1))&lt;0,(ROUND((J187/G187)*I187,1)),0),0)</f>
        <v/>
      </c>
    </row>
    <row r="188">
      <c r="A188" s="4" t="n">
        <v>185</v>
      </c>
      <c r="B188" s="5" t="inlineStr">
        <is>
          <t>ALL_PBM</t>
        </is>
      </c>
      <c r="C188" s="5" t="inlineStr">
        <is>
          <t>00378932232</t>
        </is>
      </c>
      <c r="D188" s="5" t="inlineStr">
        <is>
          <t>WIXELA INHUB 500-50 MCG/ACT INH AEROSOL</t>
        </is>
      </c>
      <c r="E188" s="6" t="inlineStr">
        <is>
          <t>60.0</t>
        </is>
      </c>
      <c r="F188" s="7" t="n">
        <v>360</v>
      </c>
      <c r="G188" s="7" t="n">
        <v>6</v>
      </c>
      <c r="H188" s="7" t="n">
        <v>0</v>
      </c>
      <c r="I188" s="7" t="n">
        <v>-6</v>
      </c>
      <c r="J188" s="8" t="n">
        <v>515</v>
      </c>
      <c r="K188" s="9">
        <f>IFERROR(IF((ROUND((J188/G188)*I188,1))&lt;0,(ROUND((J188/G188)*I188,1)),0),0)</f>
        <v/>
      </c>
    </row>
    <row r="189">
      <c r="A189" s="4" t="n">
        <v>186</v>
      </c>
      <c r="B189" s="5" t="inlineStr">
        <is>
          <t>ALL_PBM</t>
        </is>
      </c>
      <c r="C189" s="5" t="inlineStr">
        <is>
          <t>52937000340</t>
        </is>
      </c>
      <c r="D189" s="5" t="inlineStr">
        <is>
          <t>VASCEPA 0.5 GM ORAL CAPSULE</t>
        </is>
      </c>
      <c r="E189" s="6" t="inlineStr">
        <is>
          <t>240.0</t>
        </is>
      </c>
      <c r="F189" s="7" t="n">
        <v>300</v>
      </c>
      <c r="G189" s="7" t="n">
        <v>1.25</v>
      </c>
      <c r="H189" s="7" t="n">
        <v>0</v>
      </c>
      <c r="I189" s="7" t="n">
        <v>-1.25</v>
      </c>
      <c r="J189" s="8" t="n">
        <v>496</v>
      </c>
      <c r="K189" s="9">
        <f>IFERROR(IF((ROUND((J189/G189)*I189,1))&lt;0,(ROUND((J189/G189)*I189,1)),0),0)</f>
        <v/>
      </c>
    </row>
    <row r="190">
      <c r="A190" s="4" t="n">
        <v>187</v>
      </c>
      <c r="B190" s="5" t="inlineStr">
        <is>
          <t>ALL_PBM</t>
        </is>
      </c>
      <c r="C190" s="5" t="inlineStr">
        <is>
          <t>54092018981</t>
        </is>
      </c>
      <c r="D190" s="5" t="inlineStr">
        <is>
          <t>PENTASA 250 MG ORAL CAPSULE EXTENDED RELEASE</t>
        </is>
      </c>
      <c r="E190" s="6" t="inlineStr">
        <is>
          <t>240.0</t>
        </is>
      </c>
      <c r="F190" s="7" t="n">
        <v>150</v>
      </c>
      <c r="G190" s="7" t="n">
        <v>0.625</v>
      </c>
      <c r="H190" s="7" t="n">
        <v>0</v>
      </c>
      <c r="I190" s="7" t="n">
        <v>-0.625</v>
      </c>
      <c r="J190" s="8" t="n">
        <v>487</v>
      </c>
      <c r="K190" s="9">
        <f>IFERROR(IF((ROUND((J190/G190)*I190,1))&lt;0,(ROUND((J190/G190)*I190,1)),0),0)</f>
        <v/>
      </c>
    </row>
    <row r="191">
      <c r="A191" s="4" t="n">
        <v>188</v>
      </c>
      <c r="B191" s="5" t="inlineStr">
        <is>
          <t>ALL_PBM</t>
        </is>
      </c>
      <c r="C191" s="5" t="inlineStr">
        <is>
          <t>00574062105</t>
        </is>
      </c>
      <c r="D191" s="5" t="inlineStr">
        <is>
          <t>PODOFILOX 0.5 % EXTERNAL GEL</t>
        </is>
      </c>
      <c r="E191" s="6" t="inlineStr">
        <is>
          <t>3.5</t>
        </is>
      </c>
      <c r="F191" s="7" t="n">
        <v>3.5</v>
      </c>
      <c r="G191" s="7" t="n">
        <v>1</v>
      </c>
      <c r="H191" s="7" t="n">
        <v>0</v>
      </c>
      <c r="I191" s="7" t="n">
        <v>-1</v>
      </c>
      <c r="J191" s="8" t="n">
        <v>480</v>
      </c>
      <c r="K191" s="9">
        <f>IFERROR(IF((ROUND((J191/G191)*I191,1))&lt;0,(ROUND((J191/G191)*I191,1)),0),0)</f>
        <v/>
      </c>
    </row>
    <row r="192">
      <c r="A192" s="4" t="n">
        <v>189</v>
      </c>
      <c r="B192" s="5" t="inlineStr">
        <is>
          <t>ALL_PBM</t>
        </is>
      </c>
      <c r="C192" s="5" t="inlineStr">
        <is>
          <t>00074455290</t>
        </is>
      </c>
      <c r="D192" s="5" t="inlineStr">
        <is>
          <t>SYNTHROID 50MCG TABLET</t>
        </is>
      </c>
      <c r="E192" s="6" t="inlineStr">
        <is>
          <t>90.0</t>
        </is>
      </c>
      <c r="F192" s="7" t="n">
        <v>270</v>
      </c>
      <c r="G192" s="7" t="n">
        <v>3</v>
      </c>
      <c r="H192" s="7" t="n">
        <v>2</v>
      </c>
      <c r="I192" s="7" t="n">
        <v>-1</v>
      </c>
      <c r="J192" s="8" t="n">
        <v>437</v>
      </c>
      <c r="K192" s="9">
        <f>IFERROR(IF((ROUND((J192/G192)*I192,1))&lt;0,(ROUND((J192/G192)*I192,1)),0),0)</f>
        <v/>
      </c>
    </row>
    <row r="193">
      <c r="A193" s="4" t="n">
        <v>190</v>
      </c>
      <c r="B193" s="5" t="inlineStr">
        <is>
          <t>ALL_PBM</t>
        </is>
      </c>
      <c r="C193" s="5" t="inlineStr">
        <is>
          <t>42023011101</t>
        </is>
      </c>
      <c r="D193" s="5" t="inlineStr">
        <is>
          <t>DELESTROGEN 20 MG/ML INTRAMUSCULAR OIL</t>
        </is>
      </c>
      <c r="E193" s="6" t="inlineStr">
        <is>
          <t>5.0</t>
        </is>
      </c>
      <c r="F193" s="7" t="n">
        <v>10</v>
      </c>
      <c r="G193" s="7" t="n">
        <v>2</v>
      </c>
      <c r="H193" s="7" t="n">
        <v>0</v>
      </c>
      <c r="I193" s="7" t="n">
        <v>-2</v>
      </c>
      <c r="J193" s="8" t="n">
        <v>379</v>
      </c>
      <c r="K193" s="9">
        <f>IFERROR(IF((ROUND((J193/G193)*I193,1))&lt;0,(ROUND((J193/G193)*I193,1)),0),0)</f>
        <v/>
      </c>
    </row>
    <row r="194">
      <c r="A194" s="4" t="n">
        <v>191</v>
      </c>
      <c r="B194" s="5" t="inlineStr">
        <is>
          <t>ALL_PBM</t>
        </is>
      </c>
      <c r="C194" s="5" t="inlineStr">
        <is>
          <t>00032004670</t>
        </is>
      </c>
      <c r="D194" s="5" t="inlineStr">
        <is>
          <t>CREON 6000-19000 UNIT ORAL CAPSULE DELAYED RELEASE PARTICLES</t>
        </is>
      </c>
      <c r="E194" s="6" t="inlineStr">
        <is>
          <t>100.0</t>
        </is>
      </c>
      <c r="F194" s="7" t="n">
        <v>180</v>
      </c>
      <c r="G194" s="7" t="n">
        <v>1.8</v>
      </c>
      <c r="H194" s="7" t="n">
        <v>0</v>
      </c>
      <c r="I194" s="7" t="n">
        <v>-1.8</v>
      </c>
      <c r="J194" s="8" t="n">
        <v>361</v>
      </c>
      <c r="K194" s="9">
        <f>IFERROR(IF((ROUND((J194/G194)*I194,1))&lt;0,(ROUND((J194/G194)*I194,1)),0),0)</f>
        <v/>
      </c>
    </row>
    <row r="195">
      <c r="A195" s="4" t="n">
        <v>192</v>
      </c>
      <c r="B195" s="5" t="inlineStr">
        <is>
          <t>ALL_PBM</t>
        </is>
      </c>
      <c r="C195" s="5" t="inlineStr">
        <is>
          <t>17772013130</t>
        </is>
      </c>
      <c r="D195" s="5" t="inlineStr">
        <is>
          <t>QELBREE 100MG CAPSULE ER</t>
        </is>
      </c>
      <c r="E195" s="6" t="inlineStr">
        <is>
          <t>30.0</t>
        </is>
      </c>
      <c r="F195" s="7" t="n">
        <v>30</v>
      </c>
      <c r="G195" s="7" t="n">
        <v>1</v>
      </c>
      <c r="H195" s="7" t="n">
        <v>1</v>
      </c>
      <c r="I195" s="7" t="n">
        <v>0</v>
      </c>
      <c r="J195" s="8" t="n">
        <v>353</v>
      </c>
      <c r="K195" s="9">
        <f>IFERROR(IF((ROUND((J195/G195)*I195,1))&lt;0,(ROUND((J195/G195)*I195,1)),0),0)</f>
        <v/>
      </c>
    </row>
    <row r="196">
      <c r="A196" s="4" t="n">
        <v>193</v>
      </c>
      <c r="B196" s="5" t="inlineStr">
        <is>
          <t>ALL_PBM</t>
        </is>
      </c>
      <c r="C196" s="5" t="inlineStr">
        <is>
          <t>72495040128</t>
        </is>
      </c>
      <c r="D196" s="5" t="inlineStr">
        <is>
          <t>INTRAROSA 6.5 MG VAGINAL INSERT</t>
        </is>
      </c>
      <c r="E196" s="6" t="inlineStr">
        <is>
          <t>28.0</t>
        </is>
      </c>
      <c r="F196" s="7" t="n">
        <v>28</v>
      </c>
      <c r="G196" s="7" t="n">
        <v>1</v>
      </c>
      <c r="H196" s="7" t="n">
        <v>0</v>
      </c>
      <c r="I196" s="7" t="n">
        <v>-1</v>
      </c>
      <c r="J196" s="8" t="n">
        <v>348</v>
      </c>
      <c r="K196" s="9">
        <f>IFERROR(IF((ROUND((J196/G196)*I196,1))&lt;0,(ROUND((J196/G196)*I196,1)),0),0)</f>
        <v/>
      </c>
    </row>
    <row r="197">
      <c r="A197" s="4" t="n">
        <v>194</v>
      </c>
      <c r="B197" s="5" t="inlineStr">
        <is>
          <t>ALL_PBM</t>
        </is>
      </c>
      <c r="C197" s="5" t="inlineStr">
        <is>
          <t>52268020101</t>
        </is>
      </c>
      <c r="D197" s="5" t="inlineStr">
        <is>
          <t>SUTAB 1479-225-188 MG ORAL TABLET</t>
        </is>
      </c>
      <c r="E197" s="6" t="inlineStr">
        <is>
          <t>24.0</t>
        </is>
      </c>
      <c r="F197" s="7" t="n">
        <v>48</v>
      </c>
      <c r="G197" s="7" t="n">
        <v>2</v>
      </c>
      <c r="H197" s="7" t="n">
        <v>1</v>
      </c>
      <c r="I197" s="7" t="n">
        <v>-1</v>
      </c>
      <c r="J197" s="8" t="n">
        <v>332</v>
      </c>
      <c r="K197" s="9">
        <f>IFERROR(IF((ROUND((J197/G197)*I197,1))&lt;0,(ROUND((J197/G197)*I197,1)),0),0)</f>
        <v/>
      </c>
    </row>
    <row r="198">
      <c r="A198" s="4" t="n">
        <v>195</v>
      </c>
      <c r="B198" s="5" t="inlineStr">
        <is>
          <t>ALL_PBM</t>
        </is>
      </c>
      <c r="C198" s="5" t="inlineStr">
        <is>
          <t>00006008061</t>
        </is>
      </c>
      <c r="D198" s="5" t="inlineStr">
        <is>
          <t>JANUMET XR 50-1000MG TABLET</t>
        </is>
      </c>
      <c r="E198" s="6" t="inlineStr">
        <is>
          <t>60.0</t>
        </is>
      </c>
      <c r="F198" s="7" t="n">
        <v>60</v>
      </c>
      <c r="G198" s="7" t="n">
        <v>1</v>
      </c>
      <c r="H198" s="7" t="n">
        <v>0</v>
      </c>
      <c r="I198" s="7" t="n">
        <v>-1</v>
      </c>
      <c r="J198" s="8" t="n">
        <v>314</v>
      </c>
      <c r="K198" s="9">
        <f>IFERROR(IF((ROUND((J198/G198)*I198,1))&lt;0,(ROUND((J198/G198)*I198,1)),0),0)</f>
        <v/>
      </c>
    </row>
    <row r="199">
      <c r="A199" s="4" t="n">
        <v>196</v>
      </c>
      <c r="B199" s="5" t="inlineStr">
        <is>
          <t>ALL_PBM</t>
        </is>
      </c>
      <c r="C199" s="5" t="inlineStr">
        <is>
          <t>00074518290</t>
        </is>
      </c>
      <c r="D199" s="5" t="inlineStr">
        <is>
          <t xml:space="preserve">SYNTHROID 75MCG TABLET </t>
        </is>
      </c>
      <c r="E199" s="6" t="inlineStr">
        <is>
          <t>90.0</t>
        </is>
      </c>
      <c r="F199" s="7" t="n">
        <v>180</v>
      </c>
      <c r="G199" s="7" t="n">
        <v>2</v>
      </c>
      <c r="H199" s="7" t="n">
        <v>1</v>
      </c>
      <c r="I199" s="7" t="n">
        <v>-1</v>
      </c>
      <c r="J199" s="8" t="n">
        <v>291</v>
      </c>
      <c r="K199" s="9">
        <f>IFERROR(IF((ROUND((J199/G199)*I199,1))&lt;0,(ROUND((J199/G199)*I199,1)),0),0)</f>
        <v/>
      </c>
    </row>
    <row r="200">
      <c r="A200" s="4" t="n">
        <v>197</v>
      </c>
      <c r="B200" s="5" t="inlineStr">
        <is>
          <t>ALL_PBM</t>
        </is>
      </c>
      <c r="C200" s="5" t="inlineStr">
        <is>
          <t>00173068220</t>
        </is>
      </c>
      <c r="D200" s="5" t="inlineStr">
        <is>
          <t xml:space="preserve">VENTOLIN HFA 108 (90 BASE) </t>
        </is>
      </c>
      <c r="E200" s="6" t="inlineStr">
        <is>
          <t>18.0</t>
        </is>
      </c>
      <c r="F200" s="7" t="n">
        <v>90</v>
      </c>
      <c r="G200" s="7" t="n">
        <v>5</v>
      </c>
      <c r="H200" s="7" t="n">
        <v>0</v>
      </c>
      <c r="I200" s="7" t="n">
        <v>-5</v>
      </c>
      <c r="J200" s="8" t="n">
        <v>288</v>
      </c>
      <c r="K200" s="9">
        <f>IFERROR(IF((ROUND((J200/G200)*I200,1))&lt;0,(ROUND((J200/G200)*I200,1)),0),0)</f>
        <v/>
      </c>
    </row>
    <row r="201">
      <c r="A201" s="4" t="n">
        <v>198</v>
      </c>
      <c r="B201" s="5" t="inlineStr">
        <is>
          <t>ALL_PBM</t>
        </is>
      </c>
      <c r="C201" s="5" t="inlineStr">
        <is>
          <t>00074434190</t>
        </is>
      </c>
      <c r="D201" s="5" t="inlineStr">
        <is>
          <t>SYNTHROID 25 MCG ORAL TABLET</t>
        </is>
      </c>
      <c r="E201" s="6" t="inlineStr">
        <is>
          <t>90.0</t>
        </is>
      </c>
      <c r="F201" s="7" t="n">
        <v>180</v>
      </c>
      <c r="G201" s="7" t="n">
        <v>2</v>
      </c>
      <c r="H201" s="7" t="n">
        <v>1</v>
      </c>
      <c r="I201" s="7" t="n">
        <v>-1</v>
      </c>
      <c r="J201" s="8" t="n">
        <v>282</v>
      </c>
      <c r="K201" s="9">
        <f>IFERROR(IF((ROUND((J201/G201)*I201,1))&lt;0,(ROUND((J201/G201)*I201,1)),0),0)</f>
        <v/>
      </c>
    </row>
    <row r="202">
      <c r="A202" s="4" t="n">
        <v>199</v>
      </c>
      <c r="B202" s="5" t="inlineStr">
        <is>
          <t>ALL_PBM</t>
        </is>
      </c>
      <c r="C202" s="5" t="inlineStr">
        <is>
          <t>00169183411</t>
        </is>
      </c>
      <c r="D202" s="5" t="inlineStr">
        <is>
          <t>NOVOLIN N 100UNIT/ML SUSPENSION</t>
        </is>
      </c>
      <c r="E202" s="6" t="inlineStr">
        <is>
          <t>10.0</t>
        </is>
      </c>
      <c r="F202" s="7" t="n">
        <v>60</v>
      </c>
      <c r="G202" s="7" t="n">
        <v>6</v>
      </c>
      <c r="H202" s="7" t="n">
        <v>5</v>
      </c>
      <c r="I202" s="7" t="n">
        <v>-1</v>
      </c>
      <c r="J202" s="8" t="n">
        <v>275</v>
      </c>
      <c r="K202" s="9">
        <f>IFERROR(IF((ROUND((J202/G202)*I202,1))&lt;0,(ROUND((J202/G202)*I202,1)),0),0)</f>
        <v/>
      </c>
    </row>
    <row r="203">
      <c r="A203" s="4" t="n">
        <v>200</v>
      </c>
      <c r="B203" s="5" t="inlineStr">
        <is>
          <t>ALL_PBM</t>
        </is>
      </c>
      <c r="C203" s="5" t="inlineStr">
        <is>
          <t>68382052960</t>
        </is>
      </c>
      <c r="D203" s="5" t="inlineStr">
        <is>
          <t>CHOLESTYRAMINE LIGHT 4GM PACK</t>
        </is>
      </c>
      <c r="E203" s="6" t="inlineStr">
        <is>
          <t>60.0</t>
        </is>
      </c>
      <c r="F203" s="7" t="n">
        <v>180</v>
      </c>
      <c r="G203" s="7" t="n">
        <v>3</v>
      </c>
      <c r="H203" s="7" t="n">
        <v>0</v>
      </c>
      <c r="I203" s="7" t="n">
        <v>-3</v>
      </c>
      <c r="J203" s="8" t="n">
        <v>271</v>
      </c>
      <c r="K203" s="9">
        <f>IFERROR(IF((ROUND((J203/G203)*I203,1))&lt;0,(ROUND((J203/G203)*I203,1)),0),0)</f>
        <v/>
      </c>
    </row>
    <row r="204">
      <c r="A204" s="4" t="n">
        <v>201</v>
      </c>
      <c r="B204" s="5" t="inlineStr">
        <is>
          <t>ALL_PBM</t>
        </is>
      </c>
      <c r="C204" s="5" t="inlineStr">
        <is>
          <t>00173088810</t>
        </is>
      </c>
      <c r="D204" s="5" t="inlineStr">
        <is>
          <t>ARNUITY ELLIPTA 50 MCG/ACT INHAEROSOL</t>
        </is>
      </c>
      <c r="E204" s="6" t="inlineStr">
        <is>
          <t>30.0</t>
        </is>
      </c>
      <c r="F204" s="7" t="n">
        <v>30</v>
      </c>
      <c r="G204" s="7" t="n">
        <v>1</v>
      </c>
      <c r="H204" s="7" t="n">
        <v>0</v>
      </c>
      <c r="I204" s="7" t="n">
        <v>-1</v>
      </c>
      <c r="J204" s="8" t="n">
        <v>210</v>
      </c>
      <c r="K204" s="9">
        <f>IFERROR(IF((ROUND((J204/G204)*I204,1))&lt;0,(ROUND((J204/G204)*I204,1)),0),0)</f>
        <v/>
      </c>
    </row>
    <row r="205">
      <c r="A205" s="4" t="n">
        <v>202</v>
      </c>
      <c r="B205" s="5" t="inlineStr">
        <is>
          <t>ALL_PBM</t>
        </is>
      </c>
      <c r="C205" s="5" t="inlineStr">
        <is>
          <t>68382045219</t>
        </is>
      </c>
      <c r="D205" s="5" t="inlineStr">
        <is>
          <t>MESALAMINE ER 0.375GCAPSULE</t>
        </is>
      </c>
      <c r="E205" s="6" t="inlineStr">
        <is>
          <t>120.0</t>
        </is>
      </c>
      <c r="F205" s="7" t="n">
        <v>600</v>
      </c>
      <c r="G205" s="7" t="n">
        <v>5</v>
      </c>
      <c r="H205" s="7" t="n">
        <v>1</v>
      </c>
      <c r="I205" s="7" t="n">
        <v>-4</v>
      </c>
      <c r="J205" s="8" t="n">
        <v>189</v>
      </c>
      <c r="K205" s="9">
        <f>IFERROR(IF((ROUND((J205/G205)*I205,1))&lt;0,(ROUND((J205/G205)*I205,1)),0),0)</f>
        <v/>
      </c>
    </row>
    <row r="206">
      <c r="A206" s="4" t="n">
        <v>203</v>
      </c>
      <c r="B206" s="5" t="inlineStr">
        <is>
          <t>ALL_PBM</t>
        </is>
      </c>
      <c r="C206" s="5" t="inlineStr">
        <is>
          <t>46287003001</t>
        </is>
      </c>
      <c r="D206" s="5" t="inlineStr">
        <is>
          <t>ATORVALIQ 20 MG/5ML ORAL SUSPENSION</t>
        </is>
      </c>
      <c r="E206" s="6" t="inlineStr">
        <is>
          <t>150.0</t>
        </is>
      </c>
      <c r="F206" s="7" t="n">
        <v>150</v>
      </c>
      <c r="G206" s="7" t="n">
        <v>1</v>
      </c>
      <c r="H206" s="7" t="n">
        <v>0</v>
      </c>
      <c r="I206" s="7" t="n">
        <v>-1</v>
      </c>
      <c r="J206" s="8" t="n">
        <v>189</v>
      </c>
      <c r="K206" s="9">
        <f>IFERROR(IF((ROUND((J206/G206)*I206,1))&lt;0,(ROUND((J206/G206)*I206,1)),0),0)</f>
        <v/>
      </c>
    </row>
    <row r="207">
      <c r="A207" s="4" t="n">
        <v>204</v>
      </c>
      <c r="B207" s="5" t="inlineStr">
        <is>
          <t>ALL_PBM</t>
        </is>
      </c>
      <c r="C207" s="5" t="inlineStr">
        <is>
          <t>00169369619</t>
        </is>
      </c>
      <c r="D207" s="5" t="inlineStr">
        <is>
          <t>NOVOLOG MIX 70/30 FLEXPEN 100 UNIT/ML PEN-INJECTOR</t>
        </is>
      </c>
      <c r="E207" s="6" t="inlineStr">
        <is>
          <t>15.0</t>
        </is>
      </c>
      <c r="F207" s="7" t="n">
        <v>21</v>
      </c>
      <c r="G207" s="7" t="n">
        <v>1.4</v>
      </c>
      <c r="H207" s="7" t="n">
        <v>0</v>
      </c>
      <c r="I207" s="7" t="n">
        <v>-1.4</v>
      </c>
      <c r="J207" s="8" t="n">
        <v>182</v>
      </c>
      <c r="K207" s="9">
        <f>IFERROR(IF((ROUND((J207/G207)*I207,1))&lt;0,(ROUND((J207/G207)*I207,1)),0),0)</f>
        <v/>
      </c>
    </row>
    <row r="208">
      <c r="A208" s="4" t="n">
        <v>205</v>
      </c>
      <c r="B208" s="5" t="inlineStr">
        <is>
          <t>ALL_PBM</t>
        </is>
      </c>
      <c r="C208" s="5" t="inlineStr">
        <is>
          <t>65162099708</t>
        </is>
      </c>
      <c r="D208" s="5" t="inlineStr">
        <is>
          <t>DOTTI 0.1 MG/24HR TRANSDERMAL PATCH TWICE WEEKLY</t>
        </is>
      </c>
      <c r="E208" s="6" t="inlineStr">
        <is>
          <t>8.0</t>
        </is>
      </c>
      <c r="F208" s="7" t="n">
        <v>24</v>
      </c>
      <c r="G208" s="7" t="n">
        <v>3</v>
      </c>
      <c r="H208" s="7" t="n">
        <v>2</v>
      </c>
      <c r="I208" s="7" t="n">
        <v>-1</v>
      </c>
      <c r="J208" s="8" t="n">
        <v>156</v>
      </c>
      <c r="K208" s="9">
        <f>IFERROR(IF((ROUND((J208/G208)*I208,1))&lt;0,(ROUND((J208/G208)*I208,1)),0),0)</f>
        <v/>
      </c>
    </row>
    <row r="209">
      <c r="A209" s="4" t="n">
        <v>206</v>
      </c>
      <c r="B209" s="5" t="inlineStr">
        <is>
          <t>ALL_PBM</t>
        </is>
      </c>
      <c r="C209" s="5" t="inlineStr">
        <is>
          <t>00074372790</t>
        </is>
      </c>
      <c r="D209" s="5" t="inlineStr">
        <is>
          <t xml:space="preserve">SYNTHROID 137MCG TABLET </t>
        </is>
      </c>
      <c r="E209" s="6" t="inlineStr">
        <is>
          <t>90.0</t>
        </is>
      </c>
      <c r="F209" s="7" t="n">
        <v>90</v>
      </c>
      <c r="G209" s="7" t="n">
        <v>1</v>
      </c>
      <c r="H209" s="7" t="n">
        <v>1</v>
      </c>
      <c r="I209" s="7" t="n">
        <v>0</v>
      </c>
      <c r="J209" s="8" t="n">
        <v>146</v>
      </c>
      <c r="K209" s="9">
        <f>IFERROR(IF((ROUND((J209/G209)*I209,1))&lt;0,(ROUND((J209/G209)*I209,1)),0),0)</f>
        <v/>
      </c>
    </row>
    <row r="210">
      <c r="A210" s="4" t="n">
        <v>207</v>
      </c>
      <c r="B210" s="5" t="inlineStr">
        <is>
          <t>ALL_PBM</t>
        </is>
      </c>
      <c r="C210" s="5" t="inlineStr">
        <is>
          <t>33332002503</t>
        </is>
      </c>
      <c r="D210" s="5" t="inlineStr">
        <is>
          <t>AFLURIA PRESERVATIVE FREE 0.5 ML INTRAMUSCULAR SUSPENSION PREFILLED SYRINGE</t>
        </is>
      </c>
      <c r="E210" s="6" t="inlineStr">
        <is>
          <t>5.0</t>
        </is>
      </c>
      <c r="F210" s="7" t="n">
        <v>2.5</v>
      </c>
      <c r="G210" s="7" t="n">
        <v>0.5</v>
      </c>
      <c r="H210" s="7" t="n">
        <v>0</v>
      </c>
      <c r="I210" s="7" t="n">
        <v>-0.5</v>
      </c>
      <c r="J210" s="8" t="n">
        <v>104</v>
      </c>
      <c r="K210" s="9">
        <f>IFERROR(IF((ROUND((J210/G210)*I210,1))&lt;0,(ROUND((J210/G210)*I210,1)),0),0)</f>
        <v/>
      </c>
    </row>
    <row r="211">
      <c r="A211" s="4" t="n">
        <v>208</v>
      </c>
      <c r="B211" s="5" t="inlineStr">
        <is>
          <t>ALL_PBM</t>
        </is>
      </c>
      <c r="C211" s="5" t="inlineStr">
        <is>
          <t>00071036924</t>
        </is>
      </c>
      <c r="D211" s="5" t="inlineStr">
        <is>
          <t>DILANTIN 100MG CAPSULE</t>
        </is>
      </c>
      <c r="E211" s="6" t="inlineStr">
        <is>
          <t>100.0</t>
        </is>
      </c>
      <c r="F211" s="7" t="n">
        <v>60</v>
      </c>
      <c r="G211" s="7" t="n">
        <v>0.6</v>
      </c>
      <c r="H211" s="7" t="n">
        <v>0</v>
      </c>
      <c r="I211" s="7" t="n">
        <v>-0.6</v>
      </c>
      <c r="J211" s="8" t="n">
        <v>96</v>
      </c>
      <c r="K211" s="9">
        <f>IFERROR(IF((ROUND((J211/G211)*I211,1))&lt;0,(ROUND((J211/G211)*I211,1)),0),0)</f>
        <v/>
      </c>
    </row>
    <row r="212">
      <c r="A212" s="4" t="n">
        <v>209</v>
      </c>
      <c r="B212" s="5" t="inlineStr">
        <is>
          <t>ALL_PBM</t>
        </is>
      </c>
      <c r="C212" s="5" t="inlineStr">
        <is>
          <t>27437005601</t>
        </is>
      </c>
      <c r="D212" s="5" t="inlineStr">
        <is>
          <t>XOPENEX HFA 45 MCG/ACT INHALATION AEROSOL</t>
        </is>
      </c>
      <c r="E212" s="6" t="inlineStr">
        <is>
          <t>15.0</t>
        </is>
      </c>
      <c r="F212" s="7" t="n">
        <v>15</v>
      </c>
      <c r="G212" s="7" t="n">
        <v>1</v>
      </c>
      <c r="H212" s="7" t="n">
        <v>0</v>
      </c>
      <c r="I212" s="7" t="n">
        <v>-1</v>
      </c>
      <c r="J212" s="8" t="n">
        <v>71</v>
      </c>
      <c r="K212" s="9">
        <f>IFERROR(IF((ROUND((J212/G212)*I212,1))&lt;0,(ROUND((J212/G212)*I212,1)),0),0)</f>
        <v/>
      </c>
    </row>
    <row r="213">
      <c r="A213" s="4" t="n">
        <v>210</v>
      </c>
      <c r="B213" s="5" t="inlineStr">
        <is>
          <t>ALL_PBM</t>
        </is>
      </c>
      <c r="C213" s="5" t="inlineStr">
        <is>
          <t>57599082000</t>
        </is>
      </c>
      <c r="D213" s="5" t="inlineStr">
        <is>
          <t>FREESTYLE LIBRE 3 READER DEVICE</t>
        </is>
      </c>
      <c r="E213" s="6" t="inlineStr">
        <is>
          <t>1.0</t>
        </is>
      </c>
      <c r="F213" s="7" t="n">
        <v>1</v>
      </c>
      <c r="G213" s="7" t="n">
        <v>1</v>
      </c>
      <c r="H213" s="7" t="n">
        <v>1</v>
      </c>
      <c r="I213" s="7" t="n">
        <v>0</v>
      </c>
      <c r="J213" s="8" t="n">
        <v>70</v>
      </c>
      <c r="K213" s="9">
        <f>IFERROR(IF((ROUND((J213/G213)*I213,1))&lt;0,(ROUND((J213/G213)*I213,1)),0),0)</f>
        <v/>
      </c>
    </row>
    <row r="214">
      <c r="A214" s="4" t="n">
        <v>211</v>
      </c>
      <c r="B214" s="5" t="inlineStr">
        <is>
          <t>ALL_PBM</t>
        </is>
      </c>
      <c r="C214" s="5" t="inlineStr">
        <is>
          <t>59630075050</t>
        </is>
      </c>
      <c r="D214" s="5" t="inlineStr">
        <is>
          <t>METHYLIN 5 MG/5ML ORAL SOLUTION</t>
        </is>
      </c>
      <c r="E214" s="6" t="inlineStr">
        <is>
          <t>500.0</t>
        </is>
      </c>
      <c r="F214" s="7" t="n">
        <v>600</v>
      </c>
      <c r="G214" s="7" t="n">
        <v>1.2</v>
      </c>
      <c r="H214" s="7" t="n">
        <v>2</v>
      </c>
      <c r="I214" s="7" t="n">
        <v>0.8</v>
      </c>
      <c r="J214" s="8" t="n">
        <v>67</v>
      </c>
      <c r="K214" s="9">
        <f>IFERROR(IF((ROUND((J214/G214)*I214,1))&lt;0,(ROUND((J214/G214)*I214,1)),0),0)</f>
        <v/>
      </c>
    </row>
    <row r="215">
      <c r="A215" s="4" t="n">
        <v>212</v>
      </c>
      <c r="B215" s="5" t="inlineStr">
        <is>
          <t>ALL_PBM</t>
        </is>
      </c>
      <c r="C215" s="5" t="inlineStr">
        <is>
          <t>00074706890</t>
        </is>
      </c>
      <c r="D215" s="5" t="inlineStr">
        <is>
          <t>SYNTHROID 125 MCG ORAL TABLET</t>
        </is>
      </c>
      <c r="E215" s="6" t="inlineStr">
        <is>
          <t>90.0</t>
        </is>
      </c>
      <c r="F215" s="7" t="n">
        <v>30</v>
      </c>
      <c r="G215" s="7" t="n">
        <v>0.3333333333333333</v>
      </c>
      <c r="H215" s="7" t="n">
        <v>1</v>
      </c>
      <c r="I215" s="7" t="n">
        <v>0.6666666666666667</v>
      </c>
      <c r="J215" s="8" t="n">
        <v>50</v>
      </c>
      <c r="K215" s="9">
        <f>IFERROR(IF((ROUND((J215/G215)*I215,1))&lt;0,(ROUND((J215/G215)*I215,1)),0),0)</f>
        <v/>
      </c>
    </row>
    <row r="216">
      <c r="A216" s="4" t="n">
        <v>213</v>
      </c>
      <c r="B216" s="5" t="inlineStr">
        <is>
          <t>ALL_PBM</t>
        </is>
      </c>
      <c r="C216" s="5" t="inlineStr">
        <is>
          <t>58160084252</t>
        </is>
      </c>
      <c r="D216" s="5" t="inlineStr">
        <is>
          <t>BOOSTRIX 5-2.5-18.5 LF-MCG/0.5 PREFILLED SYRINGE</t>
        </is>
      </c>
      <c r="E216" s="6" t="inlineStr">
        <is>
          <t>5.0</t>
        </is>
      </c>
      <c r="F216" s="7" t="n">
        <v>0.5</v>
      </c>
      <c r="G216" s="7" t="n">
        <v>0.1</v>
      </c>
      <c r="H216" s="7" t="n">
        <v>0</v>
      </c>
      <c r="I216" s="7" t="n">
        <v>-0.1</v>
      </c>
      <c r="J216" s="8" t="n">
        <v>45</v>
      </c>
      <c r="K216" s="9">
        <f>IFERROR(IF((ROUND((J216/G216)*I216,1))&lt;0,(ROUND((J216/G216)*I216,1)),0),0)</f>
        <v/>
      </c>
    </row>
    <row r="217">
      <c r="A217" s="4" t="n">
        <v>214</v>
      </c>
      <c r="B217" s="5" t="inlineStr">
        <is>
          <t>ALL_PBM</t>
        </is>
      </c>
      <c r="C217" s="5" t="inlineStr">
        <is>
          <t>65702072910</t>
        </is>
      </c>
      <c r="D217" s="5" t="inlineStr">
        <is>
          <t>ACCU-CHEK GUIDE W/DEVICE KIT</t>
        </is>
      </c>
      <c r="E217" s="6" t="inlineStr">
        <is>
          <t>1.0</t>
        </is>
      </c>
      <c r="F217" s="7" t="n">
        <v>2</v>
      </c>
      <c r="G217" s="7" t="n">
        <v>2</v>
      </c>
      <c r="H217" s="7" t="n">
        <v>3</v>
      </c>
      <c r="I217" s="7" t="n">
        <v>1</v>
      </c>
      <c r="J217" s="8" t="n">
        <v>43</v>
      </c>
      <c r="K217" s="9">
        <f>IFERROR(IF((ROUND((J217/G217)*I217,1))&lt;0,(ROUND((J217/G217)*I217,1)),0),0)</f>
        <v/>
      </c>
    </row>
    <row r="218">
      <c r="A218" s="4" t="n">
        <v>215</v>
      </c>
      <c r="B218" s="5" t="inlineStr">
        <is>
          <t>ALL_PBM</t>
        </is>
      </c>
      <c r="C218" s="5" t="inlineStr">
        <is>
          <t>73302045601</t>
        </is>
      </c>
      <c r="D218" s="5" t="inlineStr">
        <is>
          <t>ELLA 30 MG ORAL TABLET</t>
        </is>
      </c>
      <c r="E218" s="6" t="inlineStr">
        <is>
          <t>1.0</t>
        </is>
      </c>
      <c r="F218" s="7" t="n">
        <v>1</v>
      </c>
      <c r="G218" s="7" t="n">
        <v>1</v>
      </c>
      <c r="H218" s="7" t="n">
        <v>0</v>
      </c>
      <c r="I218" s="7" t="n">
        <v>-1</v>
      </c>
      <c r="J218" s="8" t="n">
        <v>38</v>
      </c>
      <c r="K218" s="9">
        <f>IFERROR(IF((ROUND((J218/G218)*I218,1))&lt;0,(ROUND((J218/G218)*I218,1)),0),0)</f>
        <v/>
      </c>
    </row>
    <row r="219">
      <c r="A219" s="4" t="n">
        <v>216</v>
      </c>
      <c r="B219" s="5" t="inlineStr">
        <is>
          <t>ALL_PBM</t>
        </is>
      </c>
      <c r="C219" s="5" t="inlineStr">
        <is>
          <t>00193730850</t>
        </is>
      </c>
      <c r="D219" s="5" t="inlineStr">
        <is>
          <t>CONTOUR NEXT STRIP DME</t>
        </is>
      </c>
      <c r="E219" s="6" t="inlineStr">
        <is>
          <t>50.0</t>
        </is>
      </c>
      <c r="F219" s="7" t="n">
        <v>200</v>
      </c>
      <c r="G219" s="7" t="n">
        <v>4</v>
      </c>
      <c r="H219" s="7" t="n">
        <v>0</v>
      </c>
      <c r="I219" s="7" t="n">
        <v>-4</v>
      </c>
      <c r="J219" s="8" t="n">
        <v>30</v>
      </c>
      <c r="K219" s="9">
        <f>IFERROR(IF((ROUND((J219/G219)*I219,1))&lt;0,(ROUND((J219/G219)*I219,1)),0),0)</f>
        <v/>
      </c>
    </row>
    <row r="220">
      <c r="A220" s="4" t="n">
        <v>217</v>
      </c>
      <c r="B220" s="5" t="inlineStr">
        <is>
          <t>ALL_PBM</t>
        </is>
      </c>
      <c r="C220" s="5" t="inlineStr">
        <is>
          <t>99073070914</t>
        </is>
      </c>
      <c r="D220" s="5" t="inlineStr">
        <is>
          <t>FREESTYLE FREEDOM LITE  KIT KINRAY</t>
        </is>
      </c>
      <c r="E220" s="6" t="inlineStr">
        <is>
          <t>1.0</t>
        </is>
      </c>
      <c r="F220" s="7" t="n">
        <v>1</v>
      </c>
      <c r="G220" s="7" t="n">
        <v>1</v>
      </c>
      <c r="H220" s="7" t="n">
        <v>0</v>
      </c>
      <c r="I220" s="7" t="n">
        <v>-1</v>
      </c>
      <c r="J220" s="8" t="n">
        <v>14</v>
      </c>
      <c r="K220" s="9">
        <f>IFERROR(IF((ROUND((J220/G220)*I220,1))&lt;0,(ROUND((J220/G220)*I220,1)),0),0)</f>
        <v/>
      </c>
    </row>
    <row r="221">
      <c r="E221" s="10" t="inlineStr">
        <is>
          <t>TOTAL</t>
        </is>
      </c>
      <c r="F221" s="11">
        <f>SUM(F4:F220)</f>
        <v/>
      </c>
      <c r="G221" s="11">
        <f>SUM(G4:G220)</f>
        <v/>
      </c>
      <c r="H221" s="11">
        <f>SUM(H4:H220)</f>
        <v/>
      </c>
      <c r="I221" s="11">
        <f>SUM(I4:I220)</f>
        <v/>
      </c>
      <c r="J221" s="12">
        <f>SUM(J4:J220)</f>
        <v/>
      </c>
      <c r="K221" s="13">
        <f>SUM(K4:K220)</f>
        <v/>
      </c>
    </row>
    <row r="222">
      <c r="J222" s="14" t="inlineStr">
        <is>
          <t>Audited Drugs Count</t>
        </is>
      </c>
      <c r="K222" s="15">
        <f>COUNTIF(K4:K220,"&lt;0")</f>
        <v/>
      </c>
    </row>
    <row r="223">
      <c r="J223" s="14" t="inlineStr">
        <is>
          <t>Total Audit Exposure</t>
        </is>
      </c>
      <c r="K223" s="16">
        <f>SUMIF(K4:K220,"&lt;0",K4:K220)</f>
        <v/>
      </c>
    </row>
  </sheetData>
  <autoFilter ref="A3:K220"/>
  <mergeCells count="2">
    <mergeCell ref="A2:K2"/>
    <mergeCell ref="A1:K1"/>
  </mergeCells>
  <conditionalFormatting sqref="E4:K22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hh — hh — ARG/HUM</t>
        </is>
      </c>
    </row>
    <row r="2" ht="24" customHeight="1">
      <c r="A2" s="2" t="inlineStr">
        <is>
          <t>Overall ARG/HUM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ARG/HUM</t>
        </is>
      </c>
      <c r="G3" s="3" t="inlineStr">
        <is>
          <t>Packages Billed to ARG/HUM</t>
        </is>
      </c>
      <c r="H3" s="3" t="inlineStr">
        <is>
          <t>Total Qty Purchased</t>
        </is>
      </c>
      <c r="I3" s="3" t="inlineStr">
        <is>
          <t>Qty Difference for ARG/HUM</t>
        </is>
      </c>
      <c r="J3" s="3" t="inlineStr">
        <is>
          <t>Actual $ Paid by ARG/HUM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ARG/HUM</t>
        </is>
      </c>
      <c r="C4" s="5" t="inlineStr">
        <is>
          <t>00169413013</t>
        </is>
      </c>
      <c r="D4" s="5" t="inlineStr">
        <is>
          <t>OZEMPIC (1 MG/DOSE) 4MG/3ML INJECTION</t>
        </is>
      </c>
      <c r="E4" s="6" t="inlineStr">
        <is>
          <t>3.0</t>
        </is>
      </c>
      <c r="F4" s="7" t="n">
        <v>3</v>
      </c>
      <c r="G4" s="7" t="n">
        <v>1</v>
      </c>
      <c r="H4" s="7" t="n">
        <v>47</v>
      </c>
      <c r="I4" s="7" t="n">
        <v>46</v>
      </c>
      <c r="J4" s="8" t="n">
        <v>938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ARG/HUM</t>
        </is>
      </c>
      <c r="C5" s="5" t="inlineStr">
        <is>
          <t>00597015330</t>
        </is>
      </c>
      <c r="D5" s="5" t="inlineStr">
        <is>
          <t xml:space="preserve">JARDIANCE 25MG TAB </t>
        </is>
      </c>
      <c r="E5" s="6" t="inlineStr">
        <is>
          <t>30.0</t>
        </is>
      </c>
      <c r="F5" s="7" t="n">
        <v>30</v>
      </c>
      <c r="G5" s="7" t="n">
        <v>1</v>
      </c>
      <c r="H5" s="7" t="n">
        <v>139</v>
      </c>
      <c r="I5" s="7" t="n">
        <v>138</v>
      </c>
      <c r="J5" s="8" t="n">
        <v>587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ARG/HUM</t>
        </is>
      </c>
      <c r="C6" s="5" t="inlineStr">
        <is>
          <t>00456120130</t>
        </is>
      </c>
      <c r="D6" s="5" t="inlineStr">
        <is>
          <t>LINZESS 145MCG CAPSULE</t>
        </is>
      </c>
      <c r="E6" s="6" t="inlineStr">
        <is>
          <t>30.0</t>
        </is>
      </c>
      <c r="F6" s="7" t="n">
        <v>30</v>
      </c>
      <c r="G6" s="7" t="n">
        <v>1</v>
      </c>
      <c r="H6" s="7" t="n">
        <v>30</v>
      </c>
      <c r="I6" s="7" t="n">
        <v>29</v>
      </c>
      <c r="J6" s="8" t="n">
        <v>534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ARG/HUM</t>
        </is>
      </c>
      <c r="C7" s="5" t="inlineStr">
        <is>
          <t>00173085910</t>
        </is>
      </c>
      <c r="D7" s="5" t="inlineStr">
        <is>
          <t>BREO ELLIPTA 100-25 MCG/ACT INH AEROSOL</t>
        </is>
      </c>
      <c r="E7" s="6" t="inlineStr">
        <is>
          <t>60.0</t>
        </is>
      </c>
      <c r="F7" s="7" t="n">
        <v>60</v>
      </c>
      <c r="G7" s="7" t="n">
        <v>1</v>
      </c>
      <c r="H7" s="7" t="n">
        <v>9</v>
      </c>
      <c r="I7" s="7" t="n">
        <v>8</v>
      </c>
      <c r="J7" s="8" t="n">
        <v>383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ARG/HUM</t>
        </is>
      </c>
      <c r="C8" s="5" t="inlineStr">
        <is>
          <t>00006057761</t>
        </is>
      </c>
      <c r="D8" s="5" t="inlineStr">
        <is>
          <t>JANUMET 50-1000MG TABLET</t>
        </is>
      </c>
      <c r="E8" s="6" t="inlineStr">
        <is>
          <t>60.0</t>
        </is>
      </c>
      <c r="F8" s="7" t="n">
        <v>60</v>
      </c>
      <c r="G8" s="7" t="n">
        <v>1</v>
      </c>
      <c r="H8" s="7" t="n">
        <v>61</v>
      </c>
      <c r="I8" s="7" t="n">
        <v>60</v>
      </c>
      <c r="J8" s="8" t="n">
        <v>306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ARG/HUM</t>
        </is>
      </c>
      <c r="C9" s="5" t="inlineStr">
        <is>
          <t>00006011231</t>
        </is>
      </c>
      <c r="D9" s="5" t="inlineStr">
        <is>
          <t>JANUVIA 50MG TABLET</t>
        </is>
      </c>
      <c r="E9" s="6" t="inlineStr">
        <is>
          <t>30.0</t>
        </is>
      </c>
      <c r="F9" s="7" t="n">
        <v>60</v>
      </c>
      <c r="G9" s="7" t="n">
        <v>2</v>
      </c>
      <c r="H9" s="7" t="n">
        <v>35</v>
      </c>
      <c r="I9" s="7" t="n">
        <v>33</v>
      </c>
      <c r="J9" s="8" t="n">
        <v>235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ARG/HUM</t>
        </is>
      </c>
      <c r="C10" s="5" t="inlineStr">
        <is>
          <t>65702071110</t>
        </is>
      </c>
      <c r="D10" s="5" t="inlineStr">
        <is>
          <t>ACCU-CHEK GUIDE IN VITRO STRIP</t>
        </is>
      </c>
      <c r="E10" s="6" t="inlineStr">
        <is>
          <t>50.0</t>
        </is>
      </c>
      <c r="F10" s="7" t="n">
        <v>400</v>
      </c>
      <c r="G10" s="7" t="n">
        <v>8</v>
      </c>
      <c r="H10" s="7" t="n">
        <v>22</v>
      </c>
      <c r="I10" s="7" t="n">
        <v>14</v>
      </c>
      <c r="J10" s="8" t="n">
        <v>136</v>
      </c>
      <c r="K10" s="9">
        <f>IFERROR(IF((ROUND((J10/G10)*I10,1))&lt;0,(ROUND((J10/G10)*I10,1)),0),0)</f>
        <v/>
      </c>
    </row>
    <row r="11">
      <c r="E11" s="10" t="inlineStr">
        <is>
          <t>TOTAL</t>
        </is>
      </c>
      <c r="F11" s="11">
        <f>SUM(F4:F10)</f>
        <v/>
      </c>
      <c r="G11" s="11">
        <f>SUM(G4:G10)</f>
        <v/>
      </c>
      <c r="H11" s="11">
        <f>SUM(H4:H10)</f>
        <v/>
      </c>
      <c r="I11" s="11">
        <f>SUM(I4:I10)</f>
        <v/>
      </c>
      <c r="J11" s="12">
        <f>SUM(J4:J10)</f>
        <v/>
      </c>
      <c r="K11" s="13">
        <f>SUM(K4:K10)</f>
        <v/>
      </c>
    </row>
    <row r="12">
      <c r="J12" s="14" t="inlineStr">
        <is>
          <t>Audited Drugs Count</t>
        </is>
      </c>
      <c r="K12" s="15">
        <f>COUNTIF(K4:K10,"&lt;0")</f>
        <v/>
      </c>
    </row>
    <row r="13">
      <c r="J13" s="14" t="inlineStr">
        <is>
          <t>Total Audit Exposure</t>
        </is>
      </c>
      <c r="K13" s="16">
        <f>SUMIF(K4:K10,"&lt;0",K4:K10)</f>
        <v/>
      </c>
    </row>
  </sheetData>
  <autoFilter ref="A3:K10"/>
  <mergeCells count="2">
    <mergeCell ref="A2:K2"/>
    <mergeCell ref="A1:K1"/>
  </mergeCells>
  <conditionalFormatting sqref="E4:K1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7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hh — hh — CVS</t>
        </is>
      </c>
    </row>
    <row r="2" ht="24" customHeight="1">
      <c r="A2" s="2" t="inlineStr">
        <is>
          <t>Overall CVS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CVS</t>
        </is>
      </c>
      <c r="G3" s="3" t="inlineStr">
        <is>
          <t>Packages Billed to CVS</t>
        </is>
      </c>
      <c r="H3" s="3" t="inlineStr">
        <is>
          <t>Total Qty Purchased</t>
        </is>
      </c>
      <c r="I3" s="3" t="inlineStr">
        <is>
          <t>Qty Difference for CVS</t>
        </is>
      </c>
      <c r="J3" s="3" t="inlineStr">
        <is>
          <t>Actual $ Paid by CVS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CVS</t>
        </is>
      </c>
      <c r="C4" s="5" t="inlineStr">
        <is>
          <t>00023916360</t>
        </is>
      </c>
      <c r="D4" s="5" t="inlineStr">
        <is>
          <t xml:space="preserve">RESTASIS 0.05% EMULSION </t>
        </is>
      </c>
      <c r="E4" s="6" t="inlineStr">
        <is>
          <t>60.0</t>
        </is>
      </c>
      <c r="F4" s="7" t="n">
        <v>11700</v>
      </c>
      <c r="G4" s="7" t="n">
        <v>195</v>
      </c>
      <c r="H4" s="7" t="n">
        <v>176</v>
      </c>
      <c r="I4" s="7" t="n">
        <v>-19</v>
      </c>
      <c r="J4" s="8" t="n">
        <v>116184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CVS</t>
        </is>
      </c>
      <c r="C5" s="5" t="inlineStr">
        <is>
          <t>00169418113</t>
        </is>
      </c>
      <c r="D5" s="5" t="inlineStr">
        <is>
          <t>OZEMPIC (0.25 OR 0.5 MG/DOSE) 2 MG/3ML PEN-INJECTOR</t>
        </is>
      </c>
      <c r="E5" s="6" t="inlineStr">
        <is>
          <t>3.0</t>
        </is>
      </c>
      <c r="F5" s="7" t="n">
        <v>357</v>
      </c>
      <c r="G5" s="7" t="n">
        <v>119</v>
      </c>
      <c r="H5" s="7" t="n">
        <v>69</v>
      </c>
      <c r="I5" s="7" t="n">
        <v>-50</v>
      </c>
      <c r="J5" s="8" t="n">
        <v>112565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CVS</t>
        </is>
      </c>
      <c r="C6" s="5" t="inlineStr">
        <is>
          <t>00597015330</t>
        </is>
      </c>
      <c r="D6" s="5" t="inlineStr">
        <is>
          <t xml:space="preserve">JARDIANCE 25MG TAB </t>
        </is>
      </c>
      <c r="E6" s="6" t="inlineStr">
        <is>
          <t>30.0</t>
        </is>
      </c>
      <c r="F6" s="7" t="n">
        <v>6960</v>
      </c>
      <c r="G6" s="7" t="n">
        <v>232</v>
      </c>
      <c r="H6" s="7" t="n">
        <v>139</v>
      </c>
      <c r="I6" s="7" t="n">
        <v>-93</v>
      </c>
      <c r="J6" s="8" t="n">
        <v>96667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CVS</t>
        </is>
      </c>
      <c r="C7" s="5" t="inlineStr">
        <is>
          <t>00169413013</t>
        </is>
      </c>
      <c r="D7" s="5" t="inlineStr">
        <is>
          <t>OZEMPIC (1 MG/DOSE) 4MG/3ML INJECTION</t>
        </is>
      </c>
      <c r="E7" s="6" t="inlineStr">
        <is>
          <t>3.0</t>
        </is>
      </c>
      <c r="F7" s="7" t="n">
        <v>267</v>
      </c>
      <c r="G7" s="7" t="n">
        <v>89</v>
      </c>
      <c r="H7" s="7" t="n">
        <v>47</v>
      </c>
      <c r="I7" s="7" t="n">
        <v>-42</v>
      </c>
      <c r="J7" s="8" t="n">
        <v>84244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CVS</t>
        </is>
      </c>
      <c r="C8" s="5" t="inlineStr">
        <is>
          <t>00597015230</t>
        </is>
      </c>
      <c r="D8" s="5" t="inlineStr">
        <is>
          <t xml:space="preserve">JARDIANCE 10MG TAB </t>
        </is>
      </c>
      <c r="E8" s="6" t="inlineStr">
        <is>
          <t>30.0</t>
        </is>
      </c>
      <c r="F8" s="7" t="n">
        <v>4620</v>
      </c>
      <c r="G8" s="7" t="n">
        <v>154</v>
      </c>
      <c r="H8" s="7" t="n">
        <v>98</v>
      </c>
      <c r="I8" s="7" t="n">
        <v>-56</v>
      </c>
      <c r="J8" s="8" t="n">
        <v>66684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CVS</t>
        </is>
      </c>
      <c r="C9" s="5" t="inlineStr">
        <is>
          <t>00003089421</t>
        </is>
      </c>
      <c r="D9" s="5" t="inlineStr">
        <is>
          <t xml:space="preserve">ELIQUIS 5MG TAB </t>
        </is>
      </c>
      <c r="E9" s="6" t="inlineStr">
        <is>
          <t>60.0</t>
        </is>
      </c>
      <c r="F9" s="7" t="n">
        <v>8880</v>
      </c>
      <c r="G9" s="7" t="n">
        <v>148</v>
      </c>
      <c r="H9" s="7" t="n">
        <v>83</v>
      </c>
      <c r="I9" s="7" t="n">
        <v>-65</v>
      </c>
      <c r="J9" s="8" t="n">
        <v>64051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CVS</t>
        </is>
      </c>
      <c r="C10" s="5" t="inlineStr">
        <is>
          <t>24208091112</t>
        </is>
      </c>
      <c r="D10" s="5" t="inlineStr">
        <is>
          <t>XIIDRA 5 % OPHTHALMIC SOLUTION</t>
        </is>
      </c>
      <c r="E10" s="6" t="inlineStr">
        <is>
          <t>60.0</t>
        </is>
      </c>
      <c r="F10" s="7" t="n">
        <v>4800</v>
      </c>
      <c r="G10" s="7" t="n">
        <v>80</v>
      </c>
      <c r="H10" s="7" t="n">
        <v>84</v>
      </c>
      <c r="I10" s="7" t="n">
        <v>4</v>
      </c>
      <c r="J10" s="8" t="n">
        <v>53567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CVS</t>
        </is>
      </c>
      <c r="C11" s="5" t="inlineStr">
        <is>
          <t>24208037705</t>
        </is>
      </c>
      <c r="D11" s="5" t="inlineStr">
        <is>
          <t>MIEBO 1.338 GM/ML OPHTHALMIC SOLUTION</t>
        </is>
      </c>
      <c r="E11" s="6" t="inlineStr">
        <is>
          <t>3.0</t>
        </is>
      </c>
      <c r="F11" s="7" t="n">
        <v>192</v>
      </c>
      <c r="G11" s="7" t="n">
        <v>64</v>
      </c>
      <c r="H11" s="7" t="n">
        <v>35</v>
      </c>
      <c r="I11" s="7" t="n">
        <v>-29</v>
      </c>
      <c r="J11" s="8" t="n">
        <v>47384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CVS</t>
        </is>
      </c>
      <c r="C12" s="5" t="inlineStr">
        <is>
          <t>00310621030</t>
        </is>
      </c>
      <c r="D12" s="5" t="inlineStr">
        <is>
          <t>FARXIGA 10MG TABLET</t>
        </is>
      </c>
      <c r="E12" s="6" t="inlineStr">
        <is>
          <t>30.0</t>
        </is>
      </c>
      <c r="F12" s="7" t="n">
        <v>2640</v>
      </c>
      <c r="G12" s="7" t="n">
        <v>88</v>
      </c>
      <c r="H12" s="7" t="n">
        <v>50</v>
      </c>
      <c r="I12" s="7" t="n">
        <v>-38</v>
      </c>
      <c r="J12" s="8" t="n">
        <v>42211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CVS</t>
        </is>
      </c>
      <c r="C13" s="5" t="inlineStr">
        <is>
          <t>00002149580</t>
        </is>
      </c>
      <c r="D13" s="5" t="inlineStr">
        <is>
          <t>MOUNJARO 5 MG/0.5ML PEN-INJECTOR</t>
        </is>
      </c>
      <c r="E13" s="6" t="inlineStr">
        <is>
          <t>2.0</t>
        </is>
      </c>
      <c r="F13" s="7" t="n">
        <v>78</v>
      </c>
      <c r="G13" s="7" t="n">
        <v>39</v>
      </c>
      <c r="H13" s="7" t="n">
        <v>24</v>
      </c>
      <c r="I13" s="7" t="n">
        <v>-15</v>
      </c>
      <c r="J13" s="8" t="n">
        <v>40180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CVS</t>
        </is>
      </c>
      <c r="C14" s="5" t="inlineStr">
        <is>
          <t>00002148480</t>
        </is>
      </c>
      <c r="D14" s="5" t="inlineStr">
        <is>
          <t>MOUNJARO 7.5 MG/0.5ML PEN-INJECTOR</t>
        </is>
      </c>
      <c r="E14" s="6" t="inlineStr">
        <is>
          <t>2.0</t>
        </is>
      </c>
      <c r="F14" s="7" t="n">
        <v>76</v>
      </c>
      <c r="G14" s="7" t="n">
        <v>38</v>
      </c>
      <c r="H14" s="7" t="n">
        <v>27</v>
      </c>
      <c r="I14" s="7" t="n">
        <v>-11</v>
      </c>
      <c r="J14" s="8" t="n">
        <v>39042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CVS</t>
        </is>
      </c>
      <c r="C15" s="5" t="inlineStr">
        <is>
          <t>00169477212</t>
        </is>
      </c>
      <c r="D15" s="5" t="inlineStr">
        <is>
          <t>OZEMPIC (2 MG/DOSE) 8 MG/3ML PEN-INJECTOR</t>
        </is>
      </c>
      <c r="E15" s="6" t="inlineStr">
        <is>
          <t>3.0</t>
        </is>
      </c>
      <c r="F15" s="7" t="n">
        <v>117</v>
      </c>
      <c r="G15" s="7" t="n">
        <v>39</v>
      </c>
      <c r="H15" s="7" t="n">
        <v>32</v>
      </c>
      <c r="I15" s="7" t="n">
        <v>-7</v>
      </c>
      <c r="J15" s="8" t="n">
        <v>36710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CVS</t>
        </is>
      </c>
      <c r="C16" s="5" t="inlineStr">
        <is>
          <t>50419054001</t>
        </is>
      </c>
      <c r="D16" s="5" t="inlineStr">
        <is>
          <t>KERENDIA 10 MG TABLET</t>
        </is>
      </c>
      <c r="E16" s="6" t="inlineStr">
        <is>
          <t>30.0</t>
        </is>
      </c>
      <c r="F16" s="7" t="n">
        <v>1440</v>
      </c>
      <c r="G16" s="7" t="n">
        <v>48</v>
      </c>
      <c r="H16" s="7" t="n">
        <v>31</v>
      </c>
      <c r="I16" s="7" t="n">
        <v>-17</v>
      </c>
      <c r="J16" s="8" t="n">
        <v>31374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CVS</t>
        </is>
      </c>
      <c r="C17" s="5" t="inlineStr">
        <is>
          <t>00193731150</t>
        </is>
      </c>
      <c r="D17" s="5" t="inlineStr">
        <is>
          <t>CONTOUR NEXT TEST  STRIPS</t>
        </is>
      </c>
      <c r="E17" s="6" t="inlineStr">
        <is>
          <t>50.0</t>
        </is>
      </c>
      <c r="F17" s="7" t="n">
        <v>27650</v>
      </c>
      <c r="G17" s="7" t="n">
        <v>553</v>
      </c>
      <c r="H17" s="7" t="n">
        <v>0</v>
      </c>
      <c r="I17" s="7" t="n">
        <v>-553</v>
      </c>
      <c r="J17" s="8" t="n">
        <v>28177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CVS</t>
        </is>
      </c>
      <c r="C18" s="5" t="inlineStr">
        <is>
          <t>00002771559</t>
        </is>
      </c>
      <c r="D18" s="5" t="inlineStr">
        <is>
          <t>BASAGLAR KWIKPEN 100UNIT/ML INJECTION</t>
        </is>
      </c>
      <c r="E18" s="6" t="inlineStr">
        <is>
          <t>15.0</t>
        </is>
      </c>
      <c r="F18" s="7" t="n">
        <v>1365</v>
      </c>
      <c r="G18" s="7" t="n">
        <v>91</v>
      </c>
      <c r="H18" s="7" t="n">
        <v>45</v>
      </c>
      <c r="I18" s="7" t="n">
        <v>-46</v>
      </c>
      <c r="J18" s="8" t="n">
        <v>27472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CVS</t>
        </is>
      </c>
      <c r="C19" s="5" t="inlineStr">
        <is>
          <t>00169430330</t>
        </is>
      </c>
      <c r="D19" s="5" t="inlineStr">
        <is>
          <t>RYBELSUS 3MG TABLET</t>
        </is>
      </c>
      <c r="E19" s="6" t="inlineStr">
        <is>
          <t>30.0</t>
        </is>
      </c>
      <c r="F19" s="7" t="n">
        <v>810</v>
      </c>
      <c r="G19" s="7" t="n">
        <v>27</v>
      </c>
      <c r="H19" s="7" t="n">
        <v>0</v>
      </c>
      <c r="I19" s="7" t="n">
        <v>-27</v>
      </c>
      <c r="J19" s="8" t="n">
        <v>25521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CVS</t>
        </is>
      </c>
      <c r="C20" s="5" t="inlineStr">
        <is>
          <t>00456120130</t>
        </is>
      </c>
      <c r="D20" s="5" t="inlineStr">
        <is>
          <t>LINZESS 145MCG CAPSULE</t>
        </is>
      </c>
      <c r="E20" s="6" t="inlineStr">
        <is>
          <t>30.0</t>
        </is>
      </c>
      <c r="F20" s="7" t="n">
        <v>1770</v>
      </c>
      <c r="G20" s="7" t="n">
        <v>59</v>
      </c>
      <c r="H20" s="7" t="n">
        <v>30</v>
      </c>
      <c r="I20" s="7" t="n">
        <v>-29</v>
      </c>
      <c r="J20" s="8" t="n">
        <v>25057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CVS</t>
        </is>
      </c>
      <c r="C21" s="5" t="inlineStr">
        <is>
          <t>00006057761</t>
        </is>
      </c>
      <c r="D21" s="5" t="inlineStr">
        <is>
          <t>JANUMET 50-1000MG TABLET</t>
        </is>
      </c>
      <c r="E21" s="6" t="inlineStr">
        <is>
          <t>60.0</t>
        </is>
      </c>
      <c r="F21" s="7" t="n">
        <v>4740</v>
      </c>
      <c r="G21" s="7" t="n">
        <v>79</v>
      </c>
      <c r="H21" s="7" t="n">
        <v>61</v>
      </c>
      <c r="I21" s="7" t="n">
        <v>-18</v>
      </c>
      <c r="J21" s="8" t="n">
        <v>23732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CVS</t>
        </is>
      </c>
      <c r="C22" s="5" t="inlineStr">
        <is>
          <t>00006027731</t>
        </is>
      </c>
      <c r="D22" s="5" t="inlineStr">
        <is>
          <t>JANUVIA 100MG TAB</t>
        </is>
      </c>
      <c r="E22" s="6" t="inlineStr">
        <is>
          <t>30.0</t>
        </is>
      </c>
      <c r="F22" s="7" t="n">
        <v>3000</v>
      </c>
      <c r="G22" s="7" t="n">
        <v>100</v>
      </c>
      <c r="H22" s="7" t="n">
        <v>63</v>
      </c>
      <c r="I22" s="7" t="n">
        <v>-37</v>
      </c>
      <c r="J22" s="8" t="n">
        <v>23473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CVS</t>
        </is>
      </c>
      <c r="C23" s="5" t="inlineStr">
        <is>
          <t>00002143380</t>
        </is>
      </c>
      <c r="D23" s="5" t="inlineStr">
        <is>
          <t>TRULICITY 0.75MG/0.5ML INJECTION</t>
        </is>
      </c>
      <c r="E23" s="6" t="inlineStr">
        <is>
          <t>2.0</t>
        </is>
      </c>
      <c r="F23" s="7" t="n">
        <v>46</v>
      </c>
      <c r="G23" s="7" t="n">
        <v>23</v>
      </c>
      <c r="H23" s="7" t="n">
        <v>23</v>
      </c>
      <c r="I23" s="7" t="n">
        <v>0</v>
      </c>
      <c r="J23" s="8" t="n">
        <v>21662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CVS</t>
        </is>
      </c>
      <c r="C24" s="5" t="inlineStr">
        <is>
          <t>49702024213</t>
        </is>
      </c>
      <c r="D24" s="5" t="inlineStr">
        <is>
          <t>JULUCA 50-25MG TABLET</t>
        </is>
      </c>
      <c r="E24" s="6" t="inlineStr">
        <is>
          <t>30.0</t>
        </is>
      </c>
      <c r="F24" s="7" t="n">
        <v>180</v>
      </c>
      <c r="G24" s="7" t="n">
        <v>6</v>
      </c>
      <c r="H24" s="7" t="n">
        <v>4</v>
      </c>
      <c r="I24" s="7" t="n">
        <v>-2</v>
      </c>
      <c r="J24" s="8" t="n">
        <v>21168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CVS</t>
        </is>
      </c>
      <c r="C25" s="5" t="inlineStr">
        <is>
          <t>00310111030</t>
        </is>
      </c>
      <c r="D25" s="5" t="inlineStr">
        <is>
          <t>LOKELMA 10GM PACK</t>
        </is>
      </c>
      <c r="E25" s="6" t="inlineStr">
        <is>
          <t>30.0</t>
        </is>
      </c>
      <c r="F25" s="7" t="n">
        <v>750</v>
      </c>
      <c r="G25" s="7" t="n">
        <v>25</v>
      </c>
      <c r="H25" s="7" t="n">
        <v>12</v>
      </c>
      <c r="I25" s="7" t="n">
        <v>-13</v>
      </c>
      <c r="J25" s="8" t="n">
        <v>20609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CVS</t>
        </is>
      </c>
      <c r="C26" s="5" t="inlineStr">
        <is>
          <t>00002223680</t>
        </is>
      </c>
      <c r="D26" s="5" t="inlineStr">
        <is>
          <t>TRULICITY 3MG/0.5ML INJECTION</t>
        </is>
      </c>
      <c r="E26" s="6" t="inlineStr">
        <is>
          <t>2.0</t>
        </is>
      </c>
      <c r="F26" s="7" t="n">
        <v>44</v>
      </c>
      <c r="G26" s="7" t="n">
        <v>22</v>
      </c>
      <c r="H26" s="7" t="n">
        <v>9</v>
      </c>
      <c r="I26" s="7" t="n">
        <v>-13</v>
      </c>
      <c r="J26" s="8" t="n">
        <v>20509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CVS</t>
        </is>
      </c>
      <c r="C27" s="5" t="inlineStr">
        <is>
          <t>00002147180</t>
        </is>
      </c>
      <c r="D27" s="5" t="inlineStr">
        <is>
          <t>MOUNJARO 10 MG/0.5ML PEN-INJECTOR</t>
        </is>
      </c>
      <c r="E27" s="6" t="inlineStr">
        <is>
          <t>2.0</t>
        </is>
      </c>
      <c r="F27" s="7" t="n">
        <v>38</v>
      </c>
      <c r="G27" s="7" t="n">
        <v>19</v>
      </c>
      <c r="H27" s="7" t="n">
        <v>10</v>
      </c>
      <c r="I27" s="7" t="n">
        <v>-9</v>
      </c>
      <c r="J27" s="8" t="n">
        <v>18909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CVS</t>
        </is>
      </c>
      <c r="C28" s="5" t="inlineStr">
        <is>
          <t>00169431430</t>
        </is>
      </c>
      <c r="D28" s="5" t="inlineStr">
        <is>
          <t>RYBELSUS 14MG TABLET</t>
        </is>
      </c>
      <c r="E28" s="6" t="inlineStr">
        <is>
          <t>30.0</t>
        </is>
      </c>
      <c r="F28" s="7" t="n">
        <v>600</v>
      </c>
      <c r="G28" s="7" t="n">
        <v>20</v>
      </c>
      <c r="H28" s="7" t="n">
        <v>15</v>
      </c>
      <c r="I28" s="7" t="n">
        <v>-5</v>
      </c>
      <c r="J28" s="8" t="n">
        <v>18791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CVS</t>
        </is>
      </c>
      <c r="C29" s="5" t="inlineStr">
        <is>
          <t>00456120230</t>
        </is>
      </c>
      <c r="D29" s="5" t="inlineStr">
        <is>
          <t xml:space="preserve">LINZESS 290MCG CAP </t>
        </is>
      </c>
      <c r="E29" s="6" t="inlineStr">
        <is>
          <t>30.0</t>
        </is>
      </c>
      <c r="F29" s="7" t="n">
        <v>1260</v>
      </c>
      <c r="G29" s="7" t="n">
        <v>42</v>
      </c>
      <c r="H29" s="7" t="n">
        <v>28</v>
      </c>
      <c r="I29" s="7" t="n">
        <v>-14</v>
      </c>
      <c r="J29" s="8" t="n">
        <v>18275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CVS</t>
        </is>
      </c>
      <c r="C30" s="5" t="inlineStr">
        <is>
          <t>73336007530</t>
        </is>
      </c>
      <c r="D30" s="5" t="inlineStr">
        <is>
          <t>GEMTESA 75MG TABLET</t>
        </is>
      </c>
      <c r="E30" s="6" t="inlineStr">
        <is>
          <t>30.0</t>
        </is>
      </c>
      <c r="F30" s="7" t="n">
        <v>1110</v>
      </c>
      <c r="G30" s="7" t="n">
        <v>37</v>
      </c>
      <c r="H30" s="7" t="n">
        <v>18</v>
      </c>
      <c r="I30" s="7" t="n">
        <v>-19</v>
      </c>
      <c r="J30" s="8" t="n">
        <v>17565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CVS</t>
        </is>
      </c>
      <c r="C31" s="5" t="inlineStr">
        <is>
          <t>00169430730</t>
        </is>
      </c>
      <c r="D31" s="5" t="inlineStr">
        <is>
          <t>RYBELSUS 7MG TABLET</t>
        </is>
      </c>
      <c r="E31" s="6" t="inlineStr">
        <is>
          <t>30.0</t>
        </is>
      </c>
      <c r="F31" s="7" t="n">
        <v>540</v>
      </c>
      <c r="G31" s="7" t="n">
        <v>18</v>
      </c>
      <c r="H31" s="7" t="n">
        <v>7</v>
      </c>
      <c r="I31" s="7" t="n">
        <v>-11</v>
      </c>
      <c r="J31" s="8" t="n">
        <v>16901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CVS</t>
        </is>
      </c>
      <c r="C32" s="5" t="inlineStr">
        <is>
          <t>00023320508</t>
        </is>
      </c>
      <c r="D32" s="5" t="inlineStr">
        <is>
          <t>LUMIGAN 0.01% SOLUTION</t>
        </is>
      </c>
      <c r="E32" s="6" t="inlineStr">
        <is>
          <t>7.5</t>
        </is>
      </c>
      <c r="F32" s="7" t="n">
        <v>165</v>
      </c>
      <c r="G32" s="7" t="n">
        <v>22</v>
      </c>
      <c r="H32" s="7" t="n">
        <v>10</v>
      </c>
      <c r="I32" s="7" t="n">
        <v>-12</v>
      </c>
      <c r="J32" s="8" t="n">
        <v>16540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CVS</t>
        </is>
      </c>
      <c r="C33" s="5" t="inlineStr">
        <is>
          <t>72618300002</t>
        </is>
      </c>
      <c r="D33" s="5" t="inlineStr">
        <is>
          <t>NURTEC 75MG TABLET DISINTEGRATING</t>
        </is>
      </c>
      <c r="E33" s="6" t="inlineStr">
        <is>
          <t>8.0</t>
        </is>
      </c>
      <c r="F33" s="7" t="n">
        <v>128</v>
      </c>
      <c r="G33" s="7" t="n">
        <v>16</v>
      </c>
      <c r="H33" s="7" t="n">
        <v>6</v>
      </c>
      <c r="I33" s="7" t="n">
        <v>-10</v>
      </c>
      <c r="J33" s="8" t="n">
        <v>16054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CVS</t>
        </is>
      </c>
      <c r="C34" s="5" t="inlineStr">
        <is>
          <t>00003089321</t>
        </is>
      </c>
      <c r="D34" s="5" t="inlineStr">
        <is>
          <t xml:space="preserve">ELIQUIS 2.5MG TAB </t>
        </is>
      </c>
      <c r="E34" s="6" t="inlineStr">
        <is>
          <t>60.0</t>
        </is>
      </c>
      <c r="F34" s="7" t="n">
        <v>1920</v>
      </c>
      <c r="G34" s="7" t="n">
        <v>32</v>
      </c>
      <c r="H34" s="7" t="n">
        <v>30</v>
      </c>
      <c r="I34" s="7" t="n">
        <v>-2</v>
      </c>
      <c r="J34" s="8" t="n">
        <v>14612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CVS</t>
        </is>
      </c>
      <c r="C35" s="5" t="inlineStr">
        <is>
          <t>00002146080</t>
        </is>
      </c>
      <c r="D35" s="5" t="inlineStr">
        <is>
          <t>MOUNJARO 12.5 MG/0.5ML PEN-INJECTOR</t>
        </is>
      </c>
      <c r="E35" s="6" t="inlineStr">
        <is>
          <t>2.0</t>
        </is>
      </c>
      <c r="F35" s="7" t="n">
        <v>28</v>
      </c>
      <c r="G35" s="7" t="n">
        <v>14</v>
      </c>
      <c r="H35" s="7" t="n">
        <v>9</v>
      </c>
      <c r="I35" s="7" t="n">
        <v>-5</v>
      </c>
      <c r="J35" s="8" t="n">
        <v>14516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CVS</t>
        </is>
      </c>
      <c r="C36" s="5" t="inlineStr">
        <is>
          <t>50458057930</t>
        </is>
      </c>
      <c r="D36" s="5" t="inlineStr">
        <is>
          <t>XARELTO 20MG TAB</t>
        </is>
      </c>
      <c r="E36" s="6" t="inlineStr">
        <is>
          <t>30.0</t>
        </is>
      </c>
      <c r="F36" s="7" t="n">
        <v>1050</v>
      </c>
      <c r="G36" s="7" t="n">
        <v>35</v>
      </c>
      <c r="H36" s="7" t="n">
        <v>23</v>
      </c>
      <c r="I36" s="7" t="n">
        <v>-12</v>
      </c>
      <c r="J36" s="8" t="n">
        <v>14126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CVS</t>
        </is>
      </c>
      <c r="C37" s="5" t="inlineStr">
        <is>
          <t>00002318280</t>
        </is>
      </c>
      <c r="D37" s="5" t="inlineStr">
        <is>
          <t>TRULICITY 4.5 MG/0.5ML SOLUTION</t>
        </is>
      </c>
      <c r="E37" s="6" t="inlineStr">
        <is>
          <t>2.0</t>
        </is>
      </c>
      <c r="F37" s="7" t="n">
        <v>30</v>
      </c>
      <c r="G37" s="7" t="n">
        <v>15</v>
      </c>
      <c r="H37" s="7" t="n">
        <v>10</v>
      </c>
      <c r="I37" s="7" t="n">
        <v>-5</v>
      </c>
      <c r="J37" s="8" t="n">
        <v>13906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CVS</t>
        </is>
      </c>
      <c r="C38" s="5" t="inlineStr">
        <is>
          <t>00597014030</t>
        </is>
      </c>
      <c r="D38" s="5" t="inlineStr">
        <is>
          <t xml:space="preserve">TRADJENTA 5MG TAB </t>
        </is>
      </c>
      <c r="E38" s="6" t="inlineStr">
        <is>
          <t>30.0</t>
        </is>
      </c>
      <c r="F38" s="7" t="n">
        <v>810</v>
      </c>
      <c r="G38" s="7" t="n">
        <v>27</v>
      </c>
      <c r="H38" s="7" t="n">
        <v>25</v>
      </c>
      <c r="I38" s="7" t="n">
        <v>-2</v>
      </c>
      <c r="J38" s="8" t="n">
        <v>13290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CVS</t>
        </is>
      </c>
      <c r="C39" s="5" t="inlineStr">
        <is>
          <t>00310620530</t>
        </is>
      </c>
      <c r="D39" s="5" t="inlineStr">
        <is>
          <t>FARXIGA 5MG TABLET</t>
        </is>
      </c>
      <c r="E39" s="6" t="inlineStr">
        <is>
          <t>30.0</t>
        </is>
      </c>
      <c r="F39" s="7" t="n">
        <v>750</v>
      </c>
      <c r="G39" s="7" t="n">
        <v>25</v>
      </c>
      <c r="H39" s="7" t="n">
        <v>13</v>
      </c>
      <c r="I39" s="7" t="n">
        <v>-12</v>
      </c>
      <c r="J39" s="8" t="n">
        <v>12461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CVS</t>
        </is>
      </c>
      <c r="C40" s="5" t="inlineStr">
        <is>
          <t>49702024613</t>
        </is>
      </c>
      <c r="D40" s="5" t="inlineStr">
        <is>
          <t>DOVATO 50-300 MG ORAL TABLET</t>
        </is>
      </c>
      <c r="E40" s="6" t="inlineStr">
        <is>
          <t>30.0</t>
        </is>
      </c>
      <c r="F40" s="7" t="n">
        <v>120</v>
      </c>
      <c r="G40" s="7" t="n">
        <v>4</v>
      </c>
      <c r="H40" s="7" t="n">
        <v>3</v>
      </c>
      <c r="I40" s="7" t="n">
        <v>-1</v>
      </c>
      <c r="J40" s="8" t="n">
        <v>11852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CVS</t>
        </is>
      </c>
      <c r="C41" s="5" t="inlineStr">
        <is>
          <t>00310110530</t>
        </is>
      </c>
      <c r="D41" s="5" t="inlineStr">
        <is>
          <t>LOKELMA 5GM PACK</t>
        </is>
      </c>
      <c r="E41" s="6" t="inlineStr">
        <is>
          <t>30.0</t>
        </is>
      </c>
      <c r="F41" s="7" t="n">
        <v>390</v>
      </c>
      <c r="G41" s="7" t="n">
        <v>13</v>
      </c>
      <c r="H41" s="7" t="n">
        <v>7</v>
      </c>
      <c r="I41" s="7" t="n">
        <v>-6</v>
      </c>
      <c r="J41" s="8" t="n">
        <v>10718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CVS</t>
        </is>
      </c>
      <c r="C42" s="5" t="inlineStr">
        <is>
          <t>72511039302</t>
        </is>
      </c>
      <c r="D42" s="5" t="inlineStr">
        <is>
          <t>REPATHA SURECLICK 140 MG/ML SUBCUTANEOUS SOLUTION AUTO-INJECTOR</t>
        </is>
      </c>
      <c r="E42" s="6" t="inlineStr">
        <is>
          <t>2.0</t>
        </is>
      </c>
      <c r="F42" s="7" t="n">
        <v>40</v>
      </c>
      <c r="G42" s="7" t="n">
        <v>20</v>
      </c>
      <c r="H42" s="7" t="n">
        <v>11</v>
      </c>
      <c r="I42" s="7" t="n">
        <v>-9</v>
      </c>
      <c r="J42" s="8" t="n">
        <v>10702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CVS</t>
        </is>
      </c>
      <c r="C43" s="5" t="inlineStr">
        <is>
          <t>00002150680</t>
        </is>
      </c>
      <c r="D43" s="5" t="inlineStr">
        <is>
          <t>MOUNJARO 2.5 MG/0.5ML PEN-INJECTOR</t>
        </is>
      </c>
      <c r="E43" s="6" t="inlineStr">
        <is>
          <t>2.0</t>
        </is>
      </c>
      <c r="F43" s="7" t="n">
        <v>20</v>
      </c>
      <c r="G43" s="7" t="n">
        <v>10</v>
      </c>
      <c r="H43" s="7" t="n">
        <v>4</v>
      </c>
      <c r="I43" s="7" t="n">
        <v>-6</v>
      </c>
      <c r="J43" s="8" t="n">
        <v>10400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CVS</t>
        </is>
      </c>
      <c r="C44" s="5" t="inlineStr">
        <is>
          <t>00469260230</t>
        </is>
      </c>
      <c r="D44" s="5" t="inlineStr">
        <is>
          <t>MYRBETRIQ 50MG TABLET</t>
        </is>
      </c>
      <c r="E44" s="6" t="inlineStr">
        <is>
          <t>30.0</t>
        </is>
      </c>
      <c r="F44" s="7" t="n">
        <v>720</v>
      </c>
      <c r="G44" s="7" t="n">
        <v>24</v>
      </c>
      <c r="H44" s="7" t="n">
        <v>9</v>
      </c>
      <c r="I44" s="7" t="n">
        <v>-15</v>
      </c>
      <c r="J44" s="8" t="n">
        <v>10269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CVS</t>
        </is>
      </c>
      <c r="C45" s="5" t="inlineStr">
        <is>
          <t>00169452414</t>
        </is>
      </c>
      <c r="D45" s="5" t="inlineStr">
        <is>
          <t>WEGOVY 2.4 MG/0.75ML AUTO-INJECTOR</t>
        </is>
      </c>
      <c r="E45" s="6" t="inlineStr">
        <is>
          <t>3.0</t>
        </is>
      </c>
      <c r="F45" s="7" t="n">
        <v>24</v>
      </c>
      <c r="G45" s="7" t="n">
        <v>8</v>
      </c>
      <c r="H45" s="7" t="n">
        <v>5</v>
      </c>
      <c r="I45" s="7" t="n">
        <v>-3</v>
      </c>
      <c r="J45" s="8" t="n">
        <v>10172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CVS</t>
        </is>
      </c>
      <c r="C46" s="5" t="inlineStr">
        <is>
          <t>52937000120</t>
        </is>
      </c>
      <c r="D46" s="5" t="inlineStr">
        <is>
          <t>VASCEPA 1GM CAPSULE</t>
        </is>
      </c>
      <c r="E46" s="6" t="inlineStr">
        <is>
          <t>120.0</t>
        </is>
      </c>
      <c r="F46" s="7" t="n">
        <v>3780</v>
      </c>
      <c r="G46" s="7" t="n">
        <v>31.5</v>
      </c>
      <c r="H46" s="7" t="n">
        <v>21</v>
      </c>
      <c r="I46" s="7" t="n">
        <v>-10.5</v>
      </c>
      <c r="J46" s="8" t="n">
        <v>10122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CVS</t>
        </is>
      </c>
      <c r="C47" s="5" t="inlineStr">
        <is>
          <t>00002145780</t>
        </is>
      </c>
      <c r="D47" s="5" t="inlineStr">
        <is>
          <t>MOUNJARO 15 MG/0.5ML PEN-INJECTOR</t>
        </is>
      </c>
      <c r="E47" s="6" t="inlineStr">
        <is>
          <t>2.0</t>
        </is>
      </c>
      <c r="F47" s="7" t="n">
        <v>18</v>
      </c>
      <c r="G47" s="7" t="n">
        <v>9</v>
      </c>
      <c r="H47" s="7" t="n">
        <v>8</v>
      </c>
      <c r="I47" s="7" t="n">
        <v>-1</v>
      </c>
      <c r="J47" s="8" t="n">
        <v>9336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CVS</t>
        </is>
      </c>
      <c r="C48" s="5" t="inlineStr">
        <is>
          <t>00173089310</t>
        </is>
      </c>
      <c r="D48" s="5" t="inlineStr">
        <is>
          <t>TRELEGY ELLIPTA 200-62.5-25 MCG/ACT INHALATION AER</t>
        </is>
      </c>
      <c r="E48" s="6" t="inlineStr">
        <is>
          <t>60.0</t>
        </is>
      </c>
      <c r="F48" s="7" t="n">
        <v>840</v>
      </c>
      <c r="G48" s="7" t="n">
        <v>14</v>
      </c>
      <c r="H48" s="7" t="n">
        <v>6</v>
      </c>
      <c r="I48" s="7" t="n">
        <v>-8</v>
      </c>
      <c r="J48" s="8" t="n">
        <v>8986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CVS</t>
        </is>
      </c>
      <c r="C49" s="5" t="inlineStr">
        <is>
          <t>59676080030</t>
        </is>
      </c>
      <c r="D49" s="5" t="inlineStr">
        <is>
          <t>SYMTUZA 800-150-200-10MG TABLET</t>
        </is>
      </c>
      <c r="E49" s="6" t="inlineStr">
        <is>
          <t>30.0</t>
        </is>
      </c>
      <c r="F49" s="7" t="n">
        <v>60</v>
      </c>
      <c r="G49" s="7" t="n">
        <v>2</v>
      </c>
      <c r="H49" s="7" t="n">
        <v>3</v>
      </c>
      <c r="I49" s="7" t="n">
        <v>1</v>
      </c>
      <c r="J49" s="8" t="n">
        <v>8972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CVS</t>
        </is>
      </c>
      <c r="C50" s="5" t="inlineStr">
        <is>
          <t>00006011231</t>
        </is>
      </c>
      <c r="D50" s="5" t="inlineStr">
        <is>
          <t>JANUVIA 50MG TABLET</t>
        </is>
      </c>
      <c r="E50" s="6" t="inlineStr">
        <is>
          <t>30.0</t>
        </is>
      </c>
      <c r="F50" s="7" t="n">
        <v>1200</v>
      </c>
      <c r="G50" s="7" t="n">
        <v>40</v>
      </c>
      <c r="H50" s="7" t="n">
        <v>35</v>
      </c>
      <c r="I50" s="7" t="n">
        <v>-5</v>
      </c>
      <c r="J50" s="8" t="n">
        <v>8838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CVS</t>
        </is>
      </c>
      <c r="C51" s="5" t="inlineStr">
        <is>
          <t>00173085910</t>
        </is>
      </c>
      <c r="D51" s="5" t="inlineStr">
        <is>
          <t>BREO ELLIPTA 100-25 MCG/ACT INH AEROSOL</t>
        </is>
      </c>
      <c r="E51" s="6" t="inlineStr">
        <is>
          <t>60.0</t>
        </is>
      </c>
      <c r="F51" s="7" t="n">
        <v>1380</v>
      </c>
      <c r="G51" s="7" t="n">
        <v>23</v>
      </c>
      <c r="H51" s="7" t="n">
        <v>9</v>
      </c>
      <c r="I51" s="7" t="n">
        <v>-14</v>
      </c>
      <c r="J51" s="8" t="n">
        <v>8744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CVS</t>
        </is>
      </c>
      <c r="C52" s="5" t="inlineStr">
        <is>
          <t>73562011401</t>
        </is>
      </c>
      <c r="D52" s="5" t="inlineStr">
        <is>
          <t>ZENPEP 40000-126000U CAPSULE DR</t>
        </is>
      </c>
      <c r="E52" s="6" t="inlineStr">
        <is>
          <t>100.0</t>
        </is>
      </c>
      <c r="F52" s="7" t="n">
        <v>540</v>
      </c>
      <c r="G52" s="7" t="n">
        <v>5.4</v>
      </c>
      <c r="H52" s="7" t="n">
        <v>3</v>
      </c>
      <c r="I52" s="7" t="n">
        <v>-2.4</v>
      </c>
      <c r="J52" s="8" t="n">
        <v>8423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CVS</t>
        </is>
      </c>
      <c r="C53" s="5" t="inlineStr">
        <is>
          <t>00173088710</t>
        </is>
      </c>
      <c r="D53" s="5" t="inlineStr">
        <is>
          <t>TRELEGY ELLIPTA 100-62.5-25MCG/INH AEROSOL</t>
        </is>
      </c>
      <c r="E53" s="6" t="inlineStr">
        <is>
          <t>60.0</t>
        </is>
      </c>
      <c r="F53" s="7" t="n">
        <v>780</v>
      </c>
      <c r="G53" s="7" t="n">
        <v>13</v>
      </c>
      <c r="H53" s="7" t="n">
        <v>6</v>
      </c>
      <c r="I53" s="7" t="n">
        <v>-7</v>
      </c>
      <c r="J53" s="8" t="n">
        <v>8367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CVS</t>
        </is>
      </c>
      <c r="C54" s="5" t="inlineStr">
        <is>
          <t>61958250101</t>
        </is>
      </c>
      <c r="D54" s="5" t="inlineStr">
        <is>
          <t>BIKTARVY 50-200-25MG TABLET</t>
        </is>
      </c>
      <c r="E54" s="6" t="inlineStr">
        <is>
          <t>30.0</t>
        </is>
      </c>
      <c r="F54" s="7" t="n">
        <v>60</v>
      </c>
      <c r="G54" s="7" t="n">
        <v>2</v>
      </c>
      <c r="H54" s="7" t="n">
        <v>7</v>
      </c>
      <c r="I54" s="7" t="n">
        <v>5</v>
      </c>
      <c r="J54" s="8" t="n">
        <v>7864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CVS</t>
        </is>
      </c>
      <c r="C55" s="5" t="inlineStr">
        <is>
          <t>00310461612</t>
        </is>
      </c>
      <c r="D55" s="5" t="inlineStr">
        <is>
          <t>BREZTRI AEROSPHERE 160-9-4.8 MCG/ACT INHALATION AEROSOL</t>
        </is>
      </c>
      <c r="E55" s="6" t="inlineStr">
        <is>
          <t>10.7</t>
        </is>
      </c>
      <c r="F55" s="7" t="n">
        <v>128.4</v>
      </c>
      <c r="G55" s="7" t="n">
        <v>12</v>
      </c>
      <c r="H55" s="7" t="n">
        <v>8</v>
      </c>
      <c r="I55" s="7" t="n">
        <v>-3.999999999999998</v>
      </c>
      <c r="J55" s="8" t="n">
        <v>7616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CVS</t>
        </is>
      </c>
      <c r="C56" s="5" t="inlineStr">
        <is>
          <t>61958230101</t>
        </is>
      </c>
      <c r="D56" s="5" t="inlineStr">
        <is>
          <t>VEMLIDY 25 MG ORAL TABLET</t>
        </is>
      </c>
      <c r="E56" s="6" t="inlineStr">
        <is>
          <t>30.0</t>
        </is>
      </c>
      <c r="F56" s="7" t="n">
        <v>150</v>
      </c>
      <c r="G56" s="7" t="n">
        <v>5</v>
      </c>
      <c r="H56" s="7" t="n">
        <v>3</v>
      </c>
      <c r="I56" s="7" t="n">
        <v>-2</v>
      </c>
      <c r="J56" s="8" t="n">
        <v>7292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CVS</t>
        </is>
      </c>
      <c r="C57" s="5" t="inlineStr">
        <is>
          <t>47335050696</t>
        </is>
      </c>
      <c r="D57" s="5" t="inlineStr">
        <is>
          <t>CEQUA 0.09% SOLUTION</t>
        </is>
      </c>
      <c r="E57" s="6" t="inlineStr">
        <is>
          <t>60.0</t>
        </is>
      </c>
      <c r="F57" s="7" t="n">
        <v>660</v>
      </c>
      <c r="G57" s="7" t="n">
        <v>11</v>
      </c>
      <c r="H57" s="7" t="n">
        <v>5</v>
      </c>
      <c r="I57" s="7" t="n">
        <v>-6</v>
      </c>
      <c r="J57" s="8" t="n">
        <v>6588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CVS</t>
        </is>
      </c>
      <c r="C58" s="5" t="inlineStr">
        <is>
          <t>00597016860</t>
        </is>
      </c>
      <c r="D58" s="5" t="inlineStr">
        <is>
          <t>SYNJARDY 12.5-1000MG TABLET</t>
        </is>
      </c>
      <c r="E58" s="6" t="inlineStr">
        <is>
          <t>60.0</t>
        </is>
      </c>
      <c r="F58" s="7" t="n">
        <v>690</v>
      </c>
      <c r="G58" s="7" t="n">
        <v>11.5</v>
      </c>
      <c r="H58" s="7" t="n">
        <v>7</v>
      </c>
      <c r="I58" s="7" t="n">
        <v>-4.5</v>
      </c>
      <c r="J58" s="8" t="n">
        <v>6473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CVS</t>
        </is>
      </c>
      <c r="C59" s="5" t="inlineStr">
        <is>
          <t>00310737020</t>
        </is>
      </c>
      <c r="D59" s="5" t="inlineStr">
        <is>
          <t>BUDESONIDE/FORMOTEROL 160 /4.5 MCG (SYMBICORT)</t>
        </is>
      </c>
      <c r="E59" s="6" t="inlineStr">
        <is>
          <t>10.2</t>
        </is>
      </c>
      <c r="F59" s="7" t="n">
        <v>428.4</v>
      </c>
      <c r="G59" s="7" t="n">
        <v>42</v>
      </c>
      <c r="H59" s="7" t="n">
        <v>19</v>
      </c>
      <c r="I59" s="7" t="n">
        <v>-23</v>
      </c>
      <c r="J59" s="8" t="n">
        <v>6414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CVS</t>
        </is>
      </c>
      <c r="C60" s="5" t="inlineStr">
        <is>
          <t>00456120330</t>
        </is>
      </c>
      <c r="D60" s="5" t="inlineStr">
        <is>
          <t>LINZESS 72 MCG ORAL CAPSULE</t>
        </is>
      </c>
      <c r="E60" s="6" t="inlineStr">
        <is>
          <t>30.0</t>
        </is>
      </c>
      <c r="F60" s="7" t="n">
        <v>540</v>
      </c>
      <c r="G60" s="7" t="n">
        <v>18</v>
      </c>
      <c r="H60" s="7" t="n">
        <v>14</v>
      </c>
      <c r="I60" s="7" t="n">
        <v>-4</v>
      </c>
      <c r="J60" s="8" t="n">
        <v>6091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CVS</t>
        </is>
      </c>
      <c r="C61" s="5" t="inlineStr">
        <is>
          <t>00023530105</t>
        </is>
      </c>
      <c r="D61" s="5" t="inlineStr">
        <is>
          <t>RESTASIS MULTIDOSE 0.05 % OPHTHALMIC EMULSION</t>
        </is>
      </c>
      <c r="E61" s="6" t="inlineStr">
        <is>
          <t>5.5</t>
        </is>
      </c>
      <c r="F61" s="7" t="n">
        <v>55</v>
      </c>
      <c r="G61" s="7" t="n">
        <v>10</v>
      </c>
      <c r="H61" s="7" t="n">
        <v>4</v>
      </c>
      <c r="I61" s="7" t="n">
        <v>-6</v>
      </c>
      <c r="J61" s="8" t="n">
        <v>6047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CVS</t>
        </is>
      </c>
      <c r="C62" s="5" t="inlineStr">
        <is>
          <t>50881000705</t>
        </is>
      </c>
      <c r="D62" s="5" t="inlineStr">
        <is>
          <t>OPZELURA 1.5 % EXTERNAL CREAM</t>
        </is>
      </c>
      <c r="E62" s="6" t="inlineStr">
        <is>
          <t>60.0</t>
        </is>
      </c>
      <c r="F62" s="7" t="n">
        <v>180</v>
      </c>
      <c r="G62" s="7" t="n">
        <v>3</v>
      </c>
      <c r="H62" s="7" t="n">
        <v>2</v>
      </c>
      <c r="I62" s="7" t="n">
        <v>-1</v>
      </c>
      <c r="J62" s="8" t="n">
        <v>5969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CVS</t>
        </is>
      </c>
      <c r="C63" s="5" t="inlineStr">
        <is>
          <t>00186504031</t>
        </is>
      </c>
      <c r="D63" s="5" t="inlineStr">
        <is>
          <t>NEXIUM 40MG CAPSULE</t>
        </is>
      </c>
      <c r="E63" s="6" t="inlineStr">
        <is>
          <t>30.0</t>
        </is>
      </c>
      <c r="F63" s="7" t="n">
        <v>660</v>
      </c>
      <c r="G63" s="7" t="n">
        <v>22</v>
      </c>
      <c r="H63" s="7" t="n">
        <v>9</v>
      </c>
      <c r="I63" s="7" t="n">
        <v>-13</v>
      </c>
      <c r="J63" s="8" t="n">
        <v>5686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CVS</t>
        </is>
      </c>
      <c r="C64" s="5" t="inlineStr">
        <is>
          <t>00169451714</t>
        </is>
      </c>
      <c r="D64" s="5" t="inlineStr">
        <is>
          <t>WEGOVY 1.7 MG/0.75ML AUTO-INJECTOR</t>
        </is>
      </c>
      <c r="E64" s="6" t="inlineStr">
        <is>
          <t>3.0</t>
        </is>
      </c>
      <c r="F64" s="7" t="n">
        <v>12</v>
      </c>
      <c r="G64" s="7" t="n">
        <v>4</v>
      </c>
      <c r="H64" s="7" t="n">
        <v>1</v>
      </c>
      <c r="I64" s="7" t="n">
        <v>-3</v>
      </c>
      <c r="J64" s="8" t="n">
        <v>5041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CVS</t>
        </is>
      </c>
      <c r="C65" s="5" t="inlineStr">
        <is>
          <t>00310628030</t>
        </is>
      </c>
      <c r="D65" s="5" t="inlineStr">
        <is>
          <t>XIGDUO XR 10-1000MG TABLET</t>
        </is>
      </c>
      <c r="E65" s="6" t="inlineStr">
        <is>
          <t>30.0</t>
        </is>
      </c>
      <c r="F65" s="7" t="n">
        <v>270</v>
      </c>
      <c r="G65" s="7" t="n">
        <v>9</v>
      </c>
      <c r="H65" s="7" t="n">
        <v>8</v>
      </c>
      <c r="I65" s="7" t="n">
        <v>-1</v>
      </c>
      <c r="J65" s="8" t="n">
        <v>5028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CVS</t>
        </is>
      </c>
      <c r="C66" s="5" t="inlineStr">
        <is>
          <t>00169291115</t>
        </is>
      </c>
      <c r="D66" s="5" t="inlineStr">
        <is>
          <t>XULTOPHY 100-3.6UNIT INJECTION</t>
        </is>
      </c>
      <c r="E66" s="6" t="inlineStr">
        <is>
          <t>15.0</t>
        </is>
      </c>
      <c r="F66" s="7" t="n">
        <v>60</v>
      </c>
      <c r="G66" s="7" t="n">
        <v>4</v>
      </c>
      <c r="H66" s="7" t="n">
        <v>2</v>
      </c>
      <c r="I66" s="7" t="n">
        <v>-2</v>
      </c>
      <c r="J66" s="8" t="n">
        <v>4999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CVS</t>
        </is>
      </c>
      <c r="C67" s="5" t="inlineStr">
        <is>
          <t>00088221905</t>
        </is>
      </c>
      <c r="D67" s="5" t="inlineStr">
        <is>
          <t>LANTUS SOLOSTAR 100UNIT/ML INJECTION</t>
        </is>
      </c>
      <c r="E67" s="6" t="inlineStr">
        <is>
          <t>15.0</t>
        </is>
      </c>
      <c r="F67" s="7" t="n">
        <v>831</v>
      </c>
      <c r="G67" s="7" t="n">
        <v>55.4</v>
      </c>
      <c r="H67" s="7" t="n">
        <v>46</v>
      </c>
      <c r="I67" s="7" t="n">
        <v>-9.399999999999999</v>
      </c>
      <c r="J67" s="8" t="n">
        <v>4907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CVS</t>
        </is>
      </c>
      <c r="C68" s="5" t="inlineStr">
        <is>
          <t>00002143480</t>
        </is>
      </c>
      <c r="D68" s="5" t="inlineStr">
        <is>
          <t>TRULICITY 1.5MG/0.5ML INJECTION</t>
        </is>
      </c>
      <c r="E68" s="6" t="inlineStr">
        <is>
          <t>2.0</t>
        </is>
      </c>
      <c r="F68" s="7" t="n">
        <v>10</v>
      </c>
      <c r="G68" s="7" t="n">
        <v>5</v>
      </c>
      <c r="H68" s="7" t="n">
        <v>6</v>
      </c>
      <c r="I68" s="7" t="n">
        <v>1</v>
      </c>
      <c r="J68" s="8" t="n">
        <v>4683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CVS</t>
        </is>
      </c>
      <c r="C69" s="5" t="inlineStr">
        <is>
          <t>50458057830</t>
        </is>
      </c>
      <c r="D69" s="5" t="inlineStr">
        <is>
          <t>XARELTO 15MG TAB</t>
        </is>
      </c>
      <c r="E69" s="6" t="inlineStr">
        <is>
          <t>30.0</t>
        </is>
      </c>
      <c r="F69" s="7" t="n">
        <v>360</v>
      </c>
      <c r="G69" s="7" t="n">
        <v>12</v>
      </c>
      <c r="H69" s="7" t="n">
        <v>5</v>
      </c>
      <c r="I69" s="7" t="n">
        <v>-7</v>
      </c>
      <c r="J69" s="8" t="n">
        <v>4568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CVS</t>
        </is>
      </c>
      <c r="C70" s="5" t="inlineStr">
        <is>
          <t>00597030045</t>
        </is>
      </c>
      <c r="D70" s="5" t="inlineStr">
        <is>
          <t>SYNJARDY XR 12.5-1000 MG TABLET ER</t>
        </is>
      </c>
      <c r="E70" s="6" t="inlineStr">
        <is>
          <t>60.0</t>
        </is>
      </c>
      <c r="F70" s="7" t="n">
        <v>540</v>
      </c>
      <c r="G70" s="7" t="n">
        <v>9</v>
      </c>
      <c r="H70" s="7" t="n">
        <v>7</v>
      </c>
      <c r="I70" s="7" t="n">
        <v>-2</v>
      </c>
      <c r="J70" s="8" t="n">
        <v>4494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CVS</t>
        </is>
      </c>
      <c r="C71" s="5" t="inlineStr">
        <is>
          <t>00023649810</t>
        </is>
      </c>
      <c r="D71" s="5" t="inlineStr">
        <is>
          <t>UBRELVY 50 MG ORAL TABLET</t>
        </is>
      </c>
      <c r="E71" s="6" t="inlineStr">
        <is>
          <t>10.0</t>
        </is>
      </c>
      <c r="F71" s="7" t="n">
        <v>40</v>
      </c>
      <c r="G71" s="7" t="n">
        <v>4</v>
      </c>
      <c r="H71" s="7" t="n">
        <v>1</v>
      </c>
      <c r="I71" s="7" t="n">
        <v>-3</v>
      </c>
      <c r="J71" s="8" t="n">
        <v>4251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CVS</t>
        </is>
      </c>
      <c r="C72" s="5" t="inlineStr">
        <is>
          <t>00023921115</t>
        </is>
      </c>
      <c r="D72" s="5" t="inlineStr">
        <is>
          <t>COMBIGAN 0.2-0.5% OPTH SOLUTION 15ML</t>
        </is>
      </c>
      <c r="E72" s="6" t="inlineStr">
        <is>
          <t>15.0</t>
        </is>
      </c>
      <c r="F72" s="7" t="n">
        <v>105</v>
      </c>
      <c r="G72" s="7" t="n">
        <v>7</v>
      </c>
      <c r="H72" s="7" t="n">
        <v>0</v>
      </c>
      <c r="I72" s="7" t="n">
        <v>-7</v>
      </c>
      <c r="J72" s="8" t="n">
        <v>4060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CVS</t>
        </is>
      </c>
      <c r="C73" s="5" t="inlineStr">
        <is>
          <t>70727049725</t>
        </is>
      </c>
      <c r="D73" s="5" t="inlineStr">
        <is>
          <t>RHOPRESSA 0.02 % OPHTHALMIC SOLUTION</t>
        </is>
      </c>
      <c r="E73" s="6" t="inlineStr">
        <is>
          <t>2.5</t>
        </is>
      </c>
      <c r="F73" s="7" t="n">
        <v>30</v>
      </c>
      <c r="G73" s="7" t="n">
        <v>12</v>
      </c>
      <c r="H73" s="7" t="n">
        <v>0</v>
      </c>
      <c r="I73" s="7" t="n">
        <v>-12</v>
      </c>
      <c r="J73" s="8" t="n">
        <v>3818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CVS</t>
        </is>
      </c>
      <c r="C74" s="5" t="inlineStr">
        <is>
          <t>00006008131</t>
        </is>
      </c>
      <c r="D74" s="5" t="inlineStr">
        <is>
          <t>JANUMET XR 100-1000MG TABLET</t>
        </is>
      </c>
      <c r="E74" s="6" t="inlineStr">
        <is>
          <t>30.0</t>
        </is>
      </c>
      <c r="F74" s="7" t="n">
        <v>360</v>
      </c>
      <c r="G74" s="7" t="n">
        <v>12</v>
      </c>
      <c r="H74" s="7" t="n">
        <v>8</v>
      </c>
      <c r="I74" s="7" t="n">
        <v>-4</v>
      </c>
      <c r="J74" s="8" t="n">
        <v>3747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CVS</t>
        </is>
      </c>
      <c r="C75" s="5" t="inlineStr">
        <is>
          <t>24208050402</t>
        </is>
      </c>
      <c r="D75" s="5" t="inlineStr">
        <is>
          <t>VYZULTA 0.024 % OPHTHALMIC SOLUTION</t>
        </is>
      </c>
      <c r="E75" s="6" t="inlineStr">
        <is>
          <t>2.5</t>
        </is>
      </c>
      <c r="F75" s="7" t="n">
        <v>37.5</v>
      </c>
      <c r="G75" s="7" t="n">
        <v>15</v>
      </c>
      <c r="H75" s="7" t="n">
        <v>0</v>
      </c>
      <c r="I75" s="7" t="n">
        <v>-15</v>
      </c>
      <c r="J75" s="8" t="n">
        <v>3722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CVS</t>
        </is>
      </c>
      <c r="C76" s="5" t="inlineStr">
        <is>
          <t>80610043060</t>
        </is>
      </c>
      <c r="D76" s="5" t="inlineStr">
        <is>
          <t>ZORYVE 0.3 % EXTERNAL FOAM</t>
        </is>
      </c>
      <c r="E76" s="6" t="inlineStr">
        <is>
          <t>60.0</t>
        </is>
      </c>
      <c r="F76" s="7" t="n">
        <v>240</v>
      </c>
      <c r="G76" s="7" t="n">
        <v>4</v>
      </c>
      <c r="H76" s="7" t="n">
        <v>0</v>
      </c>
      <c r="I76" s="7" t="n">
        <v>-4</v>
      </c>
      <c r="J76" s="8" t="n">
        <v>3577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CVS</t>
        </is>
      </c>
      <c r="C77" s="5" t="inlineStr">
        <is>
          <t>55513071021</t>
        </is>
      </c>
      <c r="D77" s="5" t="inlineStr">
        <is>
          <t>PROLIA 60 MG/ML SUBCUTANEOUS SOLUTION PREFILLED SYRINGE</t>
        </is>
      </c>
      <c r="E77" s="6" t="inlineStr">
        <is>
          <t>1.0</t>
        </is>
      </c>
      <c r="F77" s="7" t="n">
        <v>2</v>
      </c>
      <c r="G77" s="7" t="n">
        <v>2</v>
      </c>
      <c r="H77" s="7" t="n">
        <v>0</v>
      </c>
      <c r="I77" s="7" t="n">
        <v>-2</v>
      </c>
      <c r="J77" s="8" t="n">
        <v>3552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CVS</t>
        </is>
      </c>
      <c r="C78" s="5" t="inlineStr">
        <is>
          <t>69557011130</t>
        </is>
      </c>
      <c r="D78" s="5" t="inlineStr">
        <is>
          <t>ZTLIDO 1.8 % EXTERNAL PATCH</t>
        </is>
      </c>
      <c r="E78" s="6" t="inlineStr">
        <is>
          <t>30.0</t>
        </is>
      </c>
      <c r="F78" s="7" t="n">
        <v>300</v>
      </c>
      <c r="G78" s="7" t="n">
        <v>10</v>
      </c>
      <c r="H78" s="7" t="n">
        <v>4</v>
      </c>
      <c r="I78" s="7" t="n">
        <v>-6</v>
      </c>
      <c r="J78" s="8" t="n">
        <v>3519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CVS</t>
        </is>
      </c>
      <c r="C79" s="5" t="inlineStr">
        <is>
          <t>71699010030</t>
        </is>
      </c>
      <c r="D79" s="5" t="inlineStr">
        <is>
          <t>XCOPRI 100 MG ORAL TABLET</t>
        </is>
      </c>
      <c r="E79" s="6" t="inlineStr">
        <is>
          <t>30.0</t>
        </is>
      </c>
      <c r="F79" s="7" t="n">
        <v>90</v>
      </c>
      <c r="G79" s="7" t="n">
        <v>3</v>
      </c>
      <c r="H79" s="7" t="n">
        <v>2</v>
      </c>
      <c r="I79" s="7" t="n">
        <v>-1</v>
      </c>
      <c r="J79" s="8" t="n">
        <v>3483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CVS</t>
        </is>
      </c>
      <c r="C80" s="5" t="inlineStr">
        <is>
          <t>08627007701</t>
        </is>
      </c>
      <c r="D80" s="5" t="inlineStr">
        <is>
          <t>DEXCOM G7 SENSOR</t>
        </is>
      </c>
      <c r="E80" s="6" t="inlineStr">
        <is>
          <t>1.0</t>
        </is>
      </c>
      <c r="F80" s="7" t="n">
        <v>27</v>
      </c>
      <c r="G80" s="7" t="n">
        <v>27</v>
      </c>
      <c r="H80" s="7" t="n">
        <v>32</v>
      </c>
      <c r="I80" s="7" t="n">
        <v>5</v>
      </c>
      <c r="J80" s="8" t="n">
        <v>3399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CVS</t>
        </is>
      </c>
      <c r="C81" s="5" t="inlineStr">
        <is>
          <t>00310626060</t>
        </is>
      </c>
      <c r="D81" s="5" t="inlineStr">
        <is>
          <t>XIGDUO XR 5-1000 MG TABLET ER</t>
        </is>
      </c>
      <c r="E81" s="6" t="inlineStr">
        <is>
          <t>60.0</t>
        </is>
      </c>
      <c r="F81" s="7" t="n">
        <v>360</v>
      </c>
      <c r="G81" s="7" t="n">
        <v>6</v>
      </c>
      <c r="H81" s="7" t="n">
        <v>3</v>
      </c>
      <c r="I81" s="7" t="n">
        <v>-3</v>
      </c>
      <c r="J81" s="8" t="n">
        <v>3355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CVS</t>
        </is>
      </c>
      <c r="C82" s="5" t="inlineStr">
        <is>
          <t>00310625030</t>
        </is>
      </c>
      <c r="D82" s="5" t="inlineStr">
        <is>
          <t>XIGDUO XR 5-500MG TABLET EXTENDED RELEASE</t>
        </is>
      </c>
      <c r="E82" s="6" t="inlineStr">
        <is>
          <t>30.0</t>
        </is>
      </c>
      <c r="F82" s="7" t="n">
        <v>180</v>
      </c>
      <c r="G82" s="7" t="n">
        <v>6</v>
      </c>
      <c r="H82" s="7" t="n">
        <v>2</v>
      </c>
      <c r="I82" s="7" t="n">
        <v>-4</v>
      </c>
      <c r="J82" s="8" t="n">
        <v>3346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CVS</t>
        </is>
      </c>
      <c r="C83" s="5" t="inlineStr">
        <is>
          <t>59137053004</t>
        </is>
      </c>
      <c r="D83" s="5" t="inlineStr">
        <is>
          <t>RASUVO 20MG/0.4ML INJECTION</t>
        </is>
      </c>
      <c r="E83" s="6" t="inlineStr">
        <is>
          <t>1.6</t>
        </is>
      </c>
      <c r="F83" s="7" t="n">
        <v>9.600000000000001</v>
      </c>
      <c r="G83" s="7" t="n">
        <v>6.000000000000001</v>
      </c>
      <c r="H83" s="7" t="n">
        <v>3</v>
      </c>
      <c r="I83" s="7" t="n">
        <v>-3.000000000000001</v>
      </c>
      <c r="J83" s="8" t="n">
        <v>3296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CVS</t>
        </is>
      </c>
      <c r="C84" s="5" t="inlineStr">
        <is>
          <t>00032301613</t>
        </is>
      </c>
      <c r="D84" s="5" t="inlineStr">
        <is>
          <t>CREON 36000UNIT CAPSULE</t>
        </is>
      </c>
      <c r="E84" s="6" t="inlineStr">
        <is>
          <t>100.0</t>
        </is>
      </c>
      <c r="F84" s="7" t="n">
        <v>270</v>
      </c>
      <c r="G84" s="7" t="n">
        <v>2.7</v>
      </c>
      <c r="H84" s="7" t="n">
        <v>3</v>
      </c>
      <c r="I84" s="7" t="n">
        <v>0.2999999999999998</v>
      </c>
      <c r="J84" s="8" t="n">
        <v>3242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CVS</t>
        </is>
      </c>
      <c r="C85" s="5" t="inlineStr">
        <is>
          <t>60505451803</t>
        </is>
      </c>
      <c r="D85" s="5" t="inlineStr">
        <is>
          <t>PAXIL 20 MG ORAL TABLET</t>
        </is>
      </c>
      <c r="E85" s="6" t="inlineStr">
        <is>
          <t>30.0</t>
        </is>
      </c>
      <c r="F85" s="7" t="n">
        <v>300</v>
      </c>
      <c r="G85" s="7" t="n">
        <v>10</v>
      </c>
      <c r="H85" s="7" t="n">
        <v>4</v>
      </c>
      <c r="I85" s="7" t="n">
        <v>-6</v>
      </c>
      <c r="J85" s="8" t="n">
        <v>3195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CVS</t>
        </is>
      </c>
      <c r="C86" s="5" t="inlineStr">
        <is>
          <t>00006057561</t>
        </is>
      </c>
      <c r="D86" s="5" t="inlineStr">
        <is>
          <t>JANUMET 50-500 MG ORAL TABLET</t>
        </is>
      </c>
      <c r="E86" s="6" t="inlineStr">
        <is>
          <t>60.0</t>
        </is>
      </c>
      <c r="F86" s="7" t="n">
        <v>600</v>
      </c>
      <c r="G86" s="7" t="n">
        <v>10</v>
      </c>
      <c r="H86" s="7" t="n">
        <v>3</v>
      </c>
      <c r="I86" s="7" t="n">
        <v>-7</v>
      </c>
      <c r="J86" s="8" t="n">
        <v>3052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CVS</t>
        </is>
      </c>
      <c r="C87" s="5" t="inlineStr">
        <is>
          <t>70727052925</t>
        </is>
      </c>
      <c r="D87" s="5" t="inlineStr">
        <is>
          <t>ROCKLATAN 0.02-0.005% SOLUTION</t>
        </is>
      </c>
      <c r="E87" s="6" t="inlineStr">
        <is>
          <t>2.5</t>
        </is>
      </c>
      <c r="F87" s="7" t="n">
        <v>22.5</v>
      </c>
      <c r="G87" s="7" t="n">
        <v>9</v>
      </c>
      <c r="H87" s="7" t="n">
        <v>5</v>
      </c>
      <c r="I87" s="7" t="n">
        <v>-4</v>
      </c>
      <c r="J87" s="8" t="n">
        <v>3036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CVS</t>
        </is>
      </c>
      <c r="C88" s="5" t="inlineStr">
        <is>
          <t>71571033383</t>
        </is>
      </c>
      <c r="D88" s="5" t="inlineStr">
        <is>
          <t>EYSUVIS 0.25 % OPHTHALMIC SUSPENSION</t>
        </is>
      </c>
      <c r="E88" s="6" t="inlineStr">
        <is>
          <t>8.3</t>
        </is>
      </c>
      <c r="F88" s="7" t="n">
        <v>49.8</v>
      </c>
      <c r="G88" s="7" t="n">
        <v>6</v>
      </c>
      <c r="H88" s="7" t="n">
        <v>1</v>
      </c>
      <c r="I88" s="7" t="n">
        <v>-5</v>
      </c>
      <c r="J88" s="8" t="n">
        <v>2969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CVS</t>
        </is>
      </c>
      <c r="C89" s="5" t="inlineStr">
        <is>
          <t>64764073030</t>
        </is>
      </c>
      <c r="D89" s="5" t="inlineStr">
        <is>
          <t>TRINTELLIX 10MG TABLET</t>
        </is>
      </c>
      <c r="E89" s="6" t="inlineStr">
        <is>
          <t>30.0</t>
        </is>
      </c>
      <c r="F89" s="7" t="n">
        <v>180</v>
      </c>
      <c r="G89" s="7" t="n">
        <v>6</v>
      </c>
      <c r="H89" s="7" t="n">
        <v>3</v>
      </c>
      <c r="I89" s="7" t="n">
        <v>-3</v>
      </c>
      <c r="J89" s="8" t="n">
        <v>2966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CVS</t>
        </is>
      </c>
      <c r="C90" s="5" t="inlineStr">
        <is>
          <t>00310737220</t>
        </is>
      </c>
      <c r="D90" s="5" t="inlineStr">
        <is>
          <t>BUDESONIDE-FORMOTEROL FUMARATE 80-4.5MCG/ACT AEROSOL</t>
        </is>
      </c>
      <c r="E90" s="6" t="inlineStr">
        <is>
          <t>10.2</t>
        </is>
      </c>
      <c r="F90" s="7" t="n">
        <v>285.6</v>
      </c>
      <c r="G90" s="7" t="n">
        <v>28</v>
      </c>
      <c r="H90" s="7" t="n">
        <v>9</v>
      </c>
      <c r="I90" s="7" t="n">
        <v>-19</v>
      </c>
      <c r="J90" s="8" t="n">
        <v>2950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CVS</t>
        </is>
      </c>
      <c r="C91" s="5" t="inlineStr">
        <is>
          <t>00032263601</t>
        </is>
      </c>
      <c r="D91" s="5" t="inlineStr">
        <is>
          <t>CREON 24000-76000 UNIT CAPSULE DR</t>
        </is>
      </c>
      <c r="E91" s="6" t="inlineStr">
        <is>
          <t>100.0</t>
        </is>
      </c>
      <c r="F91" s="7" t="n">
        <v>360</v>
      </c>
      <c r="G91" s="7" t="n">
        <v>3.6</v>
      </c>
      <c r="H91" s="7" t="n">
        <v>3</v>
      </c>
      <c r="I91" s="7" t="n">
        <v>-0.6000000000000001</v>
      </c>
      <c r="J91" s="8" t="n">
        <v>2912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CVS</t>
        </is>
      </c>
      <c r="C92" s="5" t="inlineStr">
        <is>
          <t>61874011530</t>
        </is>
      </c>
      <c r="D92" s="5" t="inlineStr">
        <is>
          <t>VRAYLAR 1.5MG CAPSULE</t>
        </is>
      </c>
      <c r="E92" s="6" t="inlineStr">
        <is>
          <t>30.0</t>
        </is>
      </c>
      <c r="F92" s="7" t="n">
        <v>60</v>
      </c>
      <c r="G92" s="7" t="n">
        <v>2</v>
      </c>
      <c r="H92" s="7" t="n">
        <v>7</v>
      </c>
      <c r="I92" s="7" t="n">
        <v>5</v>
      </c>
      <c r="J92" s="8" t="n">
        <v>2865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CVS</t>
        </is>
      </c>
      <c r="C93" s="5" t="inlineStr">
        <is>
          <t>59148003713</t>
        </is>
      </c>
      <c r="D93" s="5" t="inlineStr">
        <is>
          <t>REXULTI 1MG TABLET</t>
        </is>
      </c>
      <c r="E93" s="6" t="inlineStr">
        <is>
          <t>30.0</t>
        </is>
      </c>
      <c r="F93" s="7" t="n">
        <v>60</v>
      </c>
      <c r="G93" s="7" t="n">
        <v>2</v>
      </c>
      <c r="H93" s="7" t="n">
        <v>2</v>
      </c>
      <c r="I93" s="7" t="n">
        <v>0</v>
      </c>
      <c r="J93" s="8" t="n">
        <v>2859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CVS</t>
        </is>
      </c>
      <c r="C94" s="5" t="inlineStr">
        <is>
          <t>00169633910</t>
        </is>
      </c>
      <c r="D94" s="5" t="inlineStr">
        <is>
          <t>NOVOLOG FLEXPEN 100UNIT/ML INJECTION</t>
        </is>
      </c>
      <c r="E94" s="6" t="inlineStr">
        <is>
          <t>15.0</t>
        </is>
      </c>
      <c r="F94" s="7" t="n">
        <v>327</v>
      </c>
      <c r="G94" s="7" t="n">
        <v>21.8</v>
      </c>
      <c r="H94" s="7" t="n">
        <v>6</v>
      </c>
      <c r="I94" s="7" t="n">
        <v>-15.8</v>
      </c>
      <c r="J94" s="8" t="n">
        <v>2819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CVS</t>
        </is>
      </c>
      <c r="C95" s="5" t="inlineStr">
        <is>
          <t>00169450114</t>
        </is>
      </c>
      <c r="D95" s="5" t="inlineStr">
        <is>
          <t>WEGOVY 1 MG/0.5ML AUTO-INJECTOR</t>
        </is>
      </c>
      <c r="E95" s="6" t="inlineStr">
        <is>
          <t>2.0</t>
        </is>
      </c>
      <c r="F95" s="7" t="n">
        <v>4</v>
      </c>
      <c r="G95" s="7" t="n">
        <v>2</v>
      </c>
      <c r="H95" s="7" t="n">
        <v>1</v>
      </c>
      <c r="I95" s="7" t="n">
        <v>-1</v>
      </c>
      <c r="J95" s="8" t="n">
        <v>2520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CVS</t>
        </is>
      </c>
      <c r="C96" s="5" t="inlineStr">
        <is>
          <t>82584000330</t>
        </is>
      </c>
      <c r="D96" s="5" t="inlineStr">
        <is>
          <t>IYUZEH 0.005 % OPHTHALMIC SOLUTION</t>
        </is>
      </c>
      <c r="E96" s="6" t="inlineStr">
        <is>
          <t>30.0</t>
        </is>
      </c>
      <c r="F96" s="7" t="n">
        <v>240</v>
      </c>
      <c r="G96" s="7" t="n">
        <v>8</v>
      </c>
      <c r="H96" s="7" t="n">
        <v>1</v>
      </c>
      <c r="I96" s="7" t="n">
        <v>-7</v>
      </c>
      <c r="J96" s="8" t="n">
        <v>2381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CVS</t>
        </is>
      </c>
      <c r="C97" s="5" t="inlineStr">
        <is>
          <t>72426081803</t>
        </is>
      </c>
      <c r="D97" s="5" t="inlineStr">
        <is>
          <t>NEXLIZET 180-10MG TABLET</t>
        </is>
      </c>
      <c r="E97" s="6" t="inlineStr">
        <is>
          <t>30.0</t>
        </is>
      </c>
      <c r="F97" s="7" t="n">
        <v>180</v>
      </c>
      <c r="G97" s="7" t="n">
        <v>6</v>
      </c>
      <c r="H97" s="7" t="n">
        <v>3</v>
      </c>
      <c r="I97" s="7" t="n">
        <v>-3</v>
      </c>
      <c r="J97" s="8" t="n">
        <v>2381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CVS</t>
        </is>
      </c>
      <c r="C98" s="5" t="inlineStr">
        <is>
          <t>72426011803</t>
        </is>
      </c>
      <c r="D98" s="5" t="inlineStr">
        <is>
          <t>NEXLETOL 180 MG ORAL TABLET</t>
        </is>
      </c>
      <c r="E98" s="6" t="inlineStr">
        <is>
          <t>30.0</t>
        </is>
      </c>
      <c r="F98" s="7" t="n">
        <v>180</v>
      </c>
      <c r="G98" s="7" t="n">
        <v>6</v>
      </c>
      <c r="H98" s="7" t="n">
        <v>3</v>
      </c>
      <c r="I98" s="7" t="n">
        <v>-3</v>
      </c>
      <c r="J98" s="8" t="n">
        <v>2381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CVS</t>
        </is>
      </c>
      <c r="C99" s="5" t="inlineStr">
        <is>
          <t>00310908012</t>
        </is>
      </c>
      <c r="D99" s="5" t="inlineStr">
        <is>
          <t>AIRSUPRA 90-80 MCG/ACT INHALATION AEROSOL</t>
        </is>
      </c>
      <c r="E99" s="6" t="inlineStr">
        <is>
          <t>10.7</t>
        </is>
      </c>
      <c r="F99" s="7" t="n">
        <v>53.5</v>
      </c>
      <c r="G99" s="7" t="n">
        <v>5</v>
      </c>
      <c r="H99" s="7" t="n">
        <v>4</v>
      </c>
      <c r="I99" s="7" t="n">
        <v>-1</v>
      </c>
      <c r="J99" s="8" t="n">
        <v>2351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CVS</t>
        </is>
      </c>
      <c r="C100" s="5" t="inlineStr">
        <is>
          <t>58151028301</t>
        </is>
      </c>
      <c r="D100" s="5" t="inlineStr">
        <is>
          <t>NEURONTIN 400 MG ORAL CAPSULE</t>
        </is>
      </c>
      <c r="E100" s="6" t="inlineStr">
        <is>
          <t>100.0</t>
        </is>
      </c>
      <c r="F100" s="7" t="n">
        <v>270</v>
      </c>
      <c r="G100" s="7" t="n">
        <v>2.7</v>
      </c>
      <c r="H100" s="7" t="n">
        <v>2</v>
      </c>
      <c r="I100" s="7" t="n">
        <v>-0.7000000000000002</v>
      </c>
      <c r="J100" s="8" t="n">
        <v>2349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CVS</t>
        </is>
      </c>
      <c r="C101" s="5" t="inlineStr">
        <is>
          <t>00074709630</t>
        </is>
      </c>
      <c r="D101" s="5" t="inlineStr">
        <is>
          <t>QULIPTA 30 MG ORAL TABLET</t>
        </is>
      </c>
      <c r="E101" s="6" t="inlineStr">
        <is>
          <t>30.0</t>
        </is>
      </c>
      <c r="F101" s="7" t="n">
        <v>60</v>
      </c>
      <c r="G101" s="7" t="n">
        <v>2</v>
      </c>
      <c r="H101" s="7" t="n">
        <v>0</v>
      </c>
      <c r="I101" s="7" t="n">
        <v>-2</v>
      </c>
      <c r="J101" s="8" t="n">
        <v>2245</v>
      </c>
      <c r="K101" s="9">
        <f>IFERROR(IF((ROUND((J101/G101)*I101,1))&lt;0,(ROUND((J101/G101)*I101,1)),0),0)</f>
        <v/>
      </c>
    </row>
    <row r="102">
      <c r="A102" s="4" t="n">
        <v>99</v>
      </c>
      <c r="B102" s="5" t="inlineStr">
        <is>
          <t>CVS</t>
        </is>
      </c>
      <c r="C102" s="5" t="inlineStr">
        <is>
          <t>82667090002</t>
        </is>
      </c>
      <c r="D102" s="5" t="inlineStr">
        <is>
          <t>VEVYE 0.1 % OPHTHALMIC SOLUTION</t>
        </is>
      </c>
      <c r="E102" s="6" t="inlineStr">
        <is>
          <t>2.0</t>
        </is>
      </c>
      <c r="F102" s="7" t="n">
        <v>6</v>
      </c>
      <c r="G102" s="7" t="n">
        <v>3</v>
      </c>
      <c r="H102" s="7" t="n">
        <v>3</v>
      </c>
      <c r="I102" s="7" t="n">
        <v>0</v>
      </c>
      <c r="J102" s="8" t="n">
        <v>2191</v>
      </c>
      <c r="K102" s="9">
        <f>IFERROR(IF((ROUND((J102/G102)*I102,1))&lt;0,(ROUND((J102/G102)*I102,1)),0),0)</f>
        <v/>
      </c>
    </row>
    <row r="103">
      <c r="A103" s="4" t="n">
        <v>100</v>
      </c>
      <c r="B103" s="5" t="inlineStr">
        <is>
          <t>CVS</t>
        </is>
      </c>
      <c r="C103" s="5" t="inlineStr">
        <is>
          <t>53885024450</t>
        </is>
      </c>
      <c r="D103" s="5" t="inlineStr">
        <is>
          <t>ONETOUCH ULTRA BLUE  STRIP</t>
        </is>
      </c>
      <c r="E103" s="6" t="inlineStr">
        <is>
          <t>50.0</t>
        </is>
      </c>
      <c r="F103" s="7" t="n">
        <v>1400</v>
      </c>
      <c r="G103" s="7" t="n">
        <v>28</v>
      </c>
      <c r="H103" s="7" t="n">
        <v>24</v>
      </c>
      <c r="I103" s="7" t="n">
        <v>-4</v>
      </c>
      <c r="J103" s="8" t="n">
        <v>2126</v>
      </c>
      <c r="K103" s="9">
        <f>IFERROR(IF((ROUND((J103/G103)*I103,1))&lt;0,(ROUND((J103/G103)*I103,1)),0),0)</f>
        <v/>
      </c>
    </row>
    <row r="104">
      <c r="A104" s="4" t="n">
        <v>101</v>
      </c>
      <c r="B104" s="5" t="inlineStr">
        <is>
          <t>CVS</t>
        </is>
      </c>
      <c r="C104" s="5" t="inlineStr">
        <is>
          <t>00169255013</t>
        </is>
      </c>
      <c r="D104" s="5" t="inlineStr">
        <is>
          <t>TRESIBA FLEXTOUCH 200UNIT/ML INJECTION</t>
        </is>
      </c>
      <c r="E104" s="6" t="inlineStr">
        <is>
          <t>9.0</t>
        </is>
      </c>
      <c r="F104" s="7" t="n">
        <v>48</v>
      </c>
      <c r="G104" s="7" t="n">
        <v>5.333333333333333</v>
      </c>
      <c r="H104" s="7" t="n">
        <v>2</v>
      </c>
      <c r="I104" s="7" t="n">
        <v>-3.333333333333333</v>
      </c>
      <c r="J104" s="8" t="n">
        <v>2091</v>
      </c>
      <c r="K104" s="9">
        <f>IFERROR(IF((ROUND((J104/G104)*I104,1))&lt;0,(ROUND((J104/G104)*I104,1)),0),0)</f>
        <v/>
      </c>
    </row>
    <row r="105">
      <c r="A105" s="4" t="n">
        <v>102</v>
      </c>
      <c r="B105" s="5" t="inlineStr">
        <is>
          <t>CVS</t>
        </is>
      </c>
      <c r="C105" s="5" t="inlineStr">
        <is>
          <t>00597029588</t>
        </is>
      </c>
      <c r="D105" s="5" t="inlineStr">
        <is>
          <t>SYNJARDY XR 25-1000MG TABLET</t>
        </is>
      </c>
      <c r="E105" s="6" t="inlineStr">
        <is>
          <t>30.0</t>
        </is>
      </c>
      <c r="F105" s="7" t="n">
        <v>120</v>
      </c>
      <c r="G105" s="7" t="n">
        <v>4</v>
      </c>
      <c r="H105" s="7" t="n">
        <v>0</v>
      </c>
      <c r="I105" s="7" t="n">
        <v>-4</v>
      </c>
      <c r="J105" s="8" t="n">
        <v>2084</v>
      </c>
      <c r="K105" s="9">
        <f>IFERROR(IF((ROUND((J105/G105)*I105,1))&lt;0,(ROUND((J105/G105)*I105,1)),0),0)</f>
        <v/>
      </c>
    </row>
    <row r="106">
      <c r="A106" s="4" t="n">
        <v>103</v>
      </c>
      <c r="B106" s="5" t="inlineStr">
        <is>
          <t>CVS</t>
        </is>
      </c>
      <c r="C106" s="5" t="inlineStr">
        <is>
          <t>00023320505</t>
        </is>
      </c>
      <c r="D106" s="5" t="inlineStr">
        <is>
          <t>LUMIGAN 0.01 % OPHTHALMIC SOLUTION</t>
        </is>
      </c>
      <c r="E106" s="6" t="inlineStr">
        <is>
          <t>5.0</t>
        </is>
      </c>
      <c r="F106" s="7" t="n">
        <v>20</v>
      </c>
      <c r="G106" s="7" t="n">
        <v>4</v>
      </c>
      <c r="H106" s="7" t="n">
        <v>1</v>
      </c>
      <c r="I106" s="7" t="n">
        <v>-3</v>
      </c>
      <c r="J106" s="8" t="n">
        <v>2015</v>
      </c>
      <c r="K106" s="9">
        <f>IFERROR(IF((ROUND((J106/G106)*I106,1))&lt;0,(ROUND((J106/G106)*I106,1)),0),0)</f>
        <v/>
      </c>
    </row>
    <row r="107">
      <c r="A107" s="4" t="n">
        <v>104</v>
      </c>
      <c r="B107" s="5" t="inlineStr">
        <is>
          <t>CVS</t>
        </is>
      </c>
      <c r="C107" s="5" t="inlineStr">
        <is>
          <t>00173087310</t>
        </is>
      </c>
      <c r="D107" s="5" t="inlineStr">
        <is>
          <t>INCRUSE ELLIPTA 62.5MCG/INH AEROSOL</t>
        </is>
      </c>
      <c r="E107" s="6" t="inlineStr">
        <is>
          <t>30.0</t>
        </is>
      </c>
      <c r="F107" s="7" t="n">
        <v>180</v>
      </c>
      <c r="G107" s="7" t="n">
        <v>6</v>
      </c>
      <c r="H107" s="7" t="n">
        <v>3</v>
      </c>
      <c r="I107" s="7" t="n">
        <v>-3</v>
      </c>
      <c r="J107" s="8" t="n">
        <v>2008</v>
      </c>
      <c r="K107" s="9">
        <f>IFERROR(IF((ROUND((J107/G107)*I107,1))&lt;0,(ROUND((J107/G107)*I107,1)),0),0)</f>
        <v/>
      </c>
    </row>
    <row r="108">
      <c r="A108" s="4" t="n">
        <v>105</v>
      </c>
      <c r="B108" s="5" t="inlineStr">
        <is>
          <t>CVS</t>
        </is>
      </c>
      <c r="C108" s="5" t="inlineStr">
        <is>
          <t>00023921110</t>
        </is>
      </c>
      <c r="D108" s="5" t="inlineStr">
        <is>
          <t>COMBIGAN 0.2-0.5% OPTH SOLUTION 10ML</t>
        </is>
      </c>
      <c r="E108" s="6" t="inlineStr">
        <is>
          <t>10.0</t>
        </is>
      </c>
      <c r="F108" s="7" t="n">
        <v>50</v>
      </c>
      <c r="G108" s="7" t="n">
        <v>5</v>
      </c>
      <c r="H108" s="7" t="n">
        <v>0</v>
      </c>
      <c r="I108" s="7" t="n">
        <v>-5</v>
      </c>
      <c r="J108" s="8" t="n">
        <v>1928</v>
      </c>
      <c r="K108" s="9">
        <f>IFERROR(IF((ROUND((J108/G108)*I108,1))&lt;0,(ROUND((J108/G108)*I108,1)),0),0)</f>
        <v/>
      </c>
    </row>
    <row r="109">
      <c r="A109" s="4" t="n">
        <v>106</v>
      </c>
      <c r="B109" s="5" t="inlineStr">
        <is>
          <t>CVS</t>
        </is>
      </c>
      <c r="C109" s="5" t="inlineStr">
        <is>
          <t>50484001090</t>
        </is>
      </c>
      <c r="D109" s="5" t="inlineStr">
        <is>
          <t>SANTYL 250 UNIT/GM EXTERNAL OINTMENT</t>
        </is>
      </c>
      <c r="E109" s="6" t="inlineStr">
        <is>
          <t>90.0</t>
        </is>
      </c>
      <c r="F109" s="7" t="n">
        <v>180</v>
      </c>
      <c r="G109" s="7" t="n">
        <v>2</v>
      </c>
      <c r="H109" s="7" t="n">
        <v>1</v>
      </c>
      <c r="I109" s="7" t="n">
        <v>-1</v>
      </c>
      <c r="J109" s="8" t="n">
        <v>1916</v>
      </c>
      <c r="K109" s="9">
        <f>IFERROR(IF((ROUND((J109/G109)*I109,1))&lt;0,(ROUND((J109/G109)*I109,1)),0),0)</f>
        <v/>
      </c>
    </row>
    <row r="110">
      <c r="A110" s="4" t="n">
        <v>107</v>
      </c>
      <c r="B110" s="5" t="inlineStr">
        <is>
          <t>CVS</t>
        </is>
      </c>
      <c r="C110" s="5" t="inlineStr">
        <is>
          <t>00006022131</t>
        </is>
      </c>
      <c r="D110" s="5" t="inlineStr">
        <is>
          <t>JANUVIA 25MG TABLET</t>
        </is>
      </c>
      <c r="E110" s="6" t="inlineStr">
        <is>
          <t>30.0</t>
        </is>
      </c>
      <c r="F110" s="7" t="n">
        <v>180</v>
      </c>
      <c r="G110" s="7" t="n">
        <v>6</v>
      </c>
      <c r="H110" s="7" t="n">
        <v>11</v>
      </c>
      <c r="I110" s="7" t="n">
        <v>5</v>
      </c>
      <c r="J110" s="8" t="n">
        <v>1853</v>
      </c>
      <c r="K110" s="9">
        <f>IFERROR(IF((ROUND((J110/G110)*I110,1))&lt;0,(ROUND((J110/G110)*I110,1)),0),0)</f>
        <v/>
      </c>
    </row>
    <row r="111">
      <c r="A111" s="4" t="n">
        <v>108</v>
      </c>
      <c r="B111" s="5" t="inlineStr">
        <is>
          <t>CVS</t>
        </is>
      </c>
      <c r="C111" s="5" t="inlineStr">
        <is>
          <t>00173086910</t>
        </is>
      </c>
      <c r="D111" s="5" t="inlineStr">
        <is>
          <t>ANORO ELLIPTA 62.5-25MCG/INH AEROSOL 60EA</t>
        </is>
      </c>
      <c r="E111" s="6" t="inlineStr">
        <is>
          <t>60.0</t>
        </is>
      </c>
      <c r="F111" s="7" t="n">
        <v>240</v>
      </c>
      <c r="G111" s="7" t="n">
        <v>4</v>
      </c>
      <c r="H111" s="7" t="n">
        <v>3</v>
      </c>
      <c r="I111" s="7" t="n">
        <v>-1</v>
      </c>
      <c r="J111" s="8" t="n">
        <v>1852</v>
      </c>
      <c r="K111" s="9">
        <f>IFERROR(IF((ROUND((J111/G111)*I111,1))&lt;0,(ROUND((J111/G111)*I111,1)),0),0)</f>
        <v/>
      </c>
    </row>
    <row r="112">
      <c r="A112" s="4" t="n">
        <v>109</v>
      </c>
      <c r="B112" s="5" t="inlineStr">
        <is>
          <t>CVS</t>
        </is>
      </c>
      <c r="C112" s="5" t="inlineStr">
        <is>
          <t>00054032756</t>
        </is>
      </c>
      <c r="D112" s="5" t="inlineStr">
        <is>
          <t>FLUTICASONE-SALMETEROL 250-50 MCG/ACT INH AEROSOL</t>
        </is>
      </c>
      <c r="E112" s="6" t="inlineStr">
        <is>
          <t>60.0</t>
        </is>
      </c>
      <c r="F112" s="7" t="n">
        <v>1980</v>
      </c>
      <c r="G112" s="7" t="n">
        <v>33</v>
      </c>
      <c r="H112" s="7" t="n">
        <v>8</v>
      </c>
      <c r="I112" s="7" t="n">
        <v>-25</v>
      </c>
      <c r="J112" s="8" t="n">
        <v>1791</v>
      </c>
      <c r="K112" s="9">
        <f>IFERROR(IF((ROUND((J112/G112)*I112,1))&lt;0,(ROUND((J112/G112)*I112,1)),0),0)</f>
        <v/>
      </c>
    </row>
    <row r="113">
      <c r="A113" s="4" t="n">
        <v>110</v>
      </c>
      <c r="B113" s="5" t="inlineStr">
        <is>
          <t>CVS</t>
        </is>
      </c>
      <c r="C113" s="5" t="inlineStr">
        <is>
          <t>08508300021</t>
        </is>
      </c>
      <c r="D113" s="5" t="inlineStr">
        <is>
          <t>OMNIPOD 5 G6 POD (GEN 5)</t>
        </is>
      </c>
      <c r="E113" s="6" t="inlineStr">
        <is>
          <t>5.0</t>
        </is>
      </c>
      <c r="F113" s="7" t="n">
        <v>30</v>
      </c>
      <c r="G113" s="7" t="n">
        <v>6</v>
      </c>
      <c r="H113" s="7" t="n">
        <v>0</v>
      </c>
      <c r="I113" s="7" t="n">
        <v>-6</v>
      </c>
      <c r="J113" s="8" t="n">
        <v>1770</v>
      </c>
      <c r="K113" s="9">
        <f>IFERROR(IF((ROUND((J113/G113)*I113,1))&lt;0,(ROUND((J113/G113)*I113,1)),0),0)</f>
        <v/>
      </c>
    </row>
    <row r="114">
      <c r="A114" s="4" t="n">
        <v>111</v>
      </c>
      <c r="B114" s="5" t="inlineStr">
        <is>
          <t>CVS</t>
        </is>
      </c>
      <c r="C114" s="5" t="inlineStr">
        <is>
          <t>80610013060</t>
        </is>
      </c>
      <c r="D114" s="5" t="inlineStr">
        <is>
          <t>ZORYVE 0.3 % EXTERNAL CREAM</t>
        </is>
      </c>
      <c r="E114" s="6" t="inlineStr">
        <is>
          <t>60.0</t>
        </is>
      </c>
      <c r="F114" s="7" t="n">
        <v>120</v>
      </c>
      <c r="G114" s="7" t="n">
        <v>2</v>
      </c>
      <c r="H114" s="7" t="n">
        <v>1</v>
      </c>
      <c r="I114" s="7" t="n">
        <v>-1</v>
      </c>
      <c r="J114" s="8" t="n">
        <v>1750</v>
      </c>
      <c r="K114" s="9">
        <f>IFERROR(IF((ROUND((J114/G114)*I114,1))&lt;0,(ROUND((J114/G114)*I114,1)),0),0)</f>
        <v/>
      </c>
    </row>
    <row r="115">
      <c r="A115" s="4" t="n">
        <v>112</v>
      </c>
      <c r="B115" s="5" t="inlineStr">
        <is>
          <t>CVS</t>
        </is>
      </c>
      <c r="C115" s="5" t="inlineStr">
        <is>
          <t>00005200010</t>
        </is>
      </c>
      <c r="D115" s="5" t="inlineStr">
        <is>
          <t>PREVNAR 20 0.5 ML PREFILLED SYRINGE</t>
        </is>
      </c>
      <c r="E115" s="6" t="inlineStr">
        <is>
          <t>5.0</t>
        </is>
      </c>
      <c r="F115" s="7" t="n">
        <v>3</v>
      </c>
      <c r="G115" s="7" t="n">
        <v>0.6</v>
      </c>
      <c r="H115" s="7" t="n">
        <v>0</v>
      </c>
      <c r="I115" s="7" t="n">
        <v>-0.6</v>
      </c>
      <c r="J115" s="8" t="n">
        <v>1623</v>
      </c>
      <c r="K115" s="9">
        <f>IFERROR(IF((ROUND((J115/G115)*I115,1))&lt;0,(ROUND((J115/G115)*I115,1)),0),0)</f>
        <v/>
      </c>
    </row>
    <row r="116">
      <c r="A116" s="4" t="n">
        <v>113</v>
      </c>
      <c r="B116" s="5" t="inlineStr">
        <is>
          <t>CVS</t>
        </is>
      </c>
      <c r="C116" s="5" t="inlineStr">
        <is>
          <t>00310756090</t>
        </is>
      </c>
      <c r="D116" s="5" t="inlineStr">
        <is>
          <t>CRESTOR 5MG TABLET</t>
        </is>
      </c>
      <c r="E116" s="6" t="inlineStr">
        <is>
          <t>90.0</t>
        </is>
      </c>
      <c r="F116" s="7" t="n">
        <v>180</v>
      </c>
      <c r="G116" s="7" t="n">
        <v>2</v>
      </c>
      <c r="H116" s="7" t="n">
        <v>1</v>
      </c>
      <c r="I116" s="7" t="n">
        <v>-1</v>
      </c>
      <c r="J116" s="8" t="n">
        <v>1543</v>
      </c>
      <c r="K116" s="9">
        <f>IFERROR(IF((ROUND((J116/G116)*I116,1))&lt;0,(ROUND((J116/G116)*I116,1)),0),0)</f>
        <v/>
      </c>
    </row>
    <row r="117">
      <c r="A117" s="4" t="n">
        <v>114</v>
      </c>
      <c r="B117" s="5" t="inlineStr">
        <is>
          <t>CVS</t>
        </is>
      </c>
      <c r="C117" s="5" t="inlineStr">
        <is>
          <t>00173088210</t>
        </is>
      </c>
      <c r="D117" s="5" t="inlineStr">
        <is>
          <t>BREO ELLIPTA 200-25MCG/INH AEROSOL 60EA</t>
        </is>
      </c>
      <c r="E117" s="6" t="inlineStr">
        <is>
          <t>60.0</t>
        </is>
      </c>
      <c r="F117" s="7" t="n">
        <v>240</v>
      </c>
      <c r="G117" s="7" t="n">
        <v>4</v>
      </c>
      <c r="H117" s="7" t="n">
        <v>10</v>
      </c>
      <c r="I117" s="7" t="n">
        <v>6</v>
      </c>
      <c r="J117" s="8" t="n">
        <v>1539</v>
      </c>
      <c r="K117" s="9">
        <f>IFERROR(IF((ROUND((J117/G117)*I117,1))&lt;0,(ROUND((J117/G117)*I117,1)),0),0)</f>
        <v/>
      </c>
    </row>
    <row r="118">
      <c r="A118" s="4" t="n">
        <v>115</v>
      </c>
      <c r="B118" s="5" t="inlineStr">
        <is>
          <t>CVS</t>
        </is>
      </c>
      <c r="C118" s="5" t="inlineStr">
        <is>
          <t>59148003613</t>
        </is>
      </c>
      <c r="D118" s="5" t="inlineStr">
        <is>
          <t>REXULTI 0.5 MG ORAL TABLET</t>
        </is>
      </c>
      <c r="E118" s="6" t="inlineStr">
        <is>
          <t>30.0</t>
        </is>
      </c>
      <c r="F118" s="7" t="n">
        <v>30</v>
      </c>
      <c r="G118" s="7" t="n">
        <v>1</v>
      </c>
      <c r="H118" s="7" t="n">
        <v>1</v>
      </c>
      <c r="I118" s="7" t="n">
        <v>0</v>
      </c>
      <c r="J118" s="8" t="n">
        <v>1475</v>
      </c>
      <c r="K118" s="9">
        <f>IFERROR(IF((ROUND((J118/G118)*I118,1))&lt;0,(ROUND((J118/G118)*I118,1)),0),0)</f>
        <v/>
      </c>
    </row>
    <row r="119">
      <c r="A119" s="4" t="n">
        <v>116</v>
      </c>
      <c r="B119" s="5" t="inlineStr">
        <is>
          <t>CVS</t>
        </is>
      </c>
      <c r="C119" s="5" t="inlineStr">
        <is>
          <t>58160082311</t>
        </is>
      </c>
      <c r="D119" s="5" t="inlineStr">
        <is>
          <t>SHINGRIX 50 MCG/0.5ML IM SUSP RECON</t>
        </is>
      </c>
      <c r="E119" s="6" t="inlineStr">
        <is>
          <t>10.0</t>
        </is>
      </c>
      <c r="F119" s="7" t="n">
        <v>7</v>
      </c>
      <c r="G119" s="7" t="n">
        <v>0.7</v>
      </c>
      <c r="H119" s="7" t="n">
        <v>0</v>
      </c>
      <c r="I119" s="7" t="n">
        <v>-0.7</v>
      </c>
      <c r="J119" s="8" t="n">
        <v>1467</v>
      </c>
      <c r="K119" s="9">
        <f>IFERROR(IF((ROUND((J119/G119)*I119,1))&lt;0,(ROUND((J119/G119)*I119,1)),0),0)</f>
        <v/>
      </c>
    </row>
    <row r="120">
      <c r="A120" s="4" t="n">
        <v>117</v>
      </c>
      <c r="B120" s="5" t="inlineStr">
        <is>
          <t>CVS</t>
        </is>
      </c>
      <c r="C120" s="5" t="inlineStr">
        <is>
          <t>64764017530</t>
        </is>
      </c>
      <c r="D120" s="5" t="inlineStr">
        <is>
          <t xml:space="preserve">DEXILANT 60MG CAP </t>
        </is>
      </c>
      <c r="E120" s="6" t="inlineStr">
        <is>
          <t>30.0</t>
        </is>
      </c>
      <c r="F120" s="7" t="n">
        <v>150</v>
      </c>
      <c r="G120" s="7" t="n">
        <v>5</v>
      </c>
      <c r="H120" s="7" t="n">
        <v>1</v>
      </c>
      <c r="I120" s="7" t="n">
        <v>-4</v>
      </c>
      <c r="J120" s="8" t="n">
        <v>1439</v>
      </c>
      <c r="K120" s="9">
        <f>IFERROR(IF((ROUND((J120/G120)*I120,1))&lt;0,(ROUND((J120/G120)*I120,1)),0),0)</f>
        <v/>
      </c>
    </row>
    <row r="121">
      <c r="A121" s="4" t="n">
        <v>118</v>
      </c>
      <c r="B121" s="5" t="inlineStr">
        <is>
          <t>CVS</t>
        </is>
      </c>
      <c r="C121" s="5" t="inlineStr">
        <is>
          <t>00069504530</t>
        </is>
      </c>
      <c r="D121" s="5" t="inlineStr">
        <is>
          <t>PAXLOVID (300/100) 20 X 150 MG &amp; 10 X 100MG TABLET THERAPY PACK</t>
        </is>
      </c>
      <c r="E121" s="6" t="inlineStr">
        <is>
          <t>30.0</t>
        </is>
      </c>
      <c r="F121" s="7" t="n">
        <v>30</v>
      </c>
      <c r="G121" s="7" t="n">
        <v>1</v>
      </c>
      <c r="H121" s="7" t="n">
        <v>1</v>
      </c>
      <c r="I121" s="7" t="n">
        <v>0</v>
      </c>
      <c r="J121" s="8" t="n">
        <v>1383</v>
      </c>
      <c r="K121" s="9">
        <f>IFERROR(IF((ROUND((J121/G121)*I121,1))&lt;0,(ROUND((J121/G121)*I121,1)),0),0)</f>
        <v/>
      </c>
    </row>
    <row r="122">
      <c r="A122" s="4" t="n">
        <v>119</v>
      </c>
      <c r="B122" s="5" t="inlineStr">
        <is>
          <t>CVS</t>
        </is>
      </c>
      <c r="C122" s="5" t="inlineStr">
        <is>
          <t>62856040530</t>
        </is>
      </c>
      <c r="D122" s="5" t="inlineStr">
        <is>
          <t>DAYVIGO 5 MG ORAL TABLET</t>
        </is>
      </c>
      <c r="E122" s="6" t="inlineStr">
        <is>
          <t>30.0</t>
        </is>
      </c>
      <c r="F122" s="7" t="n">
        <v>120</v>
      </c>
      <c r="G122" s="7" t="n">
        <v>4</v>
      </c>
      <c r="H122" s="7" t="n">
        <v>3</v>
      </c>
      <c r="I122" s="7" t="n">
        <v>-1</v>
      </c>
      <c r="J122" s="8" t="n">
        <v>1355</v>
      </c>
      <c r="K122" s="9">
        <f>IFERROR(IF((ROUND((J122/G122)*I122,1))&lt;0,(ROUND((J122/G122)*I122,1)),0),0)</f>
        <v/>
      </c>
    </row>
    <row r="123">
      <c r="A123" s="4" t="n">
        <v>120</v>
      </c>
      <c r="B123" s="5" t="inlineStr">
        <is>
          <t>CVS</t>
        </is>
      </c>
      <c r="C123" s="5" t="inlineStr">
        <is>
          <t>00173069600</t>
        </is>
      </c>
      <c r="D123" s="5" t="inlineStr">
        <is>
          <t>ADVAIR DISKUS 250-50MCG/DOSE AEROSOL 60EA</t>
        </is>
      </c>
      <c r="E123" s="6" t="inlineStr">
        <is>
          <t>60.0</t>
        </is>
      </c>
      <c r="F123" s="7" t="n">
        <v>420</v>
      </c>
      <c r="G123" s="7" t="n">
        <v>7</v>
      </c>
      <c r="H123" s="7" t="n">
        <v>3</v>
      </c>
      <c r="I123" s="7" t="n">
        <v>-4</v>
      </c>
      <c r="J123" s="8" t="n">
        <v>1255</v>
      </c>
      <c r="K123" s="9">
        <f>IFERROR(IF((ROUND((J123/G123)*I123,1))&lt;0,(ROUND((J123/G123)*I123,1)),0),0)</f>
        <v/>
      </c>
    </row>
    <row r="124">
      <c r="A124" s="4" t="n">
        <v>121</v>
      </c>
      <c r="B124" s="5" t="inlineStr">
        <is>
          <t>CVS</t>
        </is>
      </c>
      <c r="C124" s="5" t="inlineStr">
        <is>
          <t>00169266015</t>
        </is>
      </c>
      <c r="D124" s="5" t="inlineStr">
        <is>
          <t>TRESIBA FLEXTOUCH 100UNIT/ML INJECTION</t>
        </is>
      </c>
      <c r="E124" s="6" t="inlineStr">
        <is>
          <t>15.0</t>
        </is>
      </c>
      <c r="F124" s="7" t="n">
        <v>39</v>
      </c>
      <c r="G124" s="7" t="n">
        <v>2.6</v>
      </c>
      <c r="H124" s="7" t="n">
        <v>0</v>
      </c>
      <c r="I124" s="7" t="n">
        <v>-2.6</v>
      </c>
      <c r="J124" s="8" t="n">
        <v>1225</v>
      </c>
      <c r="K124" s="9">
        <f>IFERROR(IF((ROUND((J124/G124)*I124,1))&lt;0,(ROUND((J124/G124)*I124,1)),0),0)</f>
        <v/>
      </c>
    </row>
    <row r="125">
      <c r="A125" s="4" t="n">
        <v>122</v>
      </c>
      <c r="B125" s="5" t="inlineStr">
        <is>
          <t>CVS</t>
        </is>
      </c>
      <c r="C125" s="5" t="inlineStr">
        <is>
          <t>71699020030</t>
        </is>
      </c>
      <c r="D125" s="5" t="inlineStr">
        <is>
          <t>XCOPRI 200 MG ORAL TABLET</t>
        </is>
      </c>
      <c r="E125" s="6" t="inlineStr">
        <is>
          <t>30.0</t>
        </is>
      </c>
      <c r="F125" s="7" t="n">
        <v>30</v>
      </c>
      <c r="G125" s="7" t="n">
        <v>1</v>
      </c>
      <c r="H125" s="7" t="n">
        <v>1</v>
      </c>
      <c r="I125" s="7" t="n">
        <v>0</v>
      </c>
      <c r="J125" s="8" t="n">
        <v>1191</v>
      </c>
      <c r="K125" s="9">
        <f>IFERROR(IF((ROUND((J125/G125)*I125,1))&lt;0,(ROUND((J125/G125)*I125,1)),0),0)</f>
        <v/>
      </c>
    </row>
    <row r="126">
      <c r="A126" s="4" t="n">
        <v>123</v>
      </c>
      <c r="B126" s="5" t="inlineStr">
        <is>
          <t>CVS</t>
        </is>
      </c>
      <c r="C126" s="5" t="inlineStr">
        <is>
          <t>71699020328</t>
        </is>
      </c>
      <c r="D126" s="5" t="inlineStr">
        <is>
          <t>XCOPRI 14 X 150 MG &amp; 14 X200 MG ORAL TABLET THERAPY PACK</t>
        </is>
      </c>
      <c r="E126" s="6" t="inlineStr">
        <is>
          <t>28.0</t>
        </is>
      </c>
      <c r="F126" s="7" t="n">
        <v>28</v>
      </c>
      <c r="G126" s="7" t="n">
        <v>1</v>
      </c>
      <c r="H126" s="7" t="n">
        <v>0</v>
      </c>
      <c r="I126" s="7" t="n">
        <v>-1</v>
      </c>
      <c r="J126" s="8" t="n">
        <v>1146</v>
      </c>
      <c r="K126" s="9">
        <f>IFERROR(IF((ROUND((J126/G126)*I126,1))&lt;0,(ROUND((J126/G126)*I126,1)),0),0)</f>
        <v/>
      </c>
    </row>
    <row r="127">
      <c r="A127" s="4" t="n">
        <v>124</v>
      </c>
      <c r="B127" s="5" t="inlineStr">
        <is>
          <t>CVS</t>
        </is>
      </c>
      <c r="C127" s="5" t="inlineStr">
        <is>
          <t>00002882427</t>
        </is>
      </c>
      <c r="D127" s="5" t="inlineStr">
        <is>
          <t>HUMULIN R U-500 KWIKPEN 500UNIT/ML INJECTION</t>
        </is>
      </c>
      <c r="E127" s="6" t="inlineStr">
        <is>
          <t>6.0</t>
        </is>
      </c>
      <c r="F127" s="7" t="n">
        <v>12</v>
      </c>
      <c r="G127" s="7" t="n">
        <v>2</v>
      </c>
      <c r="H127" s="7" t="n">
        <v>1</v>
      </c>
      <c r="I127" s="7" t="n">
        <v>-1</v>
      </c>
      <c r="J127" s="8" t="n">
        <v>1083</v>
      </c>
      <c r="K127" s="9">
        <f>IFERROR(IF((ROUND((J127/G127)*I127,1))&lt;0,(ROUND((J127/G127)*I127,1)),0),0)</f>
        <v/>
      </c>
    </row>
    <row r="128">
      <c r="A128" s="4" t="n">
        <v>125</v>
      </c>
      <c r="B128" s="5" t="inlineStr">
        <is>
          <t>CVS</t>
        </is>
      </c>
      <c r="C128" s="5" t="inlineStr">
        <is>
          <t>00597029074</t>
        </is>
      </c>
      <c r="D128" s="5" t="inlineStr">
        <is>
          <t>SYNJARDY 5-1000MG TABLET XR</t>
        </is>
      </c>
      <c r="E128" s="6" t="inlineStr">
        <is>
          <t>60.0</t>
        </is>
      </c>
      <c r="F128" s="7" t="n">
        <v>120</v>
      </c>
      <c r="G128" s="7" t="n">
        <v>2</v>
      </c>
      <c r="H128" s="7" t="n">
        <v>3</v>
      </c>
      <c r="I128" s="7" t="n">
        <v>1</v>
      </c>
      <c r="J128" s="8" t="n">
        <v>1039</v>
      </c>
      <c r="K128" s="9">
        <f>IFERROR(IF((ROUND((J128/G128)*I128,1))&lt;0,(ROUND((J128/G128)*I128,1)),0),0)</f>
        <v/>
      </c>
    </row>
    <row r="129">
      <c r="A129" s="4" t="n">
        <v>126</v>
      </c>
      <c r="B129" s="5" t="inlineStr">
        <is>
          <t>CVS</t>
        </is>
      </c>
      <c r="C129" s="5" t="inlineStr">
        <is>
          <t>00002248480</t>
        </is>
      </c>
      <c r="D129" s="5" t="inlineStr">
        <is>
          <t>ZEPBOUND 7.5 MG/0.5ML AUTO-INJECTOR</t>
        </is>
      </c>
      <c r="E129" s="6" t="inlineStr">
        <is>
          <t>2.0</t>
        </is>
      </c>
      <c r="F129" s="7" t="n">
        <v>2</v>
      </c>
      <c r="G129" s="7" t="n">
        <v>1</v>
      </c>
      <c r="H129" s="7" t="n">
        <v>2</v>
      </c>
      <c r="I129" s="7" t="n">
        <v>1</v>
      </c>
      <c r="J129" s="8" t="n">
        <v>1027</v>
      </c>
      <c r="K129" s="9">
        <f>IFERROR(IF((ROUND((J129/G129)*I129,1))&lt;0,(ROUND((J129/G129)*I129,1)),0),0)</f>
        <v/>
      </c>
    </row>
    <row r="130">
      <c r="A130" s="4" t="n">
        <v>127</v>
      </c>
      <c r="B130" s="5" t="inlineStr">
        <is>
          <t>CVS</t>
        </is>
      </c>
      <c r="C130" s="5" t="inlineStr">
        <is>
          <t>00002249580</t>
        </is>
      </c>
      <c r="D130" s="5" t="inlineStr">
        <is>
          <t>ZEPBOUND 5 MG/0.5ML AUTO-INJECTOR</t>
        </is>
      </c>
      <c r="E130" s="6" t="inlineStr">
        <is>
          <t>2.0</t>
        </is>
      </c>
      <c r="F130" s="7" t="n">
        <v>2</v>
      </c>
      <c r="G130" s="7" t="n">
        <v>1</v>
      </c>
      <c r="H130" s="7" t="n">
        <v>1</v>
      </c>
      <c r="I130" s="7" t="n">
        <v>0</v>
      </c>
      <c r="J130" s="8" t="n">
        <v>1027</v>
      </c>
      <c r="K130" s="9">
        <f>IFERROR(IF((ROUND((J130/G130)*I130,1))&lt;0,(ROUND((J130/G130)*I130,1)),0),0)</f>
        <v/>
      </c>
    </row>
    <row r="131">
      <c r="A131" s="4" t="n">
        <v>128</v>
      </c>
      <c r="B131" s="5" t="inlineStr">
        <is>
          <t>CVS</t>
        </is>
      </c>
      <c r="C131" s="5" t="inlineStr">
        <is>
          <t>00002250680</t>
        </is>
      </c>
      <c r="D131" s="5" t="inlineStr">
        <is>
          <t>ZEPBOUND 2.5 MG/0.5ML AUTO-INJECTOR</t>
        </is>
      </c>
      <c r="E131" s="6" t="inlineStr">
        <is>
          <t>2.0</t>
        </is>
      </c>
      <c r="F131" s="7" t="n">
        <v>2</v>
      </c>
      <c r="G131" s="7" t="n">
        <v>1</v>
      </c>
      <c r="H131" s="7" t="n">
        <v>1</v>
      </c>
      <c r="I131" s="7" t="n">
        <v>0</v>
      </c>
      <c r="J131" s="8" t="n">
        <v>1027</v>
      </c>
      <c r="K131" s="9">
        <f>IFERROR(IF((ROUND((J131/G131)*I131,1))&lt;0,(ROUND((J131/G131)*I131,1)),0),0)</f>
        <v/>
      </c>
    </row>
    <row r="132">
      <c r="A132" s="4" t="n">
        <v>129</v>
      </c>
      <c r="B132" s="5" t="inlineStr">
        <is>
          <t>CVS</t>
        </is>
      </c>
      <c r="C132" s="5" t="inlineStr">
        <is>
          <t>00469260130</t>
        </is>
      </c>
      <c r="D132" s="5" t="inlineStr">
        <is>
          <t>MYRBETRIQ 25MG TABLET</t>
        </is>
      </c>
      <c r="E132" s="6" t="inlineStr">
        <is>
          <t>30.0</t>
        </is>
      </c>
      <c r="F132" s="7" t="n">
        <v>90</v>
      </c>
      <c r="G132" s="7" t="n">
        <v>3</v>
      </c>
      <c r="H132" s="7" t="n">
        <v>0</v>
      </c>
      <c r="I132" s="7" t="n">
        <v>-3</v>
      </c>
      <c r="J132" s="8" t="n">
        <v>994</v>
      </c>
      <c r="K132" s="9">
        <f>IFERROR(IF((ROUND((J132/G132)*I132,1))&lt;0,(ROUND((J132/G132)*I132,1)),0),0)</f>
        <v/>
      </c>
    </row>
    <row r="133">
      <c r="A133" s="4" t="n">
        <v>130</v>
      </c>
      <c r="B133" s="5" t="inlineStr">
        <is>
          <t>CVS</t>
        </is>
      </c>
      <c r="C133" s="5" t="inlineStr">
        <is>
          <t>00597038068</t>
        </is>
      </c>
      <c r="D133" s="5" t="inlineStr">
        <is>
          <t>TRIJARDY XR 10-5-1000 MG ORAL TABLET EXTENDED RELEASE 24 HOUR</t>
        </is>
      </c>
      <c r="E133" s="6" t="inlineStr">
        <is>
          <t>90.0</t>
        </is>
      </c>
      <c r="F133" s="7" t="n">
        <v>90</v>
      </c>
      <c r="G133" s="7" t="n">
        <v>1</v>
      </c>
      <c r="H133" s="7" t="n">
        <v>1</v>
      </c>
      <c r="I133" s="7" t="n">
        <v>0</v>
      </c>
      <c r="J133" s="8" t="n">
        <v>978</v>
      </c>
      <c r="K133" s="9">
        <f>IFERROR(IF((ROUND((J133/G133)*I133,1))&lt;0,(ROUND((J133/G133)*I133,1)),0),0)</f>
        <v/>
      </c>
    </row>
    <row r="134">
      <c r="A134" s="4" t="n">
        <v>131</v>
      </c>
      <c r="B134" s="5" t="inlineStr">
        <is>
          <t>CVS</t>
        </is>
      </c>
      <c r="C134" s="5" t="inlineStr">
        <is>
          <t>99073070822</t>
        </is>
      </c>
      <c r="D134" s="5" t="inlineStr">
        <is>
          <t>FREESTYLE LITE TEST  STRIP</t>
        </is>
      </c>
      <c r="E134" s="6" t="inlineStr">
        <is>
          <t>50.0</t>
        </is>
      </c>
      <c r="F134" s="7" t="n">
        <v>700</v>
      </c>
      <c r="G134" s="7" t="n">
        <v>14</v>
      </c>
      <c r="H134" s="7" t="n">
        <v>10</v>
      </c>
      <c r="I134" s="7" t="n">
        <v>-4</v>
      </c>
      <c r="J134" s="8" t="n">
        <v>935</v>
      </c>
      <c r="K134" s="9">
        <f>IFERROR(IF((ROUND((J134/G134)*I134,1))&lt;0,(ROUND((J134/G134)*I134,1)),0),0)</f>
        <v/>
      </c>
    </row>
    <row r="135">
      <c r="A135" s="4" t="n">
        <v>132</v>
      </c>
      <c r="B135" s="5" t="inlineStr">
        <is>
          <t>CVS</t>
        </is>
      </c>
      <c r="C135" s="5" t="inlineStr">
        <is>
          <t>00005200002</t>
        </is>
      </c>
      <c r="D135" s="5" t="inlineStr">
        <is>
          <t>PREVNAR 20 0.5 ML INTRAMUSCULAR SUSPENSION PREFILLED SYRINGE</t>
        </is>
      </c>
      <c r="E135" s="6" t="inlineStr">
        <is>
          <t>0.5</t>
        </is>
      </c>
      <c r="F135" s="7" t="n">
        <v>1.5</v>
      </c>
      <c r="G135" s="7" t="n">
        <v>3</v>
      </c>
      <c r="H135" s="7" t="n">
        <v>0</v>
      </c>
      <c r="I135" s="7" t="n">
        <v>-3</v>
      </c>
      <c r="J135" s="8" t="n">
        <v>865</v>
      </c>
      <c r="K135" s="9">
        <f>IFERROR(IF((ROUND((J135/G135)*I135,1))&lt;0,(ROUND((J135/G135)*I135,1)),0),0)</f>
        <v/>
      </c>
    </row>
    <row r="136">
      <c r="A136" s="4" t="n">
        <v>133</v>
      </c>
      <c r="B136" s="5" t="inlineStr">
        <is>
          <t>CVS</t>
        </is>
      </c>
      <c r="C136" s="5" t="inlineStr">
        <is>
          <t>00024586903</t>
        </is>
      </c>
      <c r="D136" s="5" t="inlineStr">
        <is>
          <t>TOUJEO SOLOSTAR 300UNIT/ML INJECTION</t>
        </is>
      </c>
      <c r="E136" s="6" t="inlineStr">
        <is>
          <t>4.5</t>
        </is>
      </c>
      <c r="F136" s="7" t="n">
        <v>9</v>
      </c>
      <c r="G136" s="7" t="n">
        <v>2</v>
      </c>
      <c r="H136" s="7" t="n">
        <v>0</v>
      </c>
      <c r="I136" s="7" t="n">
        <v>-2</v>
      </c>
      <c r="J136" s="8" t="n">
        <v>805</v>
      </c>
      <c r="K136" s="9">
        <f>IFERROR(IF((ROUND((J136/G136)*I136,1))&lt;0,(ROUND((J136/G136)*I136,1)),0),0)</f>
        <v/>
      </c>
    </row>
    <row r="137">
      <c r="A137" s="4" t="n">
        <v>134</v>
      </c>
      <c r="B137" s="5" t="inlineStr">
        <is>
          <t>CVS</t>
        </is>
      </c>
      <c r="C137" s="5" t="inlineStr">
        <is>
          <t>59676031001</t>
        </is>
      </c>
      <c r="D137" s="5" t="inlineStr">
        <is>
          <t>PROCRIT 10000 UNIT/ML INJECTION SOLUTION</t>
        </is>
      </c>
      <c r="E137" s="6" t="inlineStr">
        <is>
          <t>6.0</t>
        </is>
      </c>
      <c r="F137" s="7" t="n">
        <v>3</v>
      </c>
      <c r="G137" s="7" t="n">
        <v>0.5</v>
      </c>
      <c r="H137" s="7" t="n">
        <v>0</v>
      </c>
      <c r="I137" s="7" t="n">
        <v>-0.5</v>
      </c>
      <c r="J137" s="8" t="n">
        <v>750</v>
      </c>
      <c r="K137" s="9">
        <f>IFERROR(IF((ROUND((J137/G137)*I137,1))&lt;0,(ROUND((J137/G137)*I137,1)),0),0)</f>
        <v/>
      </c>
    </row>
    <row r="138">
      <c r="A138" s="4" t="n">
        <v>135</v>
      </c>
      <c r="B138" s="5" t="inlineStr">
        <is>
          <t>CVS</t>
        </is>
      </c>
      <c r="C138" s="5" t="inlineStr">
        <is>
          <t>00023320503</t>
        </is>
      </c>
      <c r="D138" s="5" t="inlineStr">
        <is>
          <t>LUMIGAN 0.01% SOLUTION</t>
        </is>
      </c>
      <c r="E138" s="6" t="inlineStr">
        <is>
          <t>2.5</t>
        </is>
      </c>
      <c r="F138" s="7" t="n">
        <v>7.5</v>
      </c>
      <c r="G138" s="7" t="n">
        <v>3</v>
      </c>
      <c r="H138" s="7" t="n">
        <v>0</v>
      </c>
      <c r="I138" s="7" t="n">
        <v>-3</v>
      </c>
      <c r="J138" s="8" t="n">
        <v>731</v>
      </c>
      <c r="K138" s="9">
        <f>IFERROR(IF((ROUND((J138/G138)*I138,1))&lt;0,(ROUND((J138/G138)*I138,1)),0),0)</f>
        <v/>
      </c>
    </row>
    <row r="139">
      <c r="A139" s="4" t="n">
        <v>136</v>
      </c>
      <c r="B139" s="5" t="inlineStr">
        <is>
          <t>CVS</t>
        </is>
      </c>
      <c r="C139" s="5" t="inlineStr">
        <is>
          <t>81520010030</t>
        </is>
      </c>
      <c r="D139" s="5" t="inlineStr">
        <is>
          <t>VOQUEZNA 10 MG ORAL TABLET</t>
        </is>
      </c>
      <c r="E139" s="6" t="inlineStr">
        <is>
          <t>30.0</t>
        </is>
      </c>
      <c r="F139" s="7" t="n">
        <v>30</v>
      </c>
      <c r="G139" s="7" t="n">
        <v>1</v>
      </c>
      <c r="H139" s="7" t="n">
        <v>1</v>
      </c>
      <c r="I139" s="7" t="n">
        <v>0</v>
      </c>
      <c r="J139" s="8" t="n">
        <v>669</v>
      </c>
      <c r="K139" s="9">
        <f>IFERROR(IF((ROUND((J139/G139)*I139,1))&lt;0,(ROUND((J139/G139)*I139,1)),0),0)</f>
        <v/>
      </c>
    </row>
    <row r="140">
      <c r="A140" s="4" t="n">
        <v>137</v>
      </c>
      <c r="B140" s="5" t="inlineStr">
        <is>
          <t>CVS</t>
        </is>
      </c>
      <c r="C140" s="5" t="inlineStr">
        <is>
          <t>00006412102</t>
        </is>
      </c>
      <c r="D140" s="5" t="inlineStr">
        <is>
          <t>GARDASIL 9 INTRAMUSCULAR SUSPENSION PREFILLED SYRINGE</t>
        </is>
      </c>
      <c r="E140" s="6" t="inlineStr">
        <is>
          <t>5.0</t>
        </is>
      </c>
      <c r="F140" s="7" t="n">
        <v>1</v>
      </c>
      <c r="G140" s="7" t="n">
        <v>0.2</v>
      </c>
      <c r="H140" s="7" t="n">
        <v>0</v>
      </c>
      <c r="I140" s="7" t="n">
        <v>-0.2</v>
      </c>
      <c r="J140" s="8" t="n">
        <v>666</v>
      </c>
      <c r="K140" s="9">
        <f>IFERROR(IF((ROUND((J140/G140)*I140,1))&lt;0,(ROUND((J140/G140)*I140,1)),0),0)</f>
        <v/>
      </c>
    </row>
    <row r="141">
      <c r="A141" s="4" t="n">
        <v>138</v>
      </c>
      <c r="B141" s="5" t="inlineStr">
        <is>
          <t>CVS</t>
        </is>
      </c>
      <c r="C141" s="5" t="inlineStr">
        <is>
          <t>00169750111</t>
        </is>
      </c>
      <c r="D141" s="5" t="inlineStr">
        <is>
          <t>NOVOLOG 100UNIT/ML SOLUTION</t>
        </is>
      </c>
      <c r="E141" s="6" t="inlineStr">
        <is>
          <t>10.0</t>
        </is>
      </c>
      <c r="F141" s="7" t="n">
        <v>90</v>
      </c>
      <c r="G141" s="7" t="n">
        <v>9</v>
      </c>
      <c r="H141" s="7" t="n">
        <v>6</v>
      </c>
      <c r="I141" s="7" t="n">
        <v>-3</v>
      </c>
      <c r="J141" s="8" t="n">
        <v>618</v>
      </c>
      <c r="K141" s="9">
        <f>IFERROR(IF((ROUND((J141/G141)*I141,1))&lt;0,(ROUND((J141/G141)*I141,1)),0),0)</f>
        <v/>
      </c>
    </row>
    <row r="142">
      <c r="A142" s="4" t="n">
        <v>139</v>
      </c>
      <c r="B142" s="5" t="inlineStr">
        <is>
          <t>CVS</t>
        </is>
      </c>
      <c r="C142" s="5" t="inlineStr">
        <is>
          <t>58160084811</t>
        </is>
      </c>
      <c r="D142" s="5" t="inlineStr">
        <is>
          <t>AREXVY 120 MCG/0.5ML INTRAMUSCULAR SUSPENSION RECONSTITUTED</t>
        </is>
      </c>
      <c r="E142" s="6" t="inlineStr">
        <is>
          <t>10.0</t>
        </is>
      </c>
      <c r="F142" s="7" t="n">
        <v>2</v>
      </c>
      <c r="G142" s="7" t="n">
        <v>0.2</v>
      </c>
      <c r="H142" s="7" t="n">
        <v>1</v>
      </c>
      <c r="I142" s="7" t="n">
        <v>0.8</v>
      </c>
      <c r="J142" s="8" t="n">
        <v>595</v>
      </c>
      <c r="K142" s="9">
        <f>IFERROR(IF((ROUND((J142/G142)*I142,1))&lt;0,(ROUND((J142/G142)*I142,1)),0),0)</f>
        <v/>
      </c>
    </row>
    <row r="143">
      <c r="A143" s="4" t="n">
        <v>140</v>
      </c>
      <c r="B143" s="5" t="inlineStr">
        <is>
          <t>CVS</t>
        </is>
      </c>
      <c r="C143" s="5" t="inlineStr">
        <is>
          <t>08508300001</t>
        </is>
      </c>
      <c r="D143" s="5" t="inlineStr">
        <is>
          <t>OMNIPOD 5 G6 INTRO (GEN 5) KIT</t>
        </is>
      </c>
      <c r="E143" s="6" t="inlineStr">
        <is>
          <t>1.0</t>
        </is>
      </c>
      <c r="F143" s="7" t="n">
        <v>1</v>
      </c>
      <c r="G143" s="7" t="n">
        <v>1</v>
      </c>
      <c r="H143" s="7" t="n">
        <v>0</v>
      </c>
      <c r="I143" s="7" t="n">
        <v>-1</v>
      </c>
      <c r="J143" s="8" t="n">
        <v>590</v>
      </c>
      <c r="K143" s="9">
        <f>IFERROR(IF((ROUND((J143/G143)*I143,1))&lt;0,(ROUND((J143/G143)*I143,1)),0),0)</f>
        <v/>
      </c>
    </row>
    <row r="144">
      <c r="A144" s="4" t="n">
        <v>141</v>
      </c>
      <c r="B144" s="5" t="inlineStr">
        <is>
          <t>CVS</t>
        </is>
      </c>
      <c r="C144" s="5" t="inlineStr">
        <is>
          <t>00173087410</t>
        </is>
      </c>
      <c r="D144" s="5" t="inlineStr">
        <is>
          <t>ARNUITY ELLIPTA 100 MCG/ACT INH AEROSOL</t>
        </is>
      </c>
      <c r="E144" s="6" t="inlineStr">
        <is>
          <t>30.0</t>
        </is>
      </c>
      <c r="F144" s="7" t="n">
        <v>90</v>
      </c>
      <c r="G144" s="7" t="n">
        <v>3</v>
      </c>
      <c r="H144" s="7" t="n">
        <v>2</v>
      </c>
      <c r="I144" s="7" t="n">
        <v>-1</v>
      </c>
      <c r="J144" s="8" t="n">
        <v>584</v>
      </c>
      <c r="K144" s="9">
        <f>IFERROR(IF((ROUND((J144/G144)*I144,1))&lt;0,(ROUND((J144/G144)*I144,1)),0),0)</f>
        <v/>
      </c>
    </row>
    <row r="145">
      <c r="A145" s="4" t="n">
        <v>142</v>
      </c>
      <c r="B145" s="5" t="inlineStr">
        <is>
          <t>CVS</t>
        </is>
      </c>
      <c r="C145" s="5" t="inlineStr">
        <is>
          <t>00378932232</t>
        </is>
      </c>
      <c r="D145" s="5" t="inlineStr">
        <is>
          <t>WIXELA INHUB 500-50 MCG/ACT INH AEROSOL</t>
        </is>
      </c>
      <c r="E145" s="6" t="inlineStr">
        <is>
          <t>60.0</t>
        </is>
      </c>
      <c r="F145" s="7" t="n">
        <v>360</v>
      </c>
      <c r="G145" s="7" t="n">
        <v>6</v>
      </c>
      <c r="H145" s="7" t="n">
        <v>0</v>
      </c>
      <c r="I145" s="7" t="n">
        <v>-6</v>
      </c>
      <c r="J145" s="8" t="n">
        <v>515</v>
      </c>
      <c r="K145" s="9">
        <f>IFERROR(IF((ROUND((J145/G145)*I145,1))&lt;0,(ROUND((J145/G145)*I145,1)),0),0)</f>
        <v/>
      </c>
    </row>
    <row r="146">
      <c r="A146" s="4" t="n">
        <v>143</v>
      </c>
      <c r="B146" s="5" t="inlineStr">
        <is>
          <t>CVS</t>
        </is>
      </c>
      <c r="C146" s="5" t="inlineStr">
        <is>
          <t>00469266030</t>
        </is>
      </c>
      <c r="D146" s="5" t="inlineStr">
        <is>
          <t>VEOZAH 45 MG ORAL TABLET</t>
        </is>
      </c>
      <c r="E146" s="6" t="inlineStr">
        <is>
          <t>30.0</t>
        </is>
      </c>
      <c r="F146" s="7" t="n">
        <v>30</v>
      </c>
      <c r="G146" s="7" t="n">
        <v>1</v>
      </c>
      <c r="H146" s="7" t="n">
        <v>0</v>
      </c>
      <c r="I146" s="7" t="n">
        <v>-1</v>
      </c>
      <c r="J146" s="8" t="n">
        <v>497</v>
      </c>
      <c r="K146" s="9">
        <f>IFERROR(IF((ROUND((J146/G146)*I146,1))&lt;0,(ROUND((J146/G146)*I146,1)),0),0)</f>
        <v/>
      </c>
    </row>
    <row r="147">
      <c r="A147" s="4" t="n">
        <v>144</v>
      </c>
      <c r="B147" s="5" t="inlineStr">
        <is>
          <t>CVS</t>
        </is>
      </c>
      <c r="C147" s="5" t="inlineStr">
        <is>
          <t>59467067901</t>
        </is>
      </c>
      <c r="D147" s="5" t="inlineStr">
        <is>
          <t>KLOXXADO 8 MG/0.1ML NASAL LIQUID</t>
        </is>
      </c>
      <c r="E147" s="6" t="inlineStr">
        <is>
          <t>2.0</t>
        </is>
      </c>
      <c r="F147" s="7" t="n">
        <v>8</v>
      </c>
      <c r="G147" s="7" t="n">
        <v>4</v>
      </c>
      <c r="H147" s="7" t="n">
        <v>8</v>
      </c>
      <c r="I147" s="7" t="n">
        <v>4</v>
      </c>
      <c r="J147" s="8" t="n">
        <v>458</v>
      </c>
      <c r="K147" s="9">
        <f>IFERROR(IF((ROUND((J147/G147)*I147,1))&lt;0,(ROUND((J147/G147)*I147,1)),0),0)</f>
        <v/>
      </c>
    </row>
    <row r="148">
      <c r="A148" s="4" t="n">
        <v>145</v>
      </c>
      <c r="B148" s="5" t="inlineStr">
        <is>
          <t>CVS</t>
        </is>
      </c>
      <c r="C148" s="5" t="inlineStr">
        <is>
          <t>65702071110</t>
        </is>
      </c>
      <c r="D148" s="5" t="inlineStr">
        <is>
          <t>ACCU-CHEK GUIDE IN VITRO STRIP</t>
        </is>
      </c>
      <c r="E148" s="6" t="inlineStr">
        <is>
          <t>50.0</t>
        </is>
      </c>
      <c r="F148" s="7" t="n">
        <v>1100</v>
      </c>
      <c r="G148" s="7" t="n">
        <v>22</v>
      </c>
      <c r="H148" s="7" t="n">
        <v>22</v>
      </c>
      <c r="I148" s="7" t="n">
        <v>0</v>
      </c>
      <c r="J148" s="8" t="n">
        <v>400</v>
      </c>
      <c r="K148" s="9">
        <f>IFERROR(IF((ROUND((J148/G148)*I148,1))&lt;0,(ROUND((J148/G148)*I148,1)),0),0)</f>
        <v/>
      </c>
    </row>
    <row r="149">
      <c r="A149" s="4" t="n">
        <v>146</v>
      </c>
      <c r="B149" s="5" t="inlineStr">
        <is>
          <t>CVS</t>
        </is>
      </c>
      <c r="C149" s="5" t="inlineStr">
        <is>
          <t>17772013130</t>
        </is>
      </c>
      <c r="D149" s="5" t="inlineStr">
        <is>
          <t>QELBREE 100MG CAPSULE ER</t>
        </is>
      </c>
      <c r="E149" s="6" t="inlineStr">
        <is>
          <t>30.0</t>
        </is>
      </c>
      <c r="F149" s="7" t="n">
        <v>30</v>
      </c>
      <c r="G149" s="7" t="n">
        <v>1</v>
      </c>
      <c r="H149" s="7" t="n">
        <v>1</v>
      </c>
      <c r="I149" s="7" t="n">
        <v>0</v>
      </c>
      <c r="J149" s="8" t="n">
        <v>353</v>
      </c>
      <c r="K149" s="9">
        <f>IFERROR(IF((ROUND((J149/G149)*I149,1))&lt;0,(ROUND((J149/G149)*I149,1)),0),0)</f>
        <v/>
      </c>
    </row>
    <row r="150">
      <c r="A150" s="4" t="n">
        <v>147</v>
      </c>
      <c r="B150" s="5" t="inlineStr">
        <is>
          <t>CVS</t>
        </is>
      </c>
      <c r="C150" s="5" t="inlineStr">
        <is>
          <t>00032004670</t>
        </is>
      </c>
      <c r="D150" s="5" t="inlineStr">
        <is>
          <t>CREON 6000-19000 UNIT ORAL CAPSULE DELAYED RELEASE PARTICLES</t>
        </is>
      </c>
      <c r="E150" s="6" t="inlineStr">
        <is>
          <t>100.0</t>
        </is>
      </c>
      <c r="F150" s="7" t="n">
        <v>180</v>
      </c>
      <c r="G150" s="7" t="n">
        <v>1.8</v>
      </c>
      <c r="H150" s="7" t="n">
        <v>0</v>
      </c>
      <c r="I150" s="7" t="n">
        <v>-1.8</v>
      </c>
      <c r="J150" s="8" t="n">
        <v>316</v>
      </c>
      <c r="K150" s="9">
        <f>IFERROR(IF((ROUND((J150/G150)*I150,1))&lt;0,(ROUND((J150/G150)*I150,1)),0),0)</f>
        <v/>
      </c>
    </row>
    <row r="151">
      <c r="A151" s="4" t="n">
        <v>148</v>
      </c>
      <c r="B151" s="5" t="inlineStr">
        <is>
          <t>CVS</t>
        </is>
      </c>
      <c r="C151" s="5" t="inlineStr">
        <is>
          <t>00006008061</t>
        </is>
      </c>
      <c r="D151" s="5" t="inlineStr">
        <is>
          <t>JANUMET XR 50-1000MG TABLET</t>
        </is>
      </c>
      <c r="E151" s="6" t="inlineStr">
        <is>
          <t>60.0</t>
        </is>
      </c>
      <c r="F151" s="7" t="n">
        <v>60</v>
      </c>
      <c r="G151" s="7" t="n">
        <v>1</v>
      </c>
      <c r="H151" s="7" t="n">
        <v>0</v>
      </c>
      <c r="I151" s="7" t="n">
        <v>-1</v>
      </c>
      <c r="J151" s="8" t="n">
        <v>309</v>
      </c>
      <c r="K151" s="9">
        <f>IFERROR(IF((ROUND((J151/G151)*I151,1))&lt;0,(ROUND((J151/G151)*I151,1)),0),0)</f>
        <v/>
      </c>
    </row>
    <row r="152">
      <c r="A152" s="4" t="n">
        <v>149</v>
      </c>
      <c r="B152" s="5" t="inlineStr">
        <is>
          <t>CVS</t>
        </is>
      </c>
      <c r="C152" s="5" t="inlineStr">
        <is>
          <t>57599081800</t>
        </is>
      </c>
      <c r="D152" s="5" t="inlineStr">
        <is>
          <t>FREESTYLE LIBRE 3 SENSOR</t>
        </is>
      </c>
      <c r="E152" s="6" t="inlineStr">
        <is>
          <t>1.0</t>
        </is>
      </c>
      <c r="F152" s="7" t="n">
        <v>6</v>
      </c>
      <c r="G152" s="7" t="n">
        <v>6</v>
      </c>
      <c r="H152" s="7" t="n">
        <v>16</v>
      </c>
      <c r="I152" s="7" t="n">
        <v>10</v>
      </c>
      <c r="J152" s="8" t="n">
        <v>301</v>
      </c>
      <c r="K152" s="9">
        <f>IFERROR(IF((ROUND((J152/G152)*I152,1))&lt;0,(ROUND((J152/G152)*I152,1)),0),0)</f>
        <v/>
      </c>
    </row>
    <row r="153">
      <c r="A153" s="4" t="n">
        <v>150</v>
      </c>
      <c r="B153" s="5" t="inlineStr">
        <is>
          <t>CVS</t>
        </is>
      </c>
      <c r="C153" s="5" t="inlineStr">
        <is>
          <t>08627007801</t>
        </is>
      </c>
      <c r="D153" s="5" t="inlineStr">
        <is>
          <t>DEXCOM G7 RECEIVER DEVICE</t>
        </is>
      </c>
      <c r="E153" s="6" t="inlineStr">
        <is>
          <t>1.0</t>
        </is>
      </c>
      <c r="F153" s="7" t="n">
        <v>1</v>
      </c>
      <c r="G153" s="7" t="n">
        <v>1</v>
      </c>
      <c r="H153" s="7" t="n">
        <v>1</v>
      </c>
      <c r="I153" s="7" t="n">
        <v>0</v>
      </c>
      <c r="J153" s="8" t="n">
        <v>295</v>
      </c>
      <c r="K153" s="9">
        <f>IFERROR(IF((ROUND((J153/G153)*I153,1))&lt;0,(ROUND((J153/G153)*I153,1)),0),0)</f>
        <v/>
      </c>
    </row>
    <row r="154">
      <c r="A154" s="4" t="n">
        <v>151</v>
      </c>
      <c r="B154" s="5" t="inlineStr">
        <is>
          <t>CVS</t>
        </is>
      </c>
      <c r="C154" s="5" t="inlineStr">
        <is>
          <t>00074434190</t>
        </is>
      </c>
      <c r="D154" s="5" t="inlineStr">
        <is>
          <t>SYNTHROID 25 MCG ORAL TABLET</t>
        </is>
      </c>
      <c r="E154" s="6" t="inlineStr">
        <is>
          <t>90.0</t>
        </is>
      </c>
      <c r="F154" s="7" t="n">
        <v>180</v>
      </c>
      <c r="G154" s="7" t="n">
        <v>2</v>
      </c>
      <c r="H154" s="7" t="n">
        <v>1</v>
      </c>
      <c r="I154" s="7" t="n">
        <v>-1</v>
      </c>
      <c r="J154" s="8" t="n">
        <v>282</v>
      </c>
      <c r="K154" s="9">
        <f>IFERROR(IF((ROUND((J154/G154)*I154,1))&lt;0,(ROUND((J154/G154)*I154,1)),0),0)</f>
        <v/>
      </c>
    </row>
    <row r="155">
      <c r="A155" s="4" t="n">
        <v>152</v>
      </c>
      <c r="B155" s="5" t="inlineStr">
        <is>
          <t>CVS</t>
        </is>
      </c>
      <c r="C155" s="5" t="inlineStr">
        <is>
          <t>00074455290</t>
        </is>
      </c>
      <c r="D155" s="5" t="inlineStr">
        <is>
          <t>SYNTHROID 50MCG TABLET</t>
        </is>
      </c>
      <c r="E155" s="6" t="inlineStr">
        <is>
          <t>90.0</t>
        </is>
      </c>
      <c r="F155" s="7" t="n">
        <v>180</v>
      </c>
      <c r="G155" s="7" t="n">
        <v>2</v>
      </c>
      <c r="H155" s="7" t="n">
        <v>2</v>
      </c>
      <c r="I155" s="7" t="n">
        <v>0</v>
      </c>
      <c r="J155" s="8" t="n">
        <v>275</v>
      </c>
      <c r="K155" s="9">
        <f>IFERROR(IF((ROUND((J155/G155)*I155,1))&lt;0,(ROUND((J155/G155)*I155,1)),0),0)</f>
        <v/>
      </c>
    </row>
    <row r="156">
      <c r="A156" s="4" t="n">
        <v>153</v>
      </c>
      <c r="B156" s="5" t="inlineStr">
        <is>
          <t>CVS</t>
        </is>
      </c>
      <c r="C156" s="5" t="inlineStr">
        <is>
          <t>00169183411</t>
        </is>
      </c>
      <c r="D156" s="5" t="inlineStr">
        <is>
          <t>NOVOLIN N 100UNIT/ML SUSPENSION</t>
        </is>
      </c>
      <c r="E156" s="6" t="inlineStr">
        <is>
          <t>10.0</t>
        </is>
      </c>
      <c r="F156" s="7" t="n">
        <v>60</v>
      </c>
      <c r="G156" s="7" t="n">
        <v>6</v>
      </c>
      <c r="H156" s="7" t="n">
        <v>5</v>
      </c>
      <c r="I156" s="7" t="n">
        <v>-1</v>
      </c>
      <c r="J156" s="8" t="n">
        <v>275</v>
      </c>
      <c r="K156" s="9">
        <f>IFERROR(IF((ROUND((J156/G156)*I156,1))&lt;0,(ROUND((J156/G156)*I156,1)),0),0)</f>
        <v/>
      </c>
    </row>
    <row r="157">
      <c r="A157" s="4" t="n">
        <v>154</v>
      </c>
      <c r="B157" s="5" t="inlineStr">
        <is>
          <t>CVS</t>
        </is>
      </c>
      <c r="C157" s="5" t="inlineStr">
        <is>
          <t>52937000340</t>
        </is>
      </c>
      <c r="D157" s="5" t="inlineStr">
        <is>
          <t>VASCEPA 0.5 GM ORAL CAPSULE</t>
        </is>
      </c>
      <c r="E157" s="6" t="inlineStr">
        <is>
          <t>240.0</t>
        </is>
      </c>
      <c r="F157" s="7" t="n">
        <v>300</v>
      </c>
      <c r="G157" s="7" t="n">
        <v>1.25</v>
      </c>
      <c r="H157" s="7" t="n">
        <v>0</v>
      </c>
      <c r="I157" s="7" t="n">
        <v>-1.25</v>
      </c>
      <c r="J157" s="8" t="n">
        <v>269</v>
      </c>
      <c r="K157" s="9">
        <f>IFERROR(IF((ROUND((J157/G157)*I157,1))&lt;0,(ROUND((J157/G157)*I157,1)),0),0)</f>
        <v/>
      </c>
    </row>
    <row r="158">
      <c r="A158" s="4" t="n">
        <v>155</v>
      </c>
      <c r="B158" s="5" t="inlineStr">
        <is>
          <t>CVS</t>
        </is>
      </c>
      <c r="C158" s="5" t="inlineStr">
        <is>
          <t>68382052960</t>
        </is>
      </c>
      <c r="D158" s="5" t="inlineStr">
        <is>
          <t>CHOLESTYRAMINE LIGHT 4GM PACK</t>
        </is>
      </c>
      <c r="E158" s="6" t="inlineStr">
        <is>
          <t>60.0</t>
        </is>
      </c>
      <c r="F158" s="7" t="n">
        <v>180</v>
      </c>
      <c r="G158" s="7" t="n">
        <v>3</v>
      </c>
      <c r="H158" s="7" t="n">
        <v>0</v>
      </c>
      <c r="I158" s="7" t="n">
        <v>-3</v>
      </c>
      <c r="J158" s="8" t="n">
        <v>268</v>
      </c>
      <c r="K158" s="9">
        <f>IFERROR(IF((ROUND((J158/G158)*I158,1))&lt;0,(ROUND((J158/G158)*I158,1)),0),0)</f>
        <v/>
      </c>
    </row>
    <row r="159">
      <c r="A159" s="4" t="n">
        <v>156</v>
      </c>
      <c r="B159" s="5" t="inlineStr">
        <is>
          <t>CVS</t>
        </is>
      </c>
      <c r="C159" s="5" t="inlineStr">
        <is>
          <t>72495040128</t>
        </is>
      </c>
      <c r="D159" s="5" t="inlineStr">
        <is>
          <t>INTRAROSA 6.5 MG VAGINAL INSERT</t>
        </is>
      </c>
      <c r="E159" s="6" t="inlineStr">
        <is>
          <t>28.0</t>
        </is>
      </c>
      <c r="F159" s="7" t="n">
        <v>28</v>
      </c>
      <c r="G159" s="7" t="n">
        <v>1</v>
      </c>
      <c r="H159" s="7" t="n">
        <v>0</v>
      </c>
      <c r="I159" s="7" t="n">
        <v>-1</v>
      </c>
      <c r="J159" s="8" t="n">
        <v>263</v>
      </c>
      <c r="K159" s="9">
        <f>IFERROR(IF((ROUND((J159/G159)*I159,1))&lt;0,(ROUND((J159/G159)*I159,1)),0),0)</f>
        <v/>
      </c>
    </row>
    <row r="160">
      <c r="A160" s="4" t="n">
        <v>157</v>
      </c>
      <c r="B160" s="5" t="inlineStr">
        <is>
          <t>CVS</t>
        </is>
      </c>
      <c r="C160" s="5" t="inlineStr">
        <is>
          <t>68382045219</t>
        </is>
      </c>
      <c r="D160" s="5" t="inlineStr">
        <is>
          <t>MESALAMINE ER 0.375GCAPSULE</t>
        </is>
      </c>
      <c r="E160" s="6" t="inlineStr">
        <is>
          <t>120.0</t>
        </is>
      </c>
      <c r="F160" s="7" t="n">
        <v>600</v>
      </c>
      <c r="G160" s="7" t="n">
        <v>5</v>
      </c>
      <c r="H160" s="7" t="n">
        <v>1</v>
      </c>
      <c r="I160" s="7" t="n">
        <v>-4</v>
      </c>
      <c r="J160" s="8" t="n">
        <v>189</v>
      </c>
      <c r="K160" s="9">
        <f>IFERROR(IF((ROUND((J160/G160)*I160,1))&lt;0,(ROUND((J160/G160)*I160,1)),0),0)</f>
        <v/>
      </c>
    </row>
    <row r="161">
      <c r="A161" s="4" t="n">
        <v>158</v>
      </c>
      <c r="B161" s="5" t="inlineStr">
        <is>
          <t>CVS</t>
        </is>
      </c>
      <c r="C161" s="5" t="inlineStr">
        <is>
          <t>00169369619</t>
        </is>
      </c>
      <c r="D161" s="5" t="inlineStr">
        <is>
          <t>NOVOLOG MIX 70/30 FLEXPEN 100 UNIT/ML PEN-INJECTOR</t>
        </is>
      </c>
      <c r="E161" s="6" t="inlineStr">
        <is>
          <t>15.0</t>
        </is>
      </c>
      <c r="F161" s="7" t="n">
        <v>21</v>
      </c>
      <c r="G161" s="7" t="n">
        <v>1.4</v>
      </c>
      <c r="H161" s="7" t="n">
        <v>0</v>
      </c>
      <c r="I161" s="7" t="n">
        <v>-1.4</v>
      </c>
      <c r="J161" s="8" t="n">
        <v>182</v>
      </c>
      <c r="K161" s="9">
        <f>IFERROR(IF((ROUND((J161/G161)*I161,1))&lt;0,(ROUND((J161/G161)*I161,1)),0),0)</f>
        <v/>
      </c>
    </row>
    <row r="162">
      <c r="A162" s="4" t="n">
        <v>159</v>
      </c>
      <c r="B162" s="5" t="inlineStr">
        <is>
          <t>CVS</t>
        </is>
      </c>
      <c r="C162" s="5" t="inlineStr">
        <is>
          <t>52268020101</t>
        </is>
      </c>
      <c r="D162" s="5" t="inlineStr">
        <is>
          <t>SUTAB 1479-225-188 MG ORAL TABLET</t>
        </is>
      </c>
      <c r="E162" s="6" t="inlineStr">
        <is>
          <t>24.0</t>
        </is>
      </c>
      <c r="F162" s="7" t="n">
        <v>24</v>
      </c>
      <c r="G162" s="7" t="n">
        <v>1</v>
      </c>
      <c r="H162" s="7" t="n">
        <v>1</v>
      </c>
      <c r="I162" s="7" t="n">
        <v>0</v>
      </c>
      <c r="J162" s="8" t="n">
        <v>160</v>
      </c>
      <c r="K162" s="9">
        <f>IFERROR(IF((ROUND((J162/G162)*I162,1))&lt;0,(ROUND((J162/G162)*I162,1)),0),0)</f>
        <v/>
      </c>
    </row>
    <row r="163">
      <c r="A163" s="4" t="n">
        <v>160</v>
      </c>
      <c r="B163" s="5" t="inlineStr">
        <is>
          <t>CVS</t>
        </is>
      </c>
      <c r="C163" s="5" t="inlineStr">
        <is>
          <t>00173068220</t>
        </is>
      </c>
      <c r="D163" s="5" t="inlineStr">
        <is>
          <t xml:space="preserve">VENTOLIN HFA 108 (90 BASE) </t>
        </is>
      </c>
      <c r="E163" s="6" t="inlineStr">
        <is>
          <t>18.0</t>
        </is>
      </c>
      <c r="F163" s="7" t="n">
        <v>54</v>
      </c>
      <c r="G163" s="7" t="n">
        <v>3</v>
      </c>
      <c r="H163" s="7" t="n">
        <v>0</v>
      </c>
      <c r="I163" s="7" t="n">
        <v>-3</v>
      </c>
      <c r="J163" s="8" t="n">
        <v>159</v>
      </c>
      <c r="K163" s="9">
        <f>IFERROR(IF((ROUND((J163/G163)*I163,1))&lt;0,(ROUND((J163/G163)*I163,1)),0),0)</f>
        <v/>
      </c>
    </row>
    <row r="164">
      <c r="A164" s="4" t="n">
        <v>161</v>
      </c>
      <c r="B164" s="5" t="inlineStr">
        <is>
          <t>CVS</t>
        </is>
      </c>
      <c r="C164" s="5" t="inlineStr">
        <is>
          <t>00074372790</t>
        </is>
      </c>
      <c r="D164" s="5" t="inlineStr">
        <is>
          <t xml:space="preserve">SYNTHROID 137MCG TABLET </t>
        </is>
      </c>
      <c r="E164" s="6" t="inlineStr">
        <is>
          <t>90.0</t>
        </is>
      </c>
      <c r="F164" s="7" t="n">
        <v>90</v>
      </c>
      <c r="G164" s="7" t="n">
        <v>1</v>
      </c>
      <c r="H164" s="7" t="n">
        <v>1</v>
      </c>
      <c r="I164" s="7" t="n">
        <v>0</v>
      </c>
      <c r="J164" s="8" t="n">
        <v>146</v>
      </c>
      <c r="K164" s="9">
        <f>IFERROR(IF((ROUND((J164/G164)*I164,1))&lt;0,(ROUND((J164/G164)*I164,1)),0),0)</f>
        <v/>
      </c>
    </row>
    <row r="165">
      <c r="A165" s="4" t="n">
        <v>162</v>
      </c>
      <c r="B165" s="5" t="inlineStr">
        <is>
          <t>CVS</t>
        </is>
      </c>
      <c r="C165" s="5" t="inlineStr">
        <is>
          <t>00074518290</t>
        </is>
      </c>
      <c r="D165" s="5" t="inlineStr">
        <is>
          <t xml:space="preserve">SYNTHROID 75MCG TABLET </t>
        </is>
      </c>
      <c r="E165" s="6" t="inlineStr">
        <is>
          <t>90.0</t>
        </is>
      </c>
      <c r="F165" s="7" t="n">
        <v>180</v>
      </c>
      <c r="G165" s="7" t="n">
        <v>2</v>
      </c>
      <c r="H165" s="7" t="n">
        <v>1</v>
      </c>
      <c r="I165" s="7" t="n">
        <v>-1</v>
      </c>
      <c r="J165" s="8" t="n">
        <v>109</v>
      </c>
      <c r="K165" s="9">
        <f>IFERROR(IF((ROUND((J165/G165)*I165,1))&lt;0,(ROUND((J165/G165)*I165,1)),0),0)</f>
        <v/>
      </c>
    </row>
    <row r="166">
      <c r="A166" s="4" t="n">
        <v>163</v>
      </c>
      <c r="B166" s="5" t="inlineStr">
        <is>
          <t>CVS</t>
        </is>
      </c>
      <c r="C166" s="5" t="inlineStr">
        <is>
          <t>33332002503</t>
        </is>
      </c>
      <c r="D166" s="5" t="inlineStr">
        <is>
          <t>AFLURIA PRESERVATIVE FREE 0.5 ML INTRAMUSCULAR SUSPENSION PREFILLED SYRINGE</t>
        </is>
      </c>
      <c r="E166" s="6" t="inlineStr">
        <is>
          <t>5.0</t>
        </is>
      </c>
      <c r="F166" s="7" t="n">
        <v>2.5</v>
      </c>
      <c r="G166" s="7" t="n">
        <v>0.5</v>
      </c>
      <c r="H166" s="7" t="n">
        <v>0</v>
      </c>
      <c r="I166" s="7" t="n">
        <v>-0.5</v>
      </c>
      <c r="J166" s="8" t="n">
        <v>104</v>
      </c>
      <c r="K166" s="9">
        <f>IFERROR(IF((ROUND((J166/G166)*I166,1))&lt;0,(ROUND((J166/G166)*I166,1)),0),0)</f>
        <v/>
      </c>
    </row>
    <row r="167">
      <c r="A167" s="4" t="n">
        <v>164</v>
      </c>
      <c r="B167" s="5" t="inlineStr">
        <is>
          <t>CVS</t>
        </is>
      </c>
      <c r="C167" s="5" t="inlineStr">
        <is>
          <t>65162099708</t>
        </is>
      </c>
      <c r="D167" s="5" t="inlineStr">
        <is>
          <t>DOTTI 0.1 MG/24HR TRANSDERMAL PATCH TWICE WEEKLY</t>
        </is>
      </c>
      <c r="E167" s="6" t="inlineStr">
        <is>
          <t>8.0</t>
        </is>
      </c>
      <c r="F167" s="7" t="n">
        <v>16</v>
      </c>
      <c r="G167" s="7" t="n">
        <v>2</v>
      </c>
      <c r="H167" s="7" t="n">
        <v>2</v>
      </c>
      <c r="I167" s="7" t="n">
        <v>0</v>
      </c>
      <c r="J167" s="8" t="n">
        <v>80</v>
      </c>
      <c r="K167" s="9">
        <f>IFERROR(IF((ROUND((J167/G167)*I167,1))&lt;0,(ROUND((J167/G167)*I167,1)),0),0)</f>
        <v/>
      </c>
    </row>
    <row r="168">
      <c r="A168" s="4" t="n">
        <v>165</v>
      </c>
      <c r="B168" s="5" t="inlineStr">
        <is>
          <t>CVS</t>
        </is>
      </c>
      <c r="C168" s="5" t="inlineStr">
        <is>
          <t>27437005601</t>
        </is>
      </c>
      <c r="D168" s="5" t="inlineStr">
        <is>
          <t>XOPENEX HFA 45 MCG/ACT INHALATION AEROSOL</t>
        </is>
      </c>
      <c r="E168" s="6" t="inlineStr">
        <is>
          <t>15.0</t>
        </is>
      </c>
      <c r="F168" s="7" t="n">
        <v>15</v>
      </c>
      <c r="G168" s="7" t="n">
        <v>1</v>
      </c>
      <c r="H168" s="7" t="n">
        <v>0</v>
      </c>
      <c r="I168" s="7" t="n">
        <v>-1</v>
      </c>
      <c r="J168" s="8" t="n">
        <v>66</v>
      </c>
      <c r="K168" s="9">
        <f>IFERROR(IF((ROUND((J168/G168)*I168,1))&lt;0,(ROUND((J168/G168)*I168,1)),0),0)</f>
        <v/>
      </c>
    </row>
    <row r="169">
      <c r="A169" s="4" t="n">
        <v>166</v>
      </c>
      <c r="B169" s="5" t="inlineStr">
        <is>
          <t>CVS</t>
        </is>
      </c>
      <c r="C169" s="5" t="inlineStr">
        <is>
          <t>00074706890</t>
        </is>
      </c>
      <c r="D169" s="5" t="inlineStr">
        <is>
          <t>SYNTHROID 125 MCG ORAL TABLET</t>
        </is>
      </c>
      <c r="E169" s="6" t="inlineStr">
        <is>
          <t>90.0</t>
        </is>
      </c>
      <c r="F169" s="7" t="n">
        <v>30</v>
      </c>
      <c r="G169" s="7" t="n">
        <v>0.3333333333333333</v>
      </c>
      <c r="H169" s="7" t="n">
        <v>1</v>
      </c>
      <c r="I169" s="7" t="n">
        <v>0.6666666666666667</v>
      </c>
      <c r="J169" s="8" t="n">
        <v>50</v>
      </c>
      <c r="K169" s="9">
        <f>IFERROR(IF((ROUND((J169/G169)*I169,1))&lt;0,(ROUND((J169/G169)*I169,1)),0),0)</f>
        <v/>
      </c>
    </row>
    <row r="170">
      <c r="A170" s="4" t="n">
        <v>167</v>
      </c>
      <c r="B170" s="5" t="inlineStr">
        <is>
          <t>CVS</t>
        </is>
      </c>
      <c r="C170" s="5" t="inlineStr">
        <is>
          <t>58160084252</t>
        </is>
      </c>
      <c r="D170" s="5" t="inlineStr">
        <is>
          <t>BOOSTRIX 5-2.5-18.5 LF-MCG/0.5 PREFILLED SYRINGE</t>
        </is>
      </c>
      <c r="E170" s="6" t="inlineStr">
        <is>
          <t>5.0</t>
        </is>
      </c>
      <c r="F170" s="7" t="n">
        <v>0.5</v>
      </c>
      <c r="G170" s="7" t="n">
        <v>0.1</v>
      </c>
      <c r="H170" s="7" t="n">
        <v>0</v>
      </c>
      <c r="I170" s="7" t="n">
        <v>-0.1</v>
      </c>
      <c r="J170" s="8" t="n">
        <v>45</v>
      </c>
      <c r="K170" s="9">
        <f>IFERROR(IF((ROUND((J170/G170)*I170,1))&lt;0,(ROUND((J170/G170)*I170,1)),0),0)</f>
        <v/>
      </c>
    </row>
    <row r="171">
      <c r="E171" s="10" t="inlineStr">
        <is>
          <t>TOTAL</t>
        </is>
      </c>
      <c r="F171" s="11">
        <f>SUM(F4:F170)</f>
        <v/>
      </c>
      <c r="G171" s="11">
        <f>SUM(G4:G170)</f>
        <v/>
      </c>
      <c r="H171" s="11">
        <f>SUM(H4:H170)</f>
        <v/>
      </c>
      <c r="I171" s="11">
        <f>SUM(I4:I170)</f>
        <v/>
      </c>
      <c r="J171" s="12">
        <f>SUM(J4:J170)</f>
        <v/>
      </c>
      <c r="K171" s="13">
        <f>SUM(K4:K170)</f>
        <v/>
      </c>
    </row>
    <row r="172">
      <c r="J172" s="14" t="inlineStr">
        <is>
          <t>Audited Drugs Count</t>
        </is>
      </c>
      <c r="K172" s="15">
        <f>COUNTIF(K4:K170,"&lt;0")</f>
        <v/>
      </c>
    </row>
    <row r="173">
      <c r="J173" s="14" t="inlineStr">
        <is>
          <t>Total Audit Exposure</t>
        </is>
      </c>
      <c r="K173" s="16">
        <f>SUMIF(K4:K170,"&lt;0",K4:K170)</f>
        <v/>
      </c>
    </row>
  </sheetData>
  <autoFilter ref="A3:K170"/>
  <mergeCells count="2">
    <mergeCell ref="A2:K2"/>
    <mergeCell ref="A1:K1"/>
  </mergeCells>
  <conditionalFormatting sqref="E4:K170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66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hh — hh — ESI</t>
        </is>
      </c>
    </row>
    <row r="2" ht="24" customHeight="1">
      <c r="A2" s="2" t="inlineStr">
        <is>
          <t>Overall ESI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ESI</t>
        </is>
      </c>
      <c r="G3" s="3" t="inlineStr">
        <is>
          <t>Packages Billed to ESI</t>
        </is>
      </c>
      <c r="H3" s="3" t="inlineStr">
        <is>
          <t>Total Qty Purchased</t>
        </is>
      </c>
      <c r="I3" s="3" t="inlineStr">
        <is>
          <t>Qty Difference for ESI</t>
        </is>
      </c>
      <c r="J3" s="3" t="inlineStr">
        <is>
          <t>Actual $ Paid by ESI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ESI</t>
        </is>
      </c>
      <c r="C4" s="5" t="inlineStr">
        <is>
          <t>00169477212</t>
        </is>
      </c>
      <c r="D4" s="5" t="inlineStr">
        <is>
          <t>OZEMPIC (2 MG/DOSE) 8 MG/3ML PEN-INJECTOR</t>
        </is>
      </c>
      <c r="E4" s="6" t="inlineStr">
        <is>
          <t>3.0</t>
        </is>
      </c>
      <c r="F4" s="7" t="n">
        <v>51</v>
      </c>
      <c r="G4" s="7" t="n">
        <v>17</v>
      </c>
      <c r="H4" s="7" t="n">
        <v>32</v>
      </c>
      <c r="I4" s="7" t="n">
        <v>15</v>
      </c>
      <c r="J4" s="8" t="n">
        <v>15343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ESI</t>
        </is>
      </c>
      <c r="C5" s="5" t="inlineStr">
        <is>
          <t>00597015230</t>
        </is>
      </c>
      <c r="D5" s="5" t="inlineStr">
        <is>
          <t xml:space="preserve">JARDIANCE 10MG TAB </t>
        </is>
      </c>
      <c r="E5" s="6" t="inlineStr">
        <is>
          <t>30.0</t>
        </is>
      </c>
      <c r="F5" s="7" t="n">
        <v>960</v>
      </c>
      <c r="G5" s="7" t="n">
        <v>32</v>
      </c>
      <c r="H5" s="7" t="n">
        <v>98</v>
      </c>
      <c r="I5" s="7" t="n">
        <v>66</v>
      </c>
      <c r="J5" s="8" t="n">
        <v>13624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ESI</t>
        </is>
      </c>
      <c r="C6" s="5" t="inlineStr">
        <is>
          <t>00169418113</t>
        </is>
      </c>
      <c r="D6" s="5" t="inlineStr">
        <is>
          <t>OZEMPIC (0.25 OR 0.5 MG/DOSE) 2 MG/3ML PEN-INJECTOR</t>
        </is>
      </c>
      <c r="E6" s="6" t="inlineStr">
        <is>
          <t>3.0</t>
        </is>
      </c>
      <c r="F6" s="7" t="n">
        <v>42</v>
      </c>
      <c r="G6" s="7" t="n">
        <v>14</v>
      </c>
      <c r="H6" s="7" t="n">
        <v>69</v>
      </c>
      <c r="I6" s="7" t="n">
        <v>55</v>
      </c>
      <c r="J6" s="8" t="n">
        <v>12603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ESI</t>
        </is>
      </c>
      <c r="C7" s="5" t="inlineStr">
        <is>
          <t>61958250101</t>
        </is>
      </c>
      <c r="D7" s="5" t="inlineStr">
        <is>
          <t>BIKTARVY 50-200-25MG TABLET</t>
        </is>
      </c>
      <c r="E7" s="6" t="inlineStr">
        <is>
          <t>30.0</t>
        </is>
      </c>
      <c r="F7" s="7" t="n">
        <v>90</v>
      </c>
      <c r="G7" s="7" t="n">
        <v>3</v>
      </c>
      <c r="H7" s="7" t="n">
        <v>7</v>
      </c>
      <c r="I7" s="7" t="n">
        <v>4</v>
      </c>
      <c r="J7" s="8" t="n">
        <v>11308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ESI</t>
        </is>
      </c>
      <c r="C8" s="5" t="inlineStr">
        <is>
          <t>00597015330</t>
        </is>
      </c>
      <c r="D8" s="5" t="inlineStr">
        <is>
          <t xml:space="preserve">JARDIANCE 25MG TAB </t>
        </is>
      </c>
      <c r="E8" s="6" t="inlineStr">
        <is>
          <t>30.0</t>
        </is>
      </c>
      <c r="F8" s="7" t="n">
        <v>690</v>
      </c>
      <c r="G8" s="7" t="n">
        <v>23</v>
      </c>
      <c r="H8" s="7" t="n">
        <v>139</v>
      </c>
      <c r="I8" s="7" t="n">
        <v>116</v>
      </c>
      <c r="J8" s="8" t="n">
        <v>11141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ESI</t>
        </is>
      </c>
      <c r="C9" s="5" t="inlineStr">
        <is>
          <t>00002149580</t>
        </is>
      </c>
      <c r="D9" s="5" t="inlineStr">
        <is>
          <t>MOUNJARO 5 MG/0.5ML PEN-INJECTOR</t>
        </is>
      </c>
      <c r="E9" s="6" t="inlineStr">
        <is>
          <t>2.0</t>
        </is>
      </c>
      <c r="F9" s="7" t="n">
        <v>18</v>
      </c>
      <c r="G9" s="7" t="n">
        <v>9</v>
      </c>
      <c r="H9" s="7" t="n">
        <v>24</v>
      </c>
      <c r="I9" s="7" t="n">
        <v>15</v>
      </c>
      <c r="J9" s="8" t="n">
        <v>8844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ESI</t>
        </is>
      </c>
      <c r="C10" s="5" t="inlineStr">
        <is>
          <t>00169430730</t>
        </is>
      </c>
      <c r="D10" s="5" t="inlineStr">
        <is>
          <t>RYBELSUS 7MG TABLET</t>
        </is>
      </c>
      <c r="E10" s="6" t="inlineStr">
        <is>
          <t>30.0</t>
        </is>
      </c>
      <c r="F10" s="7" t="n">
        <v>270</v>
      </c>
      <c r="G10" s="7" t="n">
        <v>9</v>
      </c>
      <c r="H10" s="7" t="n">
        <v>7</v>
      </c>
      <c r="I10" s="7" t="n">
        <v>-2</v>
      </c>
      <c r="J10" s="8" t="n">
        <v>8147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ESI</t>
        </is>
      </c>
      <c r="C11" s="5" t="inlineStr">
        <is>
          <t>00169431430</t>
        </is>
      </c>
      <c r="D11" s="5" t="inlineStr">
        <is>
          <t>RYBELSUS 14MG TABLET</t>
        </is>
      </c>
      <c r="E11" s="6" t="inlineStr">
        <is>
          <t>30.0</t>
        </is>
      </c>
      <c r="F11" s="7" t="n">
        <v>210</v>
      </c>
      <c r="G11" s="7" t="n">
        <v>7</v>
      </c>
      <c r="H11" s="7" t="n">
        <v>15</v>
      </c>
      <c r="I11" s="7" t="n">
        <v>8</v>
      </c>
      <c r="J11" s="8" t="n">
        <v>6338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ESI</t>
        </is>
      </c>
      <c r="C12" s="5" t="inlineStr">
        <is>
          <t>24208091112</t>
        </is>
      </c>
      <c r="D12" s="5" t="inlineStr">
        <is>
          <t>XIIDRA 5 % OPHTHALMIC SOLUTION</t>
        </is>
      </c>
      <c r="E12" s="6" t="inlineStr">
        <is>
          <t>60.0</t>
        </is>
      </c>
      <c r="F12" s="7" t="n">
        <v>660</v>
      </c>
      <c r="G12" s="7" t="n">
        <v>11</v>
      </c>
      <c r="H12" s="7" t="n">
        <v>84</v>
      </c>
      <c r="I12" s="7" t="n">
        <v>73</v>
      </c>
      <c r="J12" s="8" t="n">
        <v>6033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ESI</t>
        </is>
      </c>
      <c r="C13" s="5" t="inlineStr">
        <is>
          <t>00456120230</t>
        </is>
      </c>
      <c r="D13" s="5" t="inlineStr">
        <is>
          <t xml:space="preserve">LINZESS 290MCG CAP </t>
        </is>
      </c>
      <c r="E13" s="6" t="inlineStr">
        <is>
          <t>30.0</t>
        </is>
      </c>
      <c r="F13" s="7" t="n">
        <v>420</v>
      </c>
      <c r="G13" s="7" t="n">
        <v>14</v>
      </c>
      <c r="H13" s="7" t="n">
        <v>28</v>
      </c>
      <c r="I13" s="7" t="n">
        <v>14</v>
      </c>
      <c r="J13" s="8" t="n">
        <v>5771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ESI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720</v>
      </c>
      <c r="G14" s="7" t="n">
        <v>12</v>
      </c>
      <c r="H14" s="7" t="n">
        <v>83</v>
      </c>
      <c r="I14" s="7" t="n">
        <v>71</v>
      </c>
      <c r="J14" s="8" t="n">
        <v>5464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ESI</t>
        </is>
      </c>
      <c r="C15" s="5" t="inlineStr">
        <is>
          <t>00006027731</t>
        </is>
      </c>
      <c r="D15" s="5" t="inlineStr">
        <is>
          <t>JANUVIA 100MG TAB</t>
        </is>
      </c>
      <c r="E15" s="6" t="inlineStr">
        <is>
          <t>30.0</t>
        </is>
      </c>
      <c r="F15" s="7" t="n">
        <v>660</v>
      </c>
      <c r="G15" s="7" t="n">
        <v>22</v>
      </c>
      <c r="H15" s="7" t="n">
        <v>63</v>
      </c>
      <c r="I15" s="7" t="n">
        <v>41</v>
      </c>
      <c r="J15" s="8" t="n">
        <v>5347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ESI</t>
        </is>
      </c>
      <c r="C16" s="5" t="inlineStr">
        <is>
          <t>00002318280</t>
        </is>
      </c>
      <c r="D16" s="5" t="inlineStr">
        <is>
          <t>TRULICITY 4.5 MG/0.5ML SOLUTION</t>
        </is>
      </c>
      <c r="E16" s="6" t="inlineStr">
        <is>
          <t>2.0</t>
        </is>
      </c>
      <c r="F16" s="7" t="n">
        <v>12</v>
      </c>
      <c r="G16" s="7" t="n">
        <v>6</v>
      </c>
      <c r="H16" s="7" t="n">
        <v>10</v>
      </c>
      <c r="I16" s="7" t="n">
        <v>4</v>
      </c>
      <c r="J16" s="8" t="n">
        <v>5343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ESI</t>
        </is>
      </c>
      <c r="C17" s="5" t="inlineStr">
        <is>
          <t>00310621030</t>
        </is>
      </c>
      <c r="D17" s="5" t="inlineStr">
        <is>
          <t>FARXIGA 10MG TABLET</t>
        </is>
      </c>
      <c r="E17" s="6" t="inlineStr">
        <is>
          <t>30.0</t>
        </is>
      </c>
      <c r="F17" s="7" t="n">
        <v>360</v>
      </c>
      <c r="G17" s="7" t="n">
        <v>12</v>
      </c>
      <c r="H17" s="7" t="n">
        <v>50</v>
      </c>
      <c r="I17" s="7" t="n">
        <v>38</v>
      </c>
      <c r="J17" s="8" t="n">
        <v>5339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ESI</t>
        </is>
      </c>
      <c r="C18" s="5" t="inlineStr">
        <is>
          <t>00023916360</t>
        </is>
      </c>
      <c r="D18" s="5" t="inlineStr">
        <is>
          <t xml:space="preserve">RESTASIS 0.05% EMULSION </t>
        </is>
      </c>
      <c r="E18" s="6" t="inlineStr">
        <is>
          <t>60.0</t>
        </is>
      </c>
      <c r="F18" s="7" t="n">
        <v>420</v>
      </c>
      <c r="G18" s="7" t="n">
        <v>7</v>
      </c>
      <c r="H18" s="7" t="n">
        <v>176</v>
      </c>
      <c r="I18" s="7" t="n">
        <v>169</v>
      </c>
      <c r="J18" s="8" t="n">
        <v>4051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ESI</t>
        </is>
      </c>
      <c r="C19" s="5" t="inlineStr">
        <is>
          <t>00456120130</t>
        </is>
      </c>
      <c r="D19" s="5" t="inlineStr">
        <is>
          <t>LINZESS 145MCG CAPSULE</t>
        </is>
      </c>
      <c r="E19" s="6" t="inlineStr">
        <is>
          <t>30.0</t>
        </is>
      </c>
      <c r="F19" s="7" t="n">
        <v>300</v>
      </c>
      <c r="G19" s="7" t="n">
        <v>10</v>
      </c>
      <c r="H19" s="7" t="n">
        <v>30</v>
      </c>
      <c r="I19" s="7" t="n">
        <v>20</v>
      </c>
      <c r="J19" s="8" t="n">
        <v>4014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ESI</t>
        </is>
      </c>
      <c r="C20" s="5" t="inlineStr">
        <is>
          <t>50458057930</t>
        </is>
      </c>
      <c r="D20" s="5" t="inlineStr">
        <is>
          <t>XARELTO 20MG TAB</t>
        </is>
      </c>
      <c r="E20" s="6" t="inlineStr">
        <is>
          <t>30.0</t>
        </is>
      </c>
      <c r="F20" s="7" t="n">
        <v>270</v>
      </c>
      <c r="G20" s="7" t="n">
        <v>9</v>
      </c>
      <c r="H20" s="7" t="n">
        <v>23</v>
      </c>
      <c r="I20" s="7" t="n">
        <v>14</v>
      </c>
      <c r="J20" s="8" t="n">
        <v>3784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ESI</t>
        </is>
      </c>
      <c r="C21" s="5" t="inlineStr">
        <is>
          <t>50458057830</t>
        </is>
      </c>
      <c r="D21" s="5" t="inlineStr">
        <is>
          <t>XARELTO 15MG TAB</t>
        </is>
      </c>
      <c r="E21" s="6" t="inlineStr">
        <is>
          <t>30.0</t>
        </is>
      </c>
      <c r="F21" s="7" t="n">
        <v>270</v>
      </c>
      <c r="G21" s="7" t="n">
        <v>9</v>
      </c>
      <c r="H21" s="7" t="n">
        <v>5</v>
      </c>
      <c r="I21" s="7" t="n">
        <v>-4</v>
      </c>
      <c r="J21" s="8" t="n">
        <v>3703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ESI</t>
        </is>
      </c>
      <c r="C22" s="5" t="inlineStr">
        <is>
          <t>00173088710</t>
        </is>
      </c>
      <c r="D22" s="5" t="inlineStr">
        <is>
          <t>TRELEGY ELLIPTA 100-62.5-25MCG/INH AEROSOL</t>
        </is>
      </c>
      <c r="E22" s="6" t="inlineStr">
        <is>
          <t>60.0</t>
        </is>
      </c>
      <c r="F22" s="7" t="n">
        <v>360</v>
      </c>
      <c r="G22" s="7" t="n">
        <v>6</v>
      </c>
      <c r="H22" s="7" t="n">
        <v>6</v>
      </c>
      <c r="I22" s="7" t="n">
        <v>0</v>
      </c>
      <c r="J22" s="8" t="n">
        <v>3683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ESI</t>
        </is>
      </c>
      <c r="C23" s="5" t="inlineStr">
        <is>
          <t>00006011231</t>
        </is>
      </c>
      <c r="D23" s="5" t="inlineStr">
        <is>
          <t>JANUVIA 50MG TABLET</t>
        </is>
      </c>
      <c r="E23" s="6" t="inlineStr">
        <is>
          <t>30.0</t>
        </is>
      </c>
      <c r="F23" s="7" t="n">
        <v>420</v>
      </c>
      <c r="G23" s="7" t="n">
        <v>14</v>
      </c>
      <c r="H23" s="7" t="n">
        <v>35</v>
      </c>
      <c r="I23" s="7" t="n">
        <v>21</v>
      </c>
      <c r="J23" s="8" t="n">
        <v>3646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ESI</t>
        </is>
      </c>
      <c r="C24" s="5" t="inlineStr">
        <is>
          <t>00002146080</t>
        </is>
      </c>
      <c r="D24" s="5" t="inlineStr">
        <is>
          <t>MOUNJARO 12.5 MG/0.5ML PEN-INJECTOR</t>
        </is>
      </c>
      <c r="E24" s="6" t="inlineStr">
        <is>
          <t>2.0</t>
        </is>
      </c>
      <c r="F24" s="7" t="n">
        <v>6</v>
      </c>
      <c r="G24" s="7" t="n">
        <v>3</v>
      </c>
      <c r="H24" s="7" t="n">
        <v>9</v>
      </c>
      <c r="I24" s="7" t="n">
        <v>6</v>
      </c>
      <c r="J24" s="8" t="n">
        <v>2923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ESI</t>
        </is>
      </c>
      <c r="C25" s="5" t="inlineStr">
        <is>
          <t>00002150680</t>
        </is>
      </c>
      <c r="D25" s="5" t="inlineStr">
        <is>
          <t>MOUNJARO 2.5 MG/0.5ML PEN-INJECTOR</t>
        </is>
      </c>
      <c r="E25" s="6" t="inlineStr">
        <is>
          <t>2.0</t>
        </is>
      </c>
      <c r="F25" s="7" t="n">
        <v>6</v>
      </c>
      <c r="G25" s="7" t="n">
        <v>3</v>
      </c>
      <c r="H25" s="7" t="n">
        <v>4</v>
      </c>
      <c r="I25" s="7" t="n">
        <v>1</v>
      </c>
      <c r="J25" s="8" t="n">
        <v>2895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ESI</t>
        </is>
      </c>
      <c r="C26" s="5" t="inlineStr">
        <is>
          <t>00597014030</t>
        </is>
      </c>
      <c r="D26" s="5" t="inlineStr">
        <is>
          <t xml:space="preserve">TRADJENTA 5MG TAB </t>
        </is>
      </c>
      <c r="E26" s="6" t="inlineStr">
        <is>
          <t>30.0</t>
        </is>
      </c>
      <c r="F26" s="7" t="n">
        <v>180</v>
      </c>
      <c r="G26" s="7" t="n">
        <v>6</v>
      </c>
      <c r="H26" s="7" t="n">
        <v>25</v>
      </c>
      <c r="I26" s="7" t="n">
        <v>19</v>
      </c>
      <c r="J26" s="8" t="n">
        <v>2817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ESI</t>
        </is>
      </c>
      <c r="C27" s="5" t="inlineStr">
        <is>
          <t>00310737020</t>
        </is>
      </c>
      <c r="D27" s="5" t="inlineStr">
        <is>
          <t>BUDESONIDE/FORMOTEROL 160 /4.5 MCG (SYMBICORT)</t>
        </is>
      </c>
      <c r="E27" s="6" t="inlineStr">
        <is>
          <t>10.2</t>
        </is>
      </c>
      <c r="F27" s="7" t="n">
        <v>122.4</v>
      </c>
      <c r="G27" s="7" t="n">
        <v>12</v>
      </c>
      <c r="H27" s="7" t="n">
        <v>19</v>
      </c>
      <c r="I27" s="7" t="n">
        <v>6.999999999999998</v>
      </c>
      <c r="J27" s="8" t="n">
        <v>2183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ESI</t>
        </is>
      </c>
      <c r="C28" s="5" t="inlineStr">
        <is>
          <t>58151028301</t>
        </is>
      </c>
      <c r="D28" s="5" t="inlineStr">
        <is>
          <t>NEURONTIN 400 MG ORAL CAPSULE</t>
        </is>
      </c>
      <c r="E28" s="6" t="inlineStr">
        <is>
          <t>100.0</t>
        </is>
      </c>
      <c r="F28" s="7" t="n">
        <v>270</v>
      </c>
      <c r="G28" s="7" t="n">
        <v>2.7</v>
      </c>
      <c r="H28" s="7" t="n">
        <v>2</v>
      </c>
      <c r="I28" s="7" t="n">
        <v>-0.7000000000000002</v>
      </c>
      <c r="J28" s="8" t="n">
        <v>1971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ESI</t>
        </is>
      </c>
      <c r="C29" s="5" t="inlineStr">
        <is>
          <t>00002147180</t>
        </is>
      </c>
      <c r="D29" s="5" t="inlineStr">
        <is>
          <t>MOUNJARO 10 MG/0.5ML PEN-INJECTOR</t>
        </is>
      </c>
      <c r="E29" s="6" t="inlineStr">
        <is>
          <t>2.0</t>
        </is>
      </c>
      <c r="F29" s="7" t="n">
        <v>4</v>
      </c>
      <c r="G29" s="7" t="n">
        <v>2</v>
      </c>
      <c r="H29" s="7" t="n">
        <v>10</v>
      </c>
      <c r="I29" s="7" t="n">
        <v>8</v>
      </c>
      <c r="J29" s="8" t="n">
        <v>1931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ESI</t>
        </is>
      </c>
      <c r="C30" s="5" t="inlineStr">
        <is>
          <t>50419054101</t>
        </is>
      </c>
      <c r="D30" s="5" t="inlineStr">
        <is>
          <t>KERENDIA 20MG TABLET</t>
        </is>
      </c>
      <c r="E30" s="6" t="inlineStr">
        <is>
          <t>30.0</t>
        </is>
      </c>
      <c r="F30" s="7" t="n">
        <v>90</v>
      </c>
      <c r="G30" s="7" t="n">
        <v>3</v>
      </c>
      <c r="H30" s="7" t="n">
        <v>6</v>
      </c>
      <c r="I30" s="7" t="n">
        <v>3</v>
      </c>
      <c r="J30" s="8" t="n">
        <v>1842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ESI</t>
        </is>
      </c>
      <c r="C31" s="5" t="inlineStr">
        <is>
          <t>00310461612</t>
        </is>
      </c>
      <c r="D31" s="5" t="inlineStr">
        <is>
          <t>BREZTRI AEROSPHERE 160-9-4.8 MCG/ACT INHALATION AEROSOL</t>
        </is>
      </c>
      <c r="E31" s="6" t="inlineStr">
        <is>
          <t>10.7</t>
        </is>
      </c>
      <c r="F31" s="7" t="n">
        <v>32.09999999999999</v>
      </c>
      <c r="G31" s="7" t="n">
        <v>3</v>
      </c>
      <c r="H31" s="7" t="n">
        <v>8</v>
      </c>
      <c r="I31" s="7" t="n">
        <v>5</v>
      </c>
      <c r="J31" s="8" t="n">
        <v>1811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ESI</t>
        </is>
      </c>
      <c r="C32" s="5" t="inlineStr">
        <is>
          <t>00469260130</t>
        </is>
      </c>
      <c r="D32" s="5" t="inlineStr">
        <is>
          <t>MYRBETRIQ 25MG TABLET</t>
        </is>
      </c>
      <c r="E32" s="6" t="inlineStr">
        <is>
          <t>30.0</t>
        </is>
      </c>
      <c r="F32" s="7" t="n">
        <v>120</v>
      </c>
      <c r="G32" s="7" t="n">
        <v>4</v>
      </c>
      <c r="H32" s="7" t="n">
        <v>0</v>
      </c>
      <c r="I32" s="7" t="n">
        <v>-4</v>
      </c>
      <c r="J32" s="8" t="n">
        <v>1643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ESI</t>
        </is>
      </c>
      <c r="C33" s="5" t="inlineStr">
        <is>
          <t>50458057760</t>
        </is>
      </c>
      <c r="D33" s="5" t="inlineStr">
        <is>
          <t>XARELTO 2.5 MG TABLET</t>
        </is>
      </c>
      <c r="E33" s="6" t="inlineStr">
        <is>
          <t>60.0</t>
        </is>
      </c>
      <c r="F33" s="7" t="n">
        <v>180</v>
      </c>
      <c r="G33" s="7" t="n">
        <v>3</v>
      </c>
      <c r="H33" s="7" t="n">
        <v>1</v>
      </c>
      <c r="I33" s="7" t="n">
        <v>-2</v>
      </c>
      <c r="J33" s="8" t="n">
        <v>1604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ESI</t>
        </is>
      </c>
      <c r="C34" s="5" t="inlineStr">
        <is>
          <t>24208037705</t>
        </is>
      </c>
      <c r="D34" s="5" t="inlineStr">
        <is>
          <t>MIEBO 1.338 GM/ML OPHTHALMIC SOLUTION</t>
        </is>
      </c>
      <c r="E34" s="6" t="inlineStr">
        <is>
          <t>3.0</t>
        </is>
      </c>
      <c r="F34" s="7" t="n">
        <v>6</v>
      </c>
      <c r="G34" s="7" t="n">
        <v>2</v>
      </c>
      <c r="H34" s="7" t="n">
        <v>35</v>
      </c>
      <c r="I34" s="7" t="n">
        <v>33</v>
      </c>
      <c r="J34" s="8" t="n">
        <v>1435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ESI</t>
        </is>
      </c>
      <c r="C35" s="5" t="inlineStr">
        <is>
          <t>00006022131</t>
        </is>
      </c>
      <c r="D35" s="5" t="inlineStr">
        <is>
          <t>JANUVIA 25MG TABLET</t>
        </is>
      </c>
      <c r="E35" s="6" t="inlineStr">
        <is>
          <t>30.0</t>
        </is>
      </c>
      <c r="F35" s="7" t="n">
        <v>180</v>
      </c>
      <c r="G35" s="7" t="n">
        <v>6</v>
      </c>
      <c r="H35" s="7" t="n">
        <v>11</v>
      </c>
      <c r="I35" s="7" t="n">
        <v>5</v>
      </c>
      <c r="J35" s="8" t="n">
        <v>1423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ESI</t>
        </is>
      </c>
      <c r="C36" s="5" t="inlineStr">
        <is>
          <t>08627007701</t>
        </is>
      </c>
      <c r="D36" s="5" t="inlineStr">
        <is>
          <t>DEXCOM G7 SENSOR</t>
        </is>
      </c>
      <c r="E36" s="6" t="inlineStr">
        <is>
          <t>1.0</t>
        </is>
      </c>
      <c r="F36" s="7" t="n">
        <v>12</v>
      </c>
      <c r="G36" s="7" t="n">
        <v>12</v>
      </c>
      <c r="H36" s="7" t="n">
        <v>32</v>
      </c>
      <c r="I36" s="7" t="n">
        <v>20</v>
      </c>
      <c r="J36" s="8" t="n">
        <v>1416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ESI</t>
        </is>
      </c>
      <c r="C37" s="5" t="inlineStr">
        <is>
          <t>00069504530</t>
        </is>
      </c>
      <c r="D37" s="5" t="inlineStr">
        <is>
          <t>PAXLOVID (300/100) 20 X 150 MG &amp; 10 X 100MG TABLET THERAPY PACK</t>
        </is>
      </c>
      <c r="E37" s="6" t="inlineStr">
        <is>
          <t>30.0</t>
        </is>
      </c>
      <c r="F37" s="7" t="n">
        <v>30</v>
      </c>
      <c r="G37" s="7" t="n">
        <v>1</v>
      </c>
      <c r="H37" s="7" t="n">
        <v>1</v>
      </c>
      <c r="I37" s="7" t="n">
        <v>0</v>
      </c>
      <c r="J37" s="8" t="n">
        <v>1323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ESI</t>
        </is>
      </c>
      <c r="C38" s="5" t="inlineStr">
        <is>
          <t>00006057761</t>
        </is>
      </c>
      <c r="D38" s="5" t="inlineStr">
        <is>
          <t>JANUMET 50-1000MG TABLET</t>
        </is>
      </c>
      <c r="E38" s="6" t="inlineStr">
        <is>
          <t>60.0</t>
        </is>
      </c>
      <c r="F38" s="7" t="n">
        <v>240</v>
      </c>
      <c r="G38" s="7" t="n">
        <v>4</v>
      </c>
      <c r="H38" s="7" t="n">
        <v>61</v>
      </c>
      <c r="I38" s="7" t="n">
        <v>57</v>
      </c>
      <c r="J38" s="8" t="n">
        <v>1160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ESI</t>
        </is>
      </c>
      <c r="C39" s="5" t="inlineStr">
        <is>
          <t>00003089321</t>
        </is>
      </c>
      <c r="D39" s="5" t="inlineStr">
        <is>
          <t xml:space="preserve">ELIQUIS 2.5MG TAB </t>
        </is>
      </c>
      <c r="E39" s="6" t="inlineStr">
        <is>
          <t>60.0</t>
        </is>
      </c>
      <c r="F39" s="7" t="n">
        <v>120</v>
      </c>
      <c r="G39" s="7" t="n">
        <v>2</v>
      </c>
      <c r="H39" s="7" t="n">
        <v>30</v>
      </c>
      <c r="I39" s="7" t="n">
        <v>28</v>
      </c>
      <c r="J39" s="8" t="n">
        <v>1095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ESI</t>
        </is>
      </c>
      <c r="C40" s="5" t="inlineStr">
        <is>
          <t>00173085910</t>
        </is>
      </c>
      <c r="D40" s="5" t="inlineStr">
        <is>
          <t>BREO ELLIPTA 100-25 MCG/ACT INH AEROSOL</t>
        </is>
      </c>
      <c r="E40" s="6" t="inlineStr">
        <is>
          <t>60.0</t>
        </is>
      </c>
      <c r="F40" s="7" t="n">
        <v>180</v>
      </c>
      <c r="G40" s="7" t="n">
        <v>3</v>
      </c>
      <c r="H40" s="7" t="n">
        <v>9</v>
      </c>
      <c r="I40" s="7" t="n">
        <v>6</v>
      </c>
      <c r="J40" s="8" t="n">
        <v>1088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ESI</t>
        </is>
      </c>
      <c r="C41" s="5" t="inlineStr">
        <is>
          <t>00002771559</t>
        </is>
      </c>
      <c r="D41" s="5" t="inlineStr">
        <is>
          <t>BASAGLAR KWIKPEN 100UNIT/ML INJECTION</t>
        </is>
      </c>
      <c r="E41" s="6" t="inlineStr">
        <is>
          <t>15.0</t>
        </is>
      </c>
      <c r="F41" s="7" t="n">
        <v>54</v>
      </c>
      <c r="G41" s="7" t="n">
        <v>3.6</v>
      </c>
      <c r="H41" s="7" t="n">
        <v>45</v>
      </c>
      <c r="I41" s="7" t="n">
        <v>41.4</v>
      </c>
      <c r="J41" s="8" t="n">
        <v>1068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ESI</t>
        </is>
      </c>
      <c r="C42" s="5" t="inlineStr">
        <is>
          <t>00173087310</t>
        </is>
      </c>
      <c r="D42" s="5" t="inlineStr">
        <is>
          <t>INCRUSE ELLIPTA 62.5MCG/INH AEROSOL</t>
        </is>
      </c>
      <c r="E42" s="6" t="inlineStr">
        <is>
          <t>30.0</t>
        </is>
      </c>
      <c r="F42" s="7" t="n">
        <v>120</v>
      </c>
      <c r="G42" s="7" t="n">
        <v>4</v>
      </c>
      <c r="H42" s="7" t="n">
        <v>3</v>
      </c>
      <c r="I42" s="7" t="n">
        <v>-1</v>
      </c>
      <c r="J42" s="8" t="n">
        <v>1038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ESI</t>
        </is>
      </c>
      <c r="C43" s="5" t="inlineStr">
        <is>
          <t>53885024450</t>
        </is>
      </c>
      <c r="D43" s="5" t="inlineStr">
        <is>
          <t>ONETOUCH ULTRA BLUE  STRIP</t>
        </is>
      </c>
      <c r="E43" s="6" t="inlineStr">
        <is>
          <t>50.0</t>
        </is>
      </c>
      <c r="F43" s="7" t="n">
        <v>800</v>
      </c>
      <c r="G43" s="7" t="n">
        <v>16</v>
      </c>
      <c r="H43" s="7" t="n">
        <v>24</v>
      </c>
      <c r="I43" s="7" t="n">
        <v>8</v>
      </c>
      <c r="J43" s="8" t="n">
        <v>999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ESI</t>
        </is>
      </c>
      <c r="C44" s="5" t="inlineStr">
        <is>
          <t>99073070822</t>
        </is>
      </c>
      <c r="D44" s="5" t="inlineStr">
        <is>
          <t>FREESTYLE LITE TEST  STRIP</t>
        </is>
      </c>
      <c r="E44" s="6" t="inlineStr">
        <is>
          <t>50.0</t>
        </is>
      </c>
      <c r="F44" s="7" t="n">
        <v>700</v>
      </c>
      <c r="G44" s="7" t="n">
        <v>14</v>
      </c>
      <c r="H44" s="7" t="n">
        <v>10</v>
      </c>
      <c r="I44" s="7" t="n">
        <v>-4</v>
      </c>
      <c r="J44" s="8" t="n">
        <v>919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ESI</t>
        </is>
      </c>
      <c r="C45" s="5" t="inlineStr">
        <is>
          <t>00169413013</t>
        </is>
      </c>
      <c r="D45" s="5" t="inlineStr">
        <is>
          <t>OZEMPIC (1 MG/DOSE) 4MG/3ML INJECTION</t>
        </is>
      </c>
      <c r="E45" s="6" t="inlineStr">
        <is>
          <t>3.0</t>
        </is>
      </c>
      <c r="F45" s="7" t="n">
        <v>3</v>
      </c>
      <c r="G45" s="7" t="n">
        <v>1</v>
      </c>
      <c r="H45" s="7" t="n">
        <v>47</v>
      </c>
      <c r="I45" s="7" t="n">
        <v>46</v>
      </c>
      <c r="J45" s="8" t="n">
        <v>919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ESI</t>
        </is>
      </c>
      <c r="C46" s="5" t="inlineStr">
        <is>
          <t>00310737220</t>
        </is>
      </c>
      <c r="D46" s="5" t="inlineStr">
        <is>
          <t>BUDESONIDE-FORMOTEROL FUMARATE 80-4.5MCG/ACT AEROSOL</t>
        </is>
      </c>
      <c r="E46" s="6" t="inlineStr">
        <is>
          <t>10.2</t>
        </is>
      </c>
      <c r="F46" s="7" t="n">
        <v>61.2</v>
      </c>
      <c r="G46" s="7" t="n">
        <v>6.000000000000001</v>
      </c>
      <c r="H46" s="7" t="n">
        <v>9</v>
      </c>
      <c r="I46" s="7" t="n">
        <v>2.999999999999999</v>
      </c>
      <c r="J46" s="8" t="n">
        <v>908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ESI</t>
        </is>
      </c>
      <c r="C47" s="5" t="inlineStr">
        <is>
          <t>00046087221</t>
        </is>
      </c>
      <c r="D47" s="5" t="inlineStr">
        <is>
          <t>PREMARIN 0.625 MG/GM VAGINAL CREAM</t>
        </is>
      </c>
      <c r="E47" s="6" t="inlineStr">
        <is>
          <t>30.0</t>
        </is>
      </c>
      <c r="F47" s="7" t="n">
        <v>60</v>
      </c>
      <c r="G47" s="7" t="n">
        <v>2</v>
      </c>
      <c r="H47" s="7" t="n">
        <v>2</v>
      </c>
      <c r="I47" s="7" t="n">
        <v>0</v>
      </c>
      <c r="J47" s="8" t="n">
        <v>837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ESI</t>
        </is>
      </c>
      <c r="C48" s="5" t="inlineStr">
        <is>
          <t>59310030240</t>
        </is>
      </c>
      <c r="D48" s="5" t="inlineStr">
        <is>
          <t>QVAR REDIHALER 40MCG/ACT AEROSOL</t>
        </is>
      </c>
      <c r="E48" s="6" t="inlineStr">
        <is>
          <t>10.6</t>
        </is>
      </c>
      <c r="F48" s="7" t="n">
        <v>53</v>
      </c>
      <c r="G48" s="7" t="n">
        <v>5</v>
      </c>
      <c r="H48" s="7" t="n">
        <v>0</v>
      </c>
      <c r="I48" s="7" t="n">
        <v>-5</v>
      </c>
      <c r="J48" s="8" t="n">
        <v>835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ESI</t>
        </is>
      </c>
      <c r="C49" s="5" t="inlineStr">
        <is>
          <t>00310111030</t>
        </is>
      </c>
      <c r="D49" s="5" t="inlineStr">
        <is>
          <t>LOKELMA 10GM PACK</t>
        </is>
      </c>
      <c r="E49" s="6" t="inlineStr">
        <is>
          <t>30.0</t>
        </is>
      </c>
      <c r="F49" s="7" t="n">
        <v>30</v>
      </c>
      <c r="G49" s="7" t="n">
        <v>1</v>
      </c>
      <c r="H49" s="7" t="n">
        <v>12</v>
      </c>
      <c r="I49" s="7" t="n">
        <v>11</v>
      </c>
      <c r="J49" s="8" t="n">
        <v>770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ESI</t>
        </is>
      </c>
      <c r="C50" s="5" t="inlineStr">
        <is>
          <t>83257001233</t>
        </is>
      </c>
      <c r="D50" s="5" t="inlineStr">
        <is>
          <t>SEMGLEE (YFGN) 100 UNIT/ML PEN-INJECTOR</t>
        </is>
      </c>
      <c r="E50" s="6" t="inlineStr">
        <is>
          <t>15.0</t>
        </is>
      </c>
      <c r="F50" s="7" t="n">
        <v>30</v>
      </c>
      <c r="G50" s="7" t="n">
        <v>2</v>
      </c>
      <c r="H50" s="7" t="n">
        <v>0</v>
      </c>
      <c r="I50" s="7" t="n">
        <v>-2</v>
      </c>
      <c r="J50" s="8" t="n">
        <v>703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ESI</t>
        </is>
      </c>
      <c r="C51" s="5" t="inlineStr">
        <is>
          <t>00173089310</t>
        </is>
      </c>
      <c r="D51" s="5" t="inlineStr">
        <is>
          <t>TRELEGY ELLIPTA 200-62.5-25 MCG/ACT INHALATION AER</t>
        </is>
      </c>
      <c r="E51" s="6" t="inlineStr">
        <is>
          <t>60.0</t>
        </is>
      </c>
      <c r="F51" s="7" t="n">
        <v>60</v>
      </c>
      <c r="G51" s="7" t="n">
        <v>1</v>
      </c>
      <c r="H51" s="7" t="n">
        <v>6</v>
      </c>
      <c r="I51" s="7" t="n">
        <v>5</v>
      </c>
      <c r="J51" s="8" t="n">
        <v>597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ESI</t>
        </is>
      </c>
      <c r="C52" s="5" t="inlineStr">
        <is>
          <t>65702071110</t>
        </is>
      </c>
      <c r="D52" s="5" t="inlineStr">
        <is>
          <t>ACCU-CHEK GUIDE IN VITRO STRIP</t>
        </is>
      </c>
      <c r="E52" s="6" t="inlineStr">
        <is>
          <t>50.0</t>
        </is>
      </c>
      <c r="F52" s="7" t="n">
        <v>1500</v>
      </c>
      <c r="G52" s="7" t="n">
        <v>30</v>
      </c>
      <c r="H52" s="7" t="n">
        <v>22</v>
      </c>
      <c r="I52" s="7" t="n">
        <v>-8</v>
      </c>
      <c r="J52" s="8" t="n">
        <v>486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ESI</t>
        </is>
      </c>
      <c r="C53" s="5" t="inlineStr">
        <is>
          <t>00310908012</t>
        </is>
      </c>
      <c r="D53" s="5" t="inlineStr">
        <is>
          <t>AIRSUPRA 90-80 MCG/ACT INHALATION AEROSOL</t>
        </is>
      </c>
      <c r="E53" s="6" t="inlineStr">
        <is>
          <t>10.7</t>
        </is>
      </c>
      <c r="F53" s="7" t="n">
        <v>10.7</v>
      </c>
      <c r="G53" s="7" t="n">
        <v>1</v>
      </c>
      <c r="H53" s="7" t="n">
        <v>4</v>
      </c>
      <c r="I53" s="7" t="n">
        <v>3</v>
      </c>
      <c r="J53" s="8" t="n">
        <v>437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ESI</t>
        </is>
      </c>
      <c r="C54" s="5" t="inlineStr">
        <is>
          <t>58160082311</t>
        </is>
      </c>
      <c r="D54" s="5" t="inlineStr">
        <is>
          <t>SHINGRIX 50 MCG/0.5ML IM SUSP RECON</t>
        </is>
      </c>
      <c r="E54" s="6" t="inlineStr">
        <is>
          <t>10.0</t>
        </is>
      </c>
      <c r="F54" s="7" t="n">
        <v>2</v>
      </c>
      <c r="G54" s="7" t="n">
        <v>0.2</v>
      </c>
      <c r="H54" s="7" t="n">
        <v>0</v>
      </c>
      <c r="I54" s="7" t="n">
        <v>-0.2</v>
      </c>
      <c r="J54" s="8" t="n">
        <v>420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ESI</t>
        </is>
      </c>
      <c r="C55" s="5" t="inlineStr">
        <is>
          <t>00054032756</t>
        </is>
      </c>
      <c r="D55" s="5" t="inlineStr">
        <is>
          <t>FLUTICASONE-SALMETEROL 250-50 MCG/ACT INH AEROSOL</t>
        </is>
      </c>
      <c r="E55" s="6" t="inlineStr">
        <is>
          <t>60.0</t>
        </is>
      </c>
      <c r="F55" s="7" t="n">
        <v>240</v>
      </c>
      <c r="G55" s="7" t="n">
        <v>4</v>
      </c>
      <c r="H55" s="7" t="n">
        <v>8</v>
      </c>
      <c r="I55" s="7" t="n">
        <v>4</v>
      </c>
      <c r="J55" s="8" t="n">
        <v>419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ESI</t>
        </is>
      </c>
      <c r="C56" s="5" t="inlineStr">
        <is>
          <t>57599081800</t>
        </is>
      </c>
      <c r="D56" s="5" t="inlineStr">
        <is>
          <t>FREESTYLE LIBRE 3 SENSOR</t>
        </is>
      </c>
      <c r="E56" s="6" t="inlineStr">
        <is>
          <t>1.0</t>
        </is>
      </c>
      <c r="F56" s="7" t="n">
        <v>8</v>
      </c>
      <c r="G56" s="7" t="n">
        <v>8</v>
      </c>
      <c r="H56" s="7" t="n">
        <v>16</v>
      </c>
      <c r="I56" s="7" t="n">
        <v>8</v>
      </c>
      <c r="J56" s="8" t="n">
        <v>370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ESI</t>
        </is>
      </c>
      <c r="C57" s="5" t="inlineStr">
        <is>
          <t>00005200002</t>
        </is>
      </c>
      <c r="D57" s="5" t="inlineStr">
        <is>
          <t>PREVNAR 20 0.5 ML INTRAMUSCULAR SUSPENSION PREFILLED SYRINGE</t>
        </is>
      </c>
      <c r="E57" s="6" t="inlineStr">
        <is>
          <t>0.5</t>
        </is>
      </c>
      <c r="F57" s="7" t="n">
        <v>0.5</v>
      </c>
      <c r="G57" s="7" t="n">
        <v>1</v>
      </c>
      <c r="H57" s="7" t="n">
        <v>0</v>
      </c>
      <c r="I57" s="7" t="n">
        <v>-1</v>
      </c>
      <c r="J57" s="8" t="n">
        <v>306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ESI</t>
        </is>
      </c>
      <c r="C58" s="5" t="inlineStr">
        <is>
          <t>00005200010</t>
        </is>
      </c>
      <c r="D58" s="5" t="inlineStr">
        <is>
          <t>PREVNAR 20 0.5 ML PREFILLED SYRINGE</t>
        </is>
      </c>
      <c r="E58" s="6" t="inlineStr">
        <is>
          <t>5.0</t>
        </is>
      </c>
      <c r="F58" s="7" t="n">
        <v>0.5</v>
      </c>
      <c r="G58" s="7" t="n">
        <v>0.1</v>
      </c>
      <c r="H58" s="7" t="n">
        <v>0</v>
      </c>
      <c r="I58" s="7" t="n">
        <v>-0.1</v>
      </c>
      <c r="J58" s="8" t="n">
        <v>285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ESI</t>
        </is>
      </c>
      <c r="C59" s="5" t="inlineStr">
        <is>
          <t>00193731150</t>
        </is>
      </c>
      <c r="D59" s="5" t="inlineStr">
        <is>
          <t>CONTOUR NEXT TEST  STRIPS</t>
        </is>
      </c>
      <c r="E59" s="6" t="inlineStr">
        <is>
          <t>50.0</t>
        </is>
      </c>
      <c r="F59" s="7" t="n">
        <v>200</v>
      </c>
      <c r="G59" s="7" t="n">
        <v>4</v>
      </c>
      <c r="H59" s="7" t="n">
        <v>0</v>
      </c>
      <c r="I59" s="7" t="n">
        <v>-4</v>
      </c>
      <c r="J59" s="8" t="n">
        <v>152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ESI</t>
        </is>
      </c>
      <c r="C60" s="5" t="inlineStr">
        <is>
          <t>59467067901</t>
        </is>
      </c>
      <c r="D60" s="5" t="inlineStr">
        <is>
          <t>KLOXXADO 8 MG/0.1ML NASAL LIQUID</t>
        </is>
      </c>
      <c r="E60" s="6" t="inlineStr">
        <is>
          <t>2.0</t>
        </is>
      </c>
      <c r="F60" s="7" t="n">
        <v>2</v>
      </c>
      <c r="G60" s="7" t="n">
        <v>1</v>
      </c>
      <c r="H60" s="7" t="n">
        <v>8</v>
      </c>
      <c r="I60" s="7" t="n">
        <v>7</v>
      </c>
      <c r="J60" s="8" t="n">
        <v>106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ESI</t>
        </is>
      </c>
      <c r="C61" s="5" t="inlineStr">
        <is>
          <t>00071036924</t>
        </is>
      </c>
      <c r="D61" s="5" t="inlineStr">
        <is>
          <t>DILANTIN 100MG CAPSULE</t>
        </is>
      </c>
      <c r="E61" s="6" t="inlineStr">
        <is>
          <t>100.0</t>
        </is>
      </c>
      <c r="F61" s="7" t="n">
        <v>60</v>
      </c>
      <c r="G61" s="7" t="n">
        <v>0.6</v>
      </c>
      <c r="H61" s="7" t="n">
        <v>0</v>
      </c>
      <c r="I61" s="7" t="n">
        <v>-0.6</v>
      </c>
      <c r="J61" s="8" t="n">
        <v>66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ESI</t>
        </is>
      </c>
      <c r="C62" s="5" t="inlineStr">
        <is>
          <t>65702072910</t>
        </is>
      </c>
      <c r="D62" s="5" t="inlineStr">
        <is>
          <t>ACCU-CHEK GUIDE W/DEVICE KIT</t>
        </is>
      </c>
      <c r="E62" s="6" t="inlineStr">
        <is>
          <t>1.0</t>
        </is>
      </c>
      <c r="F62" s="7" t="n">
        <v>2</v>
      </c>
      <c r="G62" s="7" t="n">
        <v>2</v>
      </c>
      <c r="H62" s="7" t="n">
        <v>3</v>
      </c>
      <c r="I62" s="7" t="n">
        <v>1</v>
      </c>
      <c r="J62" s="8" t="n">
        <v>38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ESI</t>
        </is>
      </c>
      <c r="C63" s="5" t="inlineStr">
        <is>
          <t>99073070914</t>
        </is>
      </c>
      <c r="D63" s="5" t="inlineStr">
        <is>
          <t>FREESTYLE FREEDOM LITE  KIT KINRAY</t>
        </is>
      </c>
      <c r="E63" s="6" t="inlineStr">
        <is>
          <t>1.0</t>
        </is>
      </c>
      <c r="F63" s="7" t="n">
        <v>1</v>
      </c>
      <c r="G63" s="7" t="n">
        <v>1</v>
      </c>
      <c r="H63" s="7" t="n">
        <v>0</v>
      </c>
      <c r="I63" s="7" t="n">
        <v>-1</v>
      </c>
      <c r="J63" s="8" t="n">
        <v>14</v>
      </c>
      <c r="K63" s="9">
        <f>IFERROR(IF((ROUND((J63/G63)*I63,1))&lt;0,(ROUND((J63/G63)*I63,1)),0),0)</f>
        <v/>
      </c>
    </row>
    <row r="64">
      <c r="E64" s="10" t="inlineStr">
        <is>
          <t>TOTAL</t>
        </is>
      </c>
      <c r="F64" s="11">
        <f>SUM(F4:F63)</f>
        <v/>
      </c>
      <c r="G64" s="11">
        <f>SUM(G4:G63)</f>
        <v/>
      </c>
      <c r="H64" s="11">
        <f>SUM(H4:H63)</f>
        <v/>
      </c>
      <c r="I64" s="11">
        <f>SUM(I4:I63)</f>
        <v/>
      </c>
      <c r="J64" s="12">
        <f>SUM(J4:J63)</f>
        <v/>
      </c>
      <c r="K64" s="13">
        <f>SUM(K4:K63)</f>
        <v/>
      </c>
    </row>
    <row r="65">
      <c r="J65" s="14" t="inlineStr">
        <is>
          <t>Audited Drugs Count</t>
        </is>
      </c>
      <c r="K65" s="15">
        <f>COUNTIF(K4:K63,"&lt;0")</f>
        <v/>
      </c>
    </row>
    <row r="66">
      <c r="J66" s="14" t="inlineStr">
        <is>
          <t>Total Audit Exposure</t>
        </is>
      </c>
      <c r="K66" s="16">
        <f>SUMIF(K4:K63,"&lt;0",K4:K63)</f>
        <v/>
      </c>
    </row>
  </sheetData>
  <autoFilter ref="A3:K63"/>
  <mergeCells count="2">
    <mergeCell ref="A2:K2"/>
    <mergeCell ref="A1:K1"/>
  </mergeCells>
  <conditionalFormatting sqref="E4:K63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hh — hh — FDS</t>
        </is>
      </c>
    </row>
    <row r="2" ht="24" customHeight="1">
      <c r="A2" s="2" t="inlineStr">
        <is>
          <t>Overall FDS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FDS</t>
        </is>
      </c>
      <c r="G3" s="3" t="inlineStr">
        <is>
          <t>Packages Billed to FDS</t>
        </is>
      </c>
      <c r="H3" s="3" t="inlineStr">
        <is>
          <t>Total Qty Purchased</t>
        </is>
      </c>
      <c r="I3" s="3" t="inlineStr">
        <is>
          <t>Qty Difference for FDS</t>
        </is>
      </c>
      <c r="J3" s="3" t="inlineStr">
        <is>
          <t>Actual $ Paid by FDS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FDS</t>
        </is>
      </c>
      <c r="C4" s="5" t="inlineStr">
        <is>
          <t>00193731150</t>
        </is>
      </c>
      <c r="D4" s="5" t="inlineStr">
        <is>
          <t>CONTOUR NEXT TEST  STRIPS</t>
        </is>
      </c>
      <c r="E4" s="6" t="inlineStr">
        <is>
          <t>50.0</t>
        </is>
      </c>
      <c r="F4" s="7" t="n">
        <v>400</v>
      </c>
      <c r="G4" s="7" t="n">
        <v>8</v>
      </c>
      <c r="H4" s="7" t="n">
        <v>0</v>
      </c>
      <c r="I4" s="7" t="n">
        <v>-8</v>
      </c>
      <c r="J4" s="8" t="n">
        <v>53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FDS</t>
        </is>
      </c>
      <c r="C5" s="5" t="inlineStr">
        <is>
          <t>00193730850</t>
        </is>
      </c>
      <c r="D5" s="5" t="inlineStr">
        <is>
          <t>CONTOUR NEXT STRIP DME</t>
        </is>
      </c>
      <c r="E5" s="6" t="inlineStr">
        <is>
          <t>50.0</t>
        </is>
      </c>
      <c r="F5" s="7" t="n">
        <v>200</v>
      </c>
      <c r="G5" s="7" t="n">
        <v>4</v>
      </c>
      <c r="H5" s="7" t="n">
        <v>0</v>
      </c>
      <c r="I5" s="7" t="n">
        <v>-4</v>
      </c>
      <c r="J5" s="8" t="n">
        <v>27</v>
      </c>
      <c r="K5" s="9">
        <f>IFERROR(IF((ROUND((J5/G5)*I5,1))&lt;0,(ROUND((J5/G5)*I5,1)),0),0)</f>
        <v/>
      </c>
    </row>
    <row r="6">
      <c r="E6" s="10" t="inlineStr">
        <is>
          <t>TOTAL</t>
        </is>
      </c>
      <c r="F6" s="11">
        <f>SUM(F4:F5)</f>
        <v/>
      </c>
      <c r="G6" s="11">
        <f>SUM(G4:G5)</f>
        <v/>
      </c>
      <c r="H6" s="11">
        <f>SUM(H4:H5)</f>
        <v/>
      </c>
      <c r="I6" s="11">
        <f>SUM(I4:I5)</f>
        <v/>
      </c>
      <c r="J6" s="12">
        <f>SUM(J4:J5)</f>
        <v/>
      </c>
      <c r="K6" s="13">
        <f>SUM(K4:K5)</f>
        <v/>
      </c>
    </row>
    <row r="7">
      <c r="J7" s="14" t="inlineStr">
        <is>
          <t>Audited Drugs Count</t>
        </is>
      </c>
      <c r="K7" s="15">
        <f>COUNTIF(K4:K5,"&lt;0")</f>
        <v/>
      </c>
    </row>
    <row r="8">
      <c r="J8" s="14" t="inlineStr">
        <is>
          <t>Total Audit Exposure</t>
        </is>
      </c>
      <c r="K8" s="16">
        <f>SUMIF(K4:K5,"&lt;0",K4:K5)</f>
        <v/>
      </c>
    </row>
  </sheetData>
  <autoFilter ref="A3:K5"/>
  <mergeCells count="2">
    <mergeCell ref="A2:K2"/>
    <mergeCell ref="A1:K1"/>
  </mergeCells>
  <conditionalFormatting sqref="E4:K5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4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hh — hh — MEDIMP</t>
        </is>
      </c>
    </row>
    <row r="2" ht="24" customHeight="1">
      <c r="A2" s="2" t="inlineStr">
        <is>
          <t>Overall MEDIMP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MEDIMP</t>
        </is>
      </c>
      <c r="G3" s="3" t="inlineStr">
        <is>
          <t>Packages Billed to MEDIMP</t>
        </is>
      </c>
      <c r="H3" s="3" t="inlineStr">
        <is>
          <t>Total Qty Purchased</t>
        </is>
      </c>
      <c r="I3" s="3" t="inlineStr">
        <is>
          <t>Qty Difference for MEDIMP</t>
        </is>
      </c>
      <c r="J3" s="3" t="inlineStr">
        <is>
          <t>Actual $ Paid by MEDIMP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MEDIMP</t>
        </is>
      </c>
      <c r="C4" s="5" t="inlineStr">
        <is>
          <t>59676080030</t>
        </is>
      </c>
      <c r="D4" s="5" t="inlineStr">
        <is>
          <t>SYMTUZA 800-150-200-10MG TABLET</t>
        </is>
      </c>
      <c r="E4" s="6" t="inlineStr">
        <is>
          <t>30.0</t>
        </is>
      </c>
      <c r="F4" s="7" t="n">
        <v>150</v>
      </c>
      <c r="G4" s="7" t="n">
        <v>5</v>
      </c>
      <c r="H4" s="7" t="n">
        <v>3</v>
      </c>
      <c r="I4" s="7" t="n">
        <v>-2</v>
      </c>
      <c r="J4" s="8" t="n">
        <v>22411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MEDIMP</t>
        </is>
      </c>
      <c r="C5" s="5" t="inlineStr">
        <is>
          <t>61958250101</t>
        </is>
      </c>
      <c r="D5" s="5" t="inlineStr">
        <is>
          <t>BIKTARVY 50-200-25MG TABLET</t>
        </is>
      </c>
      <c r="E5" s="6" t="inlineStr">
        <is>
          <t>30.0</t>
        </is>
      </c>
      <c r="F5" s="7" t="n">
        <v>90</v>
      </c>
      <c r="G5" s="7" t="n">
        <v>3</v>
      </c>
      <c r="H5" s="7" t="n">
        <v>7</v>
      </c>
      <c r="I5" s="7" t="n">
        <v>4</v>
      </c>
      <c r="J5" s="8" t="n">
        <v>11981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MEDIMP</t>
        </is>
      </c>
      <c r="C6" s="5" t="inlineStr">
        <is>
          <t>24208091112</t>
        </is>
      </c>
      <c r="D6" s="5" t="inlineStr">
        <is>
          <t>XIIDRA 5 % OPHTHALMIC SOLUTION</t>
        </is>
      </c>
      <c r="E6" s="6" t="inlineStr">
        <is>
          <t>60.0</t>
        </is>
      </c>
      <c r="F6" s="7" t="n">
        <v>1020</v>
      </c>
      <c r="G6" s="7" t="n">
        <v>17</v>
      </c>
      <c r="H6" s="7" t="n">
        <v>84</v>
      </c>
      <c r="I6" s="7" t="n">
        <v>67</v>
      </c>
      <c r="J6" s="8" t="n">
        <v>11663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MEDIMP</t>
        </is>
      </c>
      <c r="C7" s="5" t="inlineStr">
        <is>
          <t>00310621030</t>
        </is>
      </c>
      <c r="D7" s="5" t="inlineStr">
        <is>
          <t>FARXIGA 10MG TABLET</t>
        </is>
      </c>
      <c r="E7" s="6" t="inlineStr">
        <is>
          <t>30.0</t>
        </is>
      </c>
      <c r="F7" s="7" t="n">
        <v>600</v>
      </c>
      <c r="G7" s="7" t="n">
        <v>20</v>
      </c>
      <c r="H7" s="7" t="n">
        <v>50</v>
      </c>
      <c r="I7" s="7" t="n">
        <v>30</v>
      </c>
      <c r="J7" s="8" t="n">
        <v>7994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MEDIMP</t>
        </is>
      </c>
      <c r="C8" s="5" t="inlineStr">
        <is>
          <t>00597015330</t>
        </is>
      </c>
      <c r="D8" s="5" t="inlineStr">
        <is>
          <t xml:space="preserve">JARDIANCE 25MG TAB </t>
        </is>
      </c>
      <c r="E8" s="6" t="inlineStr">
        <is>
          <t>30.0</t>
        </is>
      </c>
      <c r="F8" s="7" t="n">
        <v>660</v>
      </c>
      <c r="G8" s="7" t="n">
        <v>22</v>
      </c>
      <c r="H8" s="7" t="n">
        <v>139</v>
      </c>
      <c r="I8" s="7" t="n">
        <v>117</v>
      </c>
      <c r="J8" s="8" t="n">
        <v>7949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MEDIMP</t>
        </is>
      </c>
      <c r="C9" s="5" t="inlineStr">
        <is>
          <t>00169413013</t>
        </is>
      </c>
      <c r="D9" s="5" t="inlineStr">
        <is>
          <t>OZEMPIC (1 MG/DOSE) 4MG/3ML INJECTION</t>
        </is>
      </c>
      <c r="E9" s="6" t="inlineStr">
        <is>
          <t>3.0</t>
        </is>
      </c>
      <c r="F9" s="7" t="n">
        <v>21</v>
      </c>
      <c r="G9" s="7" t="n">
        <v>7</v>
      </c>
      <c r="H9" s="7" t="n">
        <v>47</v>
      </c>
      <c r="I9" s="7" t="n">
        <v>40</v>
      </c>
      <c r="J9" s="8" t="n">
        <v>6481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MEDIMP</t>
        </is>
      </c>
      <c r="C10" s="5" t="inlineStr">
        <is>
          <t>00597015230</t>
        </is>
      </c>
      <c r="D10" s="5" t="inlineStr">
        <is>
          <t xml:space="preserve">JARDIANCE 10MG TAB </t>
        </is>
      </c>
      <c r="E10" s="6" t="inlineStr">
        <is>
          <t>30.0</t>
        </is>
      </c>
      <c r="F10" s="7" t="n">
        <v>330</v>
      </c>
      <c r="G10" s="7" t="n">
        <v>11</v>
      </c>
      <c r="H10" s="7" t="n">
        <v>98</v>
      </c>
      <c r="I10" s="7" t="n">
        <v>87</v>
      </c>
      <c r="J10" s="8" t="n">
        <v>5580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MEDIMP</t>
        </is>
      </c>
      <c r="C11" s="5" t="inlineStr">
        <is>
          <t>61874011530</t>
        </is>
      </c>
      <c r="D11" s="5" t="inlineStr">
        <is>
          <t>VRAYLAR 1.5MG CAPSULE</t>
        </is>
      </c>
      <c r="E11" s="6" t="inlineStr">
        <is>
          <t>30.0</t>
        </is>
      </c>
      <c r="F11" s="7" t="n">
        <v>90</v>
      </c>
      <c r="G11" s="7" t="n">
        <v>3</v>
      </c>
      <c r="H11" s="7" t="n">
        <v>7</v>
      </c>
      <c r="I11" s="7" t="n">
        <v>4</v>
      </c>
      <c r="J11" s="8" t="n">
        <v>4387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MEDIMP</t>
        </is>
      </c>
      <c r="C12" s="5" t="inlineStr">
        <is>
          <t>00002148480</t>
        </is>
      </c>
      <c r="D12" s="5" t="inlineStr">
        <is>
          <t>MOUNJARO 7.5 MG/0.5ML PEN-INJECTOR</t>
        </is>
      </c>
      <c r="E12" s="6" t="inlineStr">
        <is>
          <t>2.0</t>
        </is>
      </c>
      <c r="F12" s="7" t="n">
        <v>8</v>
      </c>
      <c r="G12" s="7" t="n">
        <v>4</v>
      </c>
      <c r="H12" s="7" t="n">
        <v>27</v>
      </c>
      <c r="I12" s="7" t="n">
        <v>23</v>
      </c>
      <c r="J12" s="8" t="n">
        <v>4163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MEDIMP</t>
        </is>
      </c>
      <c r="C13" s="5" t="inlineStr">
        <is>
          <t>00173088710</t>
        </is>
      </c>
      <c r="D13" s="5" t="inlineStr">
        <is>
          <t>TRELEGY ELLIPTA 100-62.5-25MCG/INH AEROSOL</t>
        </is>
      </c>
      <c r="E13" s="6" t="inlineStr">
        <is>
          <t>60.0</t>
        </is>
      </c>
      <c r="F13" s="7" t="n">
        <v>360</v>
      </c>
      <c r="G13" s="7" t="n">
        <v>6</v>
      </c>
      <c r="H13" s="7" t="n">
        <v>6</v>
      </c>
      <c r="I13" s="7" t="n">
        <v>0</v>
      </c>
      <c r="J13" s="8" t="n">
        <v>3675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MEDIMP</t>
        </is>
      </c>
      <c r="C14" s="5" t="inlineStr">
        <is>
          <t>00003089421</t>
        </is>
      </c>
      <c r="D14" s="5" t="inlineStr">
        <is>
          <t xml:space="preserve">ELIQUIS 5MG TAB </t>
        </is>
      </c>
      <c r="E14" s="6" t="inlineStr">
        <is>
          <t>60.0</t>
        </is>
      </c>
      <c r="F14" s="7" t="n">
        <v>600</v>
      </c>
      <c r="G14" s="7" t="n">
        <v>10</v>
      </c>
      <c r="H14" s="7" t="n">
        <v>83</v>
      </c>
      <c r="I14" s="7" t="n">
        <v>73</v>
      </c>
      <c r="J14" s="8" t="n">
        <v>3371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MEDIMP</t>
        </is>
      </c>
      <c r="C15" s="5" t="inlineStr">
        <is>
          <t>49702024613</t>
        </is>
      </c>
      <c r="D15" s="5" t="inlineStr">
        <is>
          <t>DOVATO 50-300 MG ORAL TABLET</t>
        </is>
      </c>
      <c r="E15" s="6" t="inlineStr">
        <is>
          <t>30.0</t>
        </is>
      </c>
      <c r="F15" s="7" t="n">
        <v>30</v>
      </c>
      <c r="G15" s="7" t="n">
        <v>1</v>
      </c>
      <c r="H15" s="7" t="n">
        <v>3</v>
      </c>
      <c r="I15" s="7" t="n">
        <v>2</v>
      </c>
      <c r="J15" s="8" t="n">
        <v>3082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MEDIMP</t>
        </is>
      </c>
      <c r="C16" s="5" t="inlineStr">
        <is>
          <t>00456120130</t>
        </is>
      </c>
      <c r="D16" s="5" t="inlineStr">
        <is>
          <t>LINZESS 145MCG CAPSULE</t>
        </is>
      </c>
      <c r="E16" s="6" t="inlineStr">
        <is>
          <t>30.0</t>
        </is>
      </c>
      <c r="F16" s="7" t="n">
        <v>270</v>
      </c>
      <c r="G16" s="7" t="n">
        <v>9</v>
      </c>
      <c r="H16" s="7" t="n">
        <v>30</v>
      </c>
      <c r="I16" s="7" t="n">
        <v>21</v>
      </c>
      <c r="J16" s="8" t="n">
        <v>3014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MEDIMP</t>
        </is>
      </c>
      <c r="C17" s="5" t="inlineStr">
        <is>
          <t>00169431430</t>
        </is>
      </c>
      <c r="D17" s="5" t="inlineStr">
        <is>
          <t>RYBELSUS 14MG TABLET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15</v>
      </c>
      <c r="I17" s="7" t="n">
        <v>12</v>
      </c>
      <c r="J17" s="8" t="n">
        <v>2751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MEDIMP</t>
        </is>
      </c>
      <c r="C18" s="5" t="inlineStr">
        <is>
          <t>00193731150</t>
        </is>
      </c>
      <c r="D18" s="5" t="inlineStr">
        <is>
          <t>CONTOUR NEXT TEST  STRIPS</t>
        </is>
      </c>
      <c r="E18" s="6" t="inlineStr">
        <is>
          <t>50.0</t>
        </is>
      </c>
      <c r="F18" s="7" t="n">
        <v>2400</v>
      </c>
      <c r="G18" s="7" t="n">
        <v>48</v>
      </c>
      <c r="H18" s="7" t="n">
        <v>0</v>
      </c>
      <c r="I18" s="7" t="n">
        <v>-48</v>
      </c>
      <c r="J18" s="8" t="n">
        <v>2429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MEDIMP</t>
        </is>
      </c>
      <c r="C19" s="5" t="inlineStr">
        <is>
          <t>00169418113</t>
        </is>
      </c>
      <c r="D19" s="5" t="inlineStr">
        <is>
          <t>OZEMPIC (0.25 OR 0.5 MG/DOSE) 2 MG/3ML PEN-INJECTOR</t>
        </is>
      </c>
      <c r="E19" s="6" t="inlineStr">
        <is>
          <t>3.0</t>
        </is>
      </c>
      <c r="F19" s="7" t="n">
        <v>6</v>
      </c>
      <c r="G19" s="7" t="n">
        <v>2</v>
      </c>
      <c r="H19" s="7" t="n">
        <v>69</v>
      </c>
      <c r="I19" s="7" t="n">
        <v>67</v>
      </c>
      <c r="J19" s="8" t="n">
        <v>1944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MEDIMP</t>
        </is>
      </c>
      <c r="C20" s="5" t="inlineStr">
        <is>
          <t>00006027731</t>
        </is>
      </c>
      <c r="D20" s="5" t="inlineStr">
        <is>
          <t>JANUVIA 100MG TAB</t>
        </is>
      </c>
      <c r="E20" s="6" t="inlineStr">
        <is>
          <t>30.0</t>
        </is>
      </c>
      <c r="F20" s="7" t="n">
        <v>360</v>
      </c>
      <c r="G20" s="7" t="n">
        <v>12</v>
      </c>
      <c r="H20" s="7" t="n">
        <v>63</v>
      </c>
      <c r="I20" s="7" t="n">
        <v>51</v>
      </c>
      <c r="J20" s="8" t="n">
        <v>1937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MEDIMP</t>
        </is>
      </c>
      <c r="C21" s="5" t="inlineStr">
        <is>
          <t>00006011231</t>
        </is>
      </c>
      <c r="D21" s="5" t="inlineStr">
        <is>
          <t>JANUVIA 50MG TABLET</t>
        </is>
      </c>
      <c r="E21" s="6" t="inlineStr">
        <is>
          <t>30.0</t>
        </is>
      </c>
      <c r="F21" s="7" t="n">
        <v>180</v>
      </c>
      <c r="G21" s="7" t="n">
        <v>6</v>
      </c>
      <c r="H21" s="7" t="n">
        <v>35</v>
      </c>
      <c r="I21" s="7" t="n">
        <v>29</v>
      </c>
      <c r="J21" s="8" t="n">
        <v>1770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MEDIMP</t>
        </is>
      </c>
      <c r="C22" s="5" t="inlineStr">
        <is>
          <t>00310628030</t>
        </is>
      </c>
      <c r="D22" s="5" t="inlineStr">
        <is>
          <t>XIGDUO XR 10-1000MG TABLET</t>
        </is>
      </c>
      <c r="E22" s="6" t="inlineStr">
        <is>
          <t>30.0</t>
        </is>
      </c>
      <c r="F22" s="7" t="n">
        <v>90</v>
      </c>
      <c r="G22" s="7" t="n">
        <v>3</v>
      </c>
      <c r="H22" s="7" t="n">
        <v>8</v>
      </c>
      <c r="I22" s="7" t="n">
        <v>5</v>
      </c>
      <c r="J22" s="8" t="n">
        <v>1608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MEDIMP</t>
        </is>
      </c>
      <c r="C23" s="5" t="inlineStr">
        <is>
          <t>00006057561</t>
        </is>
      </c>
      <c r="D23" s="5" t="inlineStr">
        <is>
          <t>JANUMET 50-500 MG ORAL TABLET</t>
        </is>
      </c>
      <c r="E23" s="6" t="inlineStr">
        <is>
          <t>60.0</t>
        </is>
      </c>
      <c r="F23" s="7" t="n">
        <v>300</v>
      </c>
      <c r="G23" s="7" t="n">
        <v>5</v>
      </c>
      <c r="H23" s="7" t="n">
        <v>3</v>
      </c>
      <c r="I23" s="7" t="n">
        <v>-2</v>
      </c>
      <c r="J23" s="8" t="n">
        <v>1558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MEDIMP</t>
        </is>
      </c>
      <c r="C24" s="5" t="inlineStr">
        <is>
          <t>00023320508</t>
        </is>
      </c>
      <c r="D24" s="5" t="inlineStr">
        <is>
          <t>LUMIGAN 0.01% SOLUTION</t>
        </is>
      </c>
      <c r="E24" s="6" t="inlineStr">
        <is>
          <t>7.5</t>
        </is>
      </c>
      <c r="F24" s="7" t="n">
        <v>15</v>
      </c>
      <c r="G24" s="7" t="n">
        <v>2</v>
      </c>
      <c r="H24" s="7" t="n">
        <v>10</v>
      </c>
      <c r="I24" s="7" t="n">
        <v>8</v>
      </c>
      <c r="J24" s="8" t="n">
        <v>1499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MEDIMP</t>
        </is>
      </c>
      <c r="C25" s="5" t="inlineStr">
        <is>
          <t>00310737020</t>
        </is>
      </c>
      <c r="D25" s="5" t="inlineStr">
        <is>
          <t>BUDESONIDE/FORMOTEROL 160 /4.5 MCG (SYMBICORT)</t>
        </is>
      </c>
      <c r="E25" s="6" t="inlineStr">
        <is>
          <t>10.2</t>
        </is>
      </c>
      <c r="F25" s="7" t="n">
        <v>61.2</v>
      </c>
      <c r="G25" s="7" t="n">
        <v>6.000000000000001</v>
      </c>
      <c r="H25" s="7" t="n">
        <v>19</v>
      </c>
      <c r="I25" s="7" t="n">
        <v>13</v>
      </c>
      <c r="J25" s="8" t="n">
        <v>1184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MEDIMP</t>
        </is>
      </c>
      <c r="C26" s="5" t="inlineStr">
        <is>
          <t>00002150680</t>
        </is>
      </c>
      <c r="D26" s="5" t="inlineStr">
        <is>
          <t>MOUNJARO 2.5 MG/0.5ML PEN-INJECTOR</t>
        </is>
      </c>
      <c r="E26" s="6" t="inlineStr">
        <is>
          <t>2.0</t>
        </is>
      </c>
      <c r="F26" s="7" t="n">
        <v>2</v>
      </c>
      <c r="G26" s="7" t="n">
        <v>1</v>
      </c>
      <c r="H26" s="7" t="n">
        <v>4</v>
      </c>
      <c r="I26" s="7" t="n">
        <v>3</v>
      </c>
      <c r="J26" s="8" t="n">
        <v>1027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MEDIMP</t>
        </is>
      </c>
      <c r="C27" s="5" t="inlineStr">
        <is>
          <t>00002149580</t>
        </is>
      </c>
      <c r="D27" s="5" t="inlineStr">
        <is>
          <t>MOUNJARO 5 MG/0.5ML PEN-INJECTOR</t>
        </is>
      </c>
      <c r="E27" s="6" t="inlineStr">
        <is>
          <t>2.0</t>
        </is>
      </c>
      <c r="F27" s="7" t="n">
        <v>2</v>
      </c>
      <c r="G27" s="7" t="n">
        <v>1</v>
      </c>
      <c r="H27" s="7" t="n">
        <v>24</v>
      </c>
      <c r="I27" s="7" t="n">
        <v>23</v>
      </c>
      <c r="J27" s="8" t="n">
        <v>1027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MEDIMP</t>
        </is>
      </c>
      <c r="C28" s="5" t="inlineStr">
        <is>
          <t>00456120330</t>
        </is>
      </c>
      <c r="D28" s="5" t="inlineStr">
        <is>
          <t>LINZESS 72 MCG ORAL CAPSULE</t>
        </is>
      </c>
      <c r="E28" s="6" t="inlineStr">
        <is>
          <t>30.0</t>
        </is>
      </c>
      <c r="F28" s="7" t="n">
        <v>60</v>
      </c>
      <c r="G28" s="7" t="n">
        <v>2</v>
      </c>
      <c r="H28" s="7" t="n">
        <v>14</v>
      </c>
      <c r="I28" s="7" t="n">
        <v>12</v>
      </c>
      <c r="J28" s="8" t="n">
        <v>945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MEDIMP</t>
        </is>
      </c>
      <c r="C29" s="5" t="inlineStr">
        <is>
          <t>00006008131</t>
        </is>
      </c>
      <c r="D29" s="5" t="inlineStr">
        <is>
          <t>JANUMET XR 100-1000MG TABLET</t>
        </is>
      </c>
      <c r="E29" s="6" t="inlineStr">
        <is>
          <t>30.0</t>
        </is>
      </c>
      <c r="F29" s="7" t="n">
        <v>90</v>
      </c>
      <c r="G29" s="7" t="n">
        <v>3</v>
      </c>
      <c r="H29" s="7" t="n">
        <v>8</v>
      </c>
      <c r="I29" s="7" t="n">
        <v>5</v>
      </c>
      <c r="J29" s="8" t="n">
        <v>885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MEDIMP</t>
        </is>
      </c>
      <c r="C30" s="5" t="inlineStr">
        <is>
          <t>00169255013</t>
        </is>
      </c>
      <c r="D30" s="5" t="inlineStr">
        <is>
          <t>TRESIBA FLEXTOUCH 200UNIT/ML INJECTION</t>
        </is>
      </c>
      <c r="E30" s="6" t="inlineStr">
        <is>
          <t>9.0</t>
        </is>
      </c>
      <c r="F30" s="7" t="n">
        <v>18</v>
      </c>
      <c r="G30" s="7" t="n">
        <v>2</v>
      </c>
      <c r="H30" s="7" t="n">
        <v>2</v>
      </c>
      <c r="I30" s="7" t="n">
        <v>0</v>
      </c>
      <c r="J30" s="8" t="n">
        <v>872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MEDIMP</t>
        </is>
      </c>
      <c r="C31" s="5" t="inlineStr">
        <is>
          <t>00310461612</t>
        </is>
      </c>
      <c r="D31" s="5" t="inlineStr">
        <is>
          <t>BREZTRI AEROSPHERE 160-9-4.8 MCG/ACT INHALATION AEROSOL</t>
        </is>
      </c>
      <c r="E31" s="6" t="inlineStr">
        <is>
          <t>10.7</t>
        </is>
      </c>
      <c r="F31" s="7" t="n">
        <v>10.7</v>
      </c>
      <c r="G31" s="7" t="n">
        <v>1</v>
      </c>
      <c r="H31" s="7" t="n">
        <v>8</v>
      </c>
      <c r="I31" s="7" t="n">
        <v>7</v>
      </c>
      <c r="J31" s="8" t="n">
        <v>649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MEDIMP</t>
        </is>
      </c>
      <c r="C32" s="5" t="inlineStr">
        <is>
          <t>00310737220</t>
        </is>
      </c>
      <c r="D32" s="5" t="inlineStr">
        <is>
          <t>BUDESONIDE-FORMOTEROL FUMARATE 80-4.5MCG/ACT AEROSOL</t>
        </is>
      </c>
      <c r="E32" s="6" t="inlineStr">
        <is>
          <t>10.2</t>
        </is>
      </c>
      <c r="F32" s="7" t="n">
        <v>40.8</v>
      </c>
      <c r="G32" s="7" t="n">
        <v>4</v>
      </c>
      <c r="H32" s="7" t="n">
        <v>9</v>
      </c>
      <c r="I32" s="7" t="n">
        <v>5</v>
      </c>
      <c r="J32" s="8" t="n">
        <v>621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MEDIMP</t>
        </is>
      </c>
      <c r="C33" s="5" t="inlineStr">
        <is>
          <t>00456120230</t>
        </is>
      </c>
      <c r="D33" s="5" t="inlineStr">
        <is>
          <t xml:space="preserve">LINZESS 290MCG CAP </t>
        </is>
      </c>
      <c r="E33" s="6" t="inlineStr">
        <is>
          <t>30.0</t>
        </is>
      </c>
      <c r="F33" s="7" t="n">
        <v>60</v>
      </c>
      <c r="G33" s="7" t="n">
        <v>2</v>
      </c>
      <c r="H33" s="7" t="n">
        <v>28</v>
      </c>
      <c r="I33" s="7" t="n">
        <v>26</v>
      </c>
      <c r="J33" s="8" t="n">
        <v>536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MEDIMP</t>
        </is>
      </c>
      <c r="C34" s="5" t="inlineStr">
        <is>
          <t>24208050402</t>
        </is>
      </c>
      <c r="D34" s="5" t="inlineStr">
        <is>
          <t>VYZULTA 0.024 % OPHTHALMIC SOLUTION</t>
        </is>
      </c>
      <c r="E34" s="6" t="inlineStr">
        <is>
          <t>2.5</t>
        </is>
      </c>
      <c r="F34" s="7" t="n">
        <v>5</v>
      </c>
      <c r="G34" s="7" t="n">
        <v>2</v>
      </c>
      <c r="H34" s="7" t="n">
        <v>0</v>
      </c>
      <c r="I34" s="7" t="n">
        <v>-2</v>
      </c>
      <c r="J34" s="8" t="n">
        <v>497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MEDIMP</t>
        </is>
      </c>
      <c r="C35" s="5" t="inlineStr">
        <is>
          <t>73336007530</t>
        </is>
      </c>
      <c r="D35" s="5" t="inlineStr">
        <is>
          <t>GEMTESA 75MG TABLET</t>
        </is>
      </c>
      <c r="E35" s="6" t="inlineStr">
        <is>
          <t>30.0</t>
        </is>
      </c>
      <c r="F35" s="7" t="n">
        <v>30</v>
      </c>
      <c r="G35" s="7" t="n">
        <v>1</v>
      </c>
      <c r="H35" s="7" t="n">
        <v>18</v>
      </c>
      <c r="I35" s="7" t="n">
        <v>17</v>
      </c>
      <c r="J35" s="8" t="n">
        <v>489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MEDIMP</t>
        </is>
      </c>
      <c r="C36" s="5" t="inlineStr">
        <is>
          <t>58160082311</t>
        </is>
      </c>
      <c r="D36" s="5" t="inlineStr">
        <is>
          <t>SHINGRIX 50 MCG/0.5ML IM SUSP RECON</t>
        </is>
      </c>
      <c r="E36" s="6" t="inlineStr">
        <is>
          <t>10.0</t>
        </is>
      </c>
      <c r="F36" s="7" t="n">
        <v>2</v>
      </c>
      <c r="G36" s="7" t="n">
        <v>0.2</v>
      </c>
      <c r="H36" s="7" t="n">
        <v>0</v>
      </c>
      <c r="I36" s="7" t="n">
        <v>-0.2</v>
      </c>
      <c r="J36" s="8" t="n">
        <v>443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MEDIMP</t>
        </is>
      </c>
      <c r="C37" s="5" t="inlineStr">
        <is>
          <t>59467067901</t>
        </is>
      </c>
      <c r="D37" s="5" t="inlineStr">
        <is>
          <t>KLOXXADO 8 MG/0.1ML NASAL LIQUID</t>
        </is>
      </c>
      <c r="E37" s="6" t="inlineStr">
        <is>
          <t>2.0</t>
        </is>
      </c>
      <c r="F37" s="7" t="n">
        <v>6</v>
      </c>
      <c r="G37" s="7" t="n">
        <v>3</v>
      </c>
      <c r="H37" s="7" t="n">
        <v>8</v>
      </c>
      <c r="I37" s="7" t="n">
        <v>5</v>
      </c>
      <c r="J37" s="8" t="n">
        <v>356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MEDIMP</t>
        </is>
      </c>
      <c r="C38" s="5" t="inlineStr">
        <is>
          <t>00054032756</t>
        </is>
      </c>
      <c r="D38" s="5" t="inlineStr">
        <is>
          <t>FLUTICASONE-SALMETEROL 250-50 MCG/ACT INH AEROSOL</t>
        </is>
      </c>
      <c r="E38" s="6" t="inlineStr">
        <is>
          <t>60.0</t>
        </is>
      </c>
      <c r="F38" s="7" t="n">
        <v>180</v>
      </c>
      <c r="G38" s="7" t="n">
        <v>3</v>
      </c>
      <c r="H38" s="7" t="n">
        <v>8</v>
      </c>
      <c r="I38" s="7" t="n">
        <v>5</v>
      </c>
      <c r="J38" s="8" t="n">
        <v>231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MEDIMP</t>
        </is>
      </c>
      <c r="C39" s="5" t="inlineStr">
        <is>
          <t>00088221905</t>
        </is>
      </c>
      <c r="D39" s="5" t="inlineStr">
        <is>
          <t>LANTUS SOLOSTAR 100UNIT/ML INJECTION</t>
        </is>
      </c>
      <c r="E39" s="6" t="inlineStr">
        <is>
          <t>15.0</t>
        </is>
      </c>
      <c r="F39" s="7" t="n">
        <v>27</v>
      </c>
      <c r="G39" s="7" t="n">
        <v>1.8</v>
      </c>
      <c r="H39" s="7" t="n">
        <v>46</v>
      </c>
      <c r="I39" s="7" t="n">
        <v>44.2</v>
      </c>
      <c r="J39" s="8" t="n">
        <v>161</v>
      </c>
      <c r="K39" s="9">
        <f>IFERROR(IF((ROUND((J39/G39)*I39,1))&lt;0,(ROUND((J39/G39)*I39,1)),0),0)</f>
        <v/>
      </c>
    </row>
    <row r="40">
      <c r="E40" s="10" t="inlineStr">
        <is>
          <t>TOTAL</t>
        </is>
      </c>
      <c r="F40" s="11">
        <f>SUM(F4:F39)</f>
        <v/>
      </c>
      <c r="G40" s="11">
        <f>SUM(G4:G39)</f>
        <v/>
      </c>
      <c r="H40" s="11">
        <f>SUM(H4:H39)</f>
        <v/>
      </c>
      <c r="I40" s="11">
        <f>SUM(I4:I39)</f>
        <v/>
      </c>
      <c r="J40" s="12">
        <f>SUM(J4:J39)</f>
        <v/>
      </c>
      <c r="K40" s="13">
        <f>SUM(K4:K39)</f>
        <v/>
      </c>
    </row>
    <row r="41">
      <c r="J41" s="14" t="inlineStr">
        <is>
          <t>Audited Drugs Count</t>
        </is>
      </c>
      <c r="K41" s="15">
        <f>COUNTIF(K4:K39,"&lt;0")</f>
        <v/>
      </c>
    </row>
    <row r="42">
      <c r="J42" s="14" t="inlineStr">
        <is>
          <t>Total Audit Exposure</t>
        </is>
      </c>
      <c r="K42" s="16">
        <f>SUMIF(K4:K39,"&lt;0",K4:K39)</f>
        <v/>
      </c>
    </row>
  </sheetData>
  <autoFilter ref="A3:K39"/>
  <mergeCells count="2">
    <mergeCell ref="A2:K2"/>
    <mergeCell ref="A1:K1"/>
  </mergeCells>
  <conditionalFormatting sqref="E4:K3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04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hh — hh — NYM</t>
        </is>
      </c>
    </row>
    <row r="2" ht="24" customHeight="1">
      <c r="A2" s="2" t="inlineStr">
        <is>
          <t>Overall NYM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NYM</t>
        </is>
      </c>
      <c r="G3" s="3" t="inlineStr">
        <is>
          <t>Packages Billed to NYM</t>
        </is>
      </c>
      <c r="H3" s="3" t="inlineStr">
        <is>
          <t>Total Qty Purchased</t>
        </is>
      </c>
      <c r="I3" s="3" t="inlineStr">
        <is>
          <t>Qty Difference for NYM</t>
        </is>
      </c>
      <c r="J3" s="3" t="inlineStr">
        <is>
          <t>Actual $ Paid by NYM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NYM</t>
        </is>
      </c>
      <c r="C4" s="5" t="inlineStr">
        <is>
          <t>00169418113</t>
        </is>
      </c>
      <c r="D4" s="5" t="inlineStr">
        <is>
          <t>OZEMPIC (0.25 OR 0.5 MG/DOSE) 2 MG/3ML PEN-INJECTOR</t>
        </is>
      </c>
      <c r="E4" s="6" t="inlineStr">
        <is>
          <t>3.0</t>
        </is>
      </c>
      <c r="F4" s="7" t="n">
        <v>120</v>
      </c>
      <c r="G4" s="7" t="n">
        <v>40</v>
      </c>
      <c r="H4" s="7" t="n">
        <v>69</v>
      </c>
      <c r="I4" s="7" t="n">
        <v>29</v>
      </c>
      <c r="J4" s="8" t="n">
        <v>39419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NYM</t>
        </is>
      </c>
      <c r="C5" s="5" t="inlineStr">
        <is>
          <t>00023916360</t>
        </is>
      </c>
      <c r="D5" s="5" t="inlineStr">
        <is>
          <t xml:space="preserve">RESTASIS 0.05% EMULSION </t>
        </is>
      </c>
      <c r="E5" s="6" t="inlineStr">
        <is>
          <t>60.0</t>
        </is>
      </c>
      <c r="F5" s="7" t="n">
        <v>3300</v>
      </c>
      <c r="G5" s="7" t="n">
        <v>55</v>
      </c>
      <c r="H5" s="7" t="n">
        <v>176</v>
      </c>
      <c r="I5" s="7" t="n">
        <v>121</v>
      </c>
      <c r="J5" s="8" t="n">
        <v>34343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NYM</t>
        </is>
      </c>
      <c r="C6" s="5" t="inlineStr">
        <is>
          <t>00597015230</t>
        </is>
      </c>
      <c r="D6" s="5" t="inlineStr">
        <is>
          <t xml:space="preserve">JARDIANCE 10MG TAB </t>
        </is>
      </c>
      <c r="E6" s="6" t="inlineStr">
        <is>
          <t>30.0</t>
        </is>
      </c>
      <c r="F6" s="7" t="n">
        <v>1590</v>
      </c>
      <c r="G6" s="7" t="n">
        <v>53</v>
      </c>
      <c r="H6" s="7" t="n">
        <v>98</v>
      </c>
      <c r="I6" s="7" t="n">
        <v>45</v>
      </c>
      <c r="J6" s="8" t="n">
        <v>27464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NYM</t>
        </is>
      </c>
      <c r="C7" s="5" t="inlineStr">
        <is>
          <t>00597015330</t>
        </is>
      </c>
      <c r="D7" s="5" t="inlineStr">
        <is>
          <t xml:space="preserve">JARDIANCE 25MG TAB </t>
        </is>
      </c>
      <c r="E7" s="6" t="inlineStr">
        <is>
          <t>30.0</t>
        </is>
      </c>
      <c r="F7" s="7" t="n">
        <v>1440</v>
      </c>
      <c r="G7" s="7" t="n">
        <v>48</v>
      </c>
      <c r="H7" s="7" t="n">
        <v>139</v>
      </c>
      <c r="I7" s="7" t="n">
        <v>91</v>
      </c>
      <c r="J7" s="8" t="n">
        <v>25934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NYM</t>
        </is>
      </c>
      <c r="C8" s="5" t="inlineStr">
        <is>
          <t>61958250101</t>
        </is>
      </c>
      <c r="D8" s="5" t="inlineStr">
        <is>
          <t>BIKTARVY 50-200-25MG TABLET</t>
        </is>
      </c>
      <c r="E8" s="6" t="inlineStr">
        <is>
          <t>30.0</t>
        </is>
      </c>
      <c r="F8" s="7" t="n">
        <v>180</v>
      </c>
      <c r="G8" s="7" t="n">
        <v>6</v>
      </c>
      <c r="H8" s="7" t="n">
        <v>7</v>
      </c>
      <c r="I8" s="7" t="n">
        <v>1</v>
      </c>
      <c r="J8" s="8" t="n">
        <v>24669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NYM</t>
        </is>
      </c>
      <c r="C9" s="5" t="inlineStr">
        <is>
          <t>00169413013</t>
        </is>
      </c>
      <c r="D9" s="5" t="inlineStr">
        <is>
          <t>OZEMPIC (1 MG/DOSE) 4MG/3ML INJECTION</t>
        </is>
      </c>
      <c r="E9" s="6" t="inlineStr">
        <is>
          <t>3.0</t>
        </is>
      </c>
      <c r="F9" s="7" t="n">
        <v>75</v>
      </c>
      <c r="G9" s="7" t="n">
        <v>25</v>
      </c>
      <c r="H9" s="7" t="n">
        <v>47</v>
      </c>
      <c r="I9" s="7" t="n">
        <v>22</v>
      </c>
      <c r="J9" s="8" t="n">
        <v>24537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NYM</t>
        </is>
      </c>
      <c r="C10" s="5" t="inlineStr">
        <is>
          <t>00169477212</t>
        </is>
      </c>
      <c r="D10" s="5" t="inlineStr">
        <is>
          <t>OZEMPIC (2 MG/DOSE) 8 MG/3ML PEN-INJECTOR</t>
        </is>
      </c>
      <c r="E10" s="6" t="inlineStr">
        <is>
          <t>3.0</t>
        </is>
      </c>
      <c r="F10" s="7" t="n">
        <v>63</v>
      </c>
      <c r="G10" s="7" t="n">
        <v>21</v>
      </c>
      <c r="H10" s="7" t="n">
        <v>32</v>
      </c>
      <c r="I10" s="7" t="n">
        <v>11</v>
      </c>
      <c r="J10" s="8" t="n">
        <v>20657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NYM</t>
        </is>
      </c>
      <c r="C11" s="5" t="inlineStr">
        <is>
          <t>00002149580</t>
        </is>
      </c>
      <c r="D11" s="5" t="inlineStr">
        <is>
          <t>MOUNJARO 5 MG/0.5ML PEN-INJECTOR</t>
        </is>
      </c>
      <c r="E11" s="6" t="inlineStr">
        <is>
          <t>2.0</t>
        </is>
      </c>
      <c r="F11" s="7" t="n">
        <v>38</v>
      </c>
      <c r="G11" s="7" t="n">
        <v>19</v>
      </c>
      <c r="H11" s="7" t="n">
        <v>24</v>
      </c>
      <c r="I11" s="7" t="n">
        <v>5</v>
      </c>
      <c r="J11" s="8" t="n">
        <v>20199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NYM</t>
        </is>
      </c>
      <c r="C12" s="5" t="inlineStr">
        <is>
          <t>49702024213</t>
        </is>
      </c>
      <c r="D12" s="5" t="inlineStr">
        <is>
          <t>JULUCA 50-25MG TABLET</t>
        </is>
      </c>
      <c r="E12" s="6" t="inlineStr">
        <is>
          <t>30.0</t>
        </is>
      </c>
      <c r="F12" s="7" t="n">
        <v>150</v>
      </c>
      <c r="G12" s="7" t="n">
        <v>5</v>
      </c>
      <c r="H12" s="7" t="n">
        <v>4</v>
      </c>
      <c r="I12" s="7" t="n">
        <v>-1</v>
      </c>
      <c r="J12" s="8" t="n">
        <v>17901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NYM</t>
        </is>
      </c>
      <c r="C13" s="5" t="inlineStr">
        <is>
          <t>61874011530</t>
        </is>
      </c>
      <c r="D13" s="5" t="inlineStr">
        <is>
          <t>VRAYLAR 1.5MG CAPSULE</t>
        </is>
      </c>
      <c r="E13" s="6" t="inlineStr">
        <is>
          <t>30.0</t>
        </is>
      </c>
      <c r="F13" s="7" t="n">
        <v>360</v>
      </c>
      <c r="G13" s="7" t="n">
        <v>12</v>
      </c>
      <c r="H13" s="7" t="n">
        <v>7</v>
      </c>
      <c r="I13" s="7" t="n">
        <v>-5</v>
      </c>
      <c r="J13" s="8" t="n">
        <v>17814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NYM</t>
        </is>
      </c>
      <c r="C14" s="5" t="inlineStr">
        <is>
          <t>24208091112</t>
        </is>
      </c>
      <c r="D14" s="5" t="inlineStr">
        <is>
          <t>XIIDRA 5 % OPHTHALMIC SOLUTION</t>
        </is>
      </c>
      <c r="E14" s="6" t="inlineStr">
        <is>
          <t>60.0</t>
        </is>
      </c>
      <c r="F14" s="7" t="n">
        <v>1260</v>
      </c>
      <c r="G14" s="7" t="n">
        <v>21</v>
      </c>
      <c r="H14" s="7" t="n">
        <v>84</v>
      </c>
      <c r="I14" s="7" t="n">
        <v>63</v>
      </c>
      <c r="J14" s="8" t="n">
        <v>14715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NYM</t>
        </is>
      </c>
      <c r="C15" s="5" t="inlineStr">
        <is>
          <t>50242014301</t>
        </is>
      </c>
      <c r="D15" s="5" t="inlineStr">
        <is>
          <t>ACTEMRA ACTPEN 162 MG/0.9ML SUBCUTANEOUS SOLUTION AUTO-INJECTOR</t>
        </is>
      </c>
      <c r="E15" s="6" t="inlineStr">
        <is>
          <t>0.9</t>
        </is>
      </c>
      <c r="F15" s="7" t="n">
        <v>10.8</v>
      </c>
      <c r="G15" s="7" t="n">
        <v>12</v>
      </c>
      <c r="H15" s="7" t="n">
        <v>6</v>
      </c>
      <c r="I15" s="7" t="n">
        <v>-6</v>
      </c>
      <c r="J15" s="8" t="n">
        <v>13892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NYM</t>
        </is>
      </c>
      <c r="C16" s="5" t="inlineStr">
        <is>
          <t>00186037020</t>
        </is>
      </c>
      <c r="D16" s="5" t="inlineStr">
        <is>
          <t>SYMBICORT 160-4.5MCG/ACT AEROSOL</t>
        </is>
      </c>
      <c r="E16" s="6" t="inlineStr">
        <is>
          <t>10.2</t>
        </is>
      </c>
      <c r="F16" s="7" t="n">
        <v>520.1999999999999</v>
      </c>
      <c r="G16" s="7" t="n">
        <v>51</v>
      </c>
      <c r="H16" s="7" t="n">
        <v>15</v>
      </c>
      <c r="I16" s="7" t="n">
        <v>-36</v>
      </c>
      <c r="J16" s="8" t="n">
        <v>11873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NYM</t>
        </is>
      </c>
      <c r="C17" s="5" t="inlineStr">
        <is>
          <t>00002143480</t>
        </is>
      </c>
      <c r="D17" s="5" t="inlineStr">
        <is>
          <t>TRULICITY 1.5MG/0.5ML INJECTION</t>
        </is>
      </c>
      <c r="E17" s="6" t="inlineStr">
        <is>
          <t>2.0</t>
        </is>
      </c>
      <c r="F17" s="7" t="n">
        <v>24</v>
      </c>
      <c r="G17" s="7" t="n">
        <v>12</v>
      </c>
      <c r="H17" s="7" t="n">
        <v>6</v>
      </c>
      <c r="I17" s="7" t="n">
        <v>-6</v>
      </c>
      <c r="J17" s="8" t="n">
        <v>11591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NYM</t>
        </is>
      </c>
      <c r="C18" s="5" t="inlineStr">
        <is>
          <t>00456120330</t>
        </is>
      </c>
      <c r="D18" s="5" t="inlineStr">
        <is>
          <t>LINZESS 72 MCG ORAL CAPSULE</t>
        </is>
      </c>
      <c r="E18" s="6" t="inlineStr">
        <is>
          <t>30.0</t>
        </is>
      </c>
      <c r="F18" s="7" t="n">
        <v>630</v>
      </c>
      <c r="G18" s="7" t="n">
        <v>21</v>
      </c>
      <c r="H18" s="7" t="n">
        <v>14</v>
      </c>
      <c r="I18" s="7" t="n">
        <v>-7</v>
      </c>
      <c r="J18" s="8" t="n">
        <v>10482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NYM</t>
        </is>
      </c>
      <c r="C19" s="5" t="inlineStr">
        <is>
          <t>61874013030</t>
        </is>
      </c>
      <c r="D19" s="5" t="inlineStr">
        <is>
          <t>VRAYLAR 3MG CAPSULE</t>
        </is>
      </c>
      <c r="E19" s="6" t="inlineStr">
        <is>
          <t>30.0</t>
        </is>
      </c>
      <c r="F19" s="7" t="n">
        <v>210</v>
      </c>
      <c r="G19" s="7" t="n">
        <v>7</v>
      </c>
      <c r="H19" s="7" t="n">
        <v>4</v>
      </c>
      <c r="I19" s="7" t="n">
        <v>-3</v>
      </c>
      <c r="J19" s="8" t="n">
        <v>10407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NYM</t>
        </is>
      </c>
      <c r="C20" s="5" t="inlineStr">
        <is>
          <t>24208037705</t>
        </is>
      </c>
      <c r="D20" s="5" t="inlineStr">
        <is>
          <t>MIEBO 1.338 GM/ML OPHTHALMIC SOLUTION</t>
        </is>
      </c>
      <c r="E20" s="6" t="inlineStr">
        <is>
          <t>3.0</t>
        </is>
      </c>
      <c r="F20" s="7" t="n">
        <v>39</v>
      </c>
      <c r="G20" s="7" t="n">
        <v>13</v>
      </c>
      <c r="H20" s="7" t="n">
        <v>35</v>
      </c>
      <c r="I20" s="7" t="n">
        <v>22</v>
      </c>
      <c r="J20" s="8" t="n">
        <v>10190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NYM</t>
        </is>
      </c>
      <c r="C21" s="5" t="inlineStr">
        <is>
          <t>00173088710</t>
        </is>
      </c>
      <c r="D21" s="5" t="inlineStr">
        <is>
          <t>TRELEGY ELLIPTA 100-62.5-25MCG/INH AEROSOL</t>
        </is>
      </c>
      <c r="E21" s="6" t="inlineStr">
        <is>
          <t>60.0</t>
        </is>
      </c>
      <c r="F21" s="7" t="n">
        <v>840</v>
      </c>
      <c r="G21" s="7" t="n">
        <v>14</v>
      </c>
      <c r="H21" s="7" t="n">
        <v>6</v>
      </c>
      <c r="I21" s="7" t="n">
        <v>-8</v>
      </c>
      <c r="J21" s="8" t="n">
        <v>9275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NYM</t>
        </is>
      </c>
      <c r="C22" s="5" t="inlineStr">
        <is>
          <t>00002147180</t>
        </is>
      </c>
      <c r="D22" s="5" t="inlineStr">
        <is>
          <t>MOUNJARO 10 MG/0.5ML PEN-INJECTOR</t>
        </is>
      </c>
      <c r="E22" s="6" t="inlineStr">
        <is>
          <t>2.0</t>
        </is>
      </c>
      <c r="F22" s="7" t="n">
        <v>16</v>
      </c>
      <c r="G22" s="7" t="n">
        <v>8</v>
      </c>
      <c r="H22" s="7" t="n">
        <v>10</v>
      </c>
      <c r="I22" s="7" t="n">
        <v>2</v>
      </c>
      <c r="J22" s="8" t="n">
        <v>8481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NYM</t>
        </is>
      </c>
      <c r="C23" s="5" t="inlineStr">
        <is>
          <t>00003089421</t>
        </is>
      </c>
      <c r="D23" s="5" t="inlineStr">
        <is>
          <t xml:space="preserve">ELIQUIS 5MG TAB </t>
        </is>
      </c>
      <c r="E23" s="6" t="inlineStr">
        <is>
          <t>60.0</t>
        </is>
      </c>
      <c r="F23" s="7" t="n">
        <v>1020</v>
      </c>
      <c r="G23" s="7" t="n">
        <v>17</v>
      </c>
      <c r="H23" s="7" t="n">
        <v>83</v>
      </c>
      <c r="I23" s="7" t="n">
        <v>66</v>
      </c>
      <c r="J23" s="8" t="n">
        <v>8227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NYM</t>
        </is>
      </c>
      <c r="C24" s="5" t="inlineStr">
        <is>
          <t>00456120230</t>
        </is>
      </c>
      <c r="D24" s="5" t="inlineStr">
        <is>
          <t xml:space="preserve">LINZESS 290MCG CAP </t>
        </is>
      </c>
      <c r="E24" s="6" t="inlineStr">
        <is>
          <t>30.0</t>
        </is>
      </c>
      <c r="F24" s="7" t="n">
        <v>510</v>
      </c>
      <c r="G24" s="7" t="n">
        <v>17</v>
      </c>
      <c r="H24" s="7" t="n">
        <v>28</v>
      </c>
      <c r="I24" s="7" t="n">
        <v>11</v>
      </c>
      <c r="J24" s="8" t="n">
        <v>7945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NYM</t>
        </is>
      </c>
      <c r="C25" s="5" t="inlineStr">
        <is>
          <t>00310621030</t>
        </is>
      </c>
      <c r="D25" s="5" t="inlineStr">
        <is>
          <t>FARXIGA 10MG TABLET</t>
        </is>
      </c>
      <c r="E25" s="6" t="inlineStr">
        <is>
          <t>30.0</t>
        </is>
      </c>
      <c r="F25" s="7" t="n">
        <v>420</v>
      </c>
      <c r="G25" s="7" t="n">
        <v>14</v>
      </c>
      <c r="H25" s="7" t="n">
        <v>50</v>
      </c>
      <c r="I25" s="7" t="n">
        <v>36</v>
      </c>
      <c r="J25" s="8" t="n">
        <v>7918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NYM</t>
        </is>
      </c>
      <c r="C26" s="5" t="inlineStr">
        <is>
          <t>00002143380</t>
        </is>
      </c>
      <c r="D26" s="5" t="inlineStr">
        <is>
          <t>TRULICITY 0.75MG/0.5ML INJECTION</t>
        </is>
      </c>
      <c r="E26" s="6" t="inlineStr">
        <is>
          <t>2.0</t>
        </is>
      </c>
      <c r="F26" s="7" t="n">
        <v>14</v>
      </c>
      <c r="G26" s="7" t="n">
        <v>7</v>
      </c>
      <c r="H26" s="7" t="n">
        <v>23</v>
      </c>
      <c r="I26" s="7" t="n">
        <v>16</v>
      </c>
      <c r="J26" s="8" t="n">
        <v>6764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NYM</t>
        </is>
      </c>
      <c r="C27" s="5" t="inlineStr">
        <is>
          <t>00193731150</t>
        </is>
      </c>
      <c r="D27" s="5" t="inlineStr">
        <is>
          <t>CONTOUR NEXT TEST  STRIPS</t>
        </is>
      </c>
      <c r="E27" s="6" t="inlineStr">
        <is>
          <t>50.0</t>
        </is>
      </c>
      <c r="F27" s="7" t="n">
        <v>4900</v>
      </c>
      <c r="G27" s="7" t="n">
        <v>98</v>
      </c>
      <c r="H27" s="7" t="n">
        <v>0</v>
      </c>
      <c r="I27" s="7" t="n">
        <v>-98</v>
      </c>
      <c r="J27" s="8" t="n">
        <v>5389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NYM</t>
        </is>
      </c>
      <c r="C28" s="5" t="inlineStr">
        <is>
          <t>00003089321</t>
        </is>
      </c>
      <c r="D28" s="5" t="inlineStr">
        <is>
          <t xml:space="preserve">ELIQUIS 2.5MG TAB </t>
        </is>
      </c>
      <c r="E28" s="6" t="inlineStr">
        <is>
          <t>60.0</t>
        </is>
      </c>
      <c r="F28" s="7" t="n">
        <v>540</v>
      </c>
      <c r="G28" s="7" t="n">
        <v>9</v>
      </c>
      <c r="H28" s="7" t="n">
        <v>30</v>
      </c>
      <c r="I28" s="7" t="n">
        <v>21</v>
      </c>
      <c r="J28" s="8" t="n">
        <v>5053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NYM</t>
        </is>
      </c>
      <c r="C29" s="5" t="inlineStr">
        <is>
          <t>00597030045</t>
        </is>
      </c>
      <c r="D29" s="5" t="inlineStr">
        <is>
          <t>SYNJARDY XR 12.5-1000 MG TABLET ER</t>
        </is>
      </c>
      <c r="E29" s="6" t="inlineStr">
        <is>
          <t>60.0</t>
        </is>
      </c>
      <c r="F29" s="7" t="n">
        <v>540</v>
      </c>
      <c r="G29" s="7" t="n">
        <v>9</v>
      </c>
      <c r="H29" s="7" t="n">
        <v>7</v>
      </c>
      <c r="I29" s="7" t="n">
        <v>-2</v>
      </c>
      <c r="J29" s="8" t="n">
        <v>4669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NYM</t>
        </is>
      </c>
      <c r="C30" s="5" t="inlineStr">
        <is>
          <t>08627007701</t>
        </is>
      </c>
      <c r="D30" s="5" t="inlineStr">
        <is>
          <t>DEXCOM G7 SENSOR</t>
        </is>
      </c>
      <c r="E30" s="6" t="inlineStr">
        <is>
          <t>1.0</t>
        </is>
      </c>
      <c r="F30" s="7" t="n">
        <v>36</v>
      </c>
      <c r="G30" s="7" t="n">
        <v>36</v>
      </c>
      <c r="H30" s="7" t="n">
        <v>32</v>
      </c>
      <c r="I30" s="7" t="n">
        <v>-4</v>
      </c>
      <c r="J30" s="8" t="n">
        <v>4564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NYM</t>
        </is>
      </c>
      <c r="C31" s="5" t="inlineStr">
        <is>
          <t>00002145780</t>
        </is>
      </c>
      <c r="D31" s="5" t="inlineStr">
        <is>
          <t>MOUNJARO 15 MG/0.5ML PEN-INJECTOR</t>
        </is>
      </c>
      <c r="E31" s="6" t="inlineStr">
        <is>
          <t>2.0</t>
        </is>
      </c>
      <c r="F31" s="7" t="n">
        <v>8</v>
      </c>
      <c r="G31" s="7" t="n">
        <v>4</v>
      </c>
      <c r="H31" s="7" t="n">
        <v>8</v>
      </c>
      <c r="I31" s="7" t="n">
        <v>4</v>
      </c>
      <c r="J31" s="8" t="n">
        <v>4287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NYM</t>
        </is>
      </c>
      <c r="C32" s="5" t="inlineStr">
        <is>
          <t>00310461612</t>
        </is>
      </c>
      <c r="D32" s="5" t="inlineStr">
        <is>
          <t>BREZTRI AEROSPHERE 160-9-4.8 MCG/ACT INHALATION AEROSOL</t>
        </is>
      </c>
      <c r="E32" s="6" t="inlineStr">
        <is>
          <t>10.7</t>
        </is>
      </c>
      <c r="F32" s="7" t="n">
        <v>64.19999999999999</v>
      </c>
      <c r="G32" s="7" t="n">
        <v>5.999999999999999</v>
      </c>
      <c r="H32" s="7" t="n">
        <v>8</v>
      </c>
      <c r="I32" s="7" t="n">
        <v>2.000000000000001</v>
      </c>
      <c r="J32" s="8" t="n">
        <v>3938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NYM</t>
        </is>
      </c>
      <c r="C33" s="5" t="inlineStr">
        <is>
          <t>71143037501</t>
        </is>
      </c>
      <c r="D33" s="5" t="inlineStr">
        <is>
          <t>XHANCE 93 MCG/ACT NASAL EXHALER SUSPENSION</t>
        </is>
      </c>
      <c r="E33" s="6" t="inlineStr">
        <is>
          <t>16.0</t>
        </is>
      </c>
      <c r="F33" s="7" t="n">
        <v>96</v>
      </c>
      <c r="G33" s="7" t="n">
        <v>6</v>
      </c>
      <c r="H33" s="7" t="n">
        <v>1</v>
      </c>
      <c r="I33" s="7" t="n">
        <v>-5</v>
      </c>
      <c r="J33" s="8" t="n">
        <v>3887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NYM</t>
        </is>
      </c>
      <c r="C34" s="5" t="inlineStr">
        <is>
          <t>80610013060</t>
        </is>
      </c>
      <c r="D34" s="5" t="inlineStr">
        <is>
          <t>ZORYVE 0.3 % EXTERNAL CREAM</t>
        </is>
      </c>
      <c r="E34" s="6" t="inlineStr">
        <is>
          <t>60.0</t>
        </is>
      </c>
      <c r="F34" s="7" t="n">
        <v>240</v>
      </c>
      <c r="G34" s="7" t="n">
        <v>4</v>
      </c>
      <c r="H34" s="7" t="n">
        <v>1</v>
      </c>
      <c r="I34" s="7" t="n">
        <v>-3</v>
      </c>
      <c r="J34" s="8" t="n">
        <v>3628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NYM</t>
        </is>
      </c>
      <c r="C35" s="5" t="inlineStr">
        <is>
          <t>59148000713</t>
        </is>
      </c>
      <c r="D35" s="5" t="inlineStr">
        <is>
          <t>ABILIFY 5MG TABLET</t>
        </is>
      </c>
      <c r="E35" s="6" t="inlineStr">
        <is>
          <t>30.0</t>
        </is>
      </c>
      <c r="F35" s="7" t="n">
        <v>180</v>
      </c>
      <c r="G35" s="7" t="n">
        <v>6</v>
      </c>
      <c r="H35" s="7" t="n">
        <v>2</v>
      </c>
      <c r="I35" s="7" t="n">
        <v>-4</v>
      </c>
      <c r="J35" s="8" t="n">
        <v>3417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NYM</t>
        </is>
      </c>
      <c r="C36" s="5" t="inlineStr">
        <is>
          <t>00173089310</t>
        </is>
      </c>
      <c r="D36" s="5" t="inlineStr">
        <is>
          <t>TRELEGY ELLIPTA 200-62.5-25 MCG/ACT INHALATION AER</t>
        </is>
      </c>
      <c r="E36" s="6" t="inlineStr">
        <is>
          <t>60.0</t>
        </is>
      </c>
      <c r="F36" s="7" t="n">
        <v>300</v>
      </c>
      <c r="G36" s="7" t="n">
        <v>5</v>
      </c>
      <c r="H36" s="7" t="n">
        <v>6</v>
      </c>
      <c r="I36" s="7" t="n">
        <v>1</v>
      </c>
      <c r="J36" s="8" t="n">
        <v>3321</v>
      </c>
      <c r="K36" s="9">
        <f>IFERROR(IF((ROUND((J36/G36)*I36,1))&lt;0,(ROUND((J36/G36)*I36,1)),0),0)</f>
        <v/>
      </c>
    </row>
    <row r="37">
      <c r="A37" s="4" t="n">
        <v>34</v>
      </c>
      <c r="B37" s="5" t="inlineStr">
        <is>
          <t>NYM</t>
        </is>
      </c>
      <c r="C37" s="5" t="inlineStr">
        <is>
          <t>53436016830</t>
        </is>
      </c>
      <c r="D37" s="5" t="inlineStr">
        <is>
          <t>VELTASSA 16.8 GM ORAL PACKET</t>
        </is>
      </c>
      <c r="E37" s="6" t="inlineStr">
        <is>
          <t>30.0</t>
        </is>
      </c>
      <c r="F37" s="7" t="n">
        <v>90</v>
      </c>
      <c r="G37" s="7" t="n">
        <v>3</v>
      </c>
      <c r="H37" s="7" t="n">
        <v>3</v>
      </c>
      <c r="I37" s="7" t="n">
        <v>0</v>
      </c>
      <c r="J37" s="8" t="n">
        <v>3076</v>
      </c>
      <c r="K37" s="9">
        <f>IFERROR(IF((ROUND((J37/G37)*I37,1))&lt;0,(ROUND((J37/G37)*I37,1)),0),0)</f>
        <v/>
      </c>
    </row>
    <row r="38">
      <c r="A38" s="4" t="n">
        <v>35</v>
      </c>
      <c r="B38" s="5" t="inlineStr">
        <is>
          <t>NYM</t>
        </is>
      </c>
      <c r="C38" s="5" t="inlineStr">
        <is>
          <t>53436008430</t>
        </is>
      </c>
      <c r="D38" s="5" t="inlineStr">
        <is>
          <t>VELTASSA 8.4GM PACK</t>
        </is>
      </c>
      <c r="E38" s="6" t="inlineStr">
        <is>
          <t>30.0</t>
        </is>
      </c>
      <c r="F38" s="7" t="n">
        <v>90</v>
      </c>
      <c r="G38" s="7" t="n">
        <v>3</v>
      </c>
      <c r="H38" s="7" t="n">
        <v>3</v>
      </c>
      <c r="I38" s="7" t="n">
        <v>0</v>
      </c>
      <c r="J38" s="8" t="n">
        <v>3073</v>
      </c>
      <c r="K38" s="9">
        <f>IFERROR(IF((ROUND((J38/G38)*I38,1))&lt;0,(ROUND((J38/G38)*I38,1)),0),0)</f>
        <v/>
      </c>
    </row>
    <row r="39">
      <c r="A39" s="4" t="n">
        <v>36</v>
      </c>
      <c r="B39" s="5" t="inlineStr">
        <is>
          <t>NYM</t>
        </is>
      </c>
      <c r="C39" s="5" t="inlineStr">
        <is>
          <t>59148003713</t>
        </is>
      </c>
      <c r="D39" s="5" t="inlineStr">
        <is>
          <t>REXULTI 1MG TABLET</t>
        </is>
      </c>
      <c r="E39" s="6" t="inlineStr">
        <is>
          <t>30.0</t>
        </is>
      </c>
      <c r="F39" s="7" t="n">
        <v>60</v>
      </c>
      <c r="G39" s="7" t="n">
        <v>2</v>
      </c>
      <c r="H39" s="7" t="n">
        <v>2</v>
      </c>
      <c r="I39" s="7" t="n">
        <v>0</v>
      </c>
      <c r="J39" s="8" t="n">
        <v>2998</v>
      </c>
      <c r="K39" s="9">
        <f>IFERROR(IF((ROUND((J39/G39)*I39,1))&lt;0,(ROUND((J39/G39)*I39,1)),0),0)</f>
        <v/>
      </c>
    </row>
    <row r="40">
      <c r="A40" s="4" t="n">
        <v>37</v>
      </c>
      <c r="B40" s="5" t="inlineStr">
        <is>
          <t>NYM</t>
        </is>
      </c>
      <c r="C40" s="5" t="inlineStr">
        <is>
          <t>00169431430</t>
        </is>
      </c>
      <c r="D40" s="5" t="inlineStr">
        <is>
          <t>RYBELSUS 14MG TABLET</t>
        </is>
      </c>
      <c r="E40" s="6" t="inlineStr">
        <is>
          <t>30.0</t>
        </is>
      </c>
      <c r="F40" s="7" t="n">
        <v>90</v>
      </c>
      <c r="G40" s="7" t="n">
        <v>3</v>
      </c>
      <c r="H40" s="7" t="n">
        <v>15</v>
      </c>
      <c r="I40" s="7" t="n">
        <v>12</v>
      </c>
      <c r="J40" s="8" t="n">
        <v>2908</v>
      </c>
      <c r="K40" s="9">
        <f>IFERROR(IF((ROUND((J40/G40)*I40,1))&lt;0,(ROUND((J40/G40)*I40,1)),0),0)</f>
        <v/>
      </c>
    </row>
    <row r="41">
      <c r="A41" s="4" t="n">
        <v>38</v>
      </c>
      <c r="B41" s="5" t="inlineStr">
        <is>
          <t>NYM</t>
        </is>
      </c>
      <c r="C41" s="5" t="inlineStr">
        <is>
          <t>80610043060</t>
        </is>
      </c>
      <c r="D41" s="5" t="inlineStr">
        <is>
          <t>ZORYVE 0.3 % EXTERNAL FOAM</t>
        </is>
      </c>
      <c r="E41" s="6" t="inlineStr">
        <is>
          <t>60.0</t>
        </is>
      </c>
      <c r="F41" s="7" t="n">
        <v>180</v>
      </c>
      <c r="G41" s="7" t="n">
        <v>3</v>
      </c>
      <c r="H41" s="7" t="n">
        <v>0</v>
      </c>
      <c r="I41" s="7" t="n">
        <v>-3</v>
      </c>
      <c r="J41" s="8" t="n">
        <v>2694</v>
      </c>
      <c r="K41" s="9">
        <f>IFERROR(IF((ROUND((J41/G41)*I41,1))&lt;0,(ROUND((J41/G41)*I41,1)),0),0)</f>
        <v/>
      </c>
    </row>
    <row r="42">
      <c r="A42" s="4" t="n">
        <v>39</v>
      </c>
      <c r="B42" s="5" t="inlineStr">
        <is>
          <t>NYM</t>
        </is>
      </c>
      <c r="C42" s="5" t="inlineStr">
        <is>
          <t>00469260230</t>
        </is>
      </c>
      <c r="D42" s="5" t="inlineStr">
        <is>
          <t>MYRBETRIQ 50MG TABLET</t>
        </is>
      </c>
      <c r="E42" s="6" t="inlineStr">
        <is>
          <t>30.0</t>
        </is>
      </c>
      <c r="F42" s="7" t="n">
        <v>180</v>
      </c>
      <c r="G42" s="7" t="n">
        <v>6</v>
      </c>
      <c r="H42" s="7" t="n">
        <v>9</v>
      </c>
      <c r="I42" s="7" t="n">
        <v>3</v>
      </c>
      <c r="J42" s="8" t="n">
        <v>2687</v>
      </c>
      <c r="K42" s="9">
        <f>IFERROR(IF((ROUND((J42/G42)*I42,1))&lt;0,(ROUND((J42/G42)*I42,1)),0),0)</f>
        <v/>
      </c>
    </row>
    <row r="43">
      <c r="A43" s="4" t="n">
        <v>40</v>
      </c>
      <c r="B43" s="5" t="inlineStr">
        <is>
          <t>NYM</t>
        </is>
      </c>
      <c r="C43" s="5" t="inlineStr">
        <is>
          <t>00597017560</t>
        </is>
      </c>
      <c r="D43" s="5" t="inlineStr">
        <is>
          <t>SYNJARDY 5-1000 MG TABLET</t>
        </is>
      </c>
      <c r="E43" s="6" t="inlineStr">
        <is>
          <t>60.0</t>
        </is>
      </c>
      <c r="F43" s="7" t="n">
        <v>300</v>
      </c>
      <c r="G43" s="7" t="n">
        <v>5</v>
      </c>
      <c r="H43" s="7" t="n">
        <v>3</v>
      </c>
      <c r="I43" s="7" t="n">
        <v>-2</v>
      </c>
      <c r="J43" s="8" t="n">
        <v>2538</v>
      </c>
      <c r="K43" s="9">
        <f>IFERROR(IF((ROUND((J43/G43)*I43,1))&lt;0,(ROUND((J43/G43)*I43,1)),0),0)</f>
        <v/>
      </c>
    </row>
    <row r="44">
      <c r="A44" s="4" t="n">
        <v>41</v>
      </c>
      <c r="B44" s="5" t="inlineStr">
        <is>
          <t>NYM</t>
        </is>
      </c>
      <c r="C44" s="5" t="inlineStr">
        <is>
          <t>00088221905</t>
        </is>
      </c>
      <c r="D44" s="5" t="inlineStr">
        <is>
          <t>LANTUS SOLOSTAR 100UNIT/ML INJECTION</t>
        </is>
      </c>
      <c r="E44" s="6" t="inlineStr">
        <is>
          <t>15.0</t>
        </is>
      </c>
      <c r="F44" s="7" t="n">
        <v>372</v>
      </c>
      <c r="G44" s="7" t="n">
        <v>24.8</v>
      </c>
      <c r="H44" s="7" t="n">
        <v>46</v>
      </c>
      <c r="I44" s="7" t="n">
        <v>21.2</v>
      </c>
      <c r="J44" s="8" t="n">
        <v>2450</v>
      </c>
      <c r="K44" s="9">
        <f>IFERROR(IF((ROUND((J44/G44)*I44,1))&lt;0,(ROUND((J44/G44)*I44,1)),0),0)</f>
        <v/>
      </c>
    </row>
    <row r="45">
      <c r="A45" s="4" t="n">
        <v>42</v>
      </c>
      <c r="B45" s="5" t="inlineStr">
        <is>
          <t>NYM</t>
        </is>
      </c>
      <c r="C45" s="5" t="inlineStr">
        <is>
          <t>00597016860</t>
        </is>
      </c>
      <c r="D45" s="5" t="inlineStr">
        <is>
          <t>SYNJARDY 12.5-1000MG TABLET</t>
        </is>
      </c>
      <c r="E45" s="6" t="inlineStr">
        <is>
          <t>60.0</t>
        </is>
      </c>
      <c r="F45" s="7" t="n">
        <v>240</v>
      </c>
      <c r="G45" s="7" t="n">
        <v>4</v>
      </c>
      <c r="H45" s="7" t="n">
        <v>7</v>
      </c>
      <c r="I45" s="7" t="n">
        <v>3</v>
      </c>
      <c r="J45" s="8" t="n">
        <v>2439</v>
      </c>
      <c r="K45" s="9">
        <f>IFERROR(IF((ROUND((J45/G45)*I45,1))&lt;0,(ROUND((J45/G45)*I45,1)),0),0)</f>
        <v/>
      </c>
    </row>
    <row r="46">
      <c r="A46" s="4" t="n">
        <v>43</v>
      </c>
      <c r="B46" s="5" t="inlineStr">
        <is>
          <t>NYM</t>
        </is>
      </c>
      <c r="C46" s="5" t="inlineStr">
        <is>
          <t>00310908012</t>
        </is>
      </c>
      <c r="D46" s="5" t="inlineStr">
        <is>
          <t>AIRSUPRA 90-80 MCG/ACT INHALATION AEROSOL</t>
        </is>
      </c>
      <c r="E46" s="6" t="inlineStr">
        <is>
          <t>10.7</t>
        </is>
      </c>
      <c r="F46" s="7" t="n">
        <v>53.5</v>
      </c>
      <c r="G46" s="7" t="n">
        <v>5</v>
      </c>
      <c r="H46" s="7" t="n">
        <v>4</v>
      </c>
      <c r="I46" s="7" t="n">
        <v>-1</v>
      </c>
      <c r="J46" s="8" t="n">
        <v>2411</v>
      </c>
      <c r="K46" s="9">
        <f>IFERROR(IF((ROUND((J46/G46)*I46,1))&lt;0,(ROUND((J46/G46)*I46,1)),0),0)</f>
        <v/>
      </c>
    </row>
    <row r="47">
      <c r="A47" s="4" t="n">
        <v>44</v>
      </c>
      <c r="B47" s="5" t="inlineStr">
        <is>
          <t>NYM</t>
        </is>
      </c>
      <c r="C47" s="5" t="inlineStr">
        <is>
          <t>00186037220</t>
        </is>
      </c>
      <c r="D47" s="5" t="inlineStr">
        <is>
          <t>SYMBICORT 80-4.5MCG/ACT AEROSOL</t>
        </is>
      </c>
      <c r="E47" s="6" t="inlineStr">
        <is>
          <t>10.2</t>
        </is>
      </c>
      <c r="F47" s="7" t="n">
        <v>112.2</v>
      </c>
      <c r="G47" s="7" t="n">
        <v>11</v>
      </c>
      <c r="H47" s="7" t="n">
        <v>0</v>
      </c>
      <c r="I47" s="7" t="n">
        <v>-11</v>
      </c>
      <c r="J47" s="8" t="n">
        <v>2274</v>
      </c>
      <c r="K47" s="9">
        <f>IFERROR(IF((ROUND((J47/G47)*I47,1))&lt;0,(ROUND((J47/G47)*I47,1)),0),0)</f>
        <v/>
      </c>
    </row>
    <row r="48">
      <c r="A48" s="4" t="n">
        <v>45</v>
      </c>
      <c r="B48" s="5" t="inlineStr">
        <is>
          <t>NYM</t>
        </is>
      </c>
      <c r="C48" s="5" t="inlineStr">
        <is>
          <t>00074732713</t>
        </is>
      </c>
      <c r="D48" s="5" t="inlineStr">
        <is>
          <t>DEPAKOTE 500MG TABLET DELAYED RELEASE</t>
        </is>
      </c>
      <c r="E48" s="6" t="inlineStr">
        <is>
          <t>100.0</t>
        </is>
      </c>
      <c r="F48" s="7" t="n">
        <v>300</v>
      </c>
      <c r="G48" s="7" t="n">
        <v>3</v>
      </c>
      <c r="H48" s="7" t="n">
        <v>2</v>
      </c>
      <c r="I48" s="7" t="n">
        <v>-1</v>
      </c>
      <c r="J48" s="8" t="n">
        <v>2228</v>
      </c>
      <c r="K48" s="9">
        <f>IFERROR(IF((ROUND((J48/G48)*I48,1))&lt;0,(ROUND((J48/G48)*I48,1)),0),0)</f>
        <v/>
      </c>
    </row>
    <row r="49">
      <c r="A49" s="4" t="n">
        <v>46</v>
      </c>
      <c r="B49" s="5" t="inlineStr">
        <is>
          <t>NYM</t>
        </is>
      </c>
      <c r="C49" s="5" t="inlineStr">
        <is>
          <t>00456120130</t>
        </is>
      </c>
      <c r="D49" s="5" t="inlineStr">
        <is>
          <t>LINZESS 145MCG CAPSULE</t>
        </is>
      </c>
      <c r="E49" s="6" t="inlineStr">
        <is>
          <t>30.0</t>
        </is>
      </c>
      <c r="F49" s="7" t="n">
        <v>150</v>
      </c>
      <c r="G49" s="7" t="n">
        <v>5</v>
      </c>
      <c r="H49" s="7" t="n">
        <v>30</v>
      </c>
      <c r="I49" s="7" t="n">
        <v>25</v>
      </c>
      <c r="J49" s="8" t="n">
        <v>2226</v>
      </c>
      <c r="K49" s="9">
        <f>IFERROR(IF((ROUND((J49/G49)*I49,1))&lt;0,(ROUND((J49/G49)*I49,1)),0),0)</f>
        <v/>
      </c>
    </row>
    <row r="50">
      <c r="A50" s="4" t="n">
        <v>47</v>
      </c>
      <c r="B50" s="5" t="inlineStr">
        <is>
          <t>NYM</t>
        </is>
      </c>
      <c r="C50" s="5" t="inlineStr">
        <is>
          <t>57599081800</t>
        </is>
      </c>
      <c r="D50" s="5" t="inlineStr">
        <is>
          <t>FREESTYLE LIBRE 3 SENSOR</t>
        </is>
      </c>
      <c r="E50" s="6" t="inlineStr">
        <is>
          <t>1.0</t>
        </is>
      </c>
      <c r="F50" s="7" t="n">
        <v>30</v>
      </c>
      <c r="G50" s="7" t="n">
        <v>30</v>
      </c>
      <c r="H50" s="7" t="n">
        <v>16</v>
      </c>
      <c r="I50" s="7" t="n">
        <v>-14</v>
      </c>
      <c r="J50" s="8" t="n">
        <v>2182</v>
      </c>
      <c r="K50" s="9">
        <f>IFERROR(IF((ROUND((J50/G50)*I50,1))&lt;0,(ROUND((J50/G50)*I50,1)),0),0)</f>
        <v/>
      </c>
    </row>
    <row r="51">
      <c r="A51" s="4" t="n">
        <v>48</v>
      </c>
      <c r="B51" s="5" t="inlineStr">
        <is>
          <t>NYM</t>
        </is>
      </c>
      <c r="C51" s="5" t="inlineStr">
        <is>
          <t>00173071720</t>
        </is>
      </c>
      <c r="D51" s="5" t="inlineStr">
        <is>
          <t>ADVAIR HFA 230-21 MCG/ACT INHALATION AEROSOL</t>
        </is>
      </c>
      <c r="E51" s="6" t="inlineStr">
        <is>
          <t>12.0</t>
        </is>
      </c>
      <c r="F51" s="7" t="n">
        <v>60</v>
      </c>
      <c r="G51" s="7" t="n">
        <v>5</v>
      </c>
      <c r="H51" s="7" t="n">
        <v>3</v>
      </c>
      <c r="I51" s="7" t="n">
        <v>-2</v>
      </c>
      <c r="J51" s="8" t="n">
        <v>2155</v>
      </c>
      <c r="K51" s="9">
        <f>IFERROR(IF((ROUND((J51/G51)*I51,1))&lt;0,(ROUND((J51/G51)*I51,1)),0),0)</f>
        <v/>
      </c>
    </row>
    <row r="52">
      <c r="A52" s="4" t="n">
        <v>49</v>
      </c>
      <c r="B52" s="5" t="inlineStr">
        <is>
          <t>NYM</t>
        </is>
      </c>
      <c r="C52" s="5" t="inlineStr">
        <is>
          <t>00002148480</t>
        </is>
      </c>
      <c r="D52" s="5" t="inlineStr">
        <is>
          <t>MOUNJARO 7.5 MG/0.5ML PEN-INJECTOR</t>
        </is>
      </c>
      <c r="E52" s="6" t="inlineStr">
        <is>
          <t>2.0</t>
        </is>
      </c>
      <c r="F52" s="7" t="n">
        <v>4</v>
      </c>
      <c r="G52" s="7" t="n">
        <v>2</v>
      </c>
      <c r="H52" s="7" t="n">
        <v>27</v>
      </c>
      <c r="I52" s="7" t="n">
        <v>25</v>
      </c>
      <c r="J52" s="8" t="n">
        <v>2138</v>
      </c>
      <c r="K52" s="9">
        <f>IFERROR(IF((ROUND((J52/G52)*I52,1))&lt;0,(ROUND((J52/G52)*I52,1)),0),0)</f>
        <v/>
      </c>
    </row>
    <row r="53">
      <c r="A53" s="4" t="n">
        <v>50</v>
      </c>
      <c r="B53" s="5" t="inlineStr">
        <is>
          <t>NYM</t>
        </is>
      </c>
      <c r="C53" s="5" t="inlineStr">
        <is>
          <t>00002150680</t>
        </is>
      </c>
      <c r="D53" s="5" t="inlineStr">
        <is>
          <t>MOUNJARO 2.5 MG/0.5ML PEN-INJECTOR</t>
        </is>
      </c>
      <c r="E53" s="6" t="inlineStr">
        <is>
          <t>2.0</t>
        </is>
      </c>
      <c r="F53" s="7" t="n">
        <v>4</v>
      </c>
      <c r="G53" s="7" t="n">
        <v>2</v>
      </c>
      <c r="H53" s="7" t="n">
        <v>4</v>
      </c>
      <c r="I53" s="7" t="n">
        <v>2</v>
      </c>
      <c r="J53" s="8" t="n">
        <v>2113</v>
      </c>
      <c r="K53" s="9">
        <f>IFERROR(IF((ROUND((J53/G53)*I53,1))&lt;0,(ROUND((J53/G53)*I53,1)),0),0)</f>
        <v/>
      </c>
    </row>
    <row r="54">
      <c r="A54" s="4" t="n">
        <v>51</v>
      </c>
      <c r="B54" s="5" t="inlineStr">
        <is>
          <t>NYM</t>
        </is>
      </c>
      <c r="C54" s="5" t="inlineStr">
        <is>
          <t>00173087310</t>
        </is>
      </c>
      <c r="D54" s="5" t="inlineStr">
        <is>
          <t>INCRUSE ELLIPTA 62.5MCG/INH AEROSOL</t>
        </is>
      </c>
      <c r="E54" s="6" t="inlineStr">
        <is>
          <t>30.0</t>
        </is>
      </c>
      <c r="F54" s="7" t="n">
        <v>180</v>
      </c>
      <c r="G54" s="7" t="n">
        <v>6</v>
      </c>
      <c r="H54" s="7" t="n">
        <v>3</v>
      </c>
      <c r="I54" s="7" t="n">
        <v>-3</v>
      </c>
      <c r="J54" s="8" t="n">
        <v>2056</v>
      </c>
      <c r="K54" s="9">
        <f>IFERROR(IF((ROUND((J54/G54)*I54,1))&lt;0,(ROUND((J54/G54)*I54,1)),0),0)</f>
        <v/>
      </c>
    </row>
    <row r="55">
      <c r="A55" s="4" t="n">
        <v>52</v>
      </c>
      <c r="B55" s="5" t="inlineStr">
        <is>
          <t>NYM</t>
        </is>
      </c>
      <c r="C55" s="5" t="inlineStr">
        <is>
          <t>50419054101</t>
        </is>
      </c>
      <c r="D55" s="5" t="inlineStr">
        <is>
          <t>KERENDIA 20MG TABLET</t>
        </is>
      </c>
      <c r="E55" s="6" t="inlineStr">
        <is>
          <t>30.0</t>
        </is>
      </c>
      <c r="F55" s="7" t="n">
        <v>90</v>
      </c>
      <c r="G55" s="7" t="n">
        <v>3</v>
      </c>
      <c r="H55" s="7" t="n">
        <v>6</v>
      </c>
      <c r="I55" s="7" t="n">
        <v>3</v>
      </c>
      <c r="J55" s="8" t="n">
        <v>1985</v>
      </c>
      <c r="K55" s="9">
        <f>IFERROR(IF((ROUND((J55/G55)*I55,1))&lt;0,(ROUND((J55/G55)*I55,1)),0),0)</f>
        <v/>
      </c>
    </row>
    <row r="56">
      <c r="A56" s="4" t="n">
        <v>53</v>
      </c>
      <c r="B56" s="5" t="inlineStr">
        <is>
          <t>NYM</t>
        </is>
      </c>
      <c r="C56" s="5" t="inlineStr">
        <is>
          <t>50419054001</t>
        </is>
      </c>
      <c r="D56" s="5" t="inlineStr">
        <is>
          <t>KERENDIA 10 MG TABLET</t>
        </is>
      </c>
      <c r="E56" s="6" t="inlineStr">
        <is>
          <t>30.0</t>
        </is>
      </c>
      <c r="F56" s="7" t="n">
        <v>90</v>
      </c>
      <c r="G56" s="7" t="n">
        <v>3</v>
      </c>
      <c r="H56" s="7" t="n">
        <v>31</v>
      </c>
      <c r="I56" s="7" t="n">
        <v>28</v>
      </c>
      <c r="J56" s="8" t="n">
        <v>1983</v>
      </c>
      <c r="K56" s="9">
        <f>IFERROR(IF((ROUND((J56/G56)*I56,1))&lt;0,(ROUND((J56/G56)*I56,1)),0),0)</f>
        <v/>
      </c>
    </row>
    <row r="57">
      <c r="A57" s="4" t="n">
        <v>54</v>
      </c>
      <c r="B57" s="5" t="inlineStr">
        <is>
          <t>NYM</t>
        </is>
      </c>
      <c r="C57" s="5" t="inlineStr">
        <is>
          <t>73154005060</t>
        </is>
      </c>
      <c r="D57" s="5" t="inlineStr">
        <is>
          <t>IBSRELA 50 MG ORAL TABLET</t>
        </is>
      </c>
      <c r="E57" s="6" t="inlineStr">
        <is>
          <t>60.0</t>
        </is>
      </c>
      <c r="F57" s="7" t="n">
        <v>60</v>
      </c>
      <c r="G57" s="7" t="n">
        <v>1</v>
      </c>
      <c r="H57" s="7" t="n">
        <v>0</v>
      </c>
      <c r="I57" s="7" t="n">
        <v>-1</v>
      </c>
      <c r="J57" s="8" t="n">
        <v>1965</v>
      </c>
      <c r="K57" s="9">
        <f>IFERROR(IF((ROUND((J57/G57)*I57,1))&lt;0,(ROUND((J57/G57)*I57,1)),0),0)</f>
        <v/>
      </c>
    </row>
    <row r="58">
      <c r="A58" s="4" t="n">
        <v>55</v>
      </c>
      <c r="B58" s="5" t="inlineStr">
        <is>
          <t>NYM</t>
        </is>
      </c>
      <c r="C58" s="5" t="inlineStr">
        <is>
          <t>00597007541</t>
        </is>
      </c>
      <c r="D58" s="5" t="inlineStr">
        <is>
          <t>SPIRIVA HANDIHALER 18MCG CAPSULE</t>
        </is>
      </c>
      <c r="E58" s="6" t="inlineStr">
        <is>
          <t>30.0</t>
        </is>
      </c>
      <c r="F58" s="7" t="n">
        <v>180</v>
      </c>
      <c r="G58" s="7" t="n">
        <v>6</v>
      </c>
      <c r="H58" s="7" t="n">
        <v>0</v>
      </c>
      <c r="I58" s="7" t="n">
        <v>-6</v>
      </c>
      <c r="J58" s="8" t="n">
        <v>1930</v>
      </c>
      <c r="K58" s="9">
        <f>IFERROR(IF((ROUND((J58/G58)*I58,1))&lt;0,(ROUND((J58/G58)*I58,1)),0),0)</f>
        <v/>
      </c>
    </row>
    <row r="59">
      <c r="A59" s="4" t="n">
        <v>56</v>
      </c>
      <c r="B59" s="5" t="inlineStr">
        <is>
          <t>NYM</t>
        </is>
      </c>
      <c r="C59" s="5" t="inlineStr">
        <is>
          <t>00006057761</t>
        </is>
      </c>
      <c r="D59" s="5" t="inlineStr">
        <is>
          <t>JANUMET 50-1000MG TABLET</t>
        </is>
      </c>
      <c r="E59" s="6" t="inlineStr">
        <is>
          <t>60.0</t>
        </is>
      </c>
      <c r="F59" s="7" t="n">
        <v>360</v>
      </c>
      <c r="G59" s="7" t="n">
        <v>6</v>
      </c>
      <c r="H59" s="7" t="n">
        <v>61</v>
      </c>
      <c r="I59" s="7" t="n">
        <v>55</v>
      </c>
      <c r="J59" s="8" t="n">
        <v>1921</v>
      </c>
      <c r="K59" s="9">
        <f>IFERROR(IF((ROUND((J59/G59)*I59,1))&lt;0,(ROUND((J59/G59)*I59,1)),0),0)</f>
        <v/>
      </c>
    </row>
    <row r="60">
      <c r="A60" s="4" t="n">
        <v>57</v>
      </c>
      <c r="B60" s="5" t="inlineStr">
        <is>
          <t>NYM</t>
        </is>
      </c>
      <c r="C60" s="5" t="inlineStr">
        <is>
          <t>00006027731</t>
        </is>
      </c>
      <c r="D60" s="5" t="inlineStr">
        <is>
          <t>JANUVIA 100MG TAB</t>
        </is>
      </c>
      <c r="E60" s="6" t="inlineStr">
        <is>
          <t>30.0</t>
        </is>
      </c>
      <c r="F60" s="7" t="n">
        <v>180</v>
      </c>
      <c r="G60" s="7" t="n">
        <v>6</v>
      </c>
      <c r="H60" s="7" t="n">
        <v>63</v>
      </c>
      <c r="I60" s="7" t="n">
        <v>57</v>
      </c>
      <c r="J60" s="8" t="n">
        <v>1920</v>
      </c>
      <c r="K60" s="9">
        <f>IFERROR(IF((ROUND((J60/G60)*I60,1))&lt;0,(ROUND((J60/G60)*I60,1)),0),0)</f>
        <v/>
      </c>
    </row>
    <row r="61">
      <c r="A61" s="4" t="n">
        <v>58</v>
      </c>
      <c r="B61" s="5" t="inlineStr">
        <is>
          <t>NYM</t>
        </is>
      </c>
      <c r="C61" s="5" t="inlineStr">
        <is>
          <t>64764080530</t>
        </is>
      </c>
      <c r="D61" s="5" t="inlineStr">
        <is>
          <t>ROZEREM 8MG TABLET</t>
        </is>
      </c>
      <c r="E61" s="6" t="inlineStr">
        <is>
          <t>30.0</t>
        </is>
      </c>
      <c r="F61" s="7" t="n">
        <v>150</v>
      </c>
      <c r="G61" s="7" t="n">
        <v>5</v>
      </c>
      <c r="H61" s="7" t="n">
        <v>2</v>
      </c>
      <c r="I61" s="7" t="n">
        <v>-3</v>
      </c>
      <c r="J61" s="8" t="n">
        <v>1913</v>
      </c>
      <c r="K61" s="9">
        <f>IFERROR(IF((ROUND((J61/G61)*I61,1))&lt;0,(ROUND((J61/G61)*I61,1)),0),0)</f>
        <v/>
      </c>
    </row>
    <row r="62">
      <c r="A62" s="4" t="n">
        <v>59</v>
      </c>
      <c r="B62" s="5" t="inlineStr">
        <is>
          <t>NYM</t>
        </is>
      </c>
      <c r="C62" s="5" t="inlineStr">
        <is>
          <t>00597029074</t>
        </is>
      </c>
      <c r="D62" s="5" t="inlineStr">
        <is>
          <t>SYNJARDY 5-1000MG TABLET XR</t>
        </is>
      </c>
      <c r="E62" s="6" t="inlineStr">
        <is>
          <t>60.0</t>
        </is>
      </c>
      <c r="F62" s="7" t="n">
        <v>180</v>
      </c>
      <c r="G62" s="7" t="n">
        <v>3</v>
      </c>
      <c r="H62" s="7" t="n">
        <v>3</v>
      </c>
      <c r="I62" s="7" t="n">
        <v>0</v>
      </c>
      <c r="J62" s="8" t="n">
        <v>1826</v>
      </c>
      <c r="K62" s="9">
        <f>IFERROR(IF((ROUND((J62/G62)*I62,1))&lt;0,(ROUND((J62/G62)*I62,1)),0),0)</f>
        <v/>
      </c>
    </row>
    <row r="63">
      <c r="A63" s="4" t="n">
        <v>60</v>
      </c>
      <c r="B63" s="5" t="inlineStr">
        <is>
          <t>NYM</t>
        </is>
      </c>
      <c r="C63" s="5" t="inlineStr">
        <is>
          <t>00006537303</t>
        </is>
      </c>
      <c r="D63" s="5" t="inlineStr">
        <is>
          <t>SEGLUROMET 2.5-1000MG TABLET</t>
        </is>
      </c>
      <c r="E63" s="6" t="inlineStr">
        <is>
          <t>60.0</t>
        </is>
      </c>
      <c r="F63" s="7" t="n">
        <v>300</v>
      </c>
      <c r="G63" s="7" t="n">
        <v>5</v>
      </c>
      <c r="H63" s="7" t="n">
        <v>1</v>
      </c>
      <c r="I63" s="7" t="n">
        <v>-4</v>
      </c>
      <c r="J63" s="8" t="n">
        <v>1767</v>
      </c>
      <c r="K63" s="9">
        <f>IFERROR(IF((ROUND((J63/G63)*I63,1))&lt;0,(ROUND((J63/G63)*I63,1)),0),0)</f>
        <v/>
      </c>
    </row>
    <row r="64">
      <c r="A64" s="4" t="n">
        <v>61</v>
      </c>
      <c r="B64" s="5" t="inlineStr">
        <is>
          <t>NYM</t>
        </is>
      </c>
      <c r="C64" s="5" t="inlineStr">
        <is>
          <t>00430042014</t>
        </is>
      </c>
      <c r="D64" s="5" t="inlineStr">
        <is>
          <t>LO LOESTRIN FE 1 MG-10 MCG / 10 MCG ORAL TABLET</t>
        </is>
      </c>
      <c r="E64" s="6" t="inlineStr">
        <is>
          <t>140.0</t>
        </is>
      </c>
      <c r="F64" s="7" t="n">
        <v>252</v>
      </c>
      <c r="G64" s="7" t="n">
        <v>1.8</v>
      </c>
      <c r="H64" s="7" t="n">
        <v>1</v>
      </c>
      <c r="I64" s="7" t="n">
        <v>-0.8</v>
      </c>
      <c r="J64" s="8" t="n">
        <v>1683</v>
      </c>
      <c r="K64" s="9">
        <f>IFERROR(IF((ROUND((J64/G64)*I64,1))&lt;0,(ROUND((J64/G64)*I64,1)),0),0)</f>
        <v/>
      </c>
    </row>
    <row r="65">
      <c r="A65" s="4" t="n">
        <v>62</v>
      </c>
      <c r="B65" s="5" t="inlineStr">
        <is>
          <t>NYM</t>
        </is>
      </c>
      <c r="C65" s="5" t="inlineStr">
        <is>
          <t>00006011231</t>
        </is>
      </c>
      <c r="D65" s="5" t="inlineStr">
        <is>
          <t>JANUVIA 50MG TABLET</t>
        </is>
      </c>
      <c r="E65" s="6" t="inlineStr">
        <is>
          <t>30.0</t>
        </is>
      </c>
      <c r="F65" s="7" t="n">
        <v>150</v>
      </c>
      <c r="G65" s="7" t="n">
        <v>5</v>
      </c>
      <c r="H65" s="7" t="n">
        <v>35</v>
      </c>
      <c r="I65" s="7" t="n">
        <v>30</v>
      </c>
      <c r="J65" s="8" t="n">
        <v>1613</v>
      </c>
      <c r="K65" s="9">
        <f>IFERROR(IF((ROUND((J65/G65)*I65,1))&lt;0,(ROUND((J65/G65)*I65,1)),0),0)</f>
        <v/>
      </c>
    </row>
    <row r="66">
      <c r="A66" s="4" t="n">
        <v>63</v>
      </c>
      <c r="B66" s="5" t="inlineStr">
        <is>
          <t>NYM</t>
        </is>
      </c>
      <c r="C66" s="5" t="inlineStr">
        <is>
          <t>00023320508</t>
        </is>
      </c>
      <c r="D66" s="5" t="inlineStr">
        <is>
          <t>LUMIGAN 0.01% SOLUTION</t>
        </is>
      </c>
      <c r="E66" s="6" t="inlineStr">
        <is>
          <t>7.5</t>
        </is>
      </c>
      <c r="F66" s="7" t="n">
        <v>15</v>
      </c>
      <c r="G66" s="7" t="n">
        <v>2</v>
      </c>
      <c r="H66" s="7" t="n">
        <v>10</v>
      </c>
      <c r="I66" s="7" t="n">
        <v>8</v>
      </c>
      <c r="J66" s="8" t="n">
        <v>1554</v>
      </c>
      <c r="K66" s="9">
        <f>IFERROR(IF((ROUND((J66/G66)*I66,1))&lt;0,(ROUND((J66/G66)*I66,1)),0),0)</f>
        <v/>
      </c>
    </row>
    <row r="67">
      <c r="A67" s="4" t="n">
        <v>64</v>
      </c>
      <c r="B67" s="5" t="inlineStr">
        <is>
          <t>NYM</t>
        </is>
      </c>
      <c r="C67" s="5" t="inlineStr">
        <is>
          <t>55724021121</t>
        </is>
      </c>
      <c r="D67" s="5" t="inlineStr">
        <is>
          <t>EUCRISA 2% OINTMENT</t>
        </is>
      </c>
      <c r="E67" s="6" t="inlineStr">
        <is>
          <t>60.0</t>
        </is>
      </c>
      <c r="F67" s="7" t="n">
        <v>120</v>
      </c>
      <c r="G67" s="7" t="n">
        <v>2</v>
      </c>
      <c r="H67" s="7" t="n">
        <v>0</v>
      </c>
      <c r="I67" s="7" t="n">
        <v>-2</v>
      </c>
      <c r="J67" s="8" t="n">
        <v>1536</v>
      </c>
      <c r="K67" s="9">
        <f>IFERROR(IF((ROUND((J67/G67)*I67,1))&lt;0,(ROUND((J67/G67)*I67,1)),0),0)</f>
        <v/>
      </c>
    </row>
    <row r="68">
      <c r="A68" s="4" t="n">
        <v>65</v>
      </c>
      <c r="B68" s="5" t="inlineStr">
        <is>
          <t>NYM</t>
        </is>
      </c>
      <c r="C68" s="5" t="inlineStr">
        <is>
          <t>61874014530</t>
        </is>
      </c>
      <c r="D68" s="5" t="inlineStr">
        <is>
          <t>VRAYLAR 4.5 MG ORAL CAPSULE</t>
        </is>
      </c>
      <c r="E68" s="6" t="inlineStr">
        <is>
          <t>30.0</t>
        </is>
      </c>
      <c r="F68" s="7" t="n">
        <v>30</v>
      </c>
      <c r="G68" s="7" t="n">
        <v>1</v>
      </c>
      <c r="H68" s="7" t="n">
        <v>1</v>
      </c>
      <c r="I68" s="7" t="n">
        <v>0</v>
      </c>
      <c r="J68" s="8" t="n">
        <v>1466</v>
      </c>
      <c r="K68" s="9">
        <f>IFERROR(IF((ROUND((J68/G68)*I68,1))&lt;0,(ROUND((J68/G68)*I68,1)),0),0)</f>
        <v/>
      </c>
    </row>
    <row r="69">
      <c r="A69" s="4" t="n">
        <v>66</v>
      </c>
      <c r="B69" s="5" t="inlineStr">
        <is>
          <t>NYM</t>
        </is>
      </c>
      <c r="C69" s="5" t="inlineStr">
        <is>
          <t>00023917715</t>
        </is>
      </c>
      <c r="D69" s="5" t="inlineStr">
        <is>
          <t>ALPHAGAN P 0.15 % OPHTHALMIC SOLUTION</t>
        </is>
      </c>
      <c r="E69" s="6" t="inlineStr">
        <is>
          <t>15.0</t>
        </is>
      </c>
      <c r="F69" s="7" t="n">
        <v>30</v>
      </c>
      <c r="G69" s="7" t="n">
        <v>2</v>
      </c>
      <c r="H69" s="7" t="n">
        <v>0</v>
      </c>
      <c r="I69" s="7" t="n">
        <v>-2</v>
      </c>
      <c r="J69" s="8" t="n">
        <v>1217</v>
      </c>
      <c r="K69" s="9">
        <f>IFERROR(IF((ROUND((J69/G69)*I69,1))&lt;0,(ROUND((J69/G69)*I69,1)),0),0)</f>
        <v/>
      </c>
    </row>
    <row r="70">
      <c r="A70" s="4" t="n">
        <v>67</v>
      </c>
      <c r="B70" s="5" t="inlineStr">
        <is>
          <t>NYM</t>
        </is>
      </c>
      <c r="C70" s="5" t="inlineStr">
        <is>
          <t>17772013230</t>
        </is>
      </c>
      <c r="D70" s="5" t="inlineStr">
        <is>
          <t>QELBREE 150MG CAPSULE ER</t>
        </is>
      </c>
      <c r="E70" s="6" t="inlineStr">
        <is>
          <t>30.0</t>
        </is>
      </c>
      <c r="F70" s="7" t="n">
        <v>90</v>
      </c>
      <c r="G70" s="7" t="n">
        <v>3</v>
      </c>
      <c r="H70" s="7" t="n">
        <v>3</v>
      </c>
      <c r="I70" s="7" t="n">
        <v>0</v>
      </c>
      <c r="J70" s="8" t="n">
        <v>1113</v>
      </c>
      <c r="K70" s="9">
        <f>IFERROR(IF((ROUND((J70/G70)*I70,1))&lt;0,(ROUND((J70/G70)*I70,1)),0),0)</f>
        <v/>
      </c>
    </row>
    <row r="71">
      <c r="A71" s="4" t="n">
        <v>68</v>
      </c>
      <c r="B71" s="5" t="inlineStr">
        <is>
          <t>NYM</t>
        </is>
      </c>
      <c r="C71" s="5" t="inlineStr">
        <is>
          <t>59310030240</t>
        </is>
      </c>
      <c r="D71" s="5" t="inlineStr">
        <is>
          <t>QVAR REDIHALER 40MCG/ACT AEROSOL</t>
        </is>
      </c>
      <c r="E71" s="6" t="inlineStr">
        <is>
          <t>10.6</t>
        </is>
      </c>
      <c r="F71" s="7" t="n">
        <v>53</v>
      </c>
      <c r="G71" s="7" t="n">
        <v>5</v>
      </c>
      <c r="H71" s="7" t="n">
        <v>0</v>
      </c>
      <c r="I71" s="7" t="n">
        <v>-5</v>
      </c>
      <c r="J71" s="8" t="n">
        <v>1108</v>
      </c>
      <c r="K71" s="9">
        <f>IFERROR(IF((ROUND((J71/G71)*I71,1))&lt;0,(ROUND((J71/G71)*I71,1)),0),0)</f>
        <v/>
      </c>
    </row>
    <row r="72">
      <c r="A72" s="4" t="n">
        <v>69</v>
      </c>
      <c r="B72" s="5" t="inlineStr">
        <is>
          <t>NYM</t>
        </is>
      </c>
      <c r="C72" s="5" t="inlineStr">
        <is>
          <t>00469266030</t>
        </is>
      </c>
      <c r="D72" s="5" t="inlineStr">
        <is>
          <t>VEOZAH 45 MG ORAL TABLET</t>
        </is>
      </c>
      <c r="E72" s="6" t="inlineStr">
        <is>
          <t>30.0</t>
        </is>
      </c>
      <c r="F72" s="7" t="n">
        <v>60</v>
      </c>
      <c r="G72" s="7" t="n">
        <v>2</v>
      </c>
      <c r="H72" s="7" t="n">
        <v>0</v>
      </c>
      <c r="I72" s="7" t="n">
        <v>-2</v>
      </c>
      <c r="J72" s="8" t="n">
        <v>1104</v>
      </c>
      <c r="K72" s="9">
        <f>IFERROR(IF((ROUND((J72/G72)*I72,1))&lt;0,(ROUND((J72/G72)*I72,1)),0),0)</f>
        <v/>
      </c>
    </row>
    <row r="73">
      <c r="A73" s="4" t="n">
        <v>70</v>
      </c>
      <c r="B73" s="5" t="inlineStr">
        <is>
          <t>NYM</t>
        </is>
      </c>
      <c r="C73" s="5" t="inlineStr">
        <is>
          <t>00023649810</t>
        </is>
      </c>
      <c r="D73" s="5" t="inlineStr">
        <is>
          <t>UBRELVY 50 MG ORAL TABLET</t>
        </is>
      </c>
      <c r="E73" s="6" t="inlineStr">
        <is>
          <t>10.0</t>
        </is>
      </c>
      <c r="F73" s="7" t="n">
        <v>10</v>
      </c>
      <c r="G73" s="7" t="n">
        <v>1</v>
      </c>
      <c r="H73" s="7" t="n">
        <v>1</v>
      </c>
      <c r="I73" s="7" t="n">
        <v>0</v>
      </c>
      <c r="J73" s="8" t="n">
        <v>1101</v>
      </c>
      <c r="K73" s="9">
        <f>IFERROR(IF((ROUND((J73/G73)*I73,1))&lt;0,(ROUND((J73/G73)*I73,1)),0),0)</f>
        <v/>
      </c>
    </row>
    <row r="74">
      <c r="A74" s="4" t="n">
        <v>71</v>
      </c>
      <c r="B74" s="5" t="inlineStr">
        <is>
          <t>NYM</t>
        </is>
      </c>
      <c r="C74" s="5" t="inlineStr">
        <is>
          <t>65162035803</t>
        </is>
      </c>
      <c r="D74" s="5" t="inlineStr">
        <is>
          <t>ZAFEMY 150-35 MCG/24HR TRANSDERMAL PATCH WEEKLY</t>
        </is>
      </c>
      <c r="E74" s="6" t="inlineStr">
        <is>
          <t>3.0</t>
        </is>
      </c>
      <c r="F74" s="7" t="n">
        <v>33</v>
      </c>
      <c r="G74" s="7" t="n">
        <v>11</v>
      </c>
      <c r="H74" s="7" t="n">
        <v>1</v>
      </c>
      <c r="I74" s="7" t="n">
        <v>-10</v>
      </c>
      <c r="J74" s="8" t="n">
        <v>1098</v>
      </c>
      <c r="K74" s="9">
        <f>IFERROR(IF((ROUND((J74/G74)*I74,1))&lt;0,(ROUND((J74/G74)*I74,1)),0),0)</f>
        <v/>
      </c>
    </row>
    <row r="75">
      <c r="A75" s="4" t="n">
        <v>72</v>
      </c>
      <c r="B75" s="5" t="inlineStr">
        <is>
          <t>NYM</t>
        </is>
      </c>
      <c r="C75" s="5" t="inlineStr">
        <is>
          <t>00597010061</t>
        </is>
      </c>
      <c r="D75" s="5" t="inlineStr">
        <is>
          <t>SPIRIVA RESPIMAT 2.5MCG/ACT AEROSOL</t>
        </is>
      </c>
      <c r="E75" s="6" t="inlineStr">
        <is>
          <t>4.0</t>
        </is>
      </c>
      <c r="F75" s="7" t="n">
        <v>8</v>
      </c>
      <c r="G75" s="7" t="n">
        <v>2</v>
      </c>
      <c r="H75" s="7" t="n">
        <v>2</v>
      </c>
      <c r="I75" s="7" t="n">
        <v>0</v>
      </c>
      <c r="J75" s="8" t="n">
        <v>1028</v>
      </c>
      <c r="K75" s="9">
        <f>IFERROR(IF((ROUND((J75/G75)*I75,1))&lt;0,(ROUND((J75/G75)*I75,1)),0),0)</f>
        <v/>
      </c>
    </row>
    <row r="76">
      <c r="A76" s="4" t="n">
        <v>73</v>
      </c>
      <c r="B76" s="5" t="inlineStr">
        <is>
          <t>NYM</t>
        </is>
      </c>
      <c r="C76" s="5" t="inlineStr">
        <is>
          <t>78206012601</t>
        </is>
      </c>
      <c r="D76" s="5" t="inlineStr">
        <is>
          <t>DULERA 200-5 MCG/ACT INH AEROSOL 13GM</t>
        </is>
      </c>
      <c r="E76" s="6" t="inlineStr">
        <is>
          <t>13.0</t>
        </is>
      </c>
      <c r="F76" s="7" t="n">
        <v>39</v>
      </c>
      <c r="G76" s="7" t="n">
        <v>3</v>
      </c>
      <c r="H76" s="7" t="n">
        <v>2</v>
      </c>
      <c r="I76" s="7" t="n">
        <v>-1</v>
      </c>
      <c r="J76" s="8" t="n">
        <v>995</v>
      </c>
      <c r="K76" s="9">
        <f>IFERROR(IF((ROUND((J76/G76)*I76,1))&lt;0,(ROUND((J76/G76)*I76,1)),0),0)</f>
        <v/>
      </c>
    </row>
    <row r="77">
      <c r="A77" s="4" t="n">
        <v>74</v>
      </c>
      <c r="B77" s="5" t="inlineStr">
        <is>
          <t>NYM</t>
        </is>
      </c>
      <c r="C77" s="5" t="inlineStr">
        <is>
          <t>00006057561</t>
        </is>
      </c>
      <c r="D77" s="5" t="inlineStr">
        <is>
          <t>JANUMET 50-500 MG ORAL TABLET</t>
        </is>
      </c>
      <c r="E77" s="6" t="inlineStr">
        <is>
          <t>60.0</t>
        </is>
      </c>
      <c r="F77" s="7" t="n">
        <v>180</v>
      </c>
      <c r="G77" s="7" t="n">
        <v>3</v>
      </c>
      <c r="H77" s="7" t="n">
        <v>3</v>
      </c>
      <c r="I77" s="7" t="n">
        <v>0</v>
      </c>
      <c r="J77" s="8" t="n">
        <v>961</v>
      </c>
      <c r="K77" s="9">
        <f>IFERROR(IF((ROUND((J77/G77)*I77,1))&lt;0,(ROUND((J77/G77)*I77,1)),0),0)</f>
        <v/>
      </c>
    </row>
    <row r="78">
      <c r="A78" s="4" t="n">
        <v>75</v>
      </c>
      <c r="B78" s="5" t="inlineStr">
        <is>
          <t>NYM</t>
        </is>
      </c>
      <c r="C78" s="5" t="inlineStr">
        <is>
          <t>00002771559</t>
        </is>
      </c>
      <c r="D78" s="5" t="inlineStr">
        <is>
          <t>BASAGLAR KWIKPEN 100UNIT/ML INJECTION</t>
        </is>
      </c>
      <c r="E78" s="6" t="inlineStr">
        <is>
          <t>15.0</t>
        </is>
      </c>
      <c r="F78" s="7" t="n">
        <v>42</v>
      </c>
      <c r="G78" s="7" t="n">
        <v>2.8</v>
      </c>
      <c r="H78" s="7" t="n">
        <v>45</v>
      </c>
      <c r="I78" s="7" t="n">
        <v>42.2</v>
      </c>
      <c r="J78" s="8" t="n">
        <v>950</v>
      </c>
      <c r="K78" s="9">
        <f>IFERROR(IF((ROUND((J78/G78)*I78,1))&lt;0,(ROUND((J78/G78)*I78,1)),0),0)</f>
        <v/>
      </c>
    </row>
    <row r="79">
      <c r="A79" s="4" t="n">
        <v>76</v>
      </c>
      <c r="B79" s="5" t="inlineStr">
        <is>
          <t>NYM</t>
        </is>
      </c>
      <c r="C79" s="5" t="inlineStr">
        <is>
          <t>57599084400</t>
        </is>
      </c>
      <c r="D79" s="5" t="inlineStr">
        <is>
          <t>FREESTYLE LIBRE 3 PLUS SENSOR</t>
        </is>
      </c>
      <c r="E79" s="6" t="inlineStr">
        <is>
          <t>1.0</t>
        </is>
      </c>
      <c r="F79" s="7" t="n">
        <v>12</v>
      </c>
      <c r="G79" s="7" t="n">
        <v>12</v>
      </c>
      <c r="H79" s="7" t="n">
        <v>0</v>
      </c>
      <c r="I79" s="7" t="n">
        <v>-12</v>
      </c>
      <c r="J79" s="8" t="n">
        <v>937</v>
      </c>
      <c r="K79" s="9">
        <f>IFERROR(IF((ROUND((J79/G79)*I79,1))&lt;0,(ROUND((J79/G79)*I79,1)),0),0)</f>
        <v/>
      </c>
    </row>
    <row r="80">
      <c r="A80" s="4" t="n">
        <v>77</v>
      </c>
      <c r="B80" s="5" t="inlineStr">
        <is>
          <t>NYM</t>
        </is>
      </c>
      <c r="C80" s="5" t="inlineStr">
        <is>
          <t>82625880201</t>
        </is>
      </c>
      <c r="D80" s="5" t="inlineStr">
        <is>
          <t>MOVANTIK 25MG TABLET</t>
        </is>
      </c>
      <c r="E80" s="6" t="inlineStr">
        <is>
          <t>30.0</t>
        </is>
      </c>
      <c r="F80" s="7" t="n">
        <v>60</v>
      </c>
      <c r="G80" s="7" t="n">
        <v>2</v>
      </c>
      <c r="H80" s="7" t="n">
        <v>0</v>
      </c>
      <c r="I80" s="7" t="n">
        <v>-2</v>
      </c>
      <c r="J80" s="8" t="n">
        <v>856</v>
      </c>
      <c r="K80" s="9">
        <f>IFERROR(IF((ROUND((J80/G80)*I80,1))&lt;0,(ROUND((J80/G80)*I80,1)),0),0)</f>
        <v/>
      </c>
    </row>
    <row r="81">
      <c r="A81" s="4" t="n">
        <v>78</v>
      </c>
      <c r="B81" s="5" t="inlineStr">
        <is>
          <t>NYM</t>
        </is>
      </c>
      <c r="C81" s="5" t="inlineStr">
        <is>
          <t>59467067901</t>
        </is>
      </c>
      <c r="D81" s="5" t="inlineStr">
        <is>
          <t>KLOXXADO 8 MG/0.1ML NASAL LIQUID</t>
        </is>
      </c>
      <c r="E81" s="6" t="inlineStr">
        <is>
          <t>2.0</t>
        </is>
      </c>
      <c r="F81" s="7" t="n">
        <v>12</v>
      </c>
      <c r="G81" s="7" t="n">
        <v>6</v>
      </c>
      <c r="H81" s="7" t="n">
        <v>8</v>
      </c>
      <c r="I81" s="7" t="n">
        <v>2</v>
      </c>
      <c r="J81" s="8" t="n">
        <v>777</v>
      </c>
      <c r="K81" s="9">
        <f>IFERROR(IF((ROUND((J81/G81)*I81,1))&lt;0,(ROUND((J81/G81)*I81,1)),0),0)</f>
        <v/>
      </c>
    </row>
    <row r="82">
      <c r="A82" s="4" t="n">
        <v>79</v>
      </c>
      <c r="B82" s="5" t="inlineStr">
        <is>
          <t>NYM</t>
        </is>
      </c>
      <c r="C82" s="5" t="inlineStr">
        <is>
          <t>50474050015</t>
        </is>
      </c>
      <c r="D82" s="5" t="inlineStr">
        <is>
          <t>NAYZILAM 5 MG/0.1ML NASAL SOLUTION</t>
        </is>
      </c>
      <c r="E82" s="6" t="inlineStr">
        <is>
          <t>2.0</t>
        </is>
      </c>
      <c r="F82" s="7" t="n">
        <v>2</v>
      </c>
      <c r="G82" s="7" t="n">
        <v>1</v>
      </c>
      <c r="H82" s="7" t="n">
        <v>0</v>
      </c>
      <c r="I82" s="7" t="n">
        <v>-1</v>
      </c>
      <c r="J82" s="8" t="n">
        <v>649</v>
      </c>
      <c r="K82" s="9">
        <f>IFERROR(IF((ROUND((J82/G82)*I82,1))&lt;0,(ROUND((J82/G82)*I82,1)),0),0)</f>
        <v/>
      </c>
    </row>
    <row r="83">
      <c r="A83" s="4" t="n">
        <v>80</v>
      </c>
      <c r="B83" s="5" t="inlineStr">
        <is>
          <t>NYM</t>
        </is>
      </c>
      <c r="C83" s="5" t="inlineStr">
        <is>
          <t>00065414727</t>
        </is>
      </c>
      <c r="D83" s="5" t="inlineStr">
        <is>
          <t>SIMBRINZA 1-0.2 % OPHTHALMIC SUSPENSION</t>
        </is>
      </c>
      <c r="E83" s="6" t="inlineStr">
        <is>
          <t>8.0</t>
        </is>
      </c>
      <c r="F83" s="7" t="n">
        <v>24</v>
      </c>
      <c r="G83" s="7" t="n">
        <v>3</v>
      </c>
      <c r="H83" s="7" t="n">
        <v>1</v>
      </c>
      <c r="I83" s="7" t="n">
        <v>-2</v>
      </c>
      <c r="J83" s="8" t="n">
        <v>644</v>
      </c>
      <c r="K83" s="9">
        <f>IFERROR(IF((ROUND((J83/G83)*I83,1))&lt;0,(ROUND((J83/G83)*I83,1)),0),0)</f>
        <v/>
      </c>
    </row>
    <row r="84">
      <c r="A84" s="4" t="n">
        <v>81</v>
      </c>
      <c r="B84" s="5" t="inlineStr">
        <is>
          <t>NYM</t>
        </is>
      </c>
      <c r="C84" s="5" t="inlineStr">
        <is>
          <t>58160082311</t>
        </is>
      </c>
      <c r="D84" s="5" t="inlineStr">
        <is>
          <t>SHINGRIX 50 MCG/0.5ML IM SUSP RECON</t>
        </is>
      </c>
      <c r="E84" s="6" t="inlineStr">
        <is>
          <t>10.0</t>
        </is>
      </c>
      <c r="F84" s="7" t="n">
        <v>3</v>
      </c>
      <c r="G84" s="7" t="n">
        <v>0.3</v>
      </c>
      <c r="H84" s="7" t="n">
        <v>0</v>
      </c>
      <c r="I84" s="7" t="n">
        <v>-0.3</v>
      </c>
      <c r="J84" s="8" t="n">
        <v>634</v>
      </c>
      <c r="K84" s="9">
        <f>IFERROR(IF((ROUND((J84/G84)*I84,1))&lt;0,(ROUND((J84/G84)*I84,1)),0),0)</f>
        <v/>
      </c>
    </row>
    <row r="85">
      <c r="A85" s="4" t="n">
        <v>82</v>
      </c>
      <c r="B85" s="5" t="inlineStr">
        <is>
          <t>NYM</t>
        </is>
      </c>
      <c r="C85" s="5" t="inlineStr">
        <is>
          <t>49502010102</t>
        </is>
      </c>
      <c r="D85" s="5" t="inlineStr">
        <is>
          <t>EPINEPHRINE (JR) 0.15MG/0.3ML INJECTION 2ML</t>
        </is>
      </c>
      <c r="E85" s="6" t="inlineStr">
        <is>
          <t>2.0</t>
        </is>
      </c>
      <c r="F85" s="7" t="n">
        <v>4</v>
      </c>
      <c r="G85" s="7" t="n">
        <v>2</v>
      </c>
      <c r="H85" s="7" t="n">
        <v>0</v>
      </c>
      <c r="I85" s="7" t="n">
        <v>-2</v>
      </c>
      <c r="J85" s="8" t="n">
        <v>590</v>
      </c>
      <c r="K85" s="9">
        <f>IFERROR(IF((ROUND((J85/G85)*I85,1))&lt;0,(ROUND((J85/G85)*I85,1)),0),0)</f>
        <v/>
      </c>
    </row>
    <row r="86">
      <c r="A86" s="4" t="n">
        <v>83</v>
      </c>
      <c r="B86" s="5" t="inlineStr">
        <is>
          <t>NYM</t>
        </is>
      </c>
      <c r="C86" s="5" t="inlineStr">
        <is>
          <t>00074740113</t>
        </is>
      </c>
      <c r="D86" s="5" t="inlineStr">
        <is>
          <t>DEPAKOTE ER 250 MG TABLET</t>
        </is>
      </c>
      <c r="E86" s="6" t="inlineStr">
        <is>
          <t>100.0</t>
        </is>
      </c>
      <c r="F86" s="7" t="n">
        <v>150</v>
      </c>
      <c r="G86" s="7" t="n">
        <v>1.5</v>
      </c>
      <c r="H86" s="7" t="n">
        <v>2</v>
      </c>
      <c r="I86" s="7" t="n">
        <v>0.5</v>
      </c>
      <c r="J86" s="8" t="n">
        <v>588</v>
      </c>
      <c r="K86" s="9">
        <f>IFERROR(IF((ROUND((J86/G86)*I86,1))&lt;0,(ROUND((J86/G86)*I86,1)),0),0)</f>
        <v/>
      </c>
    </row>
    <row r="87">
      <c r="A87" s="4" t="n">
        <v>84</v>
      </c>
      <c r="B87" s="5" t="inlineStr">
        <is>
          <t>NYM</t>
        </is>
      </c>
      <c r="C87" s="5" t="inlineStr">
        <is>
          <t>00173069600</t>
        </is>
      </c>
      <c r="D87" s="5" t="inlineStr">
        <is>
          <t>ADVAIR DISKUS 250-50MCG/DOSE AEROSOL 60EA</t>
        </is>
      </c>
      <c r="E87" s="6" t="inlineStr">
        <is>
          <t>60.0</t>
        </is>
      </c>
      <c r="F87" s="7" t="n">
        <v>180</v>
      </c>
      <c r="G87" s="7" t="n">
        <v>3</v>
      </c>
      <c r="H87" s="7" t="n">
        <v>3</v>
      </c>
      <c r="I87" s="7" t="n">
        <v>0</v>
      </c>
      <c r="J87" s="8" t="n">
        <v>573</v>
      </c>
      <c r="K87" s="9">
        <f>IFERROR(IF((ROUND((J87/G87)*I87,1))&lt;0,(ROUND((J87/G87)*I87,1)),0),0)</f>
        <v/>
      </c>
    </row>
    <row r="88">
      <c r="A88" s="4" t="n">
        <v>85</v>
      </c>
      <c r="B88" s="5" t="inlineStr">
        <is>
          <t>NYM</t>
        </is>
      </c>
      <c r="C88" s="5" t="inlineStr">
        <is>
          <t>71571033383</t>
        </is>
      </c>
      <c r="D88" s="5" t="inlineStr">
        <is>
          <t>EYSUVIS 0.25 % OPHTHALMIC SUSPENSION</t>
        </is>
      </c>
      <c r="E88" s="6" t="inlineStr">
        <is>
          <t>8.3</t>
        </is>
      </c>
      <c r="F88" s="7" t="n">
        <v>8.300000000000001</v>
      </c>
      <c r="G88" s="7" t="n">
        <v>1</v>
      </c>
      <c r="H88" s="7" t="n">
        <v>1</v>
      </c>
      <c r="I88" s="7" t="n">
        <v>0</v>
      </c>
      <c r="J88" s="8" t="n">
        <v>507</v>
      </c>
      <c r="K88" s="9">
        <f>IFERROR(IF((ROUND((J88/G88)*I88,1))&lt;0,(ROUND((J88/G88)*I88,1)),0),0)</f>
        <v/>
      </c>
    </row>
    <row r="89">
      <c r="A89" s="4" t="n">
        <v>86</v>
      </c>
      <c r="B89" s="5" t="inlineStr">
        <is>
          <t>NYM</t>
        </is>
      </c>
      <c r="C89" s="5" t="inlineStr">
        <is>
          <t>54092018981</t>
        </is>
      </c>
      <c r="D89" s="5" t="inlineStr">
        <is>
          <t>PENTASA 250 MG ORAL CAPSULE EXTENDED RELEASE</t>
        </is>
      </c>
      <c r="E89" s="6" t="inlineStr">
        <is>
          <t>240.0</t>
        </is>
      </c>
      <c r="F89" s="7" t="n">
        <v>150</v>
      </c>
      <c r="G89" s="7" t="n">
        <v>0.625</v>
      </c>
      <c r="H89" s="7" t="n">
        <v>0</v>
      </c>
      <c r="I89" s="7" t="n">
        <v>-0.625</v>
      </c>
      <c r="J89" s="8" t="n">
        <v>487</v>
      </c>
      <c r="K89" s="9">
        <f>IFERROR(IF((ROUND((J89/G89)*I89,1))&lt;0,(ROUND((J89/G89)*I89,1)),0),0)</f>
        <v/>
      </c>
    </row>
    <row r="90">
      <c r="A90" s="4" t="n">
        <v>87</v>
      </c>
      <c r="B90" s="5" t="inlineStr">
        <is>
          <t>NYM</t>
        </is>
      </c>
      <c r="C90" s="5" t="inlineStr">
        <is>
          <t>00046087221</t>
        </is>
      </c>
      <c r="D90" s="5" t="inlineStr">
        <is>
          <t>PREMARIN 0.625 MG/GM VAGINAL CREAM</t>
        </is>
      </c>
      <c r="E90" s="6" t="inlineStr">
        <is>
          <t>30.0</t>
        </is>
      </c>
      <c r="F90" s="7" t="n">
        <v>30</v>
      </c>
      <c r="G90" s="7" t="n">
        <v>1</v>
      </c>
      <c r="H90" s="7" t="n">
        <v>2</v>
      </c>
      <c r="I90" s="7" t="n">
        <v>1</v>
      </c>
      <c r="J90" s="8" t="n">
        <v>463</v>
      </c>
      <c r="K90" s="9">
        <f>IFERROR(IF((ROUND((J90/G90)*I90,1))&lt;0,(ROUND((J90/G90)*I90,1)),0),0)</f>
        <v/>
      </c>
    </row>
    <row r="91">
      <c r="A91" s="4" t="n">
        <v>88</v>
      </c>
      <c r="B91" s="5" t="inlineStr">
        <is>
          <t>NYM</t>
        </is>
      </c>
      <c r="C91" s="5" t="inlineStr">
        <is>
          <t>42023011101</t>
        </is>
      </c>
      <c r="D91" s="5" t="inlineStr">
        <is>
          <t>DELESTROGEN 20 MG/ML INTRAMUSCULAR OIL</t>
        </is>
      </c>
      <c r="E91" s="6" t="inlineStr">
        <is>
          <t>5.0</t>
        </is>
      </c>
      <c r="F91" s="7" t="n">
        <v>10</v>
      </c>
      <c r="G91" s="7" t="n">
        <v>2</v>
      </c>
      <c r="H91" s="7" t="n">
        <v>0</v>
      </c>
      <c r="I91" s="7" t="n">
        <v>-2</v>
      </c>
      <c r="J91" s="8" t="n">
        <v>373</v>
      </c>
      <c r="K91" s="9">
        <f>IFERROR(IF((ROUND((J91/G91)*I91,1))&lt;0,(ROUND((J91/G91)*I91,1)),0),0)</f>
        <v/>
      </c>
    </row>
    <row r="92">
      <c r="A92" s="4" t="n">
        <v>89</v>
      </c>
      <c r="B92" s="5" t="inlineStr">
        <is>
          <t>NYM</t>
        </is>
      </c>
      <c r="C92" s="5" t="inlineStr">
        <is>
          <t>00024586903</t>
        </is>
      </c>
      <c r="D92" s="5" t="inlineStr">
        <is>
          <t>TOUJEO SOLOSTAR 300UNIT/ML INJECTION</t>
        </is>
      </c>
      <c r="E92" s="6" t="inlineStr">
        <is>
          <t>4.5</t>
        </is>
      </c>
      <c r="F92" s="7" t="n">
        <v>4.5</v>
      </c>
      <c r="G92" s="7" t="n">
        <v>1</v>
      </c>
      <c r="H92" s="7" t="n">
        <v>0</v>
      </c>
      <c r="I92" s="7" t="n">
        <v>-1</v>
      </c>
      <c r="J92" s="8" t="n">
        <v>364</v>
      </c>
      <c r="K92" s="9">
        <f>IFERROR(IF((ROUND((J92/G92)*I92,1))&lt;0,(ROUND((J92/G92)*I92,1)),0),0)</f>
        <v/>
      </c>
    </row>
    <row r="93">
      <c r="A93" s="4" t="n">
        <v>90</v>
      </c>
      <c r="B93" s="5" t="inlineStr">
        <is>
          <t>NYM</t>
        </is>
      </c>
      <c r="C93" s="5" t="inlineStr">
        <is>
          <t>00173088810</t>
        </is>
      </c>
      <c r="D93" s="5" t="inlineStr">
        <is>
          <t>ARNUITY ELLIPTA 50 MCG/ACT INHAEROSOL</t>
        </is>
      </c>
      <c r="E93" s="6" t="inlineStr">
        <is>
          <t>30.0</t>
        </is>
      </c>
      <c r="F93" s="7" t="n">
        <v>30</v>
      </c>
      <c r="G93" s="7" t="n">
        <v>1</v>
      </c>
      <c r="H93" s="7" t="n">
        <v>0</v>
      </c>
      <c r="I93" s="7" t="n">
        <v>-1</v>
      </c>
      <c r="J93" s="8" t="n">
        <v>210</v>
      </c>
      <c r="K93" s="9">
        <f>IFERROR(IF((ROUND((J93/G93)*I93,1))&lt;0,(ROUND((J93/G93)*I93,1)),0),0)</f>
        <v/>
      </c>
    </row>
    <row r="94">
      <c r="A94" s="4" t="n">
        <v>91</v>
      </c>
      <c r="B94" s="5" t="inlineStr">
        <is>
          <t>NYM</t>
        </is>
      </c>
      <c r="C94" s="5" t="inlineStr">
        <is>
          <t>46287003001</t>
        </is>
      </c>
      <c r="D94" s="5" t="inlineStr">
        <is>
          <t>ATORVALIQ 20 MG/5ML ORAL SUSPENSION</t>
        </is>
      </c>
      <c r="E94" s="6" t="inlineStr">
        <is>
          <t>150.0</t>
        </is>
      </c>
      <c r="F94" s="7" t="n">
        <v>150</v>
      </c>
      <c r="G94" s="7" t="n">
        <v>1</v>
      </c>
      <c r="H94" s="7" t="n">
        <v>0</v>
      </c>
      <c r="I94" s="7" t="n">
        <v>-1</v>
      </c>
      <c r="J94" s="8" t="n">
        <v>189</v>
      </c>
      <c r="K94" s="9">
        <f>IFERROR(IF((ROUND((J94/G94)*I94,1))&lt;0,(ROUND((J94/G94)*I94,1)),0),0)</f>
        <v/>
      </c>
    </row>
    <row r="95">
      <c r="A95" s="4" t="n">
        <v>92</v>
      </c>
      <c r="B95" s="5" t="inlineStr">
        <is>
          <t>NYM</t>
        </is>
      </c>
      <c r="C95" s="5" t="inlineStr">
        <is>
          <t>52268020101</t>
        </is>
      </c>
      <c r="D95" s="5" t="inlineStr">
        <is>
          <t>SUTAB 1479-225-188 MG ORAL TABLET</t>
        </is>
      </c>
      <c r="E95" s="6" t="inlineStr">
        <is>
          <t>24.0</t>
        </is>
      </c>
      <c r="F95" s="7" t="n">
        <v>24</v>
      </c>
      <c r="G95" s="7" t="n">
        <v>1</v>
      </c>
      <c r="H95" s="7" t="n">
        <v>1</v>
      </c>
      <c r="I95" s="7" t="n">
        <v>0</v>
      </c>
      <c r="J95" s="8" t="n">
        <v>172</v>
      </c>
      <c r="K95" s="9">
        <f>IFERROR(IF((ROUND((J95/G95)*I95,1))&lt;0,(ROUND((J95/G95)*I95,1)),0),0)</f>
        <v/>
      </c>
    </row>
    <row r="96">
      <c r="A96" s="4" t="n">
        <v>93</v>
      </c>
      <c r="B96" s="5" t="inlineStr">
        <is>
          <t>NYM</t>
        </is>
      </c>
      <c r="C96" s="5" t="inlineStr">
        <is>
          <t>00074455290</t>
        </is>
      </c>
      <c r="D96" s="5" t="inlineStr">
        <is>
          <t>SYNTHROID 50MCG TABLET</t>
        </is>
      </c>
      <c r="E96" s="6" t="inlineStr">
        <is>
          <t>90.0</t>
        </is>
      </c>
      <c r="F96" s="7" t="n">
        <v>90</v>
      </c>
      <c r="G96" s="7" t="n">
        <v>1</v>
      </c>
      <c r="H96" s="7" t="n">
        <v>2</v>
      </c>
      <c r="I96" s="7" t="n">
        <v>1</v>
      </c>
      <c r="J96" s="8" t="n">
        <v>153</v>
      </c>
      <c r="K96" s="9">
        <f>IFERROR(IF((ROUND((J96/G96)*I96,1))&lt;0,(ROUND((J96/G96)*I96,1)),0),0)</f>
        <v/>
      </c>
    </row>
    <row r="97">
      <c r="A97" s="4" t="n">
        <v>94</v>
      </c>
      <c r="B97" s="5" t="inlineStr">
        <is>
          <t>NYM</t>
        </is>
      </c>
      <c r="C97" s="5" t="inlineStr">
        <is>
          <t>99073070822</t>
        </is>
      </c>
      <c r="D97" s="5" t="inlineStr">
        <is>
          <t>FREESTYLE LITE TEST  STRIP</t>
        </is>
      </c>
      <c r="E97" s="6" t="inlineStr">
        <is>
          <t>50.0</t>
        </is>
      </c>
      <c r="F97" s="7" t="n">
        <v>100</v>
      </c>
      <c r="G97" s="7" t="n">
        <v>2</v>
      </c>
      <c r="H97" s="7" t="n">
        <v>10</v>
      </c>
      <c r="I97" s="7" t="n">
        <v>8</v>
      </c>
      <c r="J97" s="8" t="n">
        <v>145</v>
      </c>
      <c r="K97" s="9">
        <f>IFERROR(IF((ROUND((J97/G97)*I97,1))&lt;0,(ROUND((J97/G97)*I97,1)),0),0)</f>
        <v/>
      </c>
    </row>
    <row r="98">
      <c r="A98" s="4" t="n">
        <v>95</v>
      </c>
      <c r="B98" s="5" t="inlineStr">
        <is>
          <t>NYM</t>
        </is>
      </c>
      <c r="C98" s="5" t="inlineStr">
        <is>
          <t>00173068220</t>
        </is>
      </c>
      <c r="D98" s="5" t="inlineStr">
        <is>
          <t xml:space="preserve">VENTOLIN HFA 108 (90 BASE) </t>
        </is>
      </c>
      <c r="E98" s="6" t="inlineStr">
        <is>
          <t>18.0</t>
        </is>
      </c>
      <c r="F98" s="7" t="n">
        <v>36</v>
      </c>
      <c r="G98" s="7" t="n">
        <v>2</v>
      </c>
      <c r="H98" s="7" t="n">
        <v>0</v>
      </c>
      <c r="I98" s="7" t="n">
        <v>-2</v>
      </c>
      <c r="J98" s="8" t="n">
        <v>130</v>
      </c>
      <c r="K98" s="9">
        <f>IFERROR(IF((ROUND((J98/G98)*I98,1))&lt;0,(ROUND((J98/G98)*I98,1)),0),0)</f>
        <v/>
      </c>
    </row>
    <row r="99">
      <c r="A99" s="4" t="n">
        <v>96</v>
      </c>
      <c r="B99" s="5" t="inlineStr">
        <is>
          <t>NYM</t>
        </is>
      </c>
      <c r="C99" s="5" t="inlineStr">
        <is>
          <t>57599082000</t>
        </is>
      </c>
      <c r="D99" s="5" t="inlineStr">
        <is>
          <t>FREESTYLE LIBRE 3 READER DEVICE</t>
        </is>
      </c>
      <c r="E99" s="6" t="inlineStr">
        <is>
          <t>1.0</t>
        </is>
      </c>
      <c r="F99" s="7" t="n">
        <v>1</v>
      </c>
      <c r="G99" s="7" t="n">
        <v>1</v>
      </c>
      <c r="H99" s="7" t="n">
        <v>1</v>
      </c>
      <c r="I99" s="7" t="n">
        <v>0</v>
      </c>
      <c r="J99" s="8" t="n">
        <v>70</v>
      </c>
      <c r="K99" s="9">
        <f>IFERROR(IF((ROUND((J99/G99)*I99,1))&lt;0,(ROUND((J99/G99)*I99,1)),0),0)</f>
        <v/>
      </c>
    </row>
    <row r="100">
      <c r="A100" s="4" t="n">
        <v>97</v>
      </c>
      <c r="B100" s="5" t="inlineStr">
        <is>
          <t>NYM</t>
        </is>
      </c>
      <c r="C100" s="5" t="inlineStr">
        <is>
          <t>59630075050</t>
        </is>
      </c>
      <c r="D100" s="5" t="inlineStr">
        <is>
          <t>METHYLIN 5 MG/5ML ORAL SOLUTION</t>
        </is>
      </c>
      <c r="E100" s="6" t="inlineStr">
        <is>
          <t>500.0</t>
        </is>
      </c>
      <c r="F100" s="7" t="n">
        <v>600</v>
      </c>
      <c r="G100" s="7" t="n">
        <v>1.2</v>
      </c>
      <c r="H100" s="7" t="n">
        <v>2</v>
      </c>
      <c r="I100" s="7" t="n">
        <v>0.8</v>
      </c>
      <c r="J100" s="8" t="n">
        <v>67</v>
      </c>
      <c r="K100" s="9">
        <f>IFERROR(IF((ROUND((J100/G100)*I100,1))&lt;0,(ROUND((J100/G100)*I100,1)),0),0)</f>
        <v/>
      </c>
    </row>
    <row r="101">
      <c r="A101" s="4" t="n">
        <v>98</v>
      </c>
      <c r="B101" s="5" t="inlineStr">
        <is>
          <t>NYM</t>
        </is>
      </c>
      <c r="C101" s="5" t="inlineStr">
        <is>
          <t>65162099708</t>
        </is>
      </c>
      <c r="D101" s="5" t="inlineStr">
        <is>
          <t>DOTTI 0.1 MG/24HR TRANSDERMAL PATCH TWICE WEEKLY</t>
        </is>
      </c>
      <c r="E101" s="6" t="inlineStr">
        <is>
          <t>8.0</t>
        </is>
      </c>
      <c r="F101" s="7" t="n">
        <v>8</v>
      </c>
      <c r="G101" s="7" t="n">
        <v>1</v>
      </c>
      <c r="H101" s="7" t="n">
        <v>2</v>
      </c>
      <c r="I101" s="7" t="n">
        <v>1</v>
      </c>
      <c r="J101" s="8" t="n">
        <v>63</v>
      </c>
      <c r="K101" s="9">
        <f>IFERROR(IF((ROUND((J101/G101)*I101,1))&lt;0,(ROUND((J101/G101)*I101,1)),0),0)</f>
        <v/>
      </c>
    </row>
    <row r="102">
      <c r="E102" s="10" t="inlineStr">
        <is>
          <t>TOTAL</t>
        </is>
      </c>
      <c r="F102" s="11">
        <f>SUM(F4:F101)</f>
        <v/>
      </c>
      <c r="G102" s="11">
        <f>SUM(G4:G101)</f>
        <v/>
      </c>
      <c r="H102" s="11">
        <f>SUM(H4:H101)</f>
        <v/>
      </c>
      <c r="I102" s="11">
        <f>SUM(I4:I101)</f>
        <v/>
      </c>
      <c r="J102" s="12">
        <f>SUM(J4:J101)</f>
        <v/>
      </c>
      <c r="K102" s="13">
        <f>SUM(K4:K101)</f>
        <v/>
      </c>
    </row>
    <row r="103">
      <c r="J103" s="14" t="inlineStr">
        <is>
          <t>Audited Drugs Count</t>
        </is>
      </c>
      <c r="K103" s="15">
        <f>COUNTIF(K4:K101,"&lt;0")</f>
        <v/>
      </c>
    </row>
    <row r="104">
      <c r="J104" s="14" t="inlineStr">
        <is>
          <t>Total Audit Exposure</t>
        </is>
      </c>
      <c r="K104" s="16">
        <f>SUMIF(K4:K101,"&lt;0",K4:K101)</f>
        <v/>
      </c>
    </row>
  </sheetData>
  <autoFilter ref="A3:K101"/>
  <mergeCells count="2">
    <mergeCell ref="A2:K2"/>
    <mergeCell ref="A1:K1"/>
  </mergeCells>
  <conditionalFormatting sqref="E4:K101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39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hh — hh — OPTUM</t>
        </is>
      </c>
    </row>
    <row r="2" ht="24" customHeight="1">
      <c r="A2" s="2" t="inlineStr">
        <is>
          <t>Overall OPTUM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OPTUM</t>
        </is>
      </c>
      <c r="G3" s="3" t="inlineStr">
        <is>
          <t>Packages Billed to OPTUM</t>
        </is>
      </c>
      <c r="H3" s="3" t="inlineStr">
        <is>
          <t>Total Qty Purchased</t>
        </is>
      </c>
      <c r="I3" s="3" t="inlineStr">
        <is>
          <t>Qty Difference for OPTUM</t>
        </is>
      </c>
      <c r="J3" s="3" t="inlineStr">
        <is>
          <t>Actual $ Paid by OPTUM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OPTUM</t>
        </is>
      </c>
      <c r="C4" s="5" t="inlineStr">
        <is>
          <t>00002247180</t>
        </is>
      </c>
      <c r="D4" s="5" t="inlineStr">
        <is>
          <t>ZEPBOUND 10 MG/0.5ML AUTO-INJECTOR</t>
        </is>
      </c>
      <c r="E4" s="6" t="inlineStr">
        <is>
          <t>2.0</t>
        </is>
      </c>
      <c r="F4" s="7" t="n">
        <v>14</v>
      </c>
      <c r="G4" s="7" t="n">
        <v>7</v>
      </c>
      <c r="H4" s="7" t="n">
        <v>5</v>
      </c>
      <c r="I4" s="7" t="n">
        <v>-2</v>
      </c>
      <c r="J4" s="8" t="n">
        <v>6998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OPTUM</t>
        </is>
      </c>
      <c r="C5" s="5" t="inlineStr">
        <is>
          <t>00187540008</t>
        </is>
      </c>
      <c r="D5" s="5" t="inlineStr">
        <is>
          <t>JUBLIA 10 % EXTERNAL SOLUTION</t>
        </is>
      </c>
      <c r="E5" s="6" t="inlineStr">
        <is>
          <t>8.0</t>
        </is>
      </c>
      <c r="F5" s="7" t="n">
        <v>32</v>
      </c>
      <c r="G5" s="7" t="n">
        <v>4</v>
      </c>
      <c r="H5" s="7" t="n">
        <v>2</v>
      </c>
      <c r="I5" s="7" t="n">
        <v>-2</v>
      </c>
      <c r="J5" s="8" t="n">
        <v>6373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OPTUM</t>
        </is>
      </c>
      <c r="C6" s="5" t="inlineStr">
        <is>
          <t>00310461612</t>
        </is>
      </c>
      <c r="D6" s="5" t="inlineStr">
        <is>
          <t>BREZTRI AEROSPHERE 160-9-4.8 MCG/ACT INHALATION AEROSOL</t>
        </is>
      </c>
      <c r="E6" s="6" t="inlineStr">
        <is>
          <t>10.7</t>
        </is>
      </c>
      <c r="F6" s="7" t="n">
        <v>64.2</v>
      </c>
      <c r="G6" s="7" t="n">
        <v>6.000000000000001</v>
      </c>
      <c r="H6" s="7" t="n">
        <v>8</v>
      </c>
      <c r="I6" s="7" t="n">
        <v>1.999999999999999</v>
      </c>
      <c r="J6" s="8" t="n">
        <v>4058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OPTUM</t>
        </is>
      </c>
      <c r="C7" s="5" t="inlineStr">
        <is>
          <t>00023916360</t>
        </is>
      </c>
      <c r="D7" s="5" t="inlineStr">
        <is>
          <t xml:space="preserve">RESTASIS 0.05% EMULSION </t>
        </is>
      </c>
      <c r="E7" s="6" t="inlineStr">
        <is>
          <t>60.0</t>
        </is>
      </c>
      <c r="F7" s="7" t="n">
        <v>420</v>
      </c>
      <c r="G7" s="7" t="n">
        <v>7</v>
      </c>
      <c r="H7" s="7" t="n">
        <v>176</v>
      </c>
      <c r="I7" s="7" t="n">
        <v>169</v>
      </c>
      <c r="J7" s="8" t="n">
        <v>4032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OPTUM</t>
        </is>
      </c>
      <c r="C8" s="5" t="inlineStr">
        <is>
          <t>00310111030</t>
        </is>
      </c>
      <c r="D8" s="5" t="inlineStr">
        <is>
          <t>LOKELMA 10GM PACK</t>
        </is>
      </c>
      <c r="E8" s="6" t="inlineStr">
        <is>
          <t>30.0</t>
        </is>
      </c>
      <c r="F8" s="7" t="n">
        <v>120</v>
      </c>
      <c r="G8" s="7" t="n">
        <v>4</v>
      </c>
      <c r="H8" s="7" t="n">
        <v>12</v>
      </c>
      <c r="I8" s="7" t="n">
        <v>8</v>
      </c>
      <c r="J8" s="8" t="n">
        <v>3504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OPTUM</t>
        </is>
      </c>
      <c r="C9" s="5" t="inlineStr">
        <is>
          <t>00002146080</t>
        </is>
      </c>
      <c r="D9" s="5" t="inlineStr">
        <is>
          <t>MOUNJARO 12.5 MG/0.5ML PEN-INJECTOR</t>
        </is>
      </c>
      <c r="E9" s="6" t="inlineStr">
        <is>
          <t>2.0</t>
        </is>
      </c>
      <c r="F9" s="7" t="n">
        <v>6</v>
      </c>
      <c r="G9" s="7" t="n">
        <v>3</v>
      </c>
      <c r="H9" s="7" t="n">
        <v>9</v>
      </c>
      <c r="I9" s="7" t="n">
        <v>6</v>
      </c>
      <c r="J9" s="8" t="n">
        <v>3250</v>
      </c>
      <c r="K9" s="9">
        <f>IFERROR(IF((ROUND((J9/G9)*I9,1))&lt;0,(ROUND((J9/G9)*I9,1)),0),0)</f>
        <v/>
      </c>
    </row>
    <row r="10">
      <c r="A10" s="4" t="n">
        <v>7</v>
      </c>
      <c r="B10" s="5" t="inlineStr">
        <is>
          <t>OPTUM</t>
        </is>
      </c>
      <c r="C10" s="5" t="inlineStr">
        <is>
          <t>00002248480</t>
        </is>
      </c>
      <c r="D10" s="5" t="inlineStr">
        <is>
          <t>ZEPBOUND 7.5 MG/0.5ML AUTO-INJECTOR</t>
        </is>
      </c>
      <c r="E10" s="6" t="inlineStr">
        <is>
          <t>2.0</t>
        </is>
      </c>
      <c r="F10" s="7" t="n">
        <v>6</v>
      </c>
      <c r="G10" s="7" t="n">
        <v>3</v>
      </c>
      <c r="H10" s="7" t="n">
        <v>2</v>
      </c>
      <c r="I10" s="7" t="n">
        <v>-1</v>
      </c>
      <c r="J10" s="8" t="n">
        <v>3076</v>
      </c>
      <c r="K10" s="9">
        <f>IFERROR(IF((ROUND((J10/G10)*I10,1))&lt;0,(ROUND((J10/G10)*I10,1)),0),0)</f>
        <v/>
      </c>
    </row>
    <row r="11">
      <c r="A11" s="4" t="n">
        <v>8</v>
      </c>
      <c r="B11" s="5" t="inlineStr">
        <is>
          <t>OPTUM</t>
        </is>
      </c>
      <c r="C11" s="5" t="inlineStr">
        <is>
          <t>00169431430</t>
        </is>
      </c>
      <c r="D11" s="5" t="inlineStr">
        <is>
          <t>RYBELSUS 14MG TABLET</t>
        </is>
      </c>
      <c r="E11" s="6" t="inlineStr">
        <is>
          <t>30.0</t>
        </is>
      </c>
      <c r="F11" s="7" t="n">
        <v>90</v>
      </c>
      <c r="G11" s="7" t="n">
        <v>3</v>
      </c>
      <c r="H11" s="7" t="n">
        <v>15</v>
      </c>
      <c r="I11" s="7" t="n">
        <v>12</v>
      </c>
      <c r="J11" s="8" t="n">
        <v>3001</v>
      </c>
      <c r="K11" s="9">
        <f>IFERROR(IF((ROUND((J11/G11)*I11,1))&lt;0,(ROUND((J11/G11)*I11,1)),0),0)</f>
        <v/>
      </c>
    </row>
    <row r="12">
      <c r="A12" s="4" t="n">
        <v>9</v>
      </c>
      <c r="B12" s="5" t="inlineStr">
        <is>
          <t>OPTUM</t>
        </is>
      </c>
      <c r="C12" s="5" t="inlineStr">
        <is>
          <t>24208091112</t>
        </is>
      </c>
      <c r="D12" s="5" t="inlineStr">
        <is>
          <t>XIIDRA 5 % OPHTHALMIC SOLUTION</t>
        </is>
      </c>
      <c r="E12" s="6" t="inlineStr">
        <is>
          <t>60.0</t>
        </is>
      </c>
      <c r="F12" s="7" t="n">
        <v>240</v>
      </c>
      <c r="G12" s="7" t="n">
        <v>4</v>
      </c>
      <c r="H12" s="7" t="n">
        <v>84</v>
      </c>
      <c r="I12" s="7" t="n">
        <v>80</v>
      </c>
      <c r="J12" s="8" t="n">
        <v>2703</v>
      </c>
      <c r="K12" s="9">
        <f>IFERROR(IF((ROUND((J12/G12)*I12,1))&lt;0,(ROUND((J12/G12)*I12,1)),0),0)</f>
        <v/>
      </c>
    </row>
    <row r="13">
      <c r="A13" s="4" t="n">
        <v>10</v>
      </c>
      <c r="B13" s="5" t="inlineStr">
        <is>
          <t>OPTUM</t>
        </is>
      </c>
      <c r="C13" s="5" t="inlineStr">
        <is>
          <t>08627007701</t>
        </is>
      </c>
      <c r="D13" s="5" t="inlineStr">
        <is>
          <t>DEXCOM G7 SENSOR</t>
        </is>
      </c>
      <c r="E13" s="6" t="inlineStr">
        <is>
          <t>1.0</t>
        </is>
      </c>
      <c r="F13" s="7" t="n">
        <v>18</v>
      </c>
      <c r="G13" s="7" t="n">
        <v>18</v>
      </c>
      <c r="H13" s="7" t="n">
        <v>32</v>
      </c>
      <c r="I13" s="7" t="n">
        <v>14</v>
      </c>
      <c r="J13" s="8" t="n">
        <v>2111</v>
      </c>
      <c r="K13" s="9">
        <f>IFERROR(IF((ROUND((J13/G13)*I13,1))&lt;0,(ROUND((J13/G13)*I13,1)),0),0)</f>
        <v/>
      </c>
    </row>
    <row r="14">
      <c r="A14" s="4" t="n">
        <v>11</v>
      </c>
      <c r="B14" s="5" t="inlineStr">
        <is>
          <t>OPTUM</t>
        </is>
      </c>
      <c r="C14" s="5" t="inlineStr">
        <is>
          <t>00002246080</t>
        </is>
      </c>
      <c r="D14" s="5" t="inlineStr">
        <is>
          <t>ZEPBOUND 12.5 MG/0.5ML AUTO-INJECTOR</t>
        </is>
      </c>
      <c r="E14" s="6" t="inlineStr">
        <is>
          <t>2.0</t>
        </is>
      </c>
      <c r="F14" s="7" t="n">
        <v>4</v>
      </c>
      <c r="G14" s="7" t="n">
        <v>2</v>
      </c>
      <c r="H14" s="7" t="n">
        <v>1</v>
      </c>
      <c r="I14" s="7" t="n">
        <v>-1</v>
      </c>
      <c r="J14" s="8" t="n">
        <v>1919</v>
      </c>
      <c r="K14" s="9">
        <f>IFERROR(IF((ROUND((J14/G14)*I14,1))&lt;0,(ROUND((J14/G14)*I14,1)),0),0)</f>
        <v/>
      </c>
    </row>
    <row r="15">
      <c r="A15" s="4" t="n">
        <v>12</v>
      </c>
      <c r="B15" s="5" t="inlineStr">
        <is>
          <t>OPTUM</t>
        </is>
      </c>
      <c r="C15" s="5" t="inlineStr">
        <is>
          <t>00597015330</t>
        </is>
      </c>
      <c r="D15" s="5" t="inlineStr">
        <is>
          <t xml:space="preserve">JARDIANCE 25MG TAB </t>
        </is>
      </c>
      <c r="E15" s="6" t="inlineStr">
        <is>
          <t>30.0</t>
        </is>
      </c>
      <c r="F15" s="7" t="n">
        <v>90</v>
      </c>
      <c r="G15" s="7" t="n">
        <v>3</v>
      </c>
      <c r="H15" s="7" t="n">
        <v>139</v>
      </c>
      <c r="I15" s="7" t="n">
        <v>136</v>
      </c>
      <c r="J15" s="8" t="n">
        <v>1894</v>
      </c>
      <c r="K15" s="9">
        <f>IFERROR(IF((ROUND((J15/G15)*I15,1))&lt;0,(ROUND((J15/G15)*I15,1)),0),0)</f>
        <v/>
      </c>
    </row>
    <row r="16">
      <c r="A16" s="4" t="n">
        <v>13</v>
      </c>
      <c r="B16" s="5" t="inlineStr">
        <is>
          <t>OPTUM</t>
        </is>
      </c>
      <c r="C16" s="5" t="inlineStr">
        <is>
          <t>00597015230</t>
        </is>
      </c>
      <c r="D16" s="5" t="inlineStr">
        <is>
          <t xml:space="preserve">JARDIANCE 10MG TAB </t>
        </is>
      </c>
      <c r="E16" s="6" t="inlineStr">
        <is>
          <t>30.0</t>
        </is>
      </c>
      <c r="F16" s="7" t="n">
        <v>90</v>
      </c>
      <c r="G16" s="7" t="n">
        <v>3</v>
      </c>
      <c r="H16" s="7" t="n">
        <v>98</v>
      </c>
      <c r="I16" s="7" t="n">
        <v>95</v>
      </c>
      <c r="J16" s="8" t="n">
        <v>1894</v>
      </c>
      <c r="K16" s="9">
        <f>IFERROR(IF((ROUND((J16/G16)*I16,1))&lt;0,(ROUND((J16/G16)*I16,1)),0),0)</f>
        <v/>
      </c>
    </row>
    <row r="17">
      <c r="A17" s="4" t="n">
        <v>14</v>
      </c>
      <c r="B17" s="5" t="inlineStr">
        <is>
          <t>OPTUM</t>
        </is>
      </c>
      <c r="C17" s="5" t="inlineStr">
        <is>
          <t>50458057930</t>
        </is>
      </c>
      <c r="D17" s="5" t="inlineStr">
        <is>
          <t>XARELTO 20MG TAB</t>
        </is>
      </c>
      <c r="E17" s="6" t="inlineStr">
        <is>
          <t>30.0</t>
        </is>
      </c>
      <c r="F17" s="7" t="n">
        <v>90</v>
      </c>
      <c r="G17" s="7" t="n">
        <v>3</v>
      </c>
      <c r="H17" s="7" t="n">
        <v>23</v>
      </c>
      <c r="I17" s="7" t="n">
        <v>20</v>
      </c>
      <c r="J17" s="8" t="n">
        <v>1800</v>
      </c>
      <c r="K17" s="9">
        <f>IFERROR(IF((ROUND((J17/G17)*I17,1))&lt;0,(ROUND((J17/G17)*I17,1)),0),0)</f>
        <v/>
      </c>
    </row>
    <row r="18">
      <c r="A18" s="4" t="n">
        <v>15</v>
      </c>
      <c r="B18" s="5" t="inlineStr">
        <is>
          <t>OPTUM</t>
        </is>
      </c>
      <c r="C18" s="5" t="inlineStr">
        <is>
          <t>81968035101</t>
        </is>
      </c>
      <c r="D18" s="5" t="inlineStr">
        <is>
          <t>SUNOSI 150 MG ORAL TABLET</t>
        </is>
      </c>
      <c r="E18" s="6" t="inlineStr">
        <is>
          <t>30.0</t>
        </is>
      </c>
      <c r="F18" s="7" t="n">
        <v>60</v>
      </c>
      <c r="G18" s="7" t="n">
        <v>2</v>
      </c>
      <c r="H18" s="7" t="n">
        <v>1</v>
      </c>
      <c r="I18" s="7" t="n">
        <v>-1</v>
      </c>
      <c r="J18" s="8" t="n">
        <v>1591</v>
      </c>
      <c r="K18" s="9">
        <f>IFERROR(IF((ROUND((J18/G18)*I18,1))&lt;0,(ROUND((J18/G18)*I18,1)),0),0)</f>
        <v/>
      </c>
    </row>
    <row r="19">
      <c r="A19" s="4" t="n">
        <v>16</v>
      </c>
      <c r="B19" s="5" t="inlineStr">
        <is>
          <t>OPTUM</t>
        </is>
      </c>
      <c r="C19" s="5" t="inlineStr">
        <is>
          <t>00023320508</t>
        </is>
      </c>
      <c r="D19" s="5" t="inlineStr">
        <is>
          <t>LUMIGAN 0.01% SOLUTION</t>
        </is>
      </c>
      <c r="E19" s="6" t="inlineStr">
        <is>
          <t>7.5</t>
        </is>
      </c>
      <c r="F19" s="7" t="n">
        <v>15</v>
      </c>
      <c r="G19" s="7" t="n">
        <v>2</v>
      </c>
      <c r="H19" s="7" t="n">
        <v>10</v>
      </c>
      <c r="I19" s="7" t="n">
        <v>8</v>
      </c>
      <c r="J19" s="8" t="n">
        <v>1589</v>
      </c>
      <c r="K19" s="9">
        <f>IFERROR(IF((ROUND((J19/G19)*I19,1))&lt;0,(ROUND((J19/G19)*I19,1)),0),0)</f>
        <v/>
      </c>
    </row>
    <row r="20">
      <c r="A20" s="4" t="n">
        <v>17</v>
      </c>
      <c r="B20" s="5" t="inlineStr">
        <is>
          <t>OPTUM</t>
        </is>
      </c>
      <c r="C20" s="5" t="inlineStr">
        <is>
          <t>73336007530</t>
        </is>
      </c>
      <c r="D20" s="5" t="inlineStr">
        <is>
          <t>GEMTESA 75MG TABLET</t>
        </is>
      </c>
      <c r="E20" s="6" t="inlineStr">
        <is>
          <t>30.0</t>
        </is>
      </c>
      <c r="F20" s="7" t="n">
        <v>90</v>
      </c>
      <c r="G20" s="7" t="n">
        <v>3</v>
      </c>
      <c r="H20" s="7" t="n">
        <v>18</v>
      </c>
      <c r="I20" s="7" t="n">
        <v>15</v>
      </c>
      <c r="J20" s="8" t="n">
        <v>1466</v>
      </c>
      <c r="K20" s="9">
        <f>IFERROR(IF((ROUND((J20/G20)*I20,1))&lt;0,(ROUND((J20/G20)*I20,1)),0),0)</f>
        <v/>
      </c>
    </row>
    <row r="21">
      <c r="A21" s="4" t="n">
        <v>18</v>
      </c>
      <c r="B21" s="5" t="inlineStr">
        <is>
          <t>OPTUM</t>
        </is>
      </c>
      <c r="C21" s="5" t="inlineStr">
        <is>
          <t>00456120130</t>
        </is>
      </c>
      <c r="D21" s="5" t="inlineStr">
        <is>
          <t>LINZESS 145MCG CAPSULE</t>
        </is>
      </c>
      <c r="E21" s="6" t="inlineStr">
        <is>
          <t>30.0</t>
        </is>
      </c>
      <c r="F21" s="7" t="n">
        <v>90</v>
      </c>
      <c r="G21" s="7" t="n">
        <v>3</v>
      </c>
      <c r="H21" s="7" t="n">
        <v>30</v>
      </c>
      <c r="I21" s="7" t="n">
        <v>27</v>
      </c>
      <c r="J21" s="8" t="n">
        <v>1419</v>
      </c>
      <c r="K21" s="9">
        <f>IFERROR(IF((ROUND((J21/G21)*I21,1))&lt;0,(ROUND((J21/G21)*I21,1)),0),0)</f>
        <v/>
      </c>
    </row>
    <row r="22">
      <c r="A22" s="4" t="n">
        <v>19</v>
      </c>
      <c r="B22" s="5" t="inlineStr">
        <is>
          <t>OPTUM</t>
        </is>
      </c>
      <c r="C22" s="5" t="inlineStr">
        <is>
          <t>00002150680</t>
        </is>
      </c>
      <c r="D22" s="5" t="inlineStr">
        <is>
          <t>MOUNJARO 2.5 MG/0.5ML PEN-INJECTOR</t>
        </is>
      </c>
      <c r="E22" s="6" t="inlineStr">
        <is>
          <t>2.0</t>
        </is>
      </c>
      <c r="F22" s="7" t="n">
        <v>2</v>
      </c>
      <c r="G22" s="7" t="n">
        <v>1</v>
      </c>
      <c r="H22" s="7" t="n">
        <v>4</v>
      </c>
      <c r="I22" s="7" t="n">
        <v>3</v>
      </c>
      <c r="J22" s="8" t="n">
        <v>1115</v>
      </c>
      <c r="K22" s="9">
        <f>IFERROR(IF((ROUND((J22/G22)*I22,1))&lt;0,(ROUND((J22/G22)*I22,1)),0),0)</f>
        <v/>
      </c>
    </row>
    <row r="23">
      <c r="A23" s="4" t="n">
        <v>20</v>
      </c>
      <c r="B23" s="5" t="inlineStr">
        <is>
          <t>OPTUM</t>
        </is>
      </c>
      <c r="C23" s="5" t="inlineStr">
        <is>
          <t>72511039302</t>
        </is>
      </c>
      <c r="D23" s="5" t="inlineStr">
        <is>
          <t>REPATHA SURECLICK 140 MG/ML SUBCUTANEOUS SOLUTION AUTO-INJECTOR</t>
        </is>
      </c>
      <c r="E23" s="6" t="inlineStr">
        <is>
          <t>2.0</t>
        </is>
      </c>
      <c r="F23" s="7" t="n">
        <v>4</v>
      </c>
      <c r="G23" s="7" t="n">
        <v>2</v>
      </c>
      <c r="H23" s="7" t="n">
        <v>11</v>
      </c>
      <c r="I23" s="7" t="n">
        <v>9</v>
      </c>
      <c r="J23" s="8" t="n">
        <v>1056</v>
      </c>
      <c r="K23" s="9">
        <f>IFERROR(IF((ROUND((J23/G23)*I23,1))&lt;0,(ROUND((J23/G23)*I23,1)),0),0)</f>
        <v/>
      </c>
    </row>
    <row r="24">
      <c r="A24" s="4" t="n">
        <v>21</v>
      </c>
      <c r="B24" s="5" t="inlineStr">
        <is>
          <t>OPTUM</t>
        </is>
      </c>
      <c r="C24" s="5" t="inlineStr">
        <is>
          <t>24208050402</t>
        </is>
      </c>
      <c r="D24" s="5" t="inlineStr">
        <is>
          <t>VYZULTA 0.024 % OPHTHALMIC SOLUTION</t>
        </is>
      </c>
      <c r="E24" s="6" t="inlineStr">
        <is>
          <t>2.5</t>
        </is>
      </c>
      <c r="F24" s="7" t="n">
        <v>10</v>
      </c>
      <c r="G24" s="7" t="n">
        <v>4</v>
      </c>
      <c r="H24" s="7" t="n">
        <v>0</v>
      </c>
      <c r="I24" s="7" t="n">
        <v>-4</v>
      </c>
      <c r="J24" s="8" t="n">
        <v>1042</v>
      </c>
      <c r="K24" s="9">
        <f>IFERROR(IF((ROUND((J24/G24)*I24,1))&lt;0,(ROUND((J24/G24)*I24,1)),0),0)</f>
        <v/>
      </c>
    </row>
    <row r="25">
      <c r="A25" s="4" t="n">
        <v>22</v>
      </c>
      <c r="B25" s="5" t="inlineStr">
        <is>
          <t>OPTUM</t>
        </is>
      </c>
      <c r="C25" s="5" t="inlineStr">
        <is>
          <t>00193731150</t>
        </is>
      </c>
      <c r="D25" s="5" t="inlineStr">
        <is>
          <t>CONTOUR NEXT TEST  STRIPS</t>
        </is>
      </c>
      <c r="E25" s="6" t="inlineStr">
        <is>
          <t>50.0</t>
        </is>
      </c>
      <c r="F25" s="7" t="n">
        <v>1000</v>
      </c>
      <c r="G25" s="7" t="n">
        <v>20</v>
      </c>
      <c r="H25" s="7" t="n">
        <v>0</v>
      </c>
      <c r="I25" s="7" t="n">
        <v>-20</v>
      </c>
      <c r="J25" s="8" t="n">
        <v>995</v>
      </c>
      <c r="K25" s="9">
        <f>IFERROR(IF((ROUND((J25/G25)*I25,1))&lt;0,(ROUND((J25/G25)*I25,1)),0),0)</f>
        <v/>
      </c>
    </row>
    <row r="26">
      <c r="A26" s="4" t="n">
        <v>23</v>
      </c>
      <c r="B26" s="5" t="inlineStr">
        <is>
          <t>OPTUM</t>
        </is>
      </c>
      <c r="C26" s="5" t="inlineStr">
        <is>
          <t>00065414727</t>
        </is>
      </c>
      <c r="D26" s="5" t="inlineStr">
        <is>
          <t>SIMBRINZA 1-0.2 % OPHTHALMIC SUSPENSION</t>
        </is>
      </c>
      <c r="E26" s="6" t="inlineStr">
        <is>
          <t>8.0</t>
        </is>
      </c>
      <c r="F26" s="7" t="n">
        <v>32</v>
      </c>
      <c r="G26" s="7" t="n">
        <v>4</v>
      </c>
      <c r="H26" s="7" t="n">
        <v>1</v>
      </c>
      <c r="I26" s="7" t="n">
        <v>-3</v>
      </c>
      <c r="J26" s="8" t="n">
        <v>862</v>
      </c>
      <c r="K26" s="9">
        <f>IFERROR(IF((ROUND((J26/G26)*I26,1))&lt;0,(ROUND((J26/G26)*I26,1)),0),0)</f>
        <v/>
      </c>
    </row>
    <row r="27">
      <c r="A27" s="4" t="n">
        <v>24</v>
      </c>
      <c r="B27" s="5" t="inlineStr">
        <is>
          <t>OPTUM</t>
        </is>
      </c>
      <c r="C27" s="5" t="inlineStr">
        <is>
          <t>00310621030</t>
        </is>
      </c>
      <c r="D27" s="5" t="inlineStr">
        <is>
          <t>FARXIGA 10MG TABLET</t>
        </is>
      </c>
      <c r="E27" s="6" t="inlineStr">
        <is>
          <t>30.0</t>
        </is>
      </c>
      <c r="F27" s="7" t="n">
        <v>60</v>
      </c>
      <c r="G27" s="7" t="n">
        <v>2</v>
      </c>
      <c r="H27" s="7" t="n">
        <v>50</v>
      </c>
      <c r="I27" s="7" t="n">
        <v>48</v>
      </c>
      <c r="J27" s="8" t="n">
        <v>662</v>
      </c>
      <c r="K27" s="9">
        <f>IFERROR(IF((ROUND((J27/G27)*I27,1))&lt;0,(ROUND((J27/G27)*I27,1)),0),0)</f>
        <v/>
      </c>
    </row>
    <row r="28">
      <c r="A28" s="4" t="n">
        <v>25</v>
      </c>
      <c r="B28" s="5" t="inlineStr">
        <is>
          <t>OPTUM</t>
        </is>
      </c>
      <c r="C28" s="5" t="inlineStr">
        <is>
          <t>00574062105</t>
        </is>
      </c>
      <c r="D28" s="5" t="inlineStr">
        <is>
          <t>PODOFILOX 0.5 % EXTERNAL GEL</t>
        </is>
      </c>
      <c r="E28" s="6" t="inlineStr">
        <is>
          <t>3.5</t>
        </is>
      </c>
      <c r="F28" s="7" t="n">
        <v>3.5</v>
      </c>
      <c r="G28" s="7" t="n">
        <v>1</v>
      </c>
      <c r="H28" s="7" t="n">
        <v>0</v>
      </c>
      <c r="I28" s="7" t="n">
        <v>-1</v>
      </c>
      <c r="J28" s="8" t="n">
        <v>470</v>
      </c>
      <c r="K28" s="9">
        <f>IFERROR(IF((ROUND((J28/G28)*I28,1))&lt;0,(ROUND((J28/G28)*I28,1)),0),0)</f>
        <v/>
      </c>
    </row>
    <row r="29">
      <c r="A29" s="4" t="n">
        <v>26</v>
      </c>
      <c r="B29" s="5" t="inlineStr">
        <is>
          <t>OPTUM</t>
        </is>
      </c>
      <c r="C29" s="5" t="inlineStr">
        <is>
          <t>00046087221</t>
        </is>
      </c>
      <c r="D29" s="5" t="inlineStr">
        <is>
          <t>PREMARIN 0.625 MG/GM VAGINAL CREAM</t>
        </is>
      </c>
      <c r="E29" s="6" t="inlineStr">
        <is>
          <t>30.0</t>
        </is>
      </c>
      <c r="F29" s="7" t="n">
        <v>30</v>
      </c>
      <c r="G29" s="7" t="n">
        <v>1</v>
      </c>
      <c r="H29" s="7" t="n">
        <v>2</v>
      </c>
      <c r="I29" s="7" t="n">
        <v>1</v>
      </c>
      <c r="J29" s="8" t="n">
        <v>463</v>
      </c>
      <c r="K29" s="9">
        <f>IFERROR(IF((ROUND((J29/G29)*I29,1))&lt;0,(ROUND((J29/G29)*I29,1)),0),0)</f>
        <v/>
      </c>
    </row>
    <row r="30">
      <c r="A30" s="4" t="n">
        <v>27</v>
      </c>
      <c r="B30" s="5" t="inlineStr">
        <is>
          <t>OPTUM</t>
        </is>
      </c>
      <c r="C30" s="5" t="inlineStr">
        <is>
          <t>58160082311</t>
        </is>
      </c>
      <c r="D30" s="5" t="inlineStr">
        <is>
          <t>SHINGRIX 50 MCG/0.5ML IM SUSP RECON</t>
        </is>
      </c>
      <c r="E30" s="6" t="inlineStr">
        <is>
          <t>10.0</t>
        </is>
      </c>
      <c r="F30" s="7" t="n">
        <v>2</v>
      </c>
      <c r="G30" s="7" t="n">
        <v>0.2</v>
      </c>
      <c r="H30" s="7" t="n">
        <v>0</v>
      </c>
      <c r="I30" s="7" t="n">
        <v>-0.2</v>
      </c>
      <c r="J30" s="8" t="n">
        <v>434</v>
      </c>
      <c r="K30" s="9">
        <f>IFERROR(IF((ROUND((J30/G30)*I30,1))&lt;0,(ROUND((J30/G30)*I30,1)),0),0)</f>
        <v/>
      </c>
    </row>
    <row r="31">
      <c r="A31" s="4" t="n">
        <v>28</v>
      </c>
      <c r="B31" s="5" t="inlineStr">
        <is>
          <t>OPTUM</t>
        </is>
      </c>
      <c r="C31" s="5" t="inlineStr">
        <is>
          <t>00310737220</t>
        </is>
      </c>
      <c r="D31" s="5" t="inlineStr">
        <is>
          <t>BUDESONIDE-FORMOTEROL FUMARATE 80-4.5MCG/ACT AEROSOL</t>
        </is>
      </c>
      <c r="E31" s="6" t="inlineStr">
        <is>
          <t>10.2</t>
        </is>
      </c>
      <c r="F31" s="7" t="n">
        <v>20.4</v>
      </c>
      <c r="G31" s="7" t="n">
        <v>2</v>
      </c>
      <c r="H31" s="7" t="n">
        <v>9</v>
      </c>
      <c r="I31" s="7" t="n">
        <v>7</v>
      </c>
      <c r="J31" s="8" t="n">
        <v>383</v>
      </c>
      <c r="K31" s="9">
        <f>IFERROR(IF((ROUND((J31/G31)*I31,1))&lt;0,(ROUND((J31/G31)*I31,1)),0),0)</f>
        <v/>
      </c>
    </row>
    <row r="32">
      <c r="A32" s="4" t="n">
        <v>29</v>
      </c>
      <c r="B32" s="5" t="inlineStr">
        <is>
          <t>OPTUM</t>
        </is>
      </c>
      <c r="C32" s="5" t="inlineStr">
        <is>
          <t>08627007801</t>
        </is>
      </c>
      <c r="D32" s="5" t="inlineStr">
        <is>
          <t>DEXCOM G7 RECEIVER DEVICE</t>
        </is>
      </c>
      <c r="E32" s="6" t="inlineStr">
        <is>
          <t>1.0</t>
        </is>
      </c>
      <c r="F32" s="7" t="n">
        <v>1</v>
      </c>
      <c r="G32" s="7" t="n">
        <v>1</v>
      </c>
      <c r="H32" s="7" t="n">
        <v>1</v>
      </c>
      <c r="I32" s="7" t="n">
        <v>0</v>
      </c>
      <c r="J32" s="8" t="n">
        <v>272</v>
      </c>
      <c r="K32" s="9">
        <f>IFERROR(IF((ROUND((J32/G32)*I32,1))&lt;0,(ROUND((J32/G32)*I32,1)),0),0)</f>
        <v/>
      </c>
    </row>
    <row r="33">
      <c r="A33" s="4" t="n">
        <v>30</v>
      </c>
      <c r="B33" s="5" t="inlineStr">
        <is>
          <t>OPTUM</t>
        </is>
      </c>
      <c r="C33" s="5" t="inlineStr">
        <is>
          <t>00186037220</t>
        </is>
      </c>
      <c r="D33" s="5" t="inlineStr">
        <is>
          <t>SYMBICORT 80-4.5MCG/ACT AEROSOL</t>
        </is>
      </c>
      <c r="E33" s="6" t="inlineStr">
        <is>
          <t>10.2</t>
        </is>
      </c>
      <c r="F33" s="7" t="n">
        <v>10.2</v>
      </c>
      <c r="G33" s="7" t="n">
        <v>1</v>
      </c>
      <c r="H33" s="7" t="n">
        <v>0</v>
      </c>
      <c r="I33" s="7" t="n">
        <v>-1</v>
      </c>
      <c r="J33" s="8" t="n">
        <v>206</v>
      </c>
      <c r="K33" s="9">
        <f>IFERROR(IF((ROUND((J33/G33)*I33,1))&lt;0,(ROUND((J33/G33)*I33,1)),0),0)</f>
        <v/>
      </c>
    </row>
    <row r="34">
      <c r="A34" s="4" t="n">
        <v>31</v>
      </c>
      <c r="B34" s="5" t="inlineStr">
        <is>
          <t>OPTUM</t>
        </is>
      </c>
      <c r="C34" s="5" t="inlineStr">
        <is>
          <t>59467067901</t>
        </is>
      </c>
      <c r="D34" s="5" t="inlineStr">
        <is>
          <t>KLOXXADO 8 MG/0.1ML NASAL LIQUID</t>
        </is>
      </c>
      <c r="E34" s="6" t="inlineStr">
        <is>
          <t>2.0</t>
        </is>
      </c>
      <c r="F34" s="7" t="n">
        <v>2</v>
      </c>
      <c r="G34" s="7" t="n">
        <v>1</v>
      </c>
      <c r="H34" s="7" t="n">
        <v>8</v>
      </c>
      <c r="I34" s="7" t="n">
        <v>7</v>
      </c>
      <c r="J34" s="8" t="n">
        <v>126</v>
      </c>
      <c r="K34" s="9">
        <f>IFERROR(IF((ROUND((J34/G34)*I34,1))&lt;0,(ROUND((J34/G34)*I34,1)),0),0)</f>
        <v/>
      </c>
    </row>
    <row r="35">
      <c r="A35" s="4" t="n">
        <v>32</v>
      </c>
      <c r="B35" s="5" t="inlineStr">
        <is>
          <t>OPTUM</t>
        </is>
      </c>
      <c r="C35" s="5" t="inlineStr">
        <is>
          <t>65702071110</t>
        </is>
      </c>
      <c r="D35" s="5" t="inlineStr">
        <is>
          <t>ACCU-CHEK GUIDE IN VITRO STRIP</t>
        </is>
      </c>
      <c r="E35" s="6" t="inlineStr">
        <is>
          <t>50.0</t>
        </is>
      </c>
      <c r="F35" s="7" t="n">
        <v>200</v>
      </c>
      <c r="G35" s="7" t="n">
        <v>4</v>
      </c>
      <c r="H35" s="7" t="n">
        <v>22</v>
      </c>
      <c r="I35" s="7" t="n">
        <v>18</v>
      </c>
      <c r="J35" s="8" t="n">
        <v>82</v>
      </c>
      <c r="K35" s="9">
        <f>IFERROR(IF((ROUND((J35/G35)*I35,1))&lt;0,(ROUND((J35/G35)*I35,1)),0),0)</f>
        <v/>
      </c>
    </row>
    <row r="36">
      <c r="A36" s="4" t="n">
        <v>33</v>
      </c>
      <c r="B36" s="5" t="inlineStr">
        <is>
          <t>OPTUM</t>
        </is>
      </c>
      <c r="C36" s="5" t="inlineStr">
        <is>
          <t>73302045601</t>
        </is>
      </c>
      <c r="D36" s="5" t="inlineStr">
        <is>
          <t>ELLA 30 MG ORAL TABLET</t>
        </is>
      </c>
      <c r="E36" s="6" t="inlineStr">
        <is>
          <t>1.0</t>
        </is>
      </c>
      <c r="F36" s="7" t="n">
        <v>1</v>
      </c>
      <c r="G36" s="7" t="n">
        <v>1</v>
      </c>
      <c r="H36" s="7" t="n">
        <v>0</v>
      </c>
      <c r="I36" s="7" t="n">
        <v>-1</v>
      </c>
      <c r="J36" s="8" t="n">
        <v>38</v>
      </c>
      <c r="K36" s="9">
        <f>IFERROR(IF((ROUND((J36/G36)*I36,1))&lt;0,(ROUND((J36/G36)*I36,1)),0),0)</f>
        <v/>
      </c>
    </row>
    <row r="37">
      <c r="E37" s="10" t="inlineStr">
        <is>
          <t>TOTAL</t>
        </is>
      </c>
      <c r="F37" s="11">
        <f>SUM(F4:F36)</f>
        <v/>
      </c>
      <c r="G37" s="11">
        <f>SUM(G4:G36)</f>
        <v/>
      </c>
      <c r="H37" s="11">
        <f>SUM(H4:H36)</f>
        <v/>
      </c>
      <c r="I37" s="11">
        <f>SUM(I4:I36)</f>
        <v/>
      </c>
      <c r="J37" s="12">
        <f>SUM(J4:J36)</f>
        <v/>
      </c>
      <c r="K37" s="13">
        <f>SUM(K4:K36)</f>
        <v/>
      </c>
    </row>
    <row r="38">
      <c r="J38" s="14" t="inlineStr">
        <is>
          <t>Audited Drugs Count</t>
        </is>
      </c>
      <c r="K38" s="15">
        <f>COUNTIF(K4:K36,"&lt;0")</f>
        <v/>
      </c>
    </row>
    <row r="39">
      <c r="J39" s="14" t="inlineStr">
        <is>
          <t>Total Audit Exposure</t>
        </is>
      </c>
      <c r="K39" s="16">
        <f>SUMIF(K4:K36,"&lt;0",K4:K36)</f>
        <v/>
      </c>
    </row>
  </sheetData>
  <autoFilter ref="A3:K36"/>
  <mergeCells count="2">
    <mergeCell ref="A2:K2"/>
    <mergeCell ref="A1:K1"/>
  </mergeCells>
  <conditionalFormatting sqref="E4:K36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35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</cols>
  <sheetData>
    <row r="1" ht="30" customHeight="1">
      <c r="A1" s="1" t="inlineStr">
        <is>
          <t>hh — hh — PRIMECAPRX</t>
        </is>
      </c>
    </row>
    <row r="2" ht="24" customHeight="1">
      <c r="A2" s="2" t="inlineStr">
        <is>
          <t>Overall PRIMECAPRX Overview</t>
        </is>
      </c>
    </row>
    <row r="3" ht="65" customHeight="1">
      <c r="A3" s="3" t="inlineStr">
        <is>
          <t>Rank</t>
        </is>
      </c>
      <c r="B3" s="3" t="inlineStr">
        <is>
          <t>Insurance</t>
        </is>
      </c>
      <c r="C3" s="3" t="inlineStr">
        <is>
          <t>NDC #</t>
        </is>
      </c>
      <c r="D3" s="3" t="inlineStr">
        <is>
          <t>Drug Name</t>
        </is>
      </c>
      <c r="E3" s="3" t="inlineStr">
        <is>
          <t>Package Size</t>
        </is>
      </c>
      <c r="F3" s="3" t="inlineStr">
        <is>
          <t>Qty Billed to PRIMECAPRX</t>
        </is>
      </c>
      <c r="G3" s="3" t="inlineStr">
        <is>
          <t>Packages Billed to PRIMECAPRX</t>
        </is>
      </c>
      <c r="H3" s="3" t="inlineStr">
        <is>
          <t>Total Qty Purchased</t>
        </is>
      </c>
      <c r="I3" s="3" t="inlineStr">
        <is>
          <t>Qty Difference for PRIMECAPRX</t>
        </is>
      </c>
      <c r="J3" s="3" t="inlineStr">
        <is>
          <t>Actual $ Paid by PRIMECAPRX (BestRX)</t>
        </is>
      </c>
      <c r="K3" s="3" t="inlineStr">
        <is>
          <t>Amount to be Paid to Insurance (If Audit)</t>
        </is>
      </c>
    </row>
    <row r="4">
      <c r="A4" s="4" t="n">
        <v>1</v>
      </c>
      <c r="B4" s="5" t="inlineStr">
        <is>
          <t>PRIMECAPRX</t>
        </is>
      </c>
      <c r="C4" s="5" t="inlineStr">
        <is>
          <t>00597015230</t>
        </is>
      </c>
      <c r="D4" s="5" t="inlineStr">
        <is>
          <t xml:space="preserve">JARDIANCE 10MG TAB </t>
        </is>
      </c>
      <c r="E4" s="6" t="inlineStr">
        <is>
          <t>30.0</t>
        </is>
      </c>
      <c r="F4" s="7" t="n">
        <v>90</v>
      </c>
      <c r="G4" s="7" t="n">
        <v>3</v>
      </c>
      <c r="H4" s="7" t="n">
        <v>98</v>
      </c>
      <c r="I4" s="7" t="n">
        <v>95</v>
      </c>
      <c r="J4" s="8" t="n">
        <v>913</v>
      </c>
      <c r="K4" s="9">
        <f>IFERROR(IF((ROUND((J4/G4)*I4,1))&lt;0,(ROUND((J4/G4)*I4,1)),0),0)</f>
        <v/>
      </c>
    </row>
    <row r="5">
      <c r="A5" s="4" t="n">
        <v>2</v>
      </c>
      <c r="B5" s="5" t="inlineStr">
        <is>
          <t>PRIMECAPRX</t>
        </is>
      </c>
      <c r="C5" s="5" t="inlineStr">
        <is>
          <t>00169418113</t>
        </is>
      </c>
      <c r="D5" s="5" t="inlineStr">
        <is>
          <t>OZEMPIC (0.25 OR 0.5 MG/DOSE) 2 MG/3ML PEN-INJECTOR</t>
        </is>
      </c>
      <c r="E5" s="6" t="inlineStr">
        <is>
          <t>3.0</t>
        </is>
      </c>
      <c r="F5" s="7" t="n">
        <v>3</v>
      </c>
      <c r="G5" s="7" t="n">
        <v>1</v>
      </c>
      <c r="H5" s="7" t="n">
        <v>69</v>
      </c>
      <c r="I5" s="7" t="n">
        <v>68</v>
      </c>
      <c r="J5" s="8" t="n">
        <v>904</v>
      </c>
      <c r="K5" s="9">
        <f>IFERROR(IF((ROUND((J5/G5)*I5,1))&lt;0,(ROUND((J5/G5)*I5,1)),0),0)</f>
        <v/>
      </c>
    </row>
    <row r="6">
      <c r="A6" s="4" t="n">
        <v>3</v>
      </c>
      <c r="B6" s="5" t="inlineStr">
        <is>
          <t>PRIMECAPRX</t>
        </is>
      </c>
      <c r="C6" s="5" t="inlineStr">
        <is>
          <t>83257001233</t>
        </is>
      </c>
      <c r="D6" s="5" t="inlineStr">
        <is>
          <t>SEMGLEE (YFGN) 100 UNIT/ML PEN-INJECTOR</t>
        </is>
      </c>
      <c r="E6" s="6" t="inlineStr">
        <is>
          <t>15.0</t>
        </is>
      </c>
      <c r="F6" s="7" t="n">
        <v>27</v>
      </c>
      <c r="G6" s="7" t="n">
        <v>1.8</v>
      </c>
      <c r="H6" s="7" t="n">
        <v>0</v>
      </c>
      <c r="I6" s="7" t="n">
        <v>-1.8</v>
      </c>
      <c r="J6" s="8" t="n">
        <v>673</v>
      </c>
      <c r="K6" s="9">
        <f>IFERROR(IF((ROUND((J6/G6)*I6,1))&lt;0,(ROUND((J6/G6)*I6,1)),0),0)</f>
        <v/>
      </c>
    </row>
    <row r="7">
      <c r="A7" s="4" t="n">
        <v>4</v>
      </c>
      <c r="B7" s="5" t="inlineStr">
        <is>
          <t>PRIMECAPRX</t>
        </is>
      </c>
      <c r="C7" s="5" t="inlineStr">
        <is>
          <t>00597030045</t>
        </is>
      </c>
      <c r="D7" s="5" t="inlineStr">
        <is>
          <t>SYNJARDY XR 12.5-1000 MG TABLET ER</t>
        </is>
      </c>
      <c r="E7" s="6" t="inlineStr">
        <is>
          <t>60.0</t>
        </is>
      </c>
      <c r="F7" s="7" t="n">
        <v>90</v>
      </c>
      <c r="G7" s="7" t="n">
        <v>1.5</v>
      </c>
      <c r="H7" s="7" t="n">
        <v>7</v>
      </c>
      <c r="I7" s="7" t="n">
        <v>5.5</v>
      </c>
      <c r="J7" s="8" t="n">
        <v>456</v>
      </c>
      <c r="K7" s="9">
        <f>IFERROR(IF((ROUND((J7/G7)*I7,1))&lt;0,(ROUND((J7/G7)*I7,1)),0),0)</f>
        <v/>
      </c>
    </row>
    <row r="8">
      <c r="A8" s="4" t="n">
        <v>5</v>
      </c>
      <c r="B8" s="5" t="inlineStr">
        <is>
          <t>PRIMECAPRX</t>
        </is>
      </c>
      <c r="C8" s="5" t="inlineStr">
        <is>
          <t>00006011231</t>
        </is>
      </c>
      <c r="D8" s="5" t="inlineStr">
        <is>
          <t>JANUVIA 50MG TABLET</t>
        </is>
      </c>
      <c r="E8" s="6" t="inlineStr">
        <is>
          <t>30.0</t>
        </is>
      </c>
      <c r="F8" s="7" t="n">
        <v>90</v>
      </c>
      <c r="G8" s="7" t="n">
        <v>3</v>
      </c>
      <c r="H8" s="7" t="n">
        <v>35</v>
      </c>
      <c r="I8" s="7" t="n">
        <v>32</v>
      </c>
      <c r="J8" s="8" t="n">
        <v>317</v>
      </c>
      <c r="K8" s="9">
        <f>IFERROR(IF((ROUND((J8/G8)*I8,1))&lt;0,(ROUND((J8/G8)*I8,1)),0),0)</f>
        <v/>
      </c>
    </row>
    <row r="9">
      <c r="A9" s="4" t="n">
        <v>6</v>
      </c>
      <c r="B9" s="5" t="inlineStr">
        <is>
          <t>PRIMECAPRX</t>
        </is>
      </c>
      <c r="C9" s="5" t="inlineStr">
        <is>
          <t>99073070822</t>
        </is>
      </c>
      <c r="D9" s="5" t="inlineStr">
        <is>
          <t>FREESTYLE LITE TEST  STRIP</t>
        </is>
      </c>
      <c r="E9" s="6" t="inlineStr">
        <is>
          <t>50.0</t>
        </is>
      </c>
      <c r="F9" s="7" t="n">
        <v>200</v>
      </c>
      <c r="G9" s="7" t="n">
        <v>4</v>
      </c>
      <c r="H9" s="7" t="n">
        <v>10</v>
      </c>
      <c r="I9" s="7" t="n">
        <v>6</v>
      </c>
      <c r="J9" s="8" t="n">
        <v>267</v>
      </c>
      <c r="K9" s="9">
        <f>IFERROR(IF((ROUND((J9/G9)*I9,1))&lt;0,(ROUND((J9/G9)*I9,1)),0),0)</f>
        <v/>
      </c>
    </row>
    <row r="10">
      <c r="E10" s="10" t="inlineStr">
        <is>
          <t>TOTAL</t>
        </is>
      </c>
      <c r="F10" s="11">
        <f>SUM(F4:F9)</f>
        <v/>
      </c>
      <c r="G10" s="11">
        <f>SUM(G4:G9)</f>
        <v/>
      </c>
      <c r="H10" s="11">
        <f>SUM(H4:H9)</f>
        <v/>
      </c>
      <c r="I10" s="11">
        <f>SUM(I4:I9)</f>
        <v/>
      </c>
      <c r="J10" s="12">
        <f>SUM(J4:J9)</f>
        <v/>
      </c>
      <c r="K10" s="13">
        <f>SUM(K4:K9)</f>
        <v/>
      </c>
    </row>
    <row r="11">
      <c r="J11" s="14" t="inlineStr">
        <is>
          <t>Audited Drugs Count</t>
        </is>
      </c>
      <c r="K11" s="15">
        <f>COUNTIF(K4:K9,"&lt;0")</f>
        <v/>
      </c>
    </row>
    <row r="12">
      <c r="J12" s="14" t="inlineStr">
        <is>
          <t>Total Audit Exposure</t>
        </is>
      </c>
      <c r="K12" s="16">
        <f>SUMIF(K4:K9,"&lt;0",K4:K9)</f>
        <v/>
      </c>
    </row>
  </sheetData>
  <autoFilter ref="A3:K9"/>
  <mergeCells count="2">
    <mergeCell ref="A2:K2"/>
    <mergeCell ref="A1:K1"/>
  </mergeCells>
  <conditionalFormatting sqref="E4:K9">
    <cfRule type="cellIs" priority="1" operator="lessThan" dxfId="0" stopIfTrue="0">
      <formula>0</formula>
    </cfRule>
  </conditionalFormatting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2026-03-27T20:11:23Z</dcterms:created>
  <dcterms:modified xsi:type="dcterms:W3CDTF">2026-03-27T20:11:24Z</dcterms:modified>
</cp:coreProperties>
</file>