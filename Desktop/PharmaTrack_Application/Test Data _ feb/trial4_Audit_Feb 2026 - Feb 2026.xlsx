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P" sheetId="1" state="visible" r:id="rId1"/>
    <sheet name="ALL_PBM" sheetId="2" state="visible" r:id="rId2"/>
    <sheet name="ARG_HUM" sheetId="3" state="visible" r:id="rId3"/>
    <sheet name="CVS" sheetId="4" state="visible" r:id="rId4"/>
    <sheet name="ESI" sheetId="5" state="visible" r:id="rId5"/>
    <sheet name="FDS" sheetId="6" state="visible" r:id="rId6"/>
    <sheet name="MEDIMP" sheetId="7" state="visible" r:id="rId7"/>
    <sheet name="NYM" sheetId="8" state="visible" r:id="rId8"/>
    <sheet name="OPTUM" sheetId="9" state="visible" r:id="rId9"/>
    <sheet name="PRIMECAPRX" sheetId="10" state="visible" r:id="rId10"/>
    <sheet name="TREDIUM" sheetId="11" state="visible" r:id="rId11"/>
  </sheets>
  <definedNames>
    <definedName name="_xlnm._FilterDatabase" localSheetId="0" hidden="1">'ADAP'!$A$3:$K$5</definedName>
    <definedName name="_xlnm._FilterDatabase" localSheetId="1" hidden="1">'ALL_PBM'!$A$3:$K$800</definedName>
    <definedName name="_xlnm._FilterDatabase" localSheetId="2" hidden="1">'ARG_HUM'!$A$3:$K$14</definedName>
    <definedName name="_xlnm._FilterDatabase" localSheetId="3" hidden="1">'CVS'!$A$3:$K$544</definedName>
    <definedName name="_xlnm._FilterDatabase" localSheetId="4" hidden="1">'ESI'!$A$3:$K$193</definedName>
    <definedName name="_xlnm._FilterDatabase" localSheetId="5" hidden="1">'FDS'!$A$3:$K$4</definedName>
    <definedName name="_xlnm._FilterDatabase" localSheetId="6" hidden="1">'MEDIMP'!$A$3:$K$99</definedName>
    <definedName name="_xlnm._FilterDatabase" localSheetId="7" hidden="1">'NYM'!$A$3:$K$475</definedName>
    <definedName name="_xlnm._FilterDatabase" localSheetId="8" hidden="1">'OPTUM'!$A$3:$K$69</definedName>
    <definedName name="_xlnm._FilterDatabase" localSheetId="9" hidden="1">'PRIMECAPRX'!$A$3:$K$20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-$#,##0.00"/>
  </numFmts>
  <fonts count="4">
    <font>
      <name val="Calibri"/>
      <family val="2"/>
      <color theme="1"/>
      <sz val="11"/>
      <scheme val="minor"/>
    </font>
    <font>
      <b val="1"/>
      <sz val="20"/>
    </font>
    <font>
      <b val="1"/>
      <sz val="15"/>
    </font>
    <font>
      <b val="1"/>
    </font>
  </fonts>
  <fills count="4">
    <fill>
      <patternFill/>
    </fill>
    <fill>
      <patternFill patternType="gray125"/>
    </fill>
    <fill>
      <patternFill patternType="solid">
        <fgColor rgb="00D0CECE"/>
        <bgColor rgb="00D0CE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2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trial4 — Feb 2026 - Feb 2026 — ADAP</t>
        </is>
      </c>
    </row>
    <row r="2" ht="24" customHeight="1">
      <c r="A2" s="2" t="inlineStr">
        <is>
          <t>Overall ADAP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ADAP</t>
        </is>
      </c>
      <c r="G3" s="3" t="inlineStr">
        <is>
          <t>Packages Billed to ADAP</t>
        </is>
      </c>
      <c r="H3" s="3" t="inlineStr">
        <is>
          <t>Total Qty Purchased</t>
        </is>
      </c>
      <c r="I3" s="3" t="inlineStr">
        <is>
          <t>Qty Difference for ADAP</t>
        </is>
      </c>
      <c r="J3" s="3" t="inlineStr">
        <is>
          <t>Actual $ Paid by ADAP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ADAP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30</v>
      </c>
      <c r="G4" s="7" t="n">
        <v>1</v>
      </c>
      <c r="H4" s="7" t="n">
        <v>0</v>
      </c>
      <c r="I4" s="7" t="n">
        <v>-1</v>
      </c>
      <c r="J4" s="8" t="n">
        <v>4203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ADAP</t>
        </is>
      </c>
      <c r="C5" s="5" t="inlineStr">
        <is>
          <t>80681002000</t>
        </is>
      </c>
      <c r="D5" s="5" t="inlineStr">
        <is>
          <t>MULTI-VITAMIN TABLET</t>
        </is>
      </c>
      <c r="E5" s="6" t="inlineStr">
        <is>
          <t>1000.0</t>
        </is>
      </c>
      <c r="F5" s="7" t="n">
        <v>30</v>
      </c>
      <c r="G5" s="7" t="n">
        <v>0.03</v>
      </c>
      <c r="H5" s="7" t="n">
        <v>0</v>
      </c>
      <c r="I5" s="7" t="n">
        <v>-0.03</v>
      </c>
      <c r="J5" s="8" t="n">
        <v>4</v>
      </c>
      <c r="K5" s="9">
        <f>IFERROR(IF((ROUND((J5/G5)*I5,1))&lt;0,(ROUND((J5/G5)*I5,1)),0),0)</f>
        <v/>
      </c>
    </row>
    <row r="6">
      <c r="E6" s="10" t="inlineStr">
        <is>
          <t>TOTAL</t>
        </is>
      </c>
      <c r="F6" s="11">
        <f>SUM(F4:F5)</f>
        <v/>
      </c>
      <c r="G6" s="11">
        <f>SUM(G4:G5)</f>
        <v/>
      </c>
      <c r="H6" s="11">
        <f>SUM(H4:H5)</f>
        <v/>
      </c>
      <c r="I6" s="11">
        <f>SUM(I4:I5)</f>
        <v/>
      </c>
      <c r="J6" s="12">
        <f>SUM(J4:J5)</f>
        <v/>
      </c>
      <c r="K6" s="13">
        <f>SUM(K4:K5)</f>
        <v/>
      </c>
    </row>
    <row r="7">
      <c r="J7" s="14" t="inlineStr">
        <is>
          <t>Audited Drugs Count</t>
        </is>
      </c>
      <c r="K7" s="15">
        <f>COUNTIF(K4:K5,"&lt;0")</f>
        <v/>
      </c>
    </row>
    <row r="8">
      <c r="J8" s="14" t="inlineStr">
        <is>
          <t>Total Audit Exposure</t>
        </is>
      </c>
      <c r="K8" s="16">
        <f>SUMIF(K4:K5,"&lt;0",K4:K5)</f>
        <v/>
      </c>
    </row>
  </sheetData>
  <autoFilter ref="A3:K5"/>
  <mergeCells count="2">
    <mergeCell ref="A2:K2"/>
    <mergeCell ref="A1:K1"/>
  </mergeCells>
  <conditionalFormatting sqref="E4:K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80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trial4 — Feb 2026 - Feb 2026 — ALL_PBM</t>
        </is>
      </c>
    </row>
    <row r="2" ht="24" customHeight="1">
      <c r="A2" s="2" t="inlineStr">
        <is>
          <t>Overall ALL_PBM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ALL_PBM</t>
        </is>
      </c>
      <c r="G3" s="3" t="inlineStr">
        <is>
          <t>Packages Billed to ALL_PBM</t>
        </is>
      </c>
      <c r="H3" s="3" t="inlineStr">
        <is>
          <t>Total Qty Purchased</t>
        </is>
      </c>
      <c r="I3" s="3" t="inlineStr">
        <is>
          <t>Qty Difference for ALL_PBM</t>
        </is>
      </c>
      <c r="J3" s="3" t="inlineStr">
        <is>
          <t>Actual $ Paid by ALL_PBM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ALL_PBM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105</v>
      </c>
      <c r="G4" s="7" t="n">
        <v>35</v>
      </c>
      <c r="H4" s="7" t="n">
        <v>26</v>
      </c>
      <c r="I4" s="7" t="n">
        <v>-9</v>
      </c>
      <c r="J4" s="8" t="n">
        <v>34079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ALL_PBM</t>
        </is>
      </c>
      <c r="C5" s="5" t="inlineStr">
        <is>
          <t>00169413013</t>
        </is>
      </c>
      <c r="D5" s="5" t="inlineStr">
        <is>
          <t>OZEMPIC (1 MG/DOSE) 4MG/3ML INJECTION</t>
        </is>
      </c>
      <c r="E5" s="6" t="inlineStr">
        <is>
          <t>3.0</t>
        </is>
      </c>
      <c r="F5" s="7" t="n">
        <v>75</v>
      </c>
      <c r="G5" s="7" t="n">
        <v>25</v>
      </c>
      <c r="H5" s="7" t="n">
        <v>22</v>
      </c>
      <c r="I5" s="7" t="n">
        <v>-3</v>
      </c>
      <c r="J5" s="8" t="n">
        <v>24423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ALL_PBM</t>
        </is>
      </c>
      <c r="C6" s="5" t="inlineStr">
        <is>
          <t>00023916360</t>
        </is>
      </c>
      <c r="D6" s="5" t="inlineStr">
        <is>
          <t xml:space="preserve">RESTASIS 0.05% EMULSION </t>
        </is>
      </c>
      <c r="E6" s="6" t="inlineStr">
        <is>
          <t>60.0</t>
        </is>
      </c>
      <c r="F6" s="7" t="n">
        <v>2220</v>
      </c>
      <c r="G6" s="7" t="n">
        <v>37</v>
      </c>
      <c r="H6" s="7" t="n">
        <v>32</v>
      </c>
      <c r="I6" s="7" t="n">
        <v>-5</v>
      </c>
      <c r="J6" s="8" t="n">
        <v>22665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ALL_PBM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36</v>
      </c>
      <c r="G7" s="7" t="n">
        <v>18</v>
      </c>
      <c r="H7" s="7" t="n">
        <v>14</v>
      </c>
      <c r="I7" s="7" t="n">
        <v>-4</v>
      </c>
      <c r="J7" s="8" t="n">
        <v>18974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ALL_PBM</t>
        </is>
      </c>
      <c r="C8" s="5" t="inlineStr">
        <is>
          <t>24208037705</t>
        </is>
      </c>
      <c r="D8" s="5" t="inlineStr">
        <is>
          <t>MIEBO 1.338 GM/ML OPHTHALMIC SOLUTION</t>
        </is>
      </c>
      <c r="E8" s="6" t="inlineStr">
        <is>
          <t>3.0</t>
        </is>
      </c>
      <c r="F8" s="7" t="n">
        <v>57</v>
      </c>
      <c r="G8" s="7" t="n">
        <v>19</v>
      </c>
      <c r="H8" s="7" t="n">
        <v>20</v>
      </c>
      <c r="I8" s="7" t="n">
        <v>1</v>
      </c>
      <c r="J8" s="8" t="n">
        <v>14841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ALL_PBM</t>
        </is>
      </c>
      <c r="C9" s="5" t="inlineStr">
        <is>
          <t>00597015330</t>
        </is>
      </c>
      <c r="D9" s="5" t="inlineStr">
        <is>
          <t xml:space="preserve">JARDIANCE 25MG TAB </t>
        </is>
      </c>
      <c r="E9" s="6" t="inlineStr">
        <is>
          <t>30.0</t>
        </is>
      </c>
      <c r="F9" s="7" t="n">
        <v>1830</v>
      </c>
      <c r="G9" s="7" t="n">
        <v>61</v>
      </c>
      <c r="H9" s="7" t="n">
        <v>63</v>
      </c>
      <c r="I9" s="7" t="n">
        <v>2</v>
      </c>
      <c r="J9" s="8" t="n">
        <v>14457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ALL_PBM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1740</v>
      </c>
      <c r="G10" s="7" t="n">
        <v>58</v>
      </c>
      <c r="H10" s="7" t="n">
        <v>44</v>
      </c>
      <c r="I10" s="7" t="n">
        <v>-14</v>
      </c>
      <c r="J10" s="8" t="n">
        <v>13865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ALL_PBM</t>
        </is>
      </c>
      <c r="C11" s="5" t="inlineStr">
        <is>
          <t>61958250101</t>
        </is>
      </c>
      <c r="D11" s="5" t="inlineStr">
        <is>
          <t>BIKTARVY 50-200-25MG TABLET</t>
        </is>
      </c>
      <c r="E11" s="6" t="inlineStr">
        <is>
          <t>30.0</t>
        </is>
      </c>
      <c r="F11" s="7" t="n">
        <v>90</v>
      </c>
      <c r="G11" s="7" t="n">
        <v>3</v>
      </c>
      <c r="H11" s="7" t="n">
        <v>0</v>
      </c>
      <c r="I11" s="7" t="n">
        <v>-3</v>
      </c>
      <c r="J11" s="8" t="n">
        <v>12312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ALL_PBM</t>
        </is>
      </c>
      <c r="C12" s="5" t="inlineStr">
        <is>
          <t>00169477212</t>
        </is>
      </c>
      <c r="D12" s="5" t="inlineStr">
        <is>
          <t>OZEMPIC (2 MG/DOSE) 8 MG/3ML PEN-INJECTOR</t>
        </is>
      </c>
      <c r="E12" s="6" t="inlineStr">
        <is>
          <t>3.0</t>
        </is>
      </c>
      <c r="F12" s="7" t="n">
        <v>36</v>
      </c>
      <c r="G12" s="7" t="n">
        <v>12</v>
      </c>
      <c r="H12" s="7" t="n">
        <v>17</v>
      </c>
      <c r="I12" s="7" t="n">
        <v>5</v>
      </c>
      <c r="J12" s="8" t="n">
        <v>11668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ALL_PBM</t>
        </is>
      </c>
      <c r="C13" s="5" t="inlineStr">
        <is>
          <t>24208091112</t>
        </is>
      </c>
      <c r="D13" s="5" t="inlineStr">
        <is>
          <t>XIIDRA 5 % OPHTHALMIC SOLUTION</t>
        </is>
      </c>
      <c r="E13" s="6" t="inlineStr">
        <is>
          <t>60.0</t>
        </is>
      </c>
      <c r="F13" s="7" t="n">
        <v>840</v>
      </c>
      <c r="G13" s="7" t="n">
        <v>14</v>
      </c>
      <c r="H13" s="7" t="n">
        <v>24</v>
      </c>
      <c r="I13" s="7" t="n">
        <v>10</v>
      </c>
      <c r="J13" s="8" t="n">
        <v>9811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ALL_PBM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2100</v>
      </c>
      <c r="G14" s="7" t="n">
        <v>35</v>
      </c>
      <c r="H14" s="7" t="n">
        <v>39</v>
      </c>
      <c r="I14" s="7" t="n">
        <v>4</v>
      </c>
      <c r="J14" s="8" t="n">
        <v>9556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ALL_PBM</t>
        </is>
      </c>
      <c r="C15" s="5" t="inlineStr">
        <is>
          <t>00193731150</t>
        </is>
      </c>
      <c r="D15" s="5" t="inlineStr">
        <is>
          <t>CONTOUR NEXT TEST  STRIPS</t>
        </is>
      </c>
      <c r="E15" s="6" t="inlineStr">
        <is>
          <t>50.0</t>
        </is>
      </c>
      <c r="F15" s="7" t="n">
        <v>7700</v>
      </c>
      <c r="G15" s="7" t="n">
        <v>154</v>
      </c>
      <c r="H15" s="7" t="n">
        <v>0</v>
      </c>
      <c r="I15" s="7" t="n">
        <v>-154</v>
      </c>
      <c r="J15" s="8" t="n">
        <v>8082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ALL_PBM</t>
        </is>
      </c>
      <c r="C16" s="5" t="inlineStr">
        <is>
          <t>00169431430</t>
        </is>
      </c>
      <c r="D16" s="5" t="inlineStr">
        <is>
          <t>RYBELSUS 14MG TABLET</t>
        </is>
      </c>
      <c r="E16" s="6" t="inlineStr">
        <is>
          <t>30.0</t>
        </is>
      </c>
      <c r="F16" s="7" t="n">
        <v>240</v>
      </c>
      <c r="G16" s="7" t="n">
        <v>8</v>
      </c>
      <c r="H16" s="7" t="n">
        <v>7</v>
      </c>
      <c r="I16" s="7" t="n">
        <v>-1</v>
      </c>
      <c r="J16" s="8" t="n">
        <v>7523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ALL_PBM</t>
        </is>
      </c>
      <c r="C17" s="5" t="inlineStr">
        <is>
          <t>49702024213</t>
        </is>
      </c>
      <c r="D17" s="5" t="inlineStr">
        <is>
          <t>JULUCA 50-25MG TABLET</t>
        </is>
      </c>
      <c r="E17" s="6" t="inlineStr">
        <is>
          <t>30.0</t>
        </is>
      </c>
      <c r="F17" s="7" t="n">
        <v>60</v>
      </c>
      <c r="G17" s="7" t="n">
        <v>2</v>
      </c>
      <c r="H17" s="7" t="n">
        <v>0</v>
      </c>
      <c r="I17" s="7" t="n">
        <v>-2</v>
      </c>
      <c r="J17" s="8" t="n">
        <v>7271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ALL_PBM</t>
        </is>
      </c>
      <c r="C18" s="5" t="inlineStr">
        <is>
          <t>00002143380</t>
        </is>
      </c>
      <c r="D18" s="5" t="inlineStr">
        <is>
          <t>TRULICITY 0.75MG/0.5ML INJECTION</t>
        </is>
      </c>
      <c r="E18" s="6" t="inlineStr">
        <is>
          <t>2.0</t>
        </is>
      </c>
      <c r="F18" s="7" t="n">
        <v>14</v>
      </c>
      <c r="G18" s="7" t="n">
        <v>7</v>
      </c>
      <c r="H18" s="7" t="n">
        <v>10</v>
      </c>
      <c r="I18" s="7" t="n">
        <v>3</v>
      </c>
      <c r="J18" s="8" t="n">
        <v>6694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ALL_PBM</t>
        </is>
      </c>
      <c r="C19" s="5" t="inlineStr">
        <is>
          <t>00456120130</t>
        </is>
      </c>
      <c r="D19" s="5" t="inlineStr">
        <is>
          <t>LINZESS 145MCG CAPSULE</t>
        </is>
      </c>
      <c r="E19" s="6" t="inlineStr">
        <is>
          <t>30.0</t>
        </is>
      </c>
      <c r="F19" s="7" t="n">
        <v>750</v>
      </c>
      <c r="G19" s="7" t="n">
        <v>25</v>
      </c>
      <c r="H19" s="7" t="n">
        <v>12</v>
      </c>
      <c r="I19" s="7" t="n">
        <v>-13</v>
      </c>
      <c r="J19" s="8" t="n">
        <v>6630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ALL_PBM</t>
        </is>
      </c>
      <c r="C20" s="5" t="inlineStr">
        <is>
          <t>00310461612</t>
        </is>
      </c>
      <c r="D20" s="5" t="inlineStr">
        <is>
          <t>BREZTRI AEROSPHERE 160-9-4.8 MCG/ACT INHALATION AEROSOL</t>
        </is>
      </c>
      <c r="E20" s="6" t="inlineStr">
        <is>
          <t>10.7</t>
        </is>
      </c>
      <c r="F20" s="7" t="n">
        <v>107</v>
      </c>
      <c r="G20" s="7" t="n">
        <v>10</v>
      </c>
      <c r="H20" s="7" t="n">
        <v>7</v>
      </c>
      <c r="I20" s="7" t="n">
        <v>-3</v>
      </c>
      <c r="J20" s="8" t="n">
        <v>6608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ALL_PBM</t>
        </is>
      </c>
      <c r="C21" s="5" t="inlineStr">
        <is>
          <t>00002148480</t>
        </is>
      </c>
      <c r="D21" s="5" t="inlineStr">
        <is>
          <t>MOUNJARO 7.5 MG/0.5ML PEN-INJECTOR</t>
        </is>
      </c>
      <c r="E21" s="6" t="inlineStr">
        <is>
          <t>2.0</t>
        </is>
      </c>
      <c r="F21" s="7" t="n">
        <v>12</v>
      </c>
      <c r="G21" s="7" t="n">
        <v>6</v>
      </c>
      <c r="H21" s="7" t="n">
        <v>21</v>
      </c>
      <c r="I21" s="7" t="n">
        <v>15</v>
      </c>
      <c r="J21" s="8" t="n">
        <v>6357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ALL_PBM</t>
        </is>
      </c>
      <c r="C22" s="5" t="inlineStr">
        <is>
          <t>61874011530</t>
        </is>
      </c>
      <c r="D22" s="5" t="inlineStr">
        <is>
          <t>VRAYLAR 1.5MG CAPSULE</t>
        </is>
      </c>
      <c r="E22" s="6" t="inlineStr">
        <is>
          <t>30.0</t>
        </is>
      </c>
      <c r="F22" s="7" t="n">
        <v>120</v>
      </c>
      <c r="G22" s="7" t="n">
        <v>4</v>
      </c>
      <c r="H22" s="7" t="n">
        <v>2</v>
      </c>
      <c r="I22" s="7" t="n">
        <v>-2</v>
      </c>
      <c r="J22" s="8" t="n">
        <v>6129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ALL_PBM</t>
        </is>
      </c>
      <c r="C23" s="5" t="inlineStr">
        <is>
          <t>00002150680</t>
        </is>
      </c>
      <c r="D23" s="5" t="inlineStr">
        <is>
          <t>MOUNJARO 2.5 MG/0.5ML PEN-INJECTOR</t>
        </is>
      </c>
      <c r="E23" s="6" t="inlineStr">
        <is>
          <t>2.0</t>
        </is>
      </c>
      <c r="F23" s="7" t="n">
        <v>10</v>
      </c>
      <c r="G23" s="7" t="n">
        <v>5</v>
      </c>
      <c r="H23" s="7" t="n">
        <v>3</v>
      </c>
      <c r="I23" s="7" t="n">
        <v>-2</v>
      </c>
      <c r="J23" s="8" t="n">
        <v>5353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ALL_PBM</t>
        </is>
      </c>
      <c r="C24" s="5" t="inlineStr">
        <is>
          <t>00002147180</t>
        </is>
      </c>
      <c r="D24" s="5" t="inlineStr">
        <is>
          <t>MOUNJARO 10 MG/0.5ML PEN-INJECTOR</t>
        </is>
      </c>
      <c r="E24" s="6" t="inlineStr">
        <is>
          <t>2.0</t>
        </is>
      </c>
      <c r="F24" s="7" t="n">
        <v>10</v>
      </c>
      <c r="G24" s="7" t="n">
        <v>5</v>
      </c>
      <c r="H24" s="7" t="n">
        <v>2</v>
      </c>
      <c r="I24" s="7" t="n">
        <v>-3</v>
      </c>
      <c r="J24" s="8" t="n">
        <v>5235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ALL_PBM</t>
        </is>
      </c>
      <c r="C25" s="5" t="inlineStr">
        <is>
          <t>00173088710</t>
        </is>
      </c>
      <c r="D25" s="5" t="inlineStr">
        <is>
          <t>TRELEGY ELLIPTA 100-62.5-25MCG/INH AEROSOL</t>
        </is>
      </c>
      <c r="E25" s="6" t="inlineStr">
        <is>
          <t>60.0</t>
        </is>
      </c>
      <c r="F25" s="7" t="n">
        <v>480</v>
      </c>
      <c r="G25" s="7" t="n">
        <v>8</v>
      </c>
      <c r="H25" s="7" t="n">
        <v>0</v>
      </c>
      <c r="I25" s="7" t="n">
        <v>-8</v>
      </c>
      <c r="J25" s="8" t="n">
        <v>5218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ALL_PBM</t>
        </is>
      </c>
      <c r="C26" s="5" t="inlineStr">
        <is>
          <t>00006057761</t>
        </is>
      </c>
      <c r="D26" s="5" t="inlineStr">
        <is>
          <t>JANUMET 50-1000MG TABLET</t>
        </is>
      </c>
      <c r="E26" s="6" t="inlineStr">
        <is>
          <t>60.0</t>
        </is>
      </c>
      <c r="F26" s="7" t="n">
        <v>960</v>
      </c>
      <c r="G26" s="7" t="n">
        <v>16</v>
      </c>
      <c r="H26" s="7" t="n">
        <v>20</v>
      </c>
      <c r="I26" s="7" t="n">
        <v>4</v>
      </c>
      <c r="J26" s="8" t="n">
        <v>4932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ALL_PBM</t>
        </is>
      </c>
      <c r="C27" s="5" t="inlineStr">
        <is>
          <t>00169430330</t>
        </is>
      </c>
      <c r="D27" s="5" t="inlineStr">
        <is>
          <t>RYBELSUS 3MG TABLET</t>
        </is>
      </c>
      <c r="E27" s="6" t="inlineStr">
        <is>
          <t>30.0</t>
        </is>
      </c>
      <c r="F27" s="7" t="n">
        <v>150</v>
      </c>
      <c r="G27" s="7" t="n">
        <v>5</v>
      </c>
      <c r="H27" s="7" t="n">
        <v>0</v>
      </c>
      <c r="I27" s="7" t="n">
        <v>-5</v>
      </c>
      <c r="J27" s="8" t="n">
        <v>4840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ALL_PBM</t>
        </is>
      </c>
      <c r="C28" s="5" t="inlineStr">
        <is>
          <t>00002223680</t>
        </is>
      </c>
      <c r="D28" s="5" t="inlineStr">
        <is>
          <t>TRULICITY 3MG/0.5ML INJECTION</t>
        </is>
      </c>
      <c r="E28" s="6" t="inlineStr">
        <is>
          <t>2.0</t>
        </is>
      </c>
      <c r="F28" s="7" t="n">
        <v>10</v>
      </c>
      <c r="G28" s="7" t="n">
        <v>5</v>
      </c>
      <c r="H28" s="7" t="n">
        <v>1</v>
      </c>
      <c r="I28" s="7" t="n">
        <v>-4</v>
      </c>
      <c r="J28" s="8" t="n">
        <v>4743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ALL_PBM</t>
        </is>
      </c>
      <c r="C29" s="5" t="inlineStr">
        <is>
          <t>59676080030</t>
        </is>
      </c>
      <c r="D29" s="5" t="inlineStr">
        <is>
          <t>SYMTUZA 800-150-200-10MG TABLET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0</v>
      </c>
      <c r="I29" s="7" t="n">
        <v>-1</v>
      </c>
      <c r="J29" s="8" t="n">
        <v>4488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ALL_PBM</t>
        </is>
      </c>
      <c r="C30" s="5" t="inlineStr">
        <is>
          <t>00597014030</t>
        </is>
      </c>
      <c r="D30" s="5" t="inlineStr">
        <is>
          <t xml:space="preserve">TRADJENTA 5MG TAB </t>
        </is>
      </c>
      <c r="E30" s="6" t="inlineStr">
        <is>
          <t>30.0</t>
        </is>
      </c>
      <c r="F30" s="7" t="n">
        <v>270</v>
      </c>
      <c r="G30" s="7" t="n">
        <v>9</v>
      </c>
      <c r="H30" s="7" t="n">
        <v>10</v>
      </c>
      <c r="I30" s="7" t="n">
        <v>1</v>
      </c>
      <c r="J30" s="8" t="n">
        <v>4356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ALL_PBM</t>
        </is>
      </c>
      <c r="C31" s="5" t="inlineStr">
        <is>
          <t>00002145780</t>
        </is>
      </c>
      <c r="D31" s="5" t="inlineStr">
        <is>
          <t>MOUNJARO 15 MG/0.5ML PEN-INJECTOR</t>
        </is>
      </c>
      <c r="E31" s="6" t="inlineStr">
        <is>
          <t>2.0</t>
        </is>
      </c>
      <c r="F31" s="7" t="n">
        <v>8</v>
      </c>
      <c r="G31" s="7" t="n">
        <v>4</v>
      </c>
      <c r="H31" s="7" t="n">
        <v>3</v>
      </c>
      <c r="I31" s="7" t="n">
        <v>-1</v>
      </c>
      <c r="J31" s="8" t="n">
        <v>4298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ALL_PBM</t>
        </is>
      </c>
      <c r="C32" s="5" t="inlineStr">
        <is>
          <t>00310111030</t>
        </is>
      </c>
      <c r="D32" s="5" t="inlineStr">
        <is>
          <t>LOKELMA 10GM PACK</t>
        </is>
      </c>
      <c r="E32" s="6" t="inlineStr">
        <is>
          <t>30.0</t>
        </is>
      </c>
      <c r="F32" s="7" t="n">
        <v>150</v>
      </c>
      <c r="G32" s="7" t="n">
        <v>5</v>
      </c>
      <c r="H32" s="7" t="n">
        <v>7</v>
      </c>
      <c r="I32" s="7" t="n">
        <v>2</v>
      </c>
      <c r="J32" s="8" t="n">
        <v>4271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ALL_PBM</t>
        </is>
      </c>
      <c r="C33" s="5" t="inlineStr">
        <is>
          <t>72618300002</t>
        </is>
      </c>
      <c r="D33" s="5" t="inlineStr">
        <is>
          <t>NURTEC 75MG TABLET DISINTEGRATING</t>
        </is>
      </c>
      <c r="E33" s="6" t="inlineStr">
        <is>
          <t>8.0</t>
        </is>
      </c>
      <c r="F33" s="7" t="n">
        <v>32</v>
      </c>
      <c r="G33" s="7" t="n">
        <v>4</v>
      </c>
      <c r="H33" s="7" t="n">
        <v>2</v>
      </c>
      <c r="I33" s="7" t="n">
        <v>-2</v>
      </c>
      <c r="J33" s="8" t="n">
        <v>4093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ALL_PBM</t>
        </is>
      </c>
      <c r="C34" s="5" t="inlineStr">
        <is>
          <t>00169430730</t>
        </is>
      </c>
      <c r="D34" s="5" t="inlineStr">
        <is>
          <t>RYBELSUS 7MG TABLET</t>
        </is>
      </c>
      <c r="E34" s="6" t="inlineStr">
        <is>
          <t>30.0</t>
        </is>
      </c>
      <c r="F34" s="7" t="n">
        <v>120</v>
      </c>
      <c r="G34" s="7" t="n">
        <v>4</v>
      </c>
      <c r="H34" s="7" t="n">
        <v>0</v>
      </c>
      <c r="I34" s="7" t="n">
        <v>-4</v>
      </c>
      <c r="J34" s="8" t="n">
        <v>3836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ALL_PBM</t>
        </is>
      </c>
      <c r="C35" s="5" t="inlineStr">
        <is>
          <t>66993045730</t>
        </is>
      </c>
      <c r="D35" s="5" t="inlineStr">
        <is>
          <t>DAPAGLIFLOZIN PROPANEDIOL 10MG TABLET</t>
        </is>
      </c>
      <c r="E35" s="6" t="inlineStr">
        <is>
          <t>30.0</t>
        </is>
      </c>
      <c r="F35" s="7" t="n">
        <v>570</v>
      </c>
      <c r="G35" s="7" t="n">
        <v>19</v>
      </c>
      <c r="H35" s="7" t="n">
        <v>9</v>
      </c>
      <c r="I35" s="7" t="n">
        <v>-10</v>
      </c>
      <c r="J35" s="8" t="n">
        <v>3453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ALL_PBM</t>
        </is>
      </c>
      <c r="C36" s="5" t="inlineStr">
        <is>
          <t>73336007530</t>
        </is>
      </c>
      <c r="D36" s="5" t="inlineStr">
        <is>
          <t>GEMTESA 75MG TABLET</t>
        </is>
      </c>
      <c r="E36" s="6" t="inlineStr">
        <is>
          <t>30.0</t>
        </is>
      </c>
      <c r="F36" s="7" t="n">
        <v>210</v>
      </c>
      <c r="G36" s="7" t="n">
        <v>7</v>
      </c>
      <c r="H36" s="7" t="n">
        <v>10</v>
      </c>
      <c r="I36" s="7" t="n">
        <v>3</v>
      </c>
      <c r="J36" s="8" t="n">
        <v>3378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ALL_PBM</t>
        </is>
      </c>
      <c r="C37" s="5" t="inlineStr">
        <is>
          <t>00002146080</t>
        </is>
      </c>
      <c r="D37" s="5" t="inlineStr">
        <is>
          <t>MOUNJARO 12.5 MG/0.5ML PEN-INJECTOR</t>
        </is>
      </c>
      <c r="E37" s="6" t="inlineStr">
        <is>
          <t>2.0</t>
        </is>
      </c>
      <c r="F37" s="7" t="n">
        <v>6</v>
      </c>
      <c r="G37" s="7" t="n">
        <v>3</v>
      </c>
      <c r="H37" s="7" t="n">
        <v>2</v>
      </c>
      <c r="I37" s="7" t="n">
        <v>-1</v>
      </c>
      <c r="J37" s="8" t="n">
        <v>3097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ALL_PBM</t>
        </is>
      </c>
      <c r="C38" s="5" t="inlineStr">
        <is>
          <t>49702024613</t>
        </is>
      </c>
      <c r="D38" s="5" t="inlineStr">
        <is>
          <t>DOVATO 50-300 MG ORAL TABLET</t>
        </is>
      </c>
      <c r="E38" s="6" t="inlineStr">
        <is>
          <t>30.0</t>
        </is>
      </c>
      <c r="F38" s="7" t="n">
        <v>30</v>
      </c>
      <c r="G38" s="7" t="n">
        <v>1</v>
      </c>
      <c r="H38" s="7" t="n">
        <v>0</v>
      </c>
      <c r="I38" s="7" t="n">
        <v>-1</v>
      </c>
      <c r="J38" s="8" t="n">
        <v>3093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ALL_PBM</t>
        </is>
      </c>
      <c r="C39" s="5" t="inlineStr">
        <is>
          <t>00023320508</t>
        </is>
      </c>
      <c r="D39" s="5" t="inlineStr">
        <is>
          <t>LUMIGAN 0.01% SOLUTION</t>
        </is>
      </c>
      <c r="E39" s="6" t="inlineStr">
        <is>
          <t>7.5</t>
        </is>
      </c>
      <c r="F39" s="7" t="n">
        <v>30</v>
      </c>
      <c r="G39" s="7" t="n">
        <v>4</v>
      </c>
      <c r="H39" s="7" t="n">
        <v>2</v>
      </c>
      <c r="I39" s="7" t="n">
        <v>-2</v>
      </c>
      <c r="J39" s="8" t="n">
        <v>3091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ALL_PBM</t>
        </is>
      </c>
      <c r="C40" s="5" t="inlineStr">
        <is>
          <t>00469260230</t>
        </is>
      </c>
      <c r="D40" s="5" t="inlineStr">
        <is>
          <t>MYRBETRIQ 50MG TABLET</t>
        </is>
      </c>
      <c r="E40" s="6" t="inlineStr">
        <is>
          <t>30.0</t>
        </is>
      </c>
      <c r="F40" s="7" t="n">
        <v>210</v>
      </c>
      <c r="G40" s="7" t="n">
        <v>7</v>
      </c>
      <c r="H40" s="7" t="n">
        <v>3</v>
      </c>
      <c r="I40" s="7" t="n">
        <v>-4</v>
      </c>
      <c r="J40" s="8" t="n">
        <v>3078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ALL_PBM</t>
        </is>
      </c>
      <c r="C41" s="5" t="inlineStr">
        <is>
          <t>00173085910</t>
        </is>
      </c>
      <c r="D41" s="5" t="inlineStr">
        <is>
          <t>BREO ELLIPTA 100-25 MCG/ACT INH AEROSOL</t>
        </is>
      </c>
      <c r="E41" s="6" t="inlineStr">
        <is>
          <t>60.0</t>
        </is>
      </c>
      <c r="F41" s="7" t="n">
        <v>480</v>
      </c>
      <c r="G41" s="7" t="n">
        <v>8</v>
      </c>
      <c r="H41" s="7" t="n">
        <v>1</v>
      </c>
      <c r="I41" s="7" t="n">
        <v>-7</v>
      </c>
      <c r="J41" s="8" t="n">
        <v>3034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ALL_PBM</t>
        </is>
      </c>
      <c r="C42" s="5" t="inlineStr">
        <is>
          <t>00456120230</t>
        </is>
      </c>
      <c r="D42" s="5" t="inlineStr">
        <is>
          <t xml:space="preserve">LINZESS 290MCG CAP </t>
        </is>
      </c>
      <c r="E42" s="6" t="inlineStr">
        <is>
          <t>30.0</t>
        </is>
      </c>
      <c r="F42" s="7" t="n">
        <v>330</v>
      </c>
      <c r="G42" s="7" t="n">
        <v>11</v>
      </c>
      <c r="H42" s="7" t="n">
        <v>12</v>
      </c>
      <c r="I42" s="7" t="n">
        <v>1</v>
      </c>
      <c r="J42" s="8" t="n">
        <v>2963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ALL_PBM</t>
        </is>
      </c>
      <c r="C43" s="5" t="inlineStr">
        <is>
          <t>00002318280</t>
        </is>
      </c>
      <c r="D43" s="5" t="inlineStr">
        <is>
          <t>TRULICITY 4.5 MG/0.5ML SOLUTION</t>
        </is>
      </c>
      <c r="E43" s="6" t="inlineStr">
        <is>
          <t>2.0</t>
        </is>
      </c>
      <c r="F43" s="7" t="n">
        <v>6</v>
      </c>
      <c r="G43" s="7" t="n">
        <v>3</v>
      </c>
      <c r="H43" s="7" t="n">
        <v>3</v>
      </c>
      <c r="I43" s="7" t="n">
        <v>0</v>
      </c>
      <c r="J43" s="8" t="n">
        <v>2827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ALL_PBM</t>
        </is>
      </c>
      <c r="C44" s="5" t="inlineStr">
        <is>
          <t>08627007701</t>
        </is>
      </c>
      <c r="D44" s="5" t="inlineStr">
        <is>
          <t>DEXCOM G7 SENSOR</t>
        </is>
      </c>
      <c r="E44" s="6" t="inlineStr">
        <is>
          <t>1.0</t>
        </is>
      </c>
      <c r="F44" s="7" t="n">
        <v>21</v>
      </c>
      <c r="G44" s="7" t="n">
        <v>21</v>
      </c>
      <c r="H44" s="7" t="n">
        <v>24</v>
      </c>
      <c r="I44" s="7" t="n">
        <v>3</v>
      </c>
      <c r="J44" s="8" t="n">
        <v>2669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ALL_PBM</t>
        </is>
      </c>
      <c r="C45" s="5" t="inlineStr">
        <is>
          <t>47335050696</t>
        </is>
      </c>
      <c r="D45" s="5" t="inlineStr">
        <is>
          <t>CEQUA 0.09% SOLUTION</t>
        </is>
      </c>
      <c r="E45" s="6" t="inlineStr">
        <is>
          <t>60.0</t>
        </is>
      </c>
      <c r="F45" s="7" t="n">
        <v>240</v>
      </c>
      <c r="G45" s="7" t="n">
        <v>4</v>
      </c>
      <c r="H45" s="7" t="n">
        <v>5</v>
      </c>
      <c r="I45" s="7" t="n">
        <v>1</v>
      </c>
      <c r="J45" s="8" t="n">
        <v>2448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ALL_PBM</t>
        </is>
      </c>
      <c r="C46" s="5" t="inlineStr">
        <is>
          <t>00088221905</t>
        </is>
      </c>
      <c r="D46" s="5" t="inlineStr">
        <is>
          <t>LANTUS SOLOSTAR 100UNIT/ML INJECTION</t>
        </is>
      </c>
      <c r="E46" s="6" t="inlineStr">
        <is>
          <t>15.0</t>
        </is>
      </c>
      <c r="F46" s="7" t="n">
        <v>396</v>
      </c>
      <c r="G46" s="7" t="n">
        <v>26.4</v>
      </c>
      <c r="H46" s="7" t="n">
        <v>19</v>
      </c>
      <c r="I46" s="7" t="n">
        <v>-7.399999999999999</v>
      </c>
      <c r="J46" s="8" t="n">
        <v>2441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ALL_PBM</t>
        </is>
      </c>
      <c r="C47" s="5" t="inlineStr">
        <is>
          <t>50242014301</t>
        </is>
      </c>
      <c r="D47" s="5" t="inlineStr">
        <is>
          <t>ACTEMRA ACTPEN 162 MG/0.9ML SUBCUTANEOUS SOLUTION AUTO-INJECTOR</t>
        </is>
      </c>
      <c r="E47" s="6" t="inlineStr">
        <is>
          <t>0.9</t>
        </is>
      </c>
      <c r="F47" s="7" t="n">
        <v>1.8</v>
      </c>
      <c r="G47" s="7" t="n">
        <v>2</v>
      </c>
      <c r="H47" s="7" t="n">
        <v>2</v>
      </c>
      <c r="I47" s="7" t="n">
        <v>0</v>
      </c>
      <c r="J47" s="8" t="n">
        <v>2312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ALL_PBM</t>
        </is>
      </c>
      <c r="C48" s="5" t="inlineStr">
        <is>
          <t>00006057561</t>
        </is>
      </c>
      <c r="D48" s="5" t="inlineStr">
        <is>
          <t>JANUMET 50-500 MG ORAL TABLET</t>
        </is>
      </c>
      <c r="E48" s="6" t="inlineStr">
        <is>
          <t>60.0</t>
        </is>
      </c>
      <c r="F48" s="7" t="n">
        <v>420</v>
      </c>
      <c r="G48" s="7" t="n">
        <v>7</v>
      </c>
      <c r="H48" s="7" t="n">
        <v>0</v>
      </c>
      <c r="I48" s="7" t="n">
        <v>-7</v>
      </c>
      <c r="J48" s="8" t="n">
        <v>2142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ALL_PBM</t>
        </is>
      </c>
      <c r="C49" s="5" t="inlineStr">
        <is>
          <t>00023649810</t>
        </is>
      </c>
      <c r="D49" s="5" t="inlineStr">
        <is>
          <t>UBRELVY 50 MG ORAL TABLET</t>
        </is>
      </c>
      <c r="E49" s="6" t="inlineStr">
        <is>
          <t>10.0</t>
        </is>
      </c>
      <c r="F49" s="7" t="n">
        <v>20</v>
      </c>
      <c r="G49" s="7" t="n">
        <v>2</v>
      </c>
      <c r="H49" s="7" t="n">
        <v>2</v>
      </c>
      <c r="I49" s="7" t="n">
        <v>0</v>
      </c>
      <c r="J49" s="8" t="n">
        <v>2137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ALL_PBM</t>
        </is>
      </c>
      <c r="C50" s="5" t="inlineStr">
        <is>
          <t>00186504031</t>
        </is>
      </c>
      <c r="D50" s="5" t="inlineStr">
        <is>
          <t>NEXIUM 40MG CAPSULE</t>
        </is>
      </c>
      <c r="E50" s="6" t="inlineStr">
        <is>
          <t>30.0</t>
        </is>
      </c>
      <c r="F50" s="7" t="n">
        <v>240</v>
      </c>
      <c r="G50" s="7" t="n">
        <v>8</v>
      </c>
      <c r="H50" s="7" t="n">
        <v>5</v>
      </c>
      <c r="I50" s="7" t="n">
        <v>-3</v>
      </c>
      <c r="J50" s="8" t="n">
        <v>2070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ALL_PBM</t>
        </is>
      </c>
      <c r="C51" s="5" t="inlineStr">
        <is>
          <t>50881000705</t>
        </is>
      </c>
      <c r="D51" s="5" t="inlineStr">
        <is>
          <t>OPZELURA 1.5 % EXTERNAL CREAM</t>
        </is>
      </c>
      <c r="E51" s="6" t="inlineStr">
        <is>
          <t>60.0</t>
        </is>
      </c>
      <c r="F51" s="7" t="n">
        <v>60</v>
      </c>
      <c r="G51" s="7" t="n">
        <v>1</v>
      </c>
      <c r="H51" s="7" t="n">
        <v>0</v>
      </c>
      <c r="I51" s="7" t="n">
        <v>-1</v>
      </c>
      <c r="J51" s="8" t="n">
        <v>2029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ALL_PBM</t>
        </is>
      </c>
      <c r="C52" s="5" t="inlineStr">
        <is>
          <t>50419054001</t>
        </is>
      </c>
      <c r="D52" s="5" t="inlineStr">
        <is>
          <t>KERENDIA 10 MG TABLET</t>
        </is>
      </c>
      <c r="E52" s="6" t="inlineStr">
        <is>
          <t>30.0</t>
        </is>
      </c>
      <c r="F52" s="7" t="n">
        <v>90</v>
      </c>
      <c r="G52" s="7" t="n">
        <v>3</v>
      </c>
      <c r="H52" s="7" t="n">
        <v>10</v>
      </c>
      <c r="I52" s="7" t="n">
        <v>7</v>
      </c>
      <c r="J52" s="8" t="n">
        <v>2009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ALL_PBM</t>
        </is>
      </c>
      <c r="C53" s="5" t="inlineStr">
        <is>
          <t>00173089310</t>
        </is>
      </c>
      <c r="D53" s="5" t="inlineStr">
        <is>
          <t>TRELEGY ELLIPTA 200-62.5-25 MCG/ACT INHALATION AER</t>
        </is>
      </c>
      <c r="E53" s="6" t="inlineStr">
        <is>
          <t>60.0</t>
        </is>
      </c>
      <c r="F53" s="7" t="n">
        <v>180</v>
      </c>
      <c r="G53" s="7" t="n">
        <v>3</v>
      </c>
      <c r="H53" s="7" t="n">
        <v>0</v>
      </c>
      <c r="I53" s="7" t="n">
        <v>-3</v>
      </c>
      <c r="J53" s="8" t="n">
        <v>2007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ALL_PBM</t>
        </is>
      </c>
      <c r="C54" s="5" t="inlineStr">
        <is>
          <t>73154005060</t>
        </is>
      </c>
      <c r="D54" s="5" t="inlineStr">
        <is>
          <t>IBSRELA 50 MG ORAL TABLET</t>
        </is>
      </c>
      <c r="E54" s="6" t="inlineStr">
        <is>
          <t>60.0</t>
        </is>
      </c>
      <c r="F54" s="7" t="n">
        <v>60</v>
      </c>
      <c r="G54" s="7" t="n">
        <v>1</v>
      </c>
      <c r="H54" s="7" t="n">
        <v>0</v>
      </c>
      <c r="I54" s="7" t="n">
        <v>-1</v>
      </c>
      <c r="J54" s="8" t="n">
        <v>1965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ALL_PBM</t>
        </is>
      </c>
      <c r="C55" s="5" t="inlineStr">
        <is>
          <t>00002143480</t>
        </is>
      </c>
      <c r="D55" s="5" t="inlineStr">
        <is>
          <t>TRULICITY 1.5MG/0.5ML INJECTION</t>
        </is>
      </c>
      <c r="E55" s="6" t="inlineStr">
        <is>
          <t>2.0</t>
        </is>
      </c>
      <c r="F55" s="7" t="n">
        <v>4</v>
      </c>
      <c r="G55" s="7" t="n">
        <v>2</v>
      </c>
      <c r="H55" s="7" t="n">
        <v>2</v>
      </c>
      <c r="I55" s="7" t="n">
        <v>0</v>
      </c>
      <c r="J55" s="8" t="n">
        <v>1943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ALL_PBM</t>
        </is>
      </c>
      <c r="C56" s="5" t="inlineStr">
        <is>
          <t>68180096301</t>
        </is>
      </c>
      <c r="D56" s="5" t="inlineStr">
        <is>
          <t>ALBUTEROL SULFATE HFA 108 (90 BASE)MCG/ACT AEROSOL</t>
        </is>
      </c>
      <c r="E56" s="6" t="inlineStr">
        <is>
          <t>8.5</t>
        </is>
      </c>
      <c r="F56" s="7" t="n">
        <v>807.5</v>
      </c>
      <c r="G56" s="7" t="n">
        <v>95</v>
      </c>
      <c r="H56" s="7" t="n">
        <v>48</v>
      </c>
      <c r="I56" s="7" t="n">
        <v>-47</v>
      </c>
      <c r="J56" s="8" t="n">
        <v>1941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ALL_PBM</t>
        </is>
      </c>
      <c r="C57" s="5" t="inlineStr">
        <is>
          <t>50484001090</t>
        </is>
      </c>
      <c r="D57" s="5" t="inlineStr">
        <is>
          <t>SANTYL 250 UNIT/GM EXTERNAL OINTMENT</t>
        </is>
      </c>
      <c r="E57" s="6" t="inlineStr">
        <is>
          <t>90.0</t>
        </is>
      </c>
      <c r="F57" s="7" t="n">
        <v>180</v>
      </c>
      <c r="G57" s="7" t="n">
        <v>2</v>
      </c>
      <c r="H57" s="7" t="n">
        <v>1</v>
      </c>
      <c r="I57" s="7" t="n">
        <v>-1</v>
      </c>
      <c r="J57" s="8" t="n">
        <v>1916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ALL_PBM</t>
        </is>
      </c>
      <c r="C58" s="5" t="inlineStr">
        <is>
          <t>00006027731</t>
        </is>
      </c>
      <c r="D58" s="5" t="inlineStr">
        <is>
          <t>JANUVIA 100MG TAB</t>
        </is>
      </c>
      <c r="E58" s="6" t="inlineStr">
        <is>
          <t>30.0</t>
        </is>
      </c>
      <c r="F58" s="7" t="n">
        <v>480</v>
      </c>
      <c r="G58" s="7" t="n">
        <v>16</v>
      </c>
      <c r="H58" s="7" t="n">
        <v>24</v>
      </c>
      <c r="I58" s="7" t="n">
        <v>8</v>
      </c>
      <c r="J58" s="8" t="n">
        <v>1875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ALL_PBM</t>
        </is>
      </c>
      <c r="C59" s="5" t="inlineStr">
        <is>
          <t>50458057930</t>
        </is>
      </c>
      <c r="D59" s="5" t="inlineStr">
        <is>
          <t>XARELTO 20MG TAB</t>
        </is>
      </c>
      <c r="E59" s="6" t="inlineStr">
        <is>
          <t>30.0</t>
        </is>
      </c>
      <c r="F59" s="7" t="n">
        <v>270</v>
      </c>
      <c r="G59" s="7" t="n">
        <v>9</v>
      </c>
      <c r="H59" s="7" t="n">
        <v>3</v>
      </c>
      <c r="I59" s="7" t="n">
        <v>-6</v>
      </c>
      <c r="J59" s="8" t="n">
        <v>1858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ALL_PBM</t>
        </is>
      </c>
      <c r="C60" s="5" t="inlineStr">
        <is>
          <t>08290320122</t>
        </is>
      </c>
      <c r="D60" s="5" t="inlineStr">
        <is>
          <t>PEN NEEDLES ALL</t>
        </is>
      </c>
      <c r="E60" s="6" t="inlineStr">
        <is>
          <t>100.0</t>
        </is>
      </c>
      <c r="F60" s="7" t="n">
        <v>2900</v>
      </c>
      <c r="G60" s="7" t="n">
        <v>29</v>
      </c>
      <c r="H60" s="7" t="n">
        <v>0</v>
      </c>
      <c r="I60" s="7" t="n">
        <v>-29</v>
      </c>
      <c r="J60" s="8" t="n">
        <v>1791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ALL_PBM</t>
        </is>
      </c>
      <c r="C61" s="5" t="inlineStr">
        <is>
          <t>08508300021</t>
        </is>
      </c>
      <c r="D61" s="5" t="inlineStr">
        <is>
          <t>OMNIPOD 5 G6 POD (GEN 5)</t>
        </is>
      </c>
      <c r="E61" s="6" t="inlineStr">
        <is>
          <t>5.0</t>
        </is>
      </c>
      <c r="F61" s="7" t="n">
        <v>30</v>
      </c>
      <c r="G61" s="7" t="n">
        <v>6</v>
      </c>
      <c r="H61" s="7" t="n">
        <v>6</v>
      </c>
      <c r="I61" s="7" t="n">
        <v>0</v>
      </c>
      <c r="J61" s="8" t="n">
        <v>1770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ALL_PBM</t>
        </is>
      </c>
      <c r="C62" s="5" t="inlineStr">
        <is>
          <t>00023921115</t>
        </is>
      </c>
      <c r="D62" s="5" t="inlineStr">
        <is>
          <t>COMBIGAN 0.2-0.5% OPTH SOLUTION 15ML</t>
        </is>
      </c>
      <c r="E62" s="6" t="inlineStr">
        <is>
          <t>15.0</t>
        </is>
      </c>
      <c r="F62" s="7" t="n">
        <v>45</v>
      </c>
      <c r="G62" s="7" t="n">
        <v>3</v>
      </c>
      <c r="H62" s="7" t="n">
        <v>0</v>
      </c>
      <c r="I62" s="7" t="n">
        <v>-3</v>
      </c>
      <c r="J62" s="8" t="n">
        <v>1747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ALL_PBM</t>
        </is>
      </c>
      <c r="C63" s="5" t="inlineStr">
        <is>
          <t>00003089321</t>
        </is>
      </c>
      <c r="D63" s="5" t="inlineStr">
        <is>
          <t xml:space="preserve">ELIQUIS 2.5MG TAB </t>
        </is>
      </c>
      <c r="E63" s="6" t="inlineStr">
        <is>
          <t>60.0</t>
        </is>
      </c>
      <c r="F63" s="7" t="n">
        <v>420</v>
      </c>
      <c r="G63" s="7" t="n">
        <v>7</v>
      </c>
      <c r="H63" s="7" t="n">
        <v>20</v>
      </c>
      <c r="I63" s="7" t="n">
        <v>13</v>
      </c>
      <c r="J63" s="8" t="n">
        <v>1740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ALL_PBM</t>
        </is>
      </c>
      <c r="C64" s="5" t="inlineStr">
        <is>
          <t>00173087310</t>
        </is>
      </c>
      <c r="D64" s="5" t="inlineStr">
        <is>
          <t>INCRUSE ELLIPTA 62.5MCG/INH AEROSOL</t>
        </is>
      </c>
      <c r="E64" s="6" t="inlineStr">
        <is>
          <t>30.0</t>
        </is>
      </c>
      <c r="F64" s="7" t="n">
        <v>150</v>
      </c>
      <c r="G64" s="7" t="n">
        <v>5</v>
      </c>
      <c r="H64" s="7" t="n">
        <v>0</v>
      </c>
      <c r="I64" s="7" t="n">
        <v>-5</v>
      </c>
      <c r="J64" s="8" t="n">
        <v>1693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ALL_PBM</t>
        </is>
      </c>
      <c r="C65" s="5" t="inlineStr">
        <is>
          <t>00310626060</t>
        </is>
      </c>
      <c r="D65" s="5" t="inlineStr">
        <is>
          <t>XIGDUO XR 5-1000 MG TABLET ER</t>
        </is>
      </c>
      <c r="E65" s="6" t="inlineStr">
        <is>
          <t>60.0</t>
        </is>
      </c>
      <c r="F65" s="7" t="n">
        <v>180</v>
      </c>
      <c r="G65" s="7" t="n">
        <v>3</v>
      </c>
      <c r="H65" s="7" t="n">
        <v>0</v>
      </c>
      <c r="I65" s="7" t="n">
        <v>-3</v>
      </c>
      <c r="J65" s="8" t="n">
        <v>1684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ALL_PBM</t>
        </is>
      </c>
      <c r="C66" s="5" t="inlineStr">
        <is>
          <t>72511039302</t>
        </is>
      </c>
      <c r="D66" s="5" t="inlineStr">
        <is>
          <t>REPATHA SURECLICK 140 MG/ML SUBCUTANEOUS SOLUTION AUTO-INJECTOR</t>
        </is>
      </c>
      <c r="E66" s="6" t="inlineStr">
        <is>
          <t>2.0</t>
        </is>
      </c>
      <c r="F66" s="7" t="n">
        <v>6</v>
      </c>
      <c r="G66" s="7" t="n">
        <v>3</v>
      </c>
      <c r="H66" s="7" t="n">
        <v>0</v>
      </c>
      <c r="I66" s="7" t="n">
        <v>-3</v>
      </c>
      <c r="J66" s="8" t="n">
        <v>1668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ALL_PBM</t>
        </is>
      </c>
      <c r="C67" s="5" t="inlineStr">
        <is>
          <t>00186037020</t>
        </is>
      </c>
      <c r="D67" s="5" t="inlineStr">
        <is>
          <t>SYMBICORT 160-4.5MCG/ACT AEROSOL</t>
        </is>
      </c>
      <c r="E67" s="6" t="inlineStr">
        <is>
          <t>10.2</t>
        </is>
      </c>
      <c r="F67" s="7" t="n">
        <v>71.40000000000001</v>
      </c>
      <c r="G67" s="7" t="n">
        <v>7.000000000000001</v>
      </c>
      <c r="H67" s="7" t="n">
        <v>0</v>
      </c>
      <c r="I67" s="7" t="n">
        <v>-7.000000000000001</v>
      </c>
      <c r="J67" s="8" t="n">
        <v>1644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ALL_PBM</t>
        </is>
      </c>
      <c r="C68" s="5" t="inlineStr">
        <is>
          <t>00187540008</t>
        </is>
      </c>
      <c r="D68" s="5" t="inlineStr">
        <is>
          <t>JUBLIA 10 % EXTERNAL SOLUTION</t>
        </is>
      </c>
      <c r="E68" s="6" t="inlineStr">
        <is>
          <t>8.0</t>
        </is>
      </c>
      <c r="F68" s="7" t="n">
        <v>8</v>
      </c>
      <c r="G68" s="7" t="n">
        <v>1</v>
      </c>
      <c r="H68" s="7" t="n">
        <v>2</v>
      </c>
      <c r="I68" s="7" t="n">
        <v>1</v>
      </c>
      <c r="J68" s="8" t="n">
        <v>1639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ALL_PBM</t>
        </is>
      </c>
      <c r="C69" s="5" t="inlineStr">
        <is>
          <t>61874013030</t>
        </is>
      </c>
      <c r="D69" s="5" t="inlineStr">
        <is>
          <t>VRAYLAR 3MG CAPSULE</t>
        </is>
      </c>
      <c r="E69" s="6" t="inlineStr">
        <is>
          <t>30.0</t>
        </is>
      </c>
      <c r="F69" s="7" t="n">
        <v>30</v>
      </c>
      <c r="G69" s="7" t="n">
        <v>1</v>
      </c>
      <c r="H69" s="7" t="n">
        <v>1</v>
      </c>
      <c r="I69" s="7" t="n">
        <v>0</v>
      </c>
      <c r="J69" s="8" t="n">
        <v>1539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ALL_PBM</t>
        </is>
      </c>
      <c r="C70" s="5" t="inlineStr">
        <is>
          <t>61958230101</t>
        </is>
      </c>
      <c r="D70" s="5" t="inlineStr">
        <is>
          <t>VEMLIDY 25 MG ORAL TABLET</t>
        </is>
      </c>
      <c r="E70" s="6" t="inlineStr">
        <is>
          <t>30.0</t>
        </is>
      </c>
      <c r="F70" s="7" t="n">
        <v>30</v>
      </c>
      <c r="G70" s="7" t="n">
        <v>1</v>
      </c>
      <c r="H70" s="7" t="n">
        <v>1</v>
      </c>
      <c r="I70" s="7" t="n">
        <v>0</v>
      </c>
      <c r="J70" s="8" t="n">
        <v>1538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ALL_PBM</t>
        </is>
      </c>
      <c r="C71" s="5" t="inlineStr">
        <is>
          <t>59148003713</t>
        </is>
      </c>
      <c r="D71" s="5" t="inlineStr">
        <is>
          <t>REXULTI 1MG TABLET</t>
        </is>
      </c>
      <c r="E71" s="6" t="inlineStr">
        <is>
          <t>30.0</t>
        </is>
      </c>
      <c r="F71" s="7" t="n">
        <v>30</v>
      </c>
      <c r="G71" s="7" t="n">
        <v>1</v>
      </c>
      <c r="H71" s="7" t="n">
        <v>1</v>
      </c>
      <c r="I71" s="7" t="n">
        <v>0</v>
      </c>
      <c r="J71" s="8" t="n">
        <v>1499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ALL_PBM</t>
        </is>
      </c>
      <c r="C72" s="5" t="inlineStr">
        <is>
          <t>59148003613</t>
        </is>
      </c>
      <c r="D72" s="5" t="inlineStr">
        <is>
          <t>REXULTI 0.5 MG ORAL TABLET</t>
        </is>
      </c>
      <c r="E72" s="6" t="inlineStr">
        <is>
          <t>30.0</t>
        </is>
      </c>
      <c r="F72" s="7" t="n">
        <v>30</v>
      </c>
      <c r="G72" s="7" t="n">
        <v>1</v>
      </c>
      <c r="H72" s="7" t="n">
        <v>1</v>
      </c>
      <c r="I72" s="7" t="n">
        <v>0</v>
      </c>
      <c r="J72" s="8" t="n">
        <v>1480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ALL_PBM</t>
        </is>
      </c>
      <c r="C73" s="5" t="inlineStr">
        <is>
          <t>00310737220</t>
        </is>
      </c>
      <c r="D73" s="5" t="inlineStr">
        <is>
          <t>BUDESONIDE-FORMOTEROL FUMARATE 80-4.5MCG/ACT AEROSOL</t>
        </is>
      </c>
      <c r="E73" s="6" t="inlineStr">
        <is>
          <t>10.2</t>
        </is>
      </c>
      <c r="F73" s="7" t="n">
        <v>112.2</v>
      </c>
      <c r="G73" s="7" t="n">
        <v>11</v>
      </c>
      <c r="H73" s="7" t="n">
        <v>6</v>
      </c>
      <c r="I73" s="7" t="n">
        <v>-5.000000000000002</v>
      </c>
      <c r="J73" s="8" t="n">
        <v>1439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ALL_PBM</t>
        </is>
      </c>
      <c r="C74" s="5" t="inlineStr">
        <is>
          <t>00310908012</t>
        </is>
      </c>
      <c r="D74" s="5" t="inlineStr">
        <is>
          <t>AIRSUPRA 90-80 MCG/ACT INHALATION AEROSOL</t>
        </is>
      </c>
      <c r="E74" s="6" t="inlineStr">
        <is>
          <t>10.7</t>
        </is>
      </c>
      <c r="F74" s="7" t="n">
        <v>32.1</v>
      </c>
      <c r="G74" s="7" t="n">
        <v>3</v>
      </c>
      <c r="H74" s="7" t="n">
        <v>3</v>
      </c>
      <c r="I74" s="7" t="n">
        <v>-4.440892098500626e-16</v>
      </c>
      <c r="J74" s="8" t="n">
        <v>1439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ALL_PBM</t>
        </is>
      </c>
      <c r="C75" s="5" t="inlineStr">
        <is>
          <t>00006011231</t>
        </is>
      </c>
      <c r="D75" s="5" t="inlineStr">
        <is>
          <t>JANUVIA 50MG TABLET</t>
        </is>
      </c>
      <c r="E75" s="6" t="inlineStr">
        <is>
          <t>30.0</t>
        </is>
      </c>
      <c r="F75" s="7" t="n">
        <v>360</v>
      </c>
      <c r="G75" s="7" t="n">
        <v>12</v>
      </c>
      <c r="H75" s="7" t="n">
        <v>12</v>
      </c>
      <c r="I75" s="7" t="n">
        <v>0</v>
      </c>
      <c r="J75" s="8" t="n">
        <v>1417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ALL_PBM</t>
        </is>
      </c>
      <c r="C76" s="5" t="inlineStr">
        <is>
          <t>00456120330</t>
        </is>
      </c>
      <c r="D76" s="5" t="inlineStr">
        <is>
          <t>LINZESS 72 MCG ORAL CAPSULE</t>
        </is>
      </c>
      <c r="E76" s="6" t="inlineStr">
        <is>
          <t>30.0</t>
        </is>
      </c>
      <c r="F76" s="7" t="n">
        <v>150</v>
      </c>
      <c r="G76" s="7" t="n">
        <v>5</v>
      </c>
      <c r="H76" s="7" t="n">
        <v>0</v>
      </c>
      <c r="I76" s="7" t="n">
        <v>-5</v>
      </c>
      <c r="J76" s="8" t="n">
        <v>1366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ALL_PBM</t>
        </is>
      </c>
      <c r="C77" s="5" t="inlineStr">
        <is>
          <t>52937000120</t>
        </is>
      </c>
      <c r="D77" s="5" t="inlineStr">
        <is>
          <t>VASCEPA 1GM CAPSULE</t>
        </is>
      </c>
      <c r="E77" s="6" t="inlineStr">
        <is>
          <t>120.0</t>
        </is>
      </c>
      <c r="F77" s="7" t="n">
        <v>480</v>
      </c>
      <c r="G77" s="7" t="n">
        <v>4</v>
      </c>
      <c r="H77" s="7" t="n">
        <v>6</v>
      </c>
      <c r="I77" s="7" t="n">
        <v>2</v>
      </c>
      <c r="J77" s="8" t="n">
        <v>1332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ALL_PBM</t>
        </is>
      </c>
      <c r="C78" s="5" t="inlineStr">
        <is>
          <t>00310737020</t>
        </is>
      </c>
      <c r="D78" s="5" t="inlineStr">
        <is>
          <t>BUDESONIDE/FORMOTEROL 160 /4.5 MCG (SYMBICORT)</t>
        </is>
      </c>
      <c r="E78" s="6" t="inlineStr">
        <is>
          <t>10.2</t>
        </is>
      </c>
      <c r="F78" s="7" t="n">
        <v>81.59999999999999</v>
      </c>
      <c r="G78" s="7" t="n">
        <v>8</v>
      </c>
      <c r="H78" s="7" t="n">
        <v>9</v>
      </c>
      <c r="I78" s="7" t="n">
        <v>1</v>
      </c>
      <c r="J78" s="8" t="n">
        <v>1322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ALL_PBM</t>
        </is>
      </c>
      <c r="C79" s="5" t="inlineStr">
        <is>
          <t>00169452414</t>
        </is>
      </c>
      <c r="D79" s="5" t="inlineStr">
        <is>
          <t>WEGOVY 2.4 MG/0.75ML AUTO-INJECTOR</t>
        </is>
      </c>
      <c r="E79" s="6" t="inlineStr">
        <is>
          <t>3.0</t>
        </is>
      </c>
      <c r="F79" s="7" t="n">
        <v>3</v>
      </c>
      <c r="G79" s="7" t="n">
        <v>1</v>
      </c>
      <c r="H79" s="7" t="n">
        <v>1</v>
      </c>
      <c r="I79" s="7" t="n">
        <v>0</v>
      </c>
      <c r="J79" s="8" t="n">
        <v>1283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ALL_PBM</t>
        </is>
      </c>
      <c r="C80" s="5" t="inlineStr">
        <is>
          <t>00093598627</t>
        </is>
      </c>
      <c r="D80" s="5" t="inlineStr">
        <is>
          <t>EPINEPHRINE 0.3MG/0.3ML INJECTION</t>
        </is>
      </c>
      <c r="E80" s="6" t="inlineStr">
        <is>
          <t>2.0</t>
        </is>
      </c>
      <c r="F80" s="7" t="n">
        <v>8</v>
      </c>
      <c r="G80" s="7" t="n">
        <v>4</v>
      </c>
      <c r="H80" s="7" t="n">
        <v>0</v>
      </c>
      <c r="I80" s="7" t="n">
        <v>-4</v>
      </c>
      <c r="J80" s="8" t="n">
        <v>1272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ALL_PBM</t>
        </is>
      </c>
      <c r="C81" s="5" t="inlineStr">
        <is>
          <t>24208050402</t>
        </is>
      </c>
      <c r="D81" s="5" t="inlineStr">
        <is>
          <t>VYZULTA 0.024 % OPHTHALMIC SOLUTION</t>
        </is>
      </c>
      <c r="E81" s="6" t="inlineStr">
        <is>
          <t>2.5</t>
        </is>
      </c>
      <c r="F81" s="7" t="n">
        <v>12.5</v>
      </c>
      <c r="G81" s="7" t="n">
        <v>5</v>
      </c>
      <c r="H81" s="7" t="n">
        <v>0</v>
      </c>
      <c r="I81" s="7" t="n">
        <v>-5</v>
      </c>
      <c r="J81" s="8" t="n">
        <v>1269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ALL_PBM</t>
        </is>
      </c>
      <c r="C82" s="5" t="inlineStr">
        <is>
          <t>00169451714</t>
        </is>
      </c>
      <c r="D82" s="5" t="inlineStr">
        <is>
          <t>WEGOVY 1.7 MG/0.75ML AUTO-INJECTOR</t>
        </is>
      </c>
      <c r="E82" s="6" t="inlineStr">
        <is>
          <t>3.0</t>
        </is>
      </c>
      <c r="F82" s="7" t="n">
        <v>3</v>
      </c>
      <c r="G82" s="7" t="n">
        <v>1</v>
      </c>
      <c r="H82" s="7" t="n">
        <v>1</v>
      </c>
      <c r="I82" s="7" t="n">
        <v>0</v>
      </c>
      <c r="J82" s="8" t="n">
        <v>1260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ALL_PBM</t>
        </is>
      </c>
      <c r="C83" s="5" t="inlineStr">
        <is>
          <t>00023530105</t>
        </is>
      </c>
      <c r="D83" s="5" t="inlineStr">
        <is>
          <t>RESTASIS MULTIDOSE 0.05 % OPHTHALMIC EMULSION</t>
        </is>
      </c>
      <c r="E83" s="6" t="inlineStr">
        <is>
          <t>5.5</t>
        </is>
      </c>
      <c r="F83" s="7" t="n">
        <v>11</v>
      </c>
      <c r="G83" s="7" t="n">
        <v>2</v>
      </c>
      <c r="H83" s="7" t="n">
        <v>0</v>
      </c>
      <c r="I83" s="7" t="n">
        <v>-2</v>
      </c>
      <c r="J83" s="8" t="n">
        <v>1228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ALL_PBM</t>
        </is>
      </c>
      <c r="C84" s="5" t="inlineStr">
        <is>
          <t>71699020030</t>
        </is>
      </c>
      <c r="D84" s="5" t="inlineStr">
        <is>
          <t>XCOPRI 200 MG ORAL TABLET</t>
        </is>
      </c>
      <c r="E84" s="6" t="inlineStr">
        <is>
          <t>30.0</t>
        </is>
      </c>
      <c r="F84" s="7" t="n">
        <v>30</v>
      </c>
      <c r="G84" s="7" t="n">
        <v>1</v>
      </c>
      <c r="H84" s="7" t="n">
        <v>1</v>
      </c>
      <c r="I84" s="7" t="n">
        <v>0</v>
      </c>
      <c r="J84" s="8" t="n">
        <v>1191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ALL_PBM</t>
        </is>
      </c>
      <c r="C85" s="5" t="inlineStr">
        <is>
          <t>00074709630</t>
        </is>
      </c>
      <c r="D85" s="5" t="inlineStr">
        <is>
          <t>QULIPTA 30 MG ORAL TABLET</t>
        </is>
      </c>
      <c r="E85" s="6" t="inlineStr">
        <is>
          <t>30.0</t>
        </is>
      </c>
      <c r="F85" s="7" t="n">
        <v>30</v>
      </c>
      <c r="G85" s="7" t="n">
        <v>1</v>
      </c>
      <c r="H85" s="7" t="n">
        <v>0</v>
      </c>
      <c r="I85" s="7" t="n">
        <v>-1</v>
      </c>
      <c r="J85" s="8" t="n">
        <v>1134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ALL_PBM</t>
        </is>
      </c>
      <c r="C86" s="5" t="inlineStr">
        <is>
          <t>74157000660</t>
        </is>
      </c>
      <c r="D86" s="5" t="inlineStr">
        <is>
          <t>AMCINONIDE 0.1 % EXTERNAL CREAM</t>
        </is>
      </c>
      <c r="E86" s="6" t="inlineStr">
        <is>
          <t>60.0</t>
        </is>
      </c>
      <c r="F86" s="7" t="n">
        <v>60</v>
      </c>
      <c r="G86" s="7" t="n">
        <v>1</v>
      </c>
      <c r="H86" s="7" t="n">
        <v>0</v>
      </c>
      <c r="I86" s="7" t="n">
        <v>-1</v>
      </c>
      <c r="J86" s="8" t="n">
        <v>1132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ALL_PBM</t>
        </is>
      </c>
      <c r="C87" s="5" t="inlineStr">
        <is>
          <t>00002246080</t>
        </is>
      </c>
      <c r="D87" s="5" t="inlineStr">
        <is>
          <t>ZEPBOUND 12.5 MG/0.5ML AUTO-INJECTOR</t>
        </is>
      </c>
      <c r="E87" s="6" t="inlineStr">
        <is>
          <t>2.0</t>
        </is>
      </c>
      <c r="F87" s="7" t="n">
        <v>2</v>
      </c>
      <c r="G87" s="7" t="n">
        <v>1</v>
      </c>
      <c r="H87" s="7" t="n">
        <v>1</v>
      </c>
      <c r="I87" s="7" t="n">
        <v>0</v>
      </c>
      <c r="J87" s="8" t="n">
        <v>1052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ALL_PBM</t>
        </is>
      </c>
      <c r="C88" s="5" t="inlineStr">
        <is>
          <t>00002247180</t>
        </is>
      </c>
      <c r="D88" s="5" t="inlineStr">
        <is>
          <t>ZEPBOUND 10 MG/0.5ML AUTO-INJECTOR</t>
        </is>
      </c>
      <c r="E88" s="6" t="inlineStr">
        <is>
          <t>2.0</t>
        </is>
      </c>
      <c r="F88" s="7" t="n">
        <v>2</v>
      </c>
      <c r="G88" s="7" t="n">
        <v>1</v>
      </c>
      <c r="H88" s="7" t="n">
        <v>2</v>
      </c>
      <c r="I88" s="7" t="n">
        <v>1</v>
      </c>
      <c r="J88" s="8" t="n">
        <v>1050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ALL_PBM</t>
        </is>
      </c>
      <c r="C89" s="5" t="inlineStr">
        <is>
          <t>00023320505</t>
        </is>
      </c>
      <c r="D89" s="5" t="inlineStr">
        <is>
          <t>LUMIGAN 0.01 % OPHTHALMIC SOLUTION</t>
        </is>
      </c>
      <c r="E89" s="6" t="inlineStr">
        <is>
          <t>5.0</t>
        </is>
      </c>
      <c r="F89" s="7" t="n">
        <v>10</v>
      </c>
      <c r="G89" s="7" t="n">
        <v>2</v>
      </c>
      <c r="H89" s="7" t="n">
        <v>1</v>
      </c>
      <c r="I89" s="7" t="n">
        <v>-1</v>
      </c>
      <c r="J89" s="8" t="n">
        <v>1025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ALL_PBM</t>
        </is>
      </c>
      <c r="C90" s="5" t="inlineStr">
        <is>
          <t>57599081800</t>
        </is>
      </c>
      <c r="D90" s="5" t="inlineStr">
        <is>
          <t>FREESTYLE LIBRE 3 SENSOR</t>
        </is>
      </c>
      <c r="E90" s="6" t="inlineStr">
        <is>
          <t>1.0</t>
        </is>
      </c>
      <c r="F90" s="7" t="n">
        <v>10</v>
      </c>
      <c r="G90" s="7" t="n">
        <v>10</v>
      </c>
      <c r="H90" s="7" t="n">
        <v>0</v>
      </c>
      <c r="I90" s="7" t="n">
        <v>-10</v>
      </c>
      <c r="J90" s="8" t="n">
        <v>987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ALL_PBM</t>
        </is>
      </c>
      <c r="C91" s="5" t="inlineStr">
        <is>
          <t>70727049725</t>
        </is>
      </c>
      <c r="D91" s="5" t="inlineStr">
        <is>
          <t>RHOPRESSA 0.02 % OPHTHALMIC SOLUTION</t>
        </is>
      </c>
      <c r="E91" s="6" t="inlineStr">
        <is>
          <t>2.5</t>
        </is>
      </c>
      <c r="F91" s="7" t="n">
        <v>7.5</v>
      </c>
      <c r="G91" s="7" t="n">
        <v>3</v>
      </c>
      <c r="H91" s="7" t="n">
        <v>0</v>
      </c>
      <c r="I91" s="7" t="n">
        <v>-3</v>
      </c>
      <c r="J91" s="8" t="n">
        <v>982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ALL_PBM</t>
        </is>
      </c>
      <c r="C92" s="5" t="inlineStr">
        <is>
          <t>00597038068</t>
        </is>
      </c>
      <c r="D92" s="5" t="inlineStr">
        <is>
          <t>TRIJARDY XR 10-5-1000 MG ORAL TABLET EXTENDED RELEASE 24 HOUR</t>
        </is>
      </c>
      <c r="E92" s="6" t="inlineStr">
        <is>
          <t>90.0</t>
        </is>
      </c>
      <c r="F92" s="7" t="n">
        <v>90</v>
      </c>
      <c r="G92" s="7" t="n">
        <v>1</v>
      </c>
      <c r="H92" s="7" t="n">
        <v>1</v>
      </c>
      <c r="I92" s="7" t="n">
        <v>0</v>
      </c>
      <c r="J92" s="8" t="n">
        <v>982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ALL_PBM</t>
        </is>
      </c>
      <c r="C93" s="5" t="inlineStr">
        <is>
          <t>00597007541</t>
        </is>
      </c>
      <c r="D93" s="5" t="inlineStr">
        <is>
          <t>SPIRIVA HANDIHALER 18MCG CAPSULE</t>
        </is>
      </c>
      <c r="E93" s="6" t="inlineStr">
        <is>
          <t>30.0</t>
        </is>
      </c>
      <c r="F93" s="7" t="n">
        <v>90</v>
      </c>
      <c r="G93" s="7" t="n">
        <v>3</v>
      </c>
      <c r="H93" s="7" t="n">
        <v>0</v>
      </c>
      <c r="I93" s="7" t="n">
        <v>-3</v>
      </c>
      <c r="J93" s="8" t="n">
        <v>966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ALL_PBM</t>
        </is>
      </c>
      <c r="C94" s="5" t="inlineStr">
        <is>
          <t>70710115903</t>
        </is>
      </c>
      <c r="D94" s="5" t="inlineStr">
        <is>
          <t>MIRABEGRON ER 25MG TABLET</t>
        </is>
      </c>
      <c r="E94" s="6" t="inlineStr">
        <is>
          <t>30.0</t>
        </is>
      </c>
      <c r="F94" s="7" t="n">
        <v>120</v>
      </c>
      <c r="G94" s="7" t="n">
        <v>4</v>
      </c>
      <c r="H94" s="7" t="n">
        <v>2</v>
      </c>
      <c r="I94" s="7" t="n">
        <v>-2</v>
      </c>
      <c r="J94" s="8" t="n">
        <v>952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ALL_PBM</t>
        </is>
      </c>
      <c r="C95" s="5" t="inlineStr">
        <is>
          <t>81968035101</t>
        </is>
      </c>
      <c r="D95" s="5" t="inlineStr">
        <is>
          <t>SUNOSI 150 MG ORAL TABLET</t>
        </is>
      </c>
      <c r="E95" s="6" t="inlineStr">
        <is>
          <t>30.0</t>
        </is>
      </c>
      <c r="F95" s="7" t="n">
        <v>30</v>
      </c>
      <c r="G95" s="7" t="n">
        <v>1</v>
      </c>
      <c r="H95" s="7" t="n">
        <v>1</v>
      </c>
      <c r="I95" s="7" t="n">
        <v>0</v>
      </c>
      <c r="J95" s="8" t="n">
        <v>950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ALL_PBM</t>
        </is>
      </c>
      <c r="C96" s="5" t="inlineStr">
        <is>
          <t>00006008131</t>
        </is>
      </c>
      <c r="D96" s="5" t="inlineStr">
        <is>
          <t>JANUMET XR 100-1000MG TABLET</t>
        </is>
      </c>
      <c r="E96" s="6" t="inlineStr">
        <is>
          <t>30.0</t>
        </is>
      </c>
      <c r="F96" s="7" t="n">
        <v>90</v>
      </c>
      <c r="G96" s="7" t="n">
        <v>3</v>
      </c>
      <c r="H96" s="7" t="n">
        <v>0</v>
      </c>
      <c r="I96" s="7" t="n">
        <v>-3</v>
      </c>
      <c r="J96" s="8" t="n">
        <v>938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ALL_PBM</t>
        </is>
      </c>
      <c r="C97" s="5" t="inlineStr">
        <is>
          <t>80610013060</t>
        </is>
      </c>
      <c r="D97" s="5" t="inlineStr">
        <is>
          <t>ZORYVE 0.3 % EXTERNAL CREAM</t>
        </is>
      </c>
      <c r="E97" s="6" t="inlineStr">
        <is>
          <t>60.0</t>
        </is>
      </c>
      <c r="F97" s="7" t="n">
        <v>60</v>
      </c>
      <c r="G97" s="7" t="n">
        <v>1</v>
      </c>
      <c r="H97" s="7" t="n">
        <v>0</v>
      </c>
      <c r="I97" s="7" t="n">
        <v>-1</v>
      </c>
      <c r="J97" s="8" t="n">
        <v>934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ALL_PBM</t>
        </is>
      </c>
      <c r="C98" s="5" t="inlineStr">
        <is>
          <t>00310621030</t>
        </is>
      </c>
      <c r="D98" s="5" t="inlineStr">
        <is>
          <t>FARXIGA 10MG TABLET</t>
        </is>
      </c>
      <c r="E98" s="6" t="inlineStr">
        <is>
          <t>30.0</t>
        </is>
      </c>
      <c r="F98" s="7" t="n">
        <v>90</v>
      </c>
      <c r="G98" s="7" t="n">
        <v>3</v>
      </c>
      <c r="H98" s="7" t="n">
        <v>13</v>
      </c>
      <c r="I98" s="7" t="n">
        <v>10</v>
      </c>
      <c r="J98" s="8" t="n">
        <v>920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ALL_PBM</t>
        </is>
      </c>
      <c r="C99" s="5" t="inlineStr">
        <is>
          <t>80610043060</t>
        </is>
      </c>
      <c r="D99" s="5" t="inlineStr">
        <is>
          <t>ZORYVE 0.3 % EXTERNAL FOAM</t>
        </is>
      </c>
      <c r="E99" s="6" t="inlineStr">
        <is>
          <t>60.0</t>
        </is>
      </c>
      <c r="F99" s="7" t="n">
        <v>60</v>
      </c>
      <c r="G99" s="7" t="n">
        <v>1</v>
      </c>
      <c r="H99" s="7" t="n">
        <v>0</v>
      </c>
      <c r="I99" s="7" t="n">
        <v>-1</v>
      </c>
      <c r="J99" s="8" t="n">
        <v>918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ALL_PBM</t>
        </is>
      </c>
      <c r="C100" s="5" t="inlineStr">
        <is>
          <t>59467067901</t>
        </is>
      </c>
      <c r="D100" s="5" t="inlineStr">
        <is>
          <t>KLOXXADO 8 MG/0.1ML NASAL LIQUID</t>
        </is>
      </c>
      <c r="E100" s="6" t="inlineStr">
        <is>
          <t>2.0</t>
        </is>
      </c>
      <c r="F100" s="7" t="n">
        <v>14</v>
      </c>
      <c r="G100" s="7" t="n">
        <v>7</v>
      </c>
      <c r="H100" s="7" t="n">
        <v>3</v>
      </c>
      <c r="I100" s="7" t="n">
        <v>-4</v>
      </c>
      <c r="J100" s="8" t="n">
        <v>873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ALL_PBM</t>
        </is>
      </c>
      <c r="C101" s="5" t="inlineStr">
        <is>
          <t>00310110530</t>
        </is>
      </c>
      <c r="D101" s="5" t="inlineStr">
        <is>
          <t>LOKELMA 5GM PACK</t>
        </is>
      </c>
      <c r="E101" s="6" t="inlineStr">
        <is>
          <t>30.0</t>
        </is>
      </c>
      <c r="F101" s="7" t="n">
        <v>30</v>
      </c>
      <c r="G101" s="7" t="n">
        <v>1</v>
      </c>
      <c r="H101" s="7" t="n">
        <v>4</v>
      </c>
      <c r="I101" s="7" t="n">
        <v>3</v>
      </c>
      <c r="J101" s="8" t="n">
        <v>844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ALL_PBM</t>
        </is>
      </c>
      <c r="C102" s="5" t="inlineStr">
        <is>
          <t>66993001968</t>
        </is>
      </c>
      <c r="D102" s="5" t="inlineStr">
        <is>
          <t xml:space="preserve">ALBUTEROL HFA 108  MCG/AC (VENTOLIN 18GM) </t>
        </is>
      </c>
      <c r="E102" s="6" t="inlineStr">
        <is>
          <t>18.0</t>
        </is>
      </c>
      <c r="F102" s="7" t="n">
        <v>486</v>
      </c>
      <c r="G102" s="7" t="n">
        <v>27</v>
      </c>
      <c r="H102" s="7" t="n">
        <v>24</v>
      </c>
      <c r="I102" s="7" t="n">
        <v>-3</v>
      </c>
      <c r="J102" s="8" t="n">
        <v>827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ALL_PBM</t>
        </is>
      </c>
      <c r="C103" s="5" t="inlineStr">
        <is>
          <t>00002771559</t>
        </is>
      </c>
      <c r="D103" s="5" t="inlineStr">
        <is>
          <t>BASAGLAR KWIKPEN 100UNIT/ML INJECTION</t>
        </is>
      </c>
      <c r="E103" s="6" t="inlineStr">
        <is>
          <t>15.0</t>
        </is>
      </c>
      <c r="F103" s="7" t="n">
        <v>39</v>
      </c>
      <c r="G103" s="7" t="n">
        <v>2.6</v>
      </c>
      <c r="H103" s="7" t="n">
        <v>23</v>
      </c>
      <c r="I103" s="7" t="n">
        <v>20.4</v>
      </c>
      <c r="J103" s="8" t="n">
        <v>810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ALL_PBM</t>
        </is>
      </c>
      <c r="C104" s="5" t="inlineStr">
        <is>
          <t>00023921110</t>
        </is>
      </c>
      <c r="D104" s="5" t="inlineStr">
        <is>
          <t>COMBIGAN 0.2-0.5% OPTH SOLUTION 10ML</t>
        </is>
      </c>
      <c r="E104" s="6" t="inlineStr">
        <is>
          <t>10.0</t>
        </is>
      </c>
      <c r="F104" s="7" t="n">
        <v>20</v>
      </c>
      <c r="G104" s="7" t="n">
        <v>2</v>
      </c>
      <c r="H104" s="7" t="n">
        <v>0</v>
      </c>
      <c r="I104" s="7" t="n">
        <v>-2</v>
      </c>
      <c r="J104" s="8" t="n">
        <v>769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ALL_PBM</t>
        </is>
      </c>
      <c r="C105" s="5" t="inlineStr">
        <is>
          <t>55724021121</t>
        </is>
      </c>
      <c r="D105" s="5" t="inlineStr">
        <is>
          <t>EUCRISA 2% OINTMENT</t>
        </is>
      </c>
      <c r="E105" s="6" t="inlineStr">
        <is>
          <t>60.0</t>
        </is>
      </c>
      <c r="F105" s="7" t="n">
        <v>60</v>
      </c>
      <c r="G105" s="7" t="n">
        <v>1</v>
      </c>
      <c r="H105" s="7" t="n">
        <v>0</v>
      </c>
      <c r="I105" s="7" t="n">
        <v>-1</v>
      </c>
      <c r="J105" s="8" t="n">
        <v>769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ALL_PBM</t>
        </is>
      </c>
      <c r="C106" s="5" t="inlineStr">
        <is>
          <t>00032263601</t>
        </is>
      </c>
      <c r="D106" s="5" t="inlineStr">
        <is>
          <t>CREON 24000-76000 UNIT CAPSULE DR</t>
        </is>
      </c>
      <c r="E106" s="6" t="inlineStr">
        <is>
          <t>100.0</t>
        </is>
      </c>
      <c r="F106" s="7" t="n">
        <v>90</v>
      </c>
      <c r="G106" s="7" t="n">
        <v>0.9</v>
      </c>
      <c r="H106" s="7" t="n">
        <v>3</v>
      </c>
      <c r="I106" s="7" t="n">
        <v>2.1</v>
      </c>
      <c r="J106" s="8" t="n">
        <v>747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ALL_PBM</t>
        </is>
      </c>
      <c r="C107" s="5" t="inlineStr">
        <is>
          <t>82667090002</t>
        </is>
      </c>
      <c r="D107" s="5" t="inlineStr">
        <is>
          <t>VEVYE 0.1 % OPHTHALMIC SOLUTION</t>
        </is>
      </c>
      <c r="E107" s="6" t="inlineStr">
        <is>
          <t>2.0</t>
        </is>
      </c>
      <c r="F107" s="7" t="n">
        <v>2</v>
      </c>
      <c r="G107" s="7" t="n">
        <v>1</v>
      </c>
      <c r="H107" s="7" t="n">
        <v>1</v>
      </c>
      <c r="I107" s="7" t="n">
        <v>0</v>
      </c>
      <c r="J107" s="8" t="n">
        <v>732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ALL_PBM</t>
        </is>
      </c>
      <c r="C108" s="5" t="inlineStr">
        <is>
          <t>66993045630</t>
        </is>
      </c>
      <c r="D108" s="5" t="inlineStr">
        <is>
          <t>DAPAGLIFLOZIN PROPANEDIOL 5MG TABLET</t>
        </is>
      </c>
      <c r="E108" s="6" t="inlineStr">
        <is>
          <t>30.0</t>
        </is>
      </c>
      <c r="F108" s="7" t="n">
        <v>120</v>
      </c>
      <c r="G108" s="7" t="n">
        <v>4</v>
      </c>
      <c r="H108" s="7" t="n">
        <v>0</v>
      </c>
      <c r="I108" s="7" t="n">
        <v>-4</v>
      </c>
      <c r="J108" s="8" t="n">
        <v>726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ALL_PBM</t>
        </is>
      </c>
      <c r="C109" s="5" t="inlineStr">
        <is>
          <t>69557011130</t>
        </is>
      </c>
      <c r="D109" s="5" t="inlineStr">
        <is>
          <t>ZTLIDO 1.8 % EXTERNAL PATCH</t>
        </is>
      </c>
      <c r="E109" s="6" t="inlineStr">
        <is>
          <t>30.0</t>
        </is>
      </c>
      <c r="F109" s="7" t="n">
        <v>60</v>
      </c>
      <c r="G109" s="7" t="n">
        <v>2</v>
      </c>
      <c r="H109" s="7" t="n">
        <v>0</v>
      </c>
      <c r="I109" s="7" t="n">
        <v>-2</v>
      </c>
      <c r="J109" s="8" t="n">
        <v>721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ALL_PBM</t>
        </is>
      </c>
      <c r="C110" s="5" t="inlineStr">
        <is>
          <t>60505082901</t>
        </is>
      </c>
      <c r="D110" s="5" t="inlineStr">
        <is>
          <t>FLUTICASONE 50MCG (NASAL) SUSPENSION</t>
        </is>
      </c>
      <c r="E110" s="6" t="inlineStr">
        <is>
          <t>16.0</t>
        </is>
      </c>
      <c r="F110" s="7" t="n">
        <v>1072</v>
      </c>
      <c r="G110" s="7" t="n">
        <v>67</v>
      </c>
      <c r="H110" s="7" t="n">
        <v>24</v>
      </c>
      <c r="I110" s="7" t="n">
        <v>-43</v>
      </c>
      <c r="J110" s="8" t="n">
        <v>714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ALL_PBM</t>
        </is>
      </c>
      <c r="C111" s="5" t="inlineStr">
        <is>
          <t>70727052925</t>
        </is>
      </c>
      <c r="D111" s="5" t="inlineStr">
        <is>
          <t>ROCKLATAN 0.02-0.005% SOLUTION</t>
        </is>
      </c>
      <c r="E111" s="6" t="inlineStr">
        <is>
          <t>2.5</t>
        </is>
      </c>
      <c r="F111" s="7" t="n">
        <v>5</v>
      </c>
      <c r="G111" s="7" t="n">
        <v>2</v>
      </c>
      <c r="H111" s="7" t="n">
        <v>4</v>
      </c>
      <c r="I111" s="7" t="n">
        <v>2</v>
      </c>
      <c r="J111" s="8" t="n">
        <v>693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ALL_PBM</t>
        </is>
      </c>
      <c r="C112" s="5" t="inlineStr">
        <is>
          <t>00115169449</t>
        </is>
      </c>
      <c r="D112" s="5" t="inlineStr">
        <is>
          <t>EPINEPHRINE 0.3MG/0.3ML INJECTION 2ML</t>
        </is>
      </c>
      <c r="E112" s="6" t="inlineStr">
        <is>
          <t>2.0</t>
        </is>
      </c>
      <c r="F112" s="7" t="n">
        <v>6</v>
      </c>
      <c r="G112" s="7" t="n">
        <v>3</v>
      </c>
      <c r="H112" s="7" t="n">
        <v>0</v>
      </c>
      <c r="I112" s="7" t="n">
        <v>-3</v>
      </c>
      <c r="J112" s="8" t="n">
        <v>689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ALL_PBM</t>
        </is>
      </c>
      <c r="C113" s="5" t="inlineStr">
        <is>
          <t>58160082311</t>
        </is>
      </c>
      <c r="D113" s="5" t="inlineStr">
        <is>
          <t>SHINGRIX 50 MCG/0.5ML IM SUSP RECON</t>
        </is>
      </c>
      <c r="E113" s="6" t="inlineStr">
        <is>
          <t>10.0</t>
        </is>
      </c>
      <c r="F113" s="7" t="n">
        <v>3</v>
      </c>
      <c r="G113" s="7" t="n">
        <v>0.3</v>
      </c>
      <c r="H113" s="7" t="n">
        <v>0</v>
      </c>
      <c r="I113" s="7" t="n">
        <v>-0.3</v>
      </c>
      <c r="J113" s="8" t="n">
        <v>676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ALL_PBM</t>
        </is>
      </c>
      <c r="C114" s="5" t="inlineStr">
        <is>
          <t>83257001233</t>
        </is>
      </c>
      <c r="D114" s="5" t="inlineStr">
        <is>
          <t>SEMGLEE (YFGN) 100 UNIT/ML PEN-INJECTOR</t>
        </is>
      </c>
      <c r="E114" s="6" t="inlineStr">
        <is>
          <t>15.0</t>
        </is>
      </c>
      <c r="F114" s="7" t="n">
        <v>27</v>
      </c>
      <c r="G114" s="7" t="n">
        <v>1.8</v>
      </c>
      <c r="H114" s="7" t="n">
        <v>0</v>
      </c>
      <c r="I114" s="7" t="n">
        <v>-1.8</v>
      </c>
      <c r="J114" s="8" t="n">
        <v>673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ALL_PBM</t>
        </is>
      </c>
      <c r="C115" s="5" t="inlineStr">
        <is>
          <t>81520010030</t>
        </is>
      </c>
      <c r="D115" s="5" t="inlineStr">
        <is>
          <t>VOQUEZNA 10 MG ORAL TABLET</t>
        </is>
      </c>
      <c r="E115" s="6" t="inlineStr">
        <is>
          <t>30.0</t>
        </is>
      </c>
      <c r="F115" s="7" t="n">
        <v>30</v>
      </c>
      <c r="G115" s="7" t="n">
        <v>1</v>
      </c>
      <c r="H115" s="7" t="n">
        <v>1</v>
      </c>
      <c r="I115" s="7" t="n">
        <v>0</v>
      </c>
      <c r="J115" s="8" t="n">
        <v>669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ALL_PBM</t>
        </is>
      </c>
      <c r="C116" s="5" t="inlineStr">
        <is>
          <t>00006412102</t>
        </is>
      </c>
      <c r="D116" s="5" t="inlineStr">
        <is>
          <t>GARDASIL 9 INTRAMUSCULAR SUSPENSION PREFILLED SYRINGE</t>
        </is>
      </c>
      <c r="E116" s="6" t="inlineStr">
        <is>
          <t>5.0</t>
        </is>
      </c>
      <c r="F116" s="7" t="n">
        <v>1</v>
      </c>
      <c r="G116" s="7" t="n">
        <v>0.2</v>
      </c>
      <c r="H116" s="7" t="n">
        <v>0</v>
      </c>
      <c r="I116" s="7" t="n">
        <v>-0.2</v>
      </c>
      <c r="J116" s="8" t="n">
        <v>666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ALL_PBM</t>
        </is>
      </c>
      <c r="C117" s="5" t="inlineStr">
        <is>
          <t>71143037501</t>
        </is>
      </c>
      <c r="D117" s="5" t="inlineStr">
        <is>
          <t>XHANCE 93 MCG/ACT NASAL EXHALER SUSPENSION</t>
        </is>
      </c>
      <c r="E117" s="6" t="inlineStr">
        <is>
          <t>16.0</t>
        </is>
      </c>
      <c r="F117" s="7" t="n">
        <v>16</v>
      </c>
      <c r="G117" s="7" t="n">
        <v>1</v>
      </c>
      <c r="H117" s="7" t="n">
        <v>0</v>
      </c>
      <c r="I117" s="7" t="n">
        <v>-1</v>
      </c>
      <c r="J117" s="8" t="n">
        <v>665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ALL_PBM</t>
        </is>
      </c>
      <c r="C118" s="5" t="inlineStr">
        <is>
          <t>60505451803</t>
        </is>
      </c>
      <c r="D118" s="5" t="inlineStr">
        <is>
          <t>PAXIL 20 MG ORAL TABLET</t>
        </is>
      </c>
      <c r="E118" s="6" t="inlineStr">
        <is>
          <t>30.0</t>
        </is>
      </c>
      <c r="F118" s="7" t="n">
        <v>60</v>
      </c>
      <c r="G118" s="7" t="n">
        <v>2</v>
      </c>
      <c r="H118" s="7" t="n">
        <v>2</v>
      </c>
      <c r="I118" s="7" t="n">
        <v>0</v>
      </c>
      <c r="J118" s="8" t="n">
        <v>642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ALL_PBM</t>
        </is>
      </c>
      <c r="C119" s="5" t="inlineStr">
        <is>
          <t>50458057830</t>
        </is>
      </c>
      <c r="D119" s="5" t="inlineStr">
        <is>
          <t>XARELTO 15MG TAB</t>
        </is>
      </c>
      <c r="E119" s="6" t="inlineStr">
        <is>
          <t>30.0</t>
        </is>
      </c>
      <c r="F119" s="7" t="n">
        <v>90</v>
      </c>
      <c r="G119" s="7" t="n">
        <v>3</v>
      </c>
      <c r="H119" s="7" t="n">
        <v>0</v>
      </c>
      <c r="I119" s="7" t="n">
        <v>-3</v>
      </c>
      <c r="J119" s="8" t="n">
        <v>620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ALL_PBM</t>
        </is>
      </c>
      <c r="C120" s="5" t="inlineStr">
        <is>
          <t>72205028060</t>
        </is>
      </c>
      <c r="D120" s="5" t="inlineStr">
        <is>
          <t>SACUBITRIL-VALSARTAN 24-26 MG ORAL TABLET</t>
        </is>
      </c>
      <c r="E120" s="6" t="inlineStr">
        <is>
          <t>60.0</t>
        </is>
      </c>
      <c r="F120" s="7" t="n">
        <v>900</v>
      </c>
      <c r="G120" s="7" t="n">
        <v>15</v>
      </c>
      <c r="H120" s="7" t="n">
        <v>0</v>
      </c>
      <c r="I120" s="7" t="n">
        <v>-15</v>
      </c>
      <c r="J120" s="8" t="n">
        <v>618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ALL_PBM</t>
        </is>
      </c>
      <c r="C121" s="5" t="inlineStr">
        <is>
          <t>82584000330</t>
        </is>
      </c>
      <c r="D121" s="5" t="inlineStr">
        <is>
          <t>IYUZEH 0.005 % OPHTHALMIC SOLUTION</t>
        </is>
      </c>
      <c r="E121" s="6" t="inlineStr">
        <is>
          <t>30.0</t>
        </is>
      </c>
      <c r="F121" s="7" t="n">
        <v>60</v>
      </c>
      <c r="G121" s="7" t="n">
        <v>2</v>
      </c>
      <c r="H121" s="7" t="n">
        <v>1</v>
      </c>
      <c r="I121" s="7" t="n">
        <v>-1</v>
      </c>
      <c r="J121" s="8" t="n">
        <v>603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ALL_PBM</t>
        </is>
      </c>
      <c r="C122" s="5" t="inlineStr">
        <is>
          <t>08508300001</t>
        </is>
      </c>
      <c r="D122" s="5" t="inlineStr">
        <is>
          <t>OMNIPOD 5 G6 INTRO (GEN 5) KIT</t>
        </is>
      </c>
      <c r="E122" s="6" t="inlineStr">
        <is>
          <t>1.0</t>
        </is>
      </c>
      <c r="F122" s="7" t="n">
        <v>1</v>
      </c>
      <c r="G122" s="7" t="n">
        <v>1</v>
      </c>
      <c r="H122" s="7" t="n">
        <v>1</v>
      </c>
      <c r="I122" s="7" t="n">
        <v>0</v>
      </c>
      <c r="J122" s="8" t="n">
        <v>590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ALL_PBM</t>
        </is>
      </c>
      <c r="C123" s="5" t="inlineStr">
        <is>
          <t>00005200010</t>
        </is>
      </c>
      <c r="D123" s="5" t="inlineStr">
        <is>
          <t>PREVNAR 20 0.5 ML PREFILLED SYRINGE</t>
        </is>
      </c>
      <c r="E123" s="6" t="inlineStr">
        <is>
          <t>5.0</t>
        </is>
      </c>
      <c r="F123" s="7" t="n">
        <v>1</v>
      </c>
      <c r="G123" s="7" t="n">
        <v>0.2</v>
      </c>
      <c r="H123" s="7" t="n">
        <v>0</v>
      </c>
      <c r="I123" s="7" t="n">
        <v>-0.2</v>
      </c>
      <c r="J123" s="8" t="n">
        <v>589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ALL_PBM</t>
        </is>
      </c>
      <c r="C124" s="5" t="inlineStr">
        <is>
          <t>00430042014</t>
        </is>
      </c>
      <c r="D124" s="5" t="inlineStr">
        <is>
          <t>LO LOESTRIN FE 1 MG-10 MCG / 10 MCG ORAL TABLET</t>
        </is>
      </c>
      <c r="E124" s="6" t="inlineStr">
        <is>
          <t>140.0</t>
        </is>
      </c>
      <c r="F124" s="7" t="n">
        <v>84</v>
      </c>
      <c r="G124" s="7" t="n">
        <v>0.6</v>
      </c>
      <c r="H124" s="7" t="n">
        <v>0</v>
      </c>
      <c r="I124" s="7" t="n">
        <v>-0.6</v>
      </c>
      <c r="J124" s="8" t="n">
        <v>579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ALL_PBM</t>
        </is>
      </c>
      <c r="C125" s="5" t="inlineStr">
        <is>
          <t>59148000713</t>
        </is>
      </c>
      <c r="D125" s="5" t="inlineStr">
        <is>
          <t>ABILIFY 5MG TABLET</t>
        </is>
      </c>
      <c r="E125" s="6" t="inlineStr">
        <is>
          <t>30.0</t>
        </is>
      </c>
      <c r="F125" s="7" t="n">
        <v>30</v>
      </c>
      <c r="G125" s="7" t="n">
        <v>1</v>
      </c>
      <c r="H125" s="7" t="n">
        <v>1</v>
      </c>
      <c r="I125" s="7" t="n">
        <v>0</v>
      </c>
      <c r="J125" s="8" t="n">
        <v>571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ALL_PBM</t>
        </is>
      </c>
      <c r="C126" s="5" t="inlineStr">
        <is>
          <t>66993007996</t>
        </is>
      </c>
      <c r="D126" s="5" t="inlineStr">
        <is>
          <t>FLUTICASONE PROPIONATE HFA 110 MCG/ACT INHAEROSOL</t>
        </is>
      </c>
      <c r="E126" s="6" t="inlineStr">
        <is>
          <t>12.0</t>
        </is>
      </c>
      <c r="F126" s="7" t="n">
        <v>36</v>
      </c>
      <c r="G126" s="7" t="n">
        <v>3</v>
      </c>
      <c r="H126" s="7" t="n">
        <v>0</v>
      </c>
      <c r="I126" s="7" t="n">
        <v>-3</v>
      </c>
      <c r="J126" s="8" t="n">
        <v>565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ALL_PBM</t>
        </is>
      </c>
      <c r="C127" s="5" t="inlineStr">
        <is>
          <t>59137053004</t>
        </is>
      </c>
      <c r="D127" s="5" t="inlineStr">
        <is>
          <t>RASUVO 20MG/0.4ML INJECTION</t>
        </is>
      </c>
      <c r="E127" s="6" t="inlineStr">
        <is>
          <t>1.6</t>
        </is>
      </c>
      <c r="F127" s="7" t="n">
        <v>1.6</v>
      </c>
      <c r="G127" s="7" t="n">
        <v>1</v>
      </c>
      <c r="H127" s="7" t="n">
        <v>1</v>
      </c>
      <c r="I127" s="7" t="n">
        <v>0</v>
      </c>
      <c r="J127" s="8" t="n">
        <v>553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ALL_PBM</t>
        </is>
      </c>
      <c r="C128" s="5" t="inlineStr">
        <is>
          <t>00169633910</t>
        </is>
      </c>
      <c r="D128" s="5" t="inlineStr">
        <is>
          <t>NOVOLOG FLEXPEN 100UNIT/ML INJECTION</t>
        </is>
      </c>
      <c r="E128" s="6" t="inlineStr">
        <is>
          <t>15.0</t>
        </is>
      </c>
      <c r="F128" s="7" t="n">
        <v>63</v>
      </c>
      <c r="G128" s="7" t="n">
        <v>4.2</v>
      </c>
      <c r="H128" s="7" t="n">
        <v>0</v>
      </c>
      <c r="I128" s="7" t="n">
        <v>-4.2</v>
      </c>
      <c r="J128" s="8" t="n">
        <v>549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ALL_PBM</t>
        </is>
      </c>
      <c r="C129" s="5" t="inlineStr">
        <is>
          <t>00173069600</t>
        </is>
      </c>
      <c r="D129" s="5" t="inlineStr">
        <is>
          <t>ADVAIR DISKUS 250-50MCG/DOSE AEROSOL 60EA</t>
        </is>
      </c>
      <c r="E129" s="6" t="inlineStr">
        <is>
          <t>60.0</t>
        </is>
      </c>
      <c r="F129" s="7" t="n">
        <v>180</v>
      </c>
      <c r="G129" s="7" t="n">
        <v>3</v>
      </c>
      <c r="H129" s="7" t="n">
        <v>3</v>
      </c>
      <c r="I129" s="7" t="n">
        <v>0</v>
      </c>
      <c r="J129" s="8" t="n">
        <v>535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ALL_PBM</t>
        </is>
      </c>
      <c r="C130" s="5" t="inlineStr">
        <is>
          <t>99073070822</t>
        </is>
      </c>
      <c r="D130" s="5" t="inlineStr">
        <is>
          <t>FREESTYLE LITE TEST  STRIP</t>
        </is>
      </c>
      <c r="E130" s="6" t="inlineStr">
        <is>
          <t>50.0</t>
        </is>
      </c>
      <c r="F130" s="7" t="n">
        <v>400</v>
      </c>
      <c r="G130" s="7" t="n">
        <v>8</v>
      </c>
      <c r="H130" s="7" t="n">
        <v>0</v>
      </c>
      <c r="I130" s="7" t="n">
        <v>-8</v>
      </c>
      <c r="J130" s="8" t="n">
        <v>529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ALL_PBM</t>
        </is>
      </c>
      <c r="C131" s="5" t="inlineStr">
        <is>
          <t>00002822259</t>
        </is>
      </c>
      <c r="D131" s="5" t="inlineStr">
        <is>
          <t>INSULIN LISPRO 100 UNIT/ML SQ SOLUTION</t>
        </is>
      </c>
      <c r="E131" s="6" t="inlineStr">
        <is>
          <t>15.0</t>
        </is>
      </c>
      <c r="F131" s="7" t="n">
        <v>45</v>
      </c>
      <c r="G131" s="7" t="n">
        <v>3</v>
      </c>
      <c r="H131" s="7" t="n">
        <v>3</v>
      </c>
      <c r="I131" s="7" t="n">
        <v>0</v>
      </c>
      <c r="J131" s="8" t="n">
        <v>516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ALL_PBM</t>
        </is>
      </c>
      <c r="C132" s="5" t="inlineStr">
        <is>
          <t>00597010061</t>
        </is>
      </c>
      <c r="D132" s="5" t="inlineStr">
        <is>
          <t>SPIRIVA RESPIMAT 2.5MCG/ACT AEROSOL</t>
        </is>
      </c>
      <c r="E132" s="6" t="inlineStr">
        <is>
          <t>4.0</t>
        </is>
      </c>
      <c r="F132" s="7" t="n">
        <v>4</v>
      </c>
      <c r="G132" s="7" t="n">
        <v>1</v>
      </c>
      <c r="H132" s="7" t="n">
        <v>1</v>
      </c>
      <c r="I132" s="7" t="n">
        <v>0</v>
      </c>
      <c r="J132" s="8" t="n">
        <v>515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ALL_PBM</t>
        </is>
      </c>
      <c r="C133" s="5" t="inlineStr">
        <is>
          <t>64764073030</t>
        </is>
      </c>
      <c r="D133" s="5" t="inlineStr">
        <is>
          <t>TRINTELLIX 10MG TABLET</t>
        </is>
      </c>
      <c r="E133" s="6" t="inlineStr">
        <is>
          <t>30.0</t>
        </is>
      </c>
      <c r="F133" s="7" t="n">
        <v>30</v>
      </c>
      <c r="G133" s="7" t="n">
        <v>1</v>
      </c>
      <c r="H133" s="7" t="n">
        <v>0</v>
      </c>
      <c r="I133" s="7" t="n">
        <v>-1</v>
      </c>
      <c r="J133" s="8" t="n">
        <v>513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ALL_PBM</t>
        </is>
      </c>
      <c r="C134" s="5" t="inlineStr">
        <is>
          <t>71571033383</t>
        </is>
      </c>
      <c r="D134" s="5" t="inlineStr">
        <is>
          <t>EYSUVIS 0.25 % OPHTHALMIC SUSPENSION</t>
        </is>
      </c>
      <c r="E134" s="6" t="inlineStr">
        <is>
          <t>8.3</t>
        </is>
      </c>
      <c r="F134" s="7" t="n">
        <v>8.300000000000001</v>
      </c>
      <c r="G134" s="7" t="n">
        <v>1</v>
      </c>
      <c r="H134" s="7" t="n">
        <v>0</v>
      </c>
      <c r="I134" s="7" t="n">
        <v>-1</v>
      </c>
      <c r="J134" s="8" t="n">
        <v>508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ALL_PBM</t>
        </is>
      </c>
      <c r="C135" s="5" t="inlineStr">
        <is>
          <t>72205028160</t>
        </is>
      </c>
      <c r="D135" s="5" t="inlineStr">
        <is>
          <t>SACUBITRIL-VALSARTAN 49-51 MG ORAL TABLET</t>
        </is>
      </c>
      <c r="E135" s="6" t="inlineStr">
        <is>
          <t>60.0</t>
        </is>
      </c>
      <c r="F135" s="7" t="n">
        <v>240</v>
      </c>
      <c r="G135" s="7" t="n">
        <v>4</v>
      </c>
      <c r="H135" s="7" t="n">
        <v>6</v>
      </c>
      <c r="I135" s="7" t="n">
        <v>2</v>
      </c>
      <c r="J135" s="8" t="n">
        <v>491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ALL_PBM</t>
        </is>
      </c>
      <c r="C136" s="5" t="inlineStr">
        <is>
          <t>00173086910</t>
        </is>
      </c>
      <c r="D136" s="5" t="inlineStr">
        <is>
          <t>ANORO ELLIPTA 62.5-25MCG/INH AEROSOL 60EA</t>
        </is>
      </c>
      <c r="E136" s="6" t="inlineStr">
        <is>
          <t>60.0</t>
        </is>
      </c>
      <c r="F136" s="7" t="n">
        <v>60</v>
      </c>
      <c r="G136" s="7" t="n">
        <v>1</v>
      </c>
      <c r="H136" s="7" t="n">
        <v>0</v>
      </c>
      <c r="I136" s="7" t="n">
        <v>-1</v>
      </c>
      <c r="J136" s="8" t="n">
        <v>465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ALL_PBM</t>
        </is>
      </c>
      <c r="C137" s="5" t="inlineStr">
        <is>
          <t>00074732713</t>
        </is>
      </c>
      <c r="D137" s="5" t="inlineStr">
        <is>
          <t>DEPAKOTE 500MG TABLET DELAYED RELEASE</t>
        </is>
      </c>
      <c r="E137" s="6" t="inlineStr">
        <is>
          <t>100.0</t>
        </is>
      </c>
      <c r="F137" s="7" t="n">
        <v>60</v>
      </c>
      <c r="G137" s="7" t="n">
        <v>0.6</v>
      </c>
      <c r="H137" s="7" t="n">
        <v>0</v>
      </c>
      <c r="I137" s="7" t="n">
        <v>-0.6</v>
      </c>
      <c r="J137" s="8" t="n">
        <v>458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ALL_PBM</t>
        </is>
      </c>
      <c r="C138" s="5" t="inlineStr">
        <is>
          <t>00597030045</t>
        </is>
      </c>
      <c r="D138" s="5" t="inlineStr">
        <is>
          <t>SYNJARDY XR 12.5-1000 MG TABLET ER</t>
        </is>
      </c>
      <c r="E138" s="6" t="inlineStr">
        <is>
          <t>60.0</t>
        </is>
      </c>
      <c r="F138" s="7" t="n">
        <v>90</v>
      </c>
      <c r="G138" s="7" t="n">
        <v>1.5</v>
      </c>
      <c r="H138" s="7" t="n">
        <v>5</v>
      </c>
      <c r="I138" s="7" t="n">
        <v>3.5</v>
      </c>
      <c r="J138" s="8" t="n">
        <v>456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ALL_PBM</t>
        </is>
      </c>
      <c r="C139" s="5" t="inlineStr">
        <is>
          <t>53885024450</t>
        </is>
      </c>
      <c r="D139" s="5" t="inlineStr">
        <is>
          <t>ONETOUCH ULTRA BLUE  STRIP</t>
        </is>
      </c>
      <c r="E139" s="6" t="inlineStr">
        <is>
          <t>50.0</t>
        </is>
      </c>
      <c r="F139" s="7" t="n">
        <v>300</v>
      </c>
      <c r="G139" s="7" t="n">
        <v>6</v>
      </c>
      <c r="H139" s="7" t="n">
        <v>24</v>
      </c>
      <c r="I139" s="7" t="n">
        <v>18</v>
      </c>
      <c r="J139" s="8" t="n">
        <v>455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ALL_PBM</t>
        </is>
      </c>
      <c r="C140" s="5" t="inlineStr">
        <is>
          <t>59310030240</t>
        </is>
      </c>
      <c r="D140" s="5" t="inlineStr">
        <is>
          <t>QVAR REDIHALER 40MCG/ACT AEROSOL</t>
        </is>
      </c>
      <c r="E140" s="6" t="inlineStr">
        <is>
          <t>10.6</t>
        </is>
      </c>
      <c r="F140" s="7" t="n">
        <v>21.2</v>
      </c>
      <c r="G140" s="7" t="n">
        <v>2</v>
      </c>
      <c r="H140" s="7" t="n">
        <v>0</v>
      </c>
      <c r="I140" s="7" t="n">
        <v>-2</v>
      </c>
      <c r="J140" s="8" t="n">
        <v>438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ALL_PBM</t>
        </is>
      </c>
      <c r="C141" s="5" t="inlineStr">
        <is>
          <t>00173071720</t>
        </is>
      </c>
      <c r="D141" s="5" t="inlineStr">
        <is>
          <t>ADVAIR HFA 230-21 MCG/ACT INHALATION AEROSOL</t>
        </is>
      </c>
      <c r="E141" s="6" t="inlineStr">
        <is>
          <t>12.0</t>
        </is>
      </c>
      <c r="F141" s="7" t="n">
        <v>12</v>
      </c>
      <c r="G141" s="7" t="n">
        <v>1</v>
      </c>
      <c r="H141" s="7" t="n">
        <v>2</v>
      </c>
      <c r="I141" s="7" t="n">
        <v>1</v>
      </c>
      <c r="J141" s="8" t="n">
        <v>431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ALL_PBM</t>
        </is>
      </c>
      <c r="C142" s="5" t="inlineStr">
        <is>
          <t>47781023005</t>
        </is>
      </c>
      <c r="D142" s="5" t="inlineStr">
        <is>
          <t>OXYCODONE-APAP 10-325MG TABLET</t>
        </is>
      </c>
      <c r="E142" s="6" t="inlineStr">
        <is>
          <t>500.0</t>
        </is>
      </c>
      <c r="F142" s="7" t="n">
        <v>2192</v>
      </c>
      <c r="G142" s="7" t="n">
        <v>4.384</v>
      </c>
      <c r="H142" s="7" t="n">
        <v>4</v>
      </c>
      <c r="I142" s="7" t="n">
        <v>-0.3840000000000003</v>
      </c>
      <c r="J142" s="8" t="n">
        <v>424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ALL_PBM</t>
        </is>
      </c>
      <c r="C143" s="5" t="inlineStr">
        <is>
          <t>45802015065</t>
        </is>
      </c>
      <c r="D143" s="5" t="inlineStr">
        <is>
          <t>ALOGLIPTIN BENZOATE 25MG TABLET</t>
        </is>
      </c>
      <c r="E143" s="6" t="inlineStr">
        <is>
          <t>30.0</t>
        </is>
      </c>
      <c r="F143" s="7" t="n">
        <v>90</v>
      </c>
      <c r="G143" s="7" t="n">
        <v>3</v>
      </c>
      <c r="H143" s="7" t="n">
        <v>0</v>
      </c>
      <c r="I143" s="7" t="n">
        <v>-3</v>
      </c>
      <c r="J143" s="8" t="n">
        <v>420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ALL_PBM</t>
        </is>
      </c>
      <c r="C144" s="5" t="inlineStr">
        <is>
          <t>00046087221</t>
        </is>
      </c>
      <c r="D144" s="5" t="inlineStr">
        <is>
          <t>PREMARIN 0.625 MG/GM VAGINAL CREAM</t>
        </is>
      </c>
      <c r="E144" s="6" t="inlineStr">
        <is>
          <t>30.0</t>
        </is>
      </c>
      <c r="F144" s="7" t="n">
        <v>30</v>
      </c>
      <c r="G144" s="7" t="n">
        <v>1</v>
      </c>
      <c r="H144" s="7" t="n">
        <v>1</v>
      </c>
      <c r="I144" s="7" t="n">
        <v>0</v>
      </c>
      <c r="J144" s="8" t="n">
        <v>419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ALL_PBM</t>
        </is>
      </c>
      <c r="C145" s="5" t="inlineStr">
        <is>
          <t>66993007896</t>
        </is>
      </c>
      <c r="D145" s="5" t="inlineStr">
        <is>
          <t>FLUTICASONE PROPIONATE HFA 44 MCG/ACT INH AEROSOL</t>
        </is>
      </c>
      <c r="E145" s="6" t="inlineStr">
        <is>
          <t>10.6</t>
        </is>
      </c>
      <c r="F145" s="7" t="n">
        <v>31.8</v>
      </c>
      <c r="G145" s="7" t="n">
        <v>3</v>
      </c>
      <c r="H145" s="7" t="n">
        <v>4</v>
      </c>
      <c r="I145" s="7" t="n">
        <v>1</v>
      </c>
      <c r="J145" s="8" t="n">
        <v>415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ALL_PBM</t>
        </is>
      </c>
      <c r="C146" s="5" t="inlineStr">
        <is>
          <t>00186037220</t>
        </is>
      </c>
      <c r="D146" s="5" t="inlineStr">
        <is>
          <t>SYMBICORT 80-4.5MCG/ACT AEROSOL</t>
        </is>
      </c>
      <c r="E146" s="6" t="inlineStr">
        <is>
          <t>10.2</t>
        </is>
      </c>
      <c r="F146" s="7" t="n">
        <v>20.4</v>
      </c>
      <c r="G146" s="7" t="n">
        <v>2</v>
      </c>
      <c r="H146" s="7" t="n">
        <v>0</v>
      </c>
      <c r="I146" s="7" t="n">
        <v>-2</v>
      </c>
      <c r="J146" s="8" t="n">
        <v>413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ALL_PBM</t>
        </is>
      </c>
      <c r="C147" s="5" t="inlineStr">
        <is>
          <t>00378876091</t>
        </is>
      </c>
      <c r="D147" s="5" t="inlineStr">
        <is>
          <t>CYCLOSPORINE 0.05 % OPHTHALMIC EMULSION</t>
        </is>
      </c>
      <c r="E147" s="6" t="inlineStr">
        <is>
          <t>60.0</t>
        </is>
      </c>
      <c r="F147" s="7" t="n">
        <v>180</v>
      </c>
      <c r="G147" s="7" t="n">
        <v>3</v>
      </c>
      <c r="H147" s="7" t="n">
        <v>0</v>
      </c>
      <c r="I147" s="7" t="n">
        <v>-3</v>
      </c>
      <c r="J147" s="8" t="n">
        <v>412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ALL_PBM</t>
        </is>
      </c>
      <c r="C148" s="5" t="inlineStr">
        <is>
          <t>65862083430</t>
        </is>
      </c>
      <c r="D148" s="5" t="inlineStr">
        <is>
          <t>AMLODIPINE-VALSARTAN-HCTZ 5-160-12.5 MG ORAL TABLET</t>
        </is>
      </c>
      <c r="E148" s="6" t="inlineStr">
        <is>
          <t>30.0</t>
        </is>
      </c>
      <c r="F148" s="7" t="n">
        <v>90</v>
      </c>
      <c r="G148" s="7" t="n">
        <v>3</v>
      </c>
      <c r="H148" s="7" t="n">
        <v>3</v>
      </c>
      <c r="I148" s="7" t="n">
        <v>0</v>
      </c>
      <c r="J148" s="8" t="n">
        <v>398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ALL_PBM</t>
        </is>
      </c>
      <c r="C149" s="5" t="inlineStr">
        <is>
          <t>00591352530</t>
        </is>
      </c>
      <c r="D149" s="5" t="inlineStr">
        <is>
          <t xml:space="preserve">LIDOCAINE 5% PATCH </t>
        </is>
      </c>
      <c r="E149" s="6" t="inlineStr">
        <is>
          <t>30.0</t>
        </is>
      </c>
      <c r="F149" s="7" t="n">
        <v>150</v>
      </c>
      <c r="G149" s="7" t="n">
        <v>5</v>
      </c>
      <c r="H149" s="7" t="n">
        <v>0</v>
      </c>
      <c r="I149" s="7" t="n">
        <v>-5</v>
      </c>
      <c r="J149" s="8" t="n">
        <v>392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ALL_PBM</t>
        </is>
      </c>
      <c r="C150" s="5" t="inlineStr">
        <is>
          <t>43598064418</t>
        </is>
      </c>
      <c r="D150" s="5" t="inlineStr">
        <is>
          <t>SACUBITRIL-VALSARTAN 49-51 MG ORAL TABLET</t>
        </is>
      </c>
      <c r="E150" s="6" t="inlineStr">
        <is>
          <t>180.0</t>
        </is>
      </c>
      <c r="F150" s="7" t="n">
        <v>360</v>
      </c>
      <c r="G150" s="7" t="n">
        <v>2</v>
      </c>
      <c r="H150" s="7" t="n">
        <v>0</v>
      </c>
      <c r="I150" s="7" t="n">
        <v>-2</v>
      </c>
      <c r="J150" s="8" t="n">
        <v>388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ALL_PBM</t>
        </is>
      </c>
      <c r="C151" s="5" t="inlineStr">
        <is>
          <t>64764080530</t>
        </is>
      </c>
      <c r="D151" s="5" t="inlineStr">
        <is>
          <t>ROZEREM 8MG TABLET</t>
        </is>
      </c>
      <c r="E151" s="6" t="inlineStr">
        <is>
          <t>30.0</t>
        </is>
      </c>
      <c r="F151" s="7" t="n">
        <v>30</v>
      </c>
      <c r="G151" s="7" t="n">
        <v>1</v>
      </c>
      <c r="H151" s="7" t="n">
        <v>1</v>
      </c>
      <c r="I151" s="7" t="n">
        <v>0</v>
      </c>
      <c r="J151" s="8" t="n">
        <v>383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ALL_PBM</t>
        </is>
      </c>
      <c r="C152" s="5" t="inlineStr">
        <is>
          <t>00169255013</t>
        </is>
      </c>
      <c r="D152" s="5" t="inlineStr">
        <is>
          <t>TRESIBA FLEXTOUCH 200UNIT/ML INJECTION</t>
        </is>
      </c>
      <c r="E152" s="6" t="inlineStr">
        <is>
          <t>9.0</t>
        </is>
      </c>
      <c r="F152" s="7" t="n">
        <v>21</v>
      </c>
      <c r="G152" s="7" t="n">
        <v>2.333333333333333</v>
      </c>
      <c r="H152" s="7" t="n">
        <v>2</v>
      </c>
      <c r="I152" s="7" t="n">
        <v>-0.3333333333333335</v>
      </c>
      <c r="J152" s="8" t="n">
        <v>376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ALL_PBM</t>
        </is>
      </c>
      <c r="C153" s="5" t="inlineStr">
        <is>
          <t>61314063710</t>
        </is>
      </c>
      <c r="D153" s="5" t="inlineStr">
        <is>
          <t>PREDNISOLONE ACETATE 1% SUSPENSION</t>
        </is>
      </c>
      <c r="E153" s="6" t="inlineStr">
        <is>
          <t>10.0</t>
        </is>
      </c>
      <c r="F153" s="7" t="n">
        <v>80</v>
      </c>
      <c r="G153" s="7" t="n">
        <v>8</v>
      </c>
      <c r="H153" s="7" t="n">
        <v>8</v>
      </c>
      <c r="I153" s="7" t="n">
        <v>0</v>
      </c>
      <c r="J153" s="8" t="n">
        <v>373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ALL_PBM</t>
        </is>
      </c>
      <c r="C154" s="5" t="inlineStr">
        <is>
          <t>52817080030</t>
        </is>
      </c>
      <c r="D154" s="5" t="inlineStr">
        <is>
          <t xml:space="preserve">CLOTRIMAZOLE 1 % SOLUTION </t>
        </is>
      </c>
      <c r="E154" s="6" t="inlineStr">
        <is>
          <t>30.0</t>
        </is>
      </c>
      <c r="F154" s="7" t="n">
        <v>390</v>
      </c>
      <c r="G154" s="7" t="n">
        <v>13</v>
      </c>
      <c r="H154" s="7" t="n">
        <v>0</v>
      </c>
      <c r="I154" s="7" t="n">
        <v>-13</v>
      </c>
      <c r="J154" s="8" t="n">
        <v>368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ALL_PBM</t>
        </is>
      </c>
      <c r="C155" s="5" t="inlineStr">
        <is>
          <t>59762033302</t>
        </is>
      </c>
      <c r="D155" s="5" t="inlineStr">
        <is>
          <t>LATANOPROST 0.005 % OPHTHALMIC SOLUTION</t>
        </is>
      </c>
      <c r="E155" s="6" t="inlineStr">
        <is>
          <t>2.5</t>
        </is>
      </c>
      <c r="F155" s="7" t="n">
        <v>167.5</v>
      </c>
      <c r="G155" s="7" t="n">
        <v>67</v>
      </c>
      <c r="H155" s="7" t="n">
        <v>44</v>
      </c>
      <c r="I155" s="7" t="n">
        <v>-23</v>
      </c>
      <c r="J155" s="8" t="n">
        <v>365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ALL_PBM</t>
        </is>
      </c>
      <c r="C156" s="5" t="inlineStr">
        <is>
          <t>00006537303</t>
        </is>
      </c>
      <c r="D156" s="5" t="inlineStr">
        <is>
          <t>SEGLUROMET 2.5-1000MG TABLET</t>
        </is>
      </c>
      <c r="E156" s="6" t="inlineStr">
        <is>
          <t>60.0</t>
        </is>
      </c>
      <c r="F156" s="7" t="n">
        <v>60</v>
      </c>
      <c r="G156" s="7" t="n">
        <v>1</v>
      </c>
      <c r="H156" s="7" t="n">
        <v>0</v>
      </c>
      <c r="I156" s="7" t="n">
        <v>-1</v>
      </c>
      <c r="J156" s="8" t="n">
        <v>353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ALL_PBM</t>
        </is>
      </c>
      <c r="C157" s="5" t="inlineStr">
        <is>
          <t>72495040128</t>
        </is>
      </c>
      <c r="D157" s="5" t="inlineStr">
        <is>
          <t>INTRAROSA 6.5 MG VAGINAL INSERT</t>
        </is>
      </c>
      <c r="E157" s="6" t="inlineStr">
        <is>
          <t>28.0</t>
        </is>
      </c>
      <c r="F157" s="7" t="n">
        <v>28</v>
      </c>
      <c r="G157" s="7" t="n">
        <v>1</v>
      </c>
      <c r="H157" s="7" t="n">
        <v>1</v>
      </c>
      <c r="I157" s="7" t="n">
        <v>0</v>
      </c>
      <c r="J157" s="8" t="n">
        <v>348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ALL_PBM</t>
        </is>
      </c>
      <c r="C158" s="5" t="inlineStr">
        <is>
          <t>67877049160</t>
        </is>
      </c>
      <c r="D158" s="5" t="inlineStr">
        <is>
          <t>TICAGRELOR 90 MG ORAL TABLET</t>
        </is>
      </c>
      <c r="E158" s="6" t="inlineStr">
        <is>
          <t>60.0</t>
        </is>
      </c>
      <c r="F158" s="7" t="n">
        <v>480</v>
      </c>
      <c r="G158" s="7" t="n">
        <v>8</v>
      </c>
      <c r="H158" s="7" t="n">
        <v>10</v>
      </c>
      <c r="I158" s="7" t="n">
        <v>2</v>
      </c>
      <c r="J158" s="8" t="n">
        <v>348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ALL_PBM</t>
        </is>
      </c>
      <c r="C159" s="5" t="inlineStr">
        <is>
          <t>00597017560</t>
        </is>
      </c>
      <c r="D159" s="5" t="inlineStr">
        <is>
          <t>SYNJARDY 5-1000 MG TABLET</t>
        </is>
      </c>
      <c r="E159" s="6" t="inlineStr">
        <is>
          <t>60.0</t>
        </is>
      </c>
      <c r="F159" s="7" t="n">
        <v>60</v>
      </c>
      <c r="G159" s="7" t="n">
        <v>1</v>
      </c>
      <c r="H159" s="7" t="n">
        <v>0</v>
      </c>
      <c r="I159" s="7" t="n">
        <v>-1</v>
      </c>
      <c r="J159" s="8" t="n">
        <v>346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ALL_PBM</t>
        </is>
      </c>
      <c r="C160" s="5" t="inlineStr">
        <is>
          <t>62856040530</t>
        </is>
      </c>
      <c r="D160" s="5" t="inlineStr">
        <is>
          <t>DAYVIGO 5 MG ORAL TABLET</t>
        </is>
      </c>
      <c r="E160" s="6" t="inlineStr">
        <is>
          <t>30.0</t>
        </is>
      </c>
      <c r="F160" s="7" t="n">
        <v>30</v>
      </c>
      <c r="G160" s="7" t="n">
        <v>1</v>
      </c>
      <c r="H160" s="7" t="n">
        <v>1</v>
      </c>
      <c r="I160" s="7" t="n">
        <v>0</v>
      </c>
      <c r="J160" s="8" t="n">
        <v>345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ALL_PBM</t>
        </is>
      </c>
      <c r="C161" s="5" t="inlineStr">
        <is>
          <t>72205028260</t>
        </is>
      </c>
      <c r="D161" s="5" t="inlineStr">
        <is>
          <t>SACUBITRIL-VALSARTAN 97-103 MG ORAL TABLET</t>
        </is>
      </c>
      <c r="E161" s="6" t="inlineStr">
        <is>
          <t>60.0</t>
        </is>
      </c>
      <c r="F161" s="7" t="n">
        <v>360</v>
      </c>
      <c r="G161" s="7" t="n">
        <v>6</v>
      </c>
      <c r="H161" s="7" t="n">
        <v>0</v>
      </c>
      <c r="I161" s="7" t="n">
        <v>-6</v>
      </c>
      <c r="J161" s="8" t="n">
        <v>343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ALL_PBM</t>
        </is>
      </c>
      <c r="C162" s="5" t="inlineStr">
        <is>
          <t>00597029588</t>
        </is>
      </c>
      <c r="D162" s="5" t="inlineStr">
        <is>
          <t>SYNJARDY XR 25-1000MG TABLET</t>
        </is>
      </c>
      <c r="E162" s="6" t="inlineStr">
        <is>
          <t>30.0</t>
        </is>
      </c>
      <c r="F162" s="7" t="n">
        <v>30</v>
      </c>
      <c r="G162" s="7" t="n">
        <v>1</v>
      </c>
      <c r="H162" s="7" t="n">
        <v>0</v>
      </c>
      <c r="I162" s="7" t="n">
        <v>-1</v>
      </c>
      <c r="J162" s="8" t="n">
        <v>333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ALL_PBM</t>
        </is>
      </c>
      <c r="C163" s="5" t="inlineStr">
        <is>
          <t>65702071110</t>
        </is>
      </c>
      <c r="D163" s="5" t="inlineStr">
        <is>
          <t>ACCU-CHEK GUIDE IN VITRO STRIP</t>
        </is>
      </c>
      <c r="E163" s="6" t="inlineStr">
        <is>
          <t>50.0</t>
        </is>
      </c>
      <c r="F163" s="7" t="n">
        <v>900</v>
      </c>
      <c r="G163" s="7" t="n">
        <v>18</v>
      </c>
      <c r="H163" s="7" t="n">
        <v>16</v>
      </c>
      <c r="I163" s="7" t="n">
        <v>-2</v>
      </c>
      <c r="J163" s="8" t="n">
        <v>332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ALL_PBM</t>
        </is>
      </c>
      <c r="C164" s="5" t="inlineStr">
        <is>
          <t>31722062921</t>
        </is>
      </c>
      <c r="D164" s="5" t="inlineStr">
        <is>
          <t>ATOVAQUONE 750 MG/5ML ORAL SUSPENSION</t>
        </is>
      </c>
      <c r="E164" s="6" t="inlineStr">
        <is>
          <t>210.0</t>
        </is>
      </c>
      <c r="F164" s="7" t="n">
        <v>510</v>
      </c>
      <c r="G164" s="7" t="n">
        <v>2.428571428571428</v>
      </c>
      <c r="H164" s="7" t="n">
        <v>3</v>
      </c>
      <c r="I164" s="7" t="n">
        <v>0.5714285714285716</v>
      </c>
      <c r="J164" s="8" t="n">
        <v>330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ALL_PBM</t>
        </is>
      </c>
      <c r="C165" s="5" t="inlineStr">
        <is>
          <t>51672130100</t>
        </is>
      </c>
      <c r="D165" s="5" t="inlineStr">
        <is>
          <t>AMMONIUM LACTATE 12 % EXTERNAL CREAM</t>
        </is>
      </c>
      <c r="E165" s="6" t="inlineStr">
        <is>
          <t>385.0</t>
        </is>
      </c>
      <c r="F165" s="7" t="n">
        <v>5005</v>
      </c>
      <c r="G165" s="7" t="n">
        <v>13</v>
      </c>
      <c r="H165" s="7" t="n">
        <v>0</v>
      </c>
      <c r="I165" s="7" t="n">
        <v>-13</v>
      </c>
      <c r="J165" s="8" t="n">
        <v>327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ALL_PBM</t>
        </is>
      </c>
      <c r="C166" s="5" t="inlineStr">
        <is>
          <t>70377007813</t>
        </is>
      </c>
      <c r="D166" s="5" t="inlineStr">
        <is>
          <t>ATORVASTATIN 20MG TABLET</t>
        </is>
      </c>
      <c r="E166" s="6" t="inlineStr">
        <is>
          <t>1000.0</t>
        </is>
      </c>
      <c r="F166" s="7" t="n">
        <v>4050</v>
      </c>
      <c r="G166" s="7" t="n">
        <v>4.05</v>
      </c>
      <c r="H166" s="7" t="n">
        <v>1</v>
      </c>
      <c r="I166" s="7" t="n">
        <v>-3.05</v>
      </c>
      <c r="J166" s="8" t="n">
        <v>325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ALL_PBM</t>
        </is>
      </c>
      <c r="C167" s="5" t="inlineStr">
        <is>
          <t>00006008061</t>
        </is>
      </c>
      <c r="D167" s="5" t="inlineStr">
        <is>
          <t>JANUMET XR 50-1000MG TABLET</t>
        </is>
      </c>
      <c r="E167" s="6" t="inlineStr">
        <is>
          <t>60.0</t>
        </is>
      </c>
      <c r="F167" s="7" t="n">
        <v>60</v>
      </c>
      <c r="G167" s="7" t="n">
        <v>1</v>
      </c>
      <c r="H167" s="7" t="n">
        <v>1</v>
      </c>
      <c r="I167" s="7" t="n">
        <v>0</v>
      </c>
      <c r="J167" s="8" t="n">
        <v>314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ALL_PBM</t>
        </is>
      </c>
      <c r="C168" s="5" t="inlineStr">
        <is>
          <t>00005200002</t>
        </is>
      </c>
      <c r="D168" s="5" t="inlineStr">
        <is>
          <t>PREVNAR 20 0.5 ML INTRAMUSCULAR SUSPENSION PREFILLED SYRINGE</t>
        </is>
      </c>
      <c r="E168" s="6" t="inlineStr">
        <is>
          <t>0.5</t>
        </is>
      </c>
      <c r="F168" s="7" t="n">
        <v>0.5</v>
      </c>
      <c r="G168" s="7" t="n">
        <v>1</v>
      </c>
      <c r="H168" s="7" t="n">
        <v>0</v>
      </c>
      <c r="I168" s="7" t="n">
        <v>-1</v>
      </c>
      <c r="J168" s="8" t="n">
        <v>313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ALL_PBM</t>
        </is>
      </c>
      <c r="C169" s="5" t="inlineStr">
        <is>
          <t>64380073706</t>
        </is>
      </c>
      <c r="D169" s="5" t="inlineStr">
        <is>
          <t>VITAMIN D 50 000 U CAPSULE</t>
        </is>
      </c>
      <c r="E169" s="6" t="inlineStr">
        <is>
          <t>100.0</t>
        </is>
      </c>
      <c r="F169" s="7" t="n">
        <v>314</v>
      </c>
      <c r="G169" s="7" t="n">
        <v>3.14</v>
      </c>
      <c r="H169" s="7" t="n">
        <v>2</v>
      </c>
      <c r="I169" s="7" t="n">
        <v>-1.14</v>
      </c>
      <c r="J169" s="8" t="n">
        <v>310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ALL_PBM</t>
        </is>
      </c>
      <c r="C170" s="5" t="inlineStr">
        <is>
          <t>83257001532</t>
        </is>
      </c>
      <c r="D170" s="5" t="inlineStr">
        <is>
          <t>INSULIN GLARGINE 100 UNIT/ML YFGN</t>
        </is>
      </c>
      <c r="E170" s="6" t="inlineStr">
        <is>
          <t>15.0</t>
        </is>
      </c>
      <c r="F170" s="7" t="n">
        <v>48</v>
      </c>
      <c r="G170" s="7" t="n">
        <v>3.2</v>
      </c>
      <c r="H170" s="7" t="n">
        <v>1</v>
      </c>
      <c r="I170" s="7" t="n">
        <v>-2.2</v>
      </c>
      <c r="J170" s="8" t="n">
        <v>309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ALL_PBM</t>
        </is>
      </c>
      <c r="C171" s="5" t="inlineStr">
        <is>
          <t>68462039710</t>
        </is>
      </c>
      <c r="D171" s="5" t="inlineStr">
        <is>
          <t>OMEPRAZOLE 40MG CAPSULE DR</t>
        </is>
      </c>
      <c r="E171" s="6" t="inlineStr">
        <is>
          <t>1000.0</t>
        </is>
      </c>
      <c r="F171" s="7" t="n">
        <v>2954</v>
      </c>
      <c r="G171" s="7" t="n">
        <v>2.954</v>
      </c>
      <c r="H171" s="7" t="n">
        <v>1</v>
      </c>
      <c r="I171" s="7" t="n">
        <v>-1.954</v>
      </c>
      <c r="J171" s="8" t="n">
        <v>305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ALL_PBM</t>
        </is>
      </c>
      <c r="C172" s="5" t="inlineStr">
        <is>
          <t>08627007801</t>
        </is>
      </c>
      <c r="D172" s="5" t="inlineStr">
        <is>
          <t>DEXCOM G7 RECEIVER DEVICE</t>
        </is>
      </c>
      <c r="E172" s="6" t="inlineStr">
        <is>
          <t>1.0</t>
        </is>
      </c>
      <c r="F172" s="7" t="n">
        <v>1</v>
      </c>
      <c r="G172" s="7" t="n">
        <v>1</v>
      </c>
      <c r="H172" s="7" t="n">
        <v>0</v>
      </c>
      <c r="I172" s="7" t="n">
        <v>-1</v>
      </c>
      <c r="J172" s="8" t="n">
        <v>295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ALL_PBM</t>
        </is>
      </c>
      <c r="C173" s="5" t="inlineStr">
        <is>
          <t>00054032756</t>
        </is>
      </c>
      <c r="D173" s="5" t="inlineStr">
        <is>
          <t>FLUTICASONE-SALMETEROL 250-50 MCG/ACT INH AEROSOL</t>
        </is>
      </c>
      <c r="E173" s="6" t="inlineStr">
        <is>
          <t>60.0</t>
        </is>
      </c>
      <c r="F173" s="7" t="n">
        <v>300</v>
      </c>
      <c r="G173" s="7" t="n">
        <v>5</v>
      </c>
      <c r="H173" s="7" t="n">
        <v>7</v>
      </c>
      <c r="I173" s="7" t="n">
        <v>2</v>
      </c>
      <c r="J173" s="8" t="n">
        <v>293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ALL_PBM</t>
        </is>
      </c>
      <c r="C174" s="5" t="inlineStr">
        <is>
          <t>64764017530</t>
        </is>
      </c>
      <c r="D174" s="5" t="inlineStr">
        <is>
          <t xml:space="preserve">DEXILANT 60MG CAP </t>
        </is>
      </c>
      <c r="E174" s="6" t="inlineStr">
        <is>
          <t>30.0</t>
        </is>
      </c>
      <c r="F174" s="7" t="n">
        <v>30</v>
      </c>
      <c r="G174" s="7" t="n">
        <v>1</v>
      </c>
      <c r="H174" s="7" t="n">
        <v>0</v>
      </c>
      <c r="I174" s="7" t="n">
        <v>-1</v>
      </c>
      <c r="J174" s="8" t="n">
        <v>293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ALL_PBM</t>
        </is>
      </c>
      <c r="C175" s="5" t="inlineStr">
        <is>
          <t>70377007913</t>
        </is>
      </c>
      <c r="D175" s="5" t="inlineStr">
        <is>
          <t>ATORVASTATIN 40MG TABLET</t>
        </is>
      </c>
      <c r="E175" s="6" t="inlineStr">
        <is>
          <t>1000.0</t>
        </is>
      </c>
      <c r="F175" s="7" t="n">
        <v>3210</v>
      </c>
      <c r="G175" s="7" t="n">
        <v>3.21</v>
      </c>
      <c r="H175" s="7" t="n">
        <v>4</v>
      </c>
      <c r="I175" s="7" t="n">
        <v>0.79</v>
      </c>
      <c r="J175" s="8" t="n">
        <v>289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ALL_PBM</t>
        </is>
      </c>
      <c r="C176" s="5" t="inlineStr">
        <is>
          <t>00168041630</t>
        </is>
      </c>
      <c r="D176" s="5" t="inlineStr">
        <is>
          <t>TACROLIMUS 0.1 % OINTMENT</t>
        </is>
      </c>
      <c r="E176" s="6" t="inlineStr">
        <is>
          <t>30.0</t>
        </is>
      </c>
      <c r="F176" s="7" t="n">
        <v>90</v>
      </c>
      <c r="G176" s="7" t="n">
        <v>3</v>
      </c>
      <c r="H176" s="7" t="n">
        <v>0</v>
      </c>
      <c r="I176" s="7" t="n">
        <v>-3</v>
      </c>
      <c r="J176" s="8" t="n">
        <v>274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ALL_PBM</t>
        </is>
      </c>
      <c r="C177" s="5" t="inlineStr">
        <is>
          <t>51672125903</t>
        </is>
      </c>
      <c r="D177" s="5" t="inlineStr">
        <is>
          <t>CLOBETASOL PROPIONATE 0.05% OINTMENT</t>
        </is>
      </c>
      <c r="E177" s="6" t="inlineStr">
        <is>
          <t>60.0</t>
        </is>
      </c>
      <c r="F177" s="7" t="n">
        <v>240</v>
      </c>
      <c r="G177" s="7" t="n">
        <v>4</v>
      </c>
      <c r="H177" s="7" t="n">
        <v>0</v>
      </c>
      <c r="I177" s="7" t="n">
        <v>-4</v>
      </c>
      <c r="J177" s="8" t="n">
        <v>272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ALL_PBM</t>
        </is>
      </c>
      <c r="C178" s="5" t="inlineStr">
        <is>
          <t>69238173306</t>
        </is>
      </c>
      <c r="D178" s="5" t="inlineStr">
        <is>
          <t>DOXEPIN HCL 5 % EXTERNAL CREAM</t>
        </is>
      </c>
      <c r="E178" s="6" t="inlineStr">
        <is>
          <t>45.0</t>
        </is>
      </c>
      <c r="F178" s="7" t="n">
        <v>45</v>
      </c>
      <c r="G178" s="7" t="n">
        <v>1</v>
      </c>
      <c r="H178" s="7" t="n">
        <v>1</v>
      </c>
      <c r="I178" s="7" t="n">
        <v>0</v>
      </c>
      <c r="J178" s="8" t="n">
        <v>271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ALL_PBM</t>
        </is>
      </c>
      <c r="C179" s="5" t="inlineStr">
        <is>
          <t>61314063705</t>
        </is>
      </c>
      <c r="D179" s="5" t="inlineStr">
        <is>
          <t>PREDNISOLONE ACETATE 1% SUSPENSION</t>
        </is>
      </c>
      <c r="E179" s="6" t="inlineStr">
        <is>
          <t>5.0</t>
        </is>
      </c>
      <c r="F179" s="7" t="n">
        <v>50</v>
      </c>
      <c r="G179" s="7" t="n">
        <v>10</v>
      </c>
      <c r="H179" s="7" t="n">
        <v>0</v>
      </c>
      <c r="I179" s="7" t="n">
        <v>-10</v>
      </c>
      <c r="J179" s="8" t="n">
        <v>257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ALL_PBM</t>
        </is>
      </c>
      <c r="C180" s="5" t="inlineStr">
        <is>
          <t>33342032186</t>
        </is>
      </c>
      <c r="D180" s="5" t="inlineStr">
        <is>
          <t>CLOBETASOL PROPIONATE 0.05 % SOLUTION</t>
        </is>
      </c>
      <c r="E180" s="6" t="inlineStr">
        <is>
          <t>50.0</t>
        </is>
      </c>
      <c r="F180" s="7" t="n">
        <v>300</v>
      </c>
      <c r="G180" s="7" t="n">
        <v>6</v>
      </c>
      <c r="H180" s="7" t="n">
        <v>0</v>
      </c>
      <c r="I180" s="7" t="n">
        <v>-6</v>
      </c>
      <c r="J180" s="8" t="n">
        <v>244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ALL_PBM</t>
        </is>
      </c>
      <c r="C181" s="5" t="inlineStr">
        <is>
          <t>65862056099</t>
        </is>
      </c>
      <c r="D181" s="5" t="inlineStr">
        <is>
          <t xml:space="preserve">PANTOPRAZOLE 40MG TAB </t>
        </is>
      </c>
      <c r="E181" s="6" t="inlineStr">
        <is>
          <t>1000.0</t>
        </is>
      </c>
      <c r="F181" s="7" t="n">
        <v>2039</v>
      </c>
      <c r="G181" s="7" t="n">
        <v>2.039</v>
      </c>
      <c r="H181" s="7" t="n">
        <v>2</v>
      </c>
      <c r="I181" s="7" t="n">
        <v>-0.03900000000000015</v>
      </c>
      <c r="J181" s="8" t="n">
        <v>244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ALL_PBM</t>
        </is>
      </c>
      <c r="C182" s="5" t="inlineStr">
        <is>
          <t>00480268806</t>
        </is>
      </c>
      <c r="D182" s="5" t="inlineStr">
        <is>
          <t>TICAGRELOR 60 MG ORAL TABLET</t>
        </is>
      </c>
      <c r="E182" s="6" t="inlineStr">
        <is>
          <t>60.0</t>
        </is>
      </c>
      <c r="F182" s="7" t="n">
        <v>60</v>
      </c>
      <c r="G182" s="7" t="n">
        <v>1</v>
      </c>
      <c r="H182" s="7" t="n">
        <v>0</v>
      </c>
      <c r="I182" s="7" t="n">
        <v>-1</v>
      </c>
      <c r="J182" s="8" t="n">
        <v>238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ALL_PBM</t>
        </is>
      </c>
      <c r="C183" s="5" t="inlineStr">
        <is>
          <t>00168025846</t>
        </is>
      </c>
      <c r="D183" s="5" t="inlineStr">
        <is>
          <t>CLOTRIMAZOLE-BETAMETHASONE 1-0.05 % EXTERNAL CREAM</t>
        </is>
      </c>
      <c r="E183" s="6" t="inlineStr">
        <is>
          <t>45.0</t>
        </is>
      </c>
      <c r="F183" s="7" t="n">
        <v>585</v>
      </c>
      <c r="G183" s="7" t="n">
        <v>13</v>
      </c>
      <c r="H183" s="7" t="n">
        <v>6</v>
      </c>
      <c r="I183" s="7" t="n">
        <v>-7</v>
      </c>
      <c r="J183" s="8" t="n">
        <v>224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ALL_PBM</t>
        </is>
      </c>
      <c r="C184" s="5" t="inlineStr">
        <is>
          <t>70377008013</t>
        </is>
      </c>
      <c r="D184" s="5" t="inlineStr">
        <is>
          <t>ATORVASTATIN 80MG  TABLET</t>
        </is>
      </c>
      <c r="E184" s="6" t="inlineStr">
        <is>
          <t>1000.0</t>
        </is>
      </c>
      <c r="F184" s="7" t="n">
        <v>2070</v>
      </c>
      <c r="G184" s="7" t="n">
        <v>2.07</v>
      </c>
      <c r="H184" s="7" t="n">
        <v>0</v>
      </c>
      <c r="I184" s="7" t="n">
        <v>-2.07</v>
      </c>
      <c r="J184" s="8" t="n">
        <v>222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ALL_PBM</t>
        </is>
      </c>
      <c r="C185" s="5" t="inlineStr">
        <is>
          <t>65162003416</t>
        </is>
      </c>
      <c r="D185" s="5" t="inlineStr">
        <is>
          <t>OMEGA-3-ACID ETHYL ESTERS 1 GM ORAL CAPSULE</t>
        </is>
      </c>
      <c r="E185" s="6" t="inlineStr">
        <is>
          <t>120.0</t>
        </is>
      </c>
      <c r="F185" s="7" t="n">
        <v>1110</v>
      </c>
      <c r="G185" s="7" t="n">
        <v>9.25</v>
      </c>
      <c r="H185" s="7" t="n">
        <v>0</v>
      </c>
      <c r="I185" s="7" t="n">
        <v>-9.25</v>
      </c>
      <c r="J185" s="8" t="n">
        <v>219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ALL_PBM</t>
        </is>
      </c>
      <c r="C186" s="5" t="inlineStr">
        <is>
          <t>00065414727</t>
        </is>
      </c>
      <c r="D186" s="5" t="inlineStr">
        <is>
          <t>SIMBRINZA 1-0.2 % OPHTHALMIC SUSPENSION</t>
        </is>
      </c>
      <c r="E186" s="6" t="inlineStr">
        <is>
          <t>8.0</t>
        </is>
      </c>
      <c r="F186" s="7" t="n">
        <v>8</v>
      </c>
      <c r="G186" s="7" t="n">
        <v>1</v>
      </c>
      <c r="H186" s="7" t="n">
        <v>0</v>
      </c>
      <c r="I186" s="7" t="n">
        <v>-1</v>
      </c>
      <c r="J186" s="8" t="n">
        <v>219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ALL_PBM</t>
        </is>
      </c>
      <c r="C187" s="5" t="inlineStr">
        <is>
          <t>66993008096</t>
        </is>
      </c>
      <c r="D187" s="5" t="inlineStr">
        <is>
          <t>FLUTICASONE PROPIONATE HFA 220 MCG/ACT INHALATION AEROSOL</t>
        </is>
      </c>
      <c r="E187" s="6" t="inlineStr">
        <is>
          <t>12.0</t>
        </is>
      </c>
      <c r="F187" s="7" t="n">
        <v>12</v>
      </c>
      <c r="G187" s="7" t="n">
        <v>1</v>
      </c>
      <c r="H187" s="7" t="n">
        <v>0</v>
      </c>
      <c r="I187" s="7" t="n">
        <v>-1</v>
      </c>
      <c r="J187" s="8" t="n">
        <v>218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ALL_PBM</t>
        </is>
      </c>
      <c r="C188" s="5" t="inlineStr">
        <is>
          <t>51672140709</t>
        </is>
      </c>
      <c r="D188" s="5" t="inlineStr">
        <is>
          <t>TRETINOIN 0.025 % EXTERNAL CREAM</t>
        </is>
      </c>
      <c r="E188" s="6" t="inlineStr">
        <is>
          <t>45.0</t>
        </is>
      </c>
      <c r="F188" s="7" t="n">
        <v>135</v>
      </c>
      <c r="G188" s="7" t="n">
        <v>3</v>
      </c>
      <c r="H188" s="7" t="n">
        <v>0</v>
      </c>
      <c r="I188" s="7" t="n">
        <v>-3</v>
      </c>
      <c r="J188" s="8" t="n">
        <v>212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ALL_PBM</t>
        </is>
      </c>
      <c r="C189" s="5" t="inlineStr">
        <is>
          <t>65862059805</t>
        </is>
      </c>
      <c r="D189" s="5" t="inlineStr">
        <is>
          <t>TAMSULOSIN 0.4MG CAPSULE</t>
        </is>
      </c>
      <c r="E189" s="6" t="inlineStr">
        <is>
          <t>500.0</t>
        </is>
      </c>
      <c r="F189" s="7" t="n">
        <v>2465</v>
      </c>
      <c r="G189" s="7" t="n">
        <v>4.93</v>
      </c>
      <c r="H189" s="7" t="n">
        <v>0</v>
      </c>
      <c r="I189" s="7" t="n">
        <v>-4.93</v>
      </c>
      <c r="J189" s="8" t="n">
        <v>212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ALL_PBM</t>
        </is>
      </c>
      <c r="C190" s="5" t="inlineStr">
        <is>
          <t>00173088810</t>
        </is>
      </c>
      <c r="D190" s="5" t="inlineStr">
        <is>
          <t>ARNUITY ELLIPTA 50 MCG/ACT INHAEROSOL</t>
        </is>
      </c>
      <c r="E190" s="6" t="inlineStr">
        <is>
          <t>30.0</t>
        </is>
      </c>
      <c r="F190" s="7" t="n">
        <v>30</v>
      </c>
      <c r="G190" s="7" t="n">
        <v>1</v>
      </c>
      <c r="H190" s="7" t="n">
        <v>0</v>
      </c>
      <c r="I190" s="7" t="n">
        <v>-1</v>
      </c>
      <c r="J190" s="8" t="n">
        <v>210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ALL_PBM</t>
        </is>
      </c>
      <c r="C191" s="5" t="inlineStr">
        <is>
          <t>70954066210</t>
        </is>
      </c>
      <c r="D191" s="5" t="inlineStr">
        <is>
          <t>KETOCONAZOLE 2 % EXTERNAL SHAMPOO</t>
        </is>
      </c>
      <c r="E191" s="6" t="inlineStr">
        <is>
          <t>120.0</t>
        </is>
      </c>
      <c r="F191" s="7" t="n">
        <v>2280</v>
      </c>
      <c r="G191" s="7" t="n">
        <v>19</v>
      </c>
      <c r="H191" s="7" t="n">
        <v>6</v>
      </c>
      <c r="I191" s="7" t="n">
        <v>-13</v>
      </c>
      <c r="J191" s="8" t="n">
        <v>208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ALL_PBM</t>
        </is>
      </c>
      <c r="C192" s="5" t="inlineStr">
        <is>
          <t>91237000116</t>
        </is>
      </c>
      <c r="D192" s="5" t="inlineStr">
        <is>
          <t>LANCETS EASY COMFORT</t>
        </is>
      </c>
      <c r="E192" s="6" t="inlineStr">
        <is>
          <t>100.0</t>
        </is>
      </c>
      <c r="F192" s="7" t="n">
        <v>700</v>
      </c>
      <c r="G192" s="7" t="n">
        <v>7</v>
      </c>
      <c r="H192" s="7" t="n">
        <v>0</v>
      </c>
      <c r="I192" s="7" t="n">
        <v>-7</v>
      </c>
      <c r="J192" s="8" t="n">
        <v>207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ALL_PBM</t>
        </is>
      </c>
      <c r="C193" s="5" t="inlineStr">
        <is>
          <t>00169750111</t>
        </is>
      </c>
      <c r="D193" s="5" t="inlineStr">
        <is>
          <t>NOVOLOG 100UNIT/ML SOLUTION</t>
        </is>
      </c>
      <c r="E193" s="6" t="inlineStr">
        <is>
          <t>10.0</t>
        </is>
      </c>
      <c r="F193" s="7" t="n">
        <v>30</v>
      </c>
      <c r="G193" s="7" t="n">
        <v>3</v>
      </c>
      <c r="H193" s="7" t="n">
        <v>3</v>
      </c>
      <c r="I193" s="7" t="n">
        <v>0</v>
      </c>
      <c r="J193" s="8" t="n">
        <v>206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ALL_PBM</t>
        </is>
      </c>
      <c r="C194" s="5" t="inlineStr">
        <is>
          <t>60505403301</t>
        </is>
      </c>
      <c r="D194" s="5" t="inlineStr">
        <is>
          <t>ICOSAPENT ETHYL 1GM CAPSULE</t>
        </is>
      </c>
      <c r="E194" s="6" t="inlineStr">
        <is>
          <t>120.0</t>
        </is>
      </c>
      <c r="F194" s="7" t="n">
        <v>360</v>
      </c>
      <c r="G194" s="7" t="n">
        <v>3</v>
      </c>
      <c r="H194" s="7" t="n">
        <v>0</v>
      </c>
      <c r="I194" s="7" t="n">
        <v>-3</v>
      </c>
      <c r="J194" s="8" t="n">
        <v>205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ALL_PBM</t>
        </is>
      </c>
      <c r="C195" s="5" t="inlineStr">
        <is>
          <t>42571038273</t>
        </is>
      </c>
      <c r="D195" s="5" t="inlineStr">
        <is>
          <t>DORZOLAMIDE - TIMOLOL 2-0.5 % OPTH SOLUTION</t>
        </is>
      </c>
      <c r="E195" s="6" t="inlineStr">
        <is>
          <t>60.0</t>
        </is>
      </c>
      <c r="F195" s="7" t="n">
        <v>180</v>
      </c>
      <c r="G195" s="7" t="n">
        <v>3</v>
      </c>
      <c r="H195" s="7" t="n">
        <v>0</v>
      </c>
      <c r="I195" s="7" t="n">
        <v>-3</v>
      </c>
      <c r="J195" s="8" t="n">
        <v>202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ALL_PBM</t>
        </is>
      </c>
      <c r="C196" s="5" t="inlineStr">
        <is>
          <t>56151211401</t>
        </is>
      </c>
      <c r="D196" s="5" t="inlineStr">
        <is>
          <t>PEN NEEDLES 32G X 4 MM</t>
        </is>
      </c>
      <c r="E196" s="6" t="inlineStr">
        <is>
          <t>100.0</t>
        </is>
      </c>
      <c r="F196" s="7" t="n">
        <v>600</v>
      </c>
      <c r="G196" s="7" t="n">
        <v>6</v>
      </c>
      <c r="H196" s="7" t="n">
        <v>0</v>
      </c>
      <c r="I196" s="7" t="n">
        <v>-6</v>
      </c>
      <c r="J196" s="8" t="n">
        <v>197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ALL_PBM</t>
        </is>
      </c>
      <c r="C197" s="5" t="inlineStr">
        <is>
          <t>67877072592</t>
        </is>
      </c>
      <c r="D197" s="5" t="inlineStr">
        <is>
          <t>NA SULFATE-K SULFATE-MG SULF 17.5-3.13-1.6 GM/177ML ORAL SOLUTION</t>
        </is>
      </c>
      <c r="E197" s="6" t="inlineStr">
        <is>
          <t>354.0</t>
        </is>
      </c>
      <c r="F197" s="7" t="n">
        <v>1416</v>
      </c>
      <c r="G197" s="7" t="n">
        <v>4</v>
      </c>
      <c r="H197" s="7" t="n">
        <v>3</v>
      </c>
      <c r="I197" s="7" t="n">
        <v>-1</v>
      </c>
      <c r="J197" s="8" t="n">
        <v>195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ALL_PBM</t>
        </is>
      </c>
      <c r="C198" s="5" t="inlineStr">
        <is>
          <t>47781023001</t>
        </is>
      </c>
      <c r="D198" s="5" t="inlineStr">
        <is>
          <t>OXYCODONE-ACETAMINOPHEN 10-325MG TABLET</t>
        </is>
      </c>
      <c r="E198" s="6" t="inlineStr">
        <is>
          <t>100.0</t>
        </is>
      </c>
      <c r="F198" s="7" t="n">
        <v>967</v>
      </c>
      <c r="G198" s="7" t="n">
        <v>9.67</v>
      </c>
      <c r="H198" s="7" t="n">
        <v>8</v>
      </c>
      <c r="I198" s="7" t="n">
        <v>-1.67</v>
      </c>
      <c r="J198" s="8" t="n">
        <v>193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ALL_PBM</t>
        </is>
      </c>
      <c r="C199" s="5" t="inlineStr">
        <is>
          <t>29300022010</t>
        </is>
      </c>
      <c r="D199" s="5" t="inlineStr">
        <is>
          <t xml:space="preserve">MONTELUKAST 10MG TAB </t>
        </is>
      </c>
      <c r="E199" s="6" t="inlineStr">
        <is>
          <t>1000.0</t>
        </is>
      </c>
      <c r="F199" s="7" t="n">
        <v>1320</v>
      </c>
      <c r="G199" s="7" t="n">
        <v>1.32</v>
      </c>
      <c r="H199" s="7" t="n">
        <v>0</v>
      </c>
      <c r="I199" s="7" t="n">
        <v>-1.32</v>
      </c>
      <c r="J199" s="8" t="n">
        <v>188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ALL_PBM</t>
        </is>
      </c>
      <c r="C200" s="5" t="inlineStr">
        <is>
          <t>64380019801</t>
        </is>
      </c>
      <c r="D200" s="5" t="inlineStr">
        <is>
          <t>AMLODIPINE-VALSARTAN-HCTZ 5-160-25 MG ORAL TABLET</t>
        </is>
      </c>
      <c r="E200" s="6" t="inlineStr">
        <is>
          <t>30.0</t>
        </is>
      </c>
      <c r="F200" s="7" t="n">
        <v>30</v>
      </c>
      <c r="G200" s="7" t="n">
        <v>1</v>
      </c>
      <c r="H200" s="7" t="n">
        <v>0</v>
      </c>
      <c r="I200" s="7" t="n">
        <v>-1</v>
      </c>
      <c r="J200" s="8" t="n">
        <v>187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ALL_PBM</t>
        </is>
      </c>
      <c r="C201" s="5" t="inlineStr">
        <is>
          <t>67877049005</t>
        </is>
      </c>
      <c r="D201" s="5" t="inlineStr">
        <is>
          <t>EZETIMIBE 10MG TABLET</t>
        </is>
      </c>
      <c r="E201" s="6" t="inlineStr">
        <is>
          <t>500.0</t>
        </is>
      </c>
      <c r="F201" s="7" t="n">
        <v>1110</v>
      </c>
      <c r="G201" s="7" t="n">
        <v>2.22</v>
      </c>
      <c r="H201" s="7" t="n">
        <v>3</v>
      </c>
      <c r="I201" s="7" t="n">
        <v>0.7799999999999998</v>
      </c>
      <c r="J201" s="8" t="n">
        <v>184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ALL_PBM</t>
        </is>
      </c>
      <c r="C202" s="5" t="inlineStr">
        <is>
          <t>70700026894</t>
        </is>
      </c>
      <c r="D202" s="5" t="inlineStr">
        <is>
          <t>FOSFOMYCIN TROMETHAMINE 3 GM ORAL PACKET</t>
        </is>
      </c>
      <c r="E202" s="6" t="inlineStr">
        <is>
          <t>1.0</t>
        </is>
      </c>
      <c r="F202" s="7" t="n">
        <v>9</v>
      </c>
      <c r="G202" s="7" t="n">
        <v>9</v>
      </c>
      <c r="H202" s="7" t="n">
        <v>3</v>
      </c>
      <c r="I202" s="7" t="n">
        <v>-6</v>
      </c>
      <c r="J202" s="8" t="n">
        <v>183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ALL_PBM</t>
        </is>
      </c>
      <c r="C203" s="5" t="inlineStr">
        <is>
          <t>49884078711</t>
        </is>
      </c>
      <c r="D203" s="5" t="inlineStr">
        <is>
          <t>OLMESARTAN-AMLODIPINE-HCTZ 40-5-12.5 MG ORAL TABLET</t>
        </is>
      </c>
      <c r="E203" s="6" t="inlineStr">
        <is>
          <t>30.0</t>
        </is>
      </c>
      <c r="F203" s="7" t="n">
        <v>90</v>
      </c>
      <c r="G203" s="7" t="n">
        <v>3</v>
      </c>
      <c r="H203" s="7" t="n">
        <v>0</v>
      </c>
      <c r="I203" s="7" t="n">
        <v>-3</v>
      </c>
      <c r="J203" s="8" t="n">
        <v>181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ALL_PBM</t>
        </is>
      </c>
      <c r="C204" s="5" t="inlineStr">
        <is>
          <t>49884079009</t>
        </is>
      </c>
      <c r="D204" s="5" t="inlineStr">
        <is>
          <t>OLMESARTAN-AMLODIPINE-HCTZ 40-10-25MG TABLET</t>
        </is>
      </c>
      <c r="E204" s="6" t="inlineStr">
        <is>
          <t>90.0</t>
        </is>
      </c>
      <c r="F204" s="7" t="n">
        <v>90</v>
      </c>
      <c r="G204" s="7" t="n">
        <v>1</v>
      </c>
      <c r="H204" s="7" t="n">
        <v>0</v>
      </c>
      <c r="I204" s="7" t="n">
        <v>-1</v>
      </c>
      <c r="J204" s="8" t="n">
        <v>180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ALL_PBM</t>
        </is>
      </c>
      <c r="C205" s="5" t="inlineStr">
        <is>
          <t>70010078205</t>
        </is>
      </c>
      <c r="D205" s="5" t="inlineStr">
        <is>
          <t>METOPROLOL SUCCINATE ER 100MG TABLET</t>
        </is>
      </c>
      <c r="E205" s="6" t="inlineStr">
        <is>
          <t>500.0</t>
        </is>
      </c>
      <c r="F205" s="7" t="n">
        <v>720</v>
      </c>
      <c r="G205" s="7" t="n">
        <v>1.44</v>
      </c>
      <c r="H205" s="7" t="n">
        <v>2</v>
      </c>
      <c r="I205" s="7" t="n">
        <v>0.5600000000000001</v>
      </c>
      <c r="J205" s="8" t="n">
        <v>178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ALL_PBM</t>
        </is>
      </c>
      <c r="C206" s="5" t="inlineStr">
        <is>
          <t>45963067696</t>
        </is>
      </c>
      <c r="D206" s="5" t="inlineStr">
        <is>
          <t>METOPROLOL SUCCINATE 50MG TABLET ER</t>
        </is>
      </c>
      <c r="E206" s="6" t="inlineStr">
        <is>
          <t>1000.0</t>
        </is>
      </c>
      <c r="F206" s="7" t="n">
        <v>1410</v>
      </c>
      <c r="G206" s="7" t="n">
        <v>1.41</v>
      </c>
      <c r="H206" s="7" t="n">
        <v>0</v>
      </c>
      <c r="I206" s="7" t="n">
        <v>-1.41</v>
      </c>
      <c r="J206" s="8" t="n">
        <v>177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ALL_PBM</t>
        </is>
      </c>
      <c r="C207" s="5" t="inlineStr">
        <is>
          <t>45802010284</t>
        </is>
      </c>
      <c r="D207" s="5" t="inlineStr">
        <is>
          <t>IVERMECTIN 1 % EXTERNAL CREAM</t>
        </is>
      </c>
      <c r="E207" s="6" t="inlineStr">
        <is>
          <t>45.0</t>
        </is>
      </c>
      <c r="F207" s="7" t="n">
        <v>45</v>
      </c>
      <c r="G207" s="7" t="n">
        <v>1</v>
      </c>
      <c r="H207" s="7" t="n">
        <v>0</v>
      </c>
      <c r="I207" s="7" t="n">
        <v>-1</v>
      </c>
      <c r="J207" s="8" t="n">
        <v>171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ALL_PBM</t>
        </is>
      </c>
      <c r="C208" s="5" t="inlineStr">
        <is>
          <t>68462031065</t>
        </is>
      </c>
      <c r="D208" s="5" t="inlineStr">
        <is>
          <t>CALCIPOTRIENE 0.005 % EXTERNAL OINTMENT</t>
        </is>
      </c>
      <c r="E208" s="6" t="inlineStr">
        <is>
          <t>60.0</t>
        </is>
      </c>
      <c r="F208" s="7" t="n">
        <v>60</v>
      </c>
      <c r="G208" s="7" t="n">
        <v>1</v>
      </c>
      <c r="H208" s="7" t="n">
        <v>0</v>
      </c>
      <c r="I208" s="7" t="n">
        <v>-1</v>
      </c>
      <c r="J208" s="8" t="n">
        <v>170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ALL_PBM</t>
        </is>
      </c>
      <c r="C209" s="5" t="inlineStr">
        <is>
          <t>82182010614</t>
        </is>
      </c>
      <c r="D209" s="5" t="inlineStr">
        <is>
          <t>SUCRALFATE 1 GM/10ML ORAL SUSPENSION</t>
        </is>
      </c>
      <c r="E209" s="6" t="inlineStr">
        <is>
          <t>420.0</t>
        </is>
      </c>
      <c r="F209" s="7" t="n">
        <v>1260</v>
      </c>
      <c r="G209" s="7" t="n">
        <v>3</v>
      </c>
      <c r="H209" s="7" t="n">
        <v>0</v>
      </c>
      <c r="I209" s="7" t="n">
        <v>-3</v>
      </c>
      <c r="J209" s="8" t="n">
        <v>168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ALL_PBM</t>
        </is>
      </c>
      <c r="C210" s="5" t="inlineStr">
        <is>
          <t>57599084400</t>
        </is>
      </c>
      <c r="D210" s="5" t="inlineStr">
        <is>
          <t>FREESTYLE LIBRE 3 PLUS SENSOR</t>
        </is>
      </c>
      <c r="E210" s="6" t="inlineStr">
        <is>
          <t>1.0</t>
        </is>
      </c>
      <c r="F210" s="7" t="n">
        <v>2</v>
      </c>
      <c r="G210" s="7" t="n">
        <v>2</v>
      </c>
      <c r="H210" s="7" t="n">
        <v>0</v>
      </c>
      <c r="I210" s="7" t="n">
        <v>-2</v>
      </c>
      <c r="J210" s="8" t="n">
        <v>164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ALL_PBM</t>
        </is>
      </c>
      <c r="C211" s="5" t="inlineStr">
        <is>
          <t>54092017312</t>
        </is>
      </c>
      <c r="D211" s="5" t="inlineStr">
        <is>
          <t>CARBATROL 300MG EXT-RELEASE CAPSULE</t>
        </is>
      </c>
      <c r="E211" s="6" t="inlineStr">
        <is>
          <t>120.0</t>
        </is>
      </c>
      <c r="F211" s="7" t="n">
        <v>90</v>
      </c>
      <c r="G211" s="7" t="n">
        <v>0.75</v>
      </c>
      <c r="H211" s="7" t="n">
        <v>1</v>
      </c>
      <c r="I211" s="7" t="n">
        <v>0.25</v>
      </c>
      <c r="J211" s="8" t="n">
        <v>163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ALL_PBM</t>
        </is>
      </c>
      <c r="C212" s="5" t="inlineStr">
        <is>
          <t>51672130009</t>
        </is>
      </c>
      <c r="D212" s="5" t="inlineStr">
        <is>
          <t>AMMONIUM LACTATE 12 % EXTERNAL LOTION</t>
        </is>
      </c>
      <c r="E212" s="6" t="inlineStr">
        <is>
          <t>400.0</t>
        </is>
      </c>
      <c r="F212" s="7" t="n">
        <v>3200</v>
      </c>
      <c r="G212" s="7" t="n">
        <v>8</v>
      </c>
      <c r="H212" s="7" t="n">
        <v>0</v>
      </c>
      <c r="I212" s="7" t="n">
        <v>-8</v>
      </c>
      <c r="J212" s="8" t="n">
        <v>163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ALL_PBM</t>
        </is>
      </c>
      <c r="C213" s="5" t="inlineStr">
        <is>
          <t>69918030130</t>
        </is>
      </c>
      <c r="D213" s="5" t="inlineStr">
        <is>
          <t>TRANEXAMIC ACID 650MG TABLET</t>
        </is>
      </c>
      <c r="E213" s="6" t="inlineStr">
        <is>
          <t>30.0</t>
        </is>
      </c>
      <c r="F213" s="7" t="n">
        <v>120</v>
      </c>
      <c r="G213" s="7" t="n">
        <v>4</v>
      </c>
      <c r="H213" s="7" t="n">
        <v>0</v>
      </c>
      <c r="I213" s="7" t="n">
        <v>-4</v>
      </c>
      <c r="J213" s="8" t="n">
        <v>162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ALL_PBM</t>
        </is>
      </c>
      <c r="C214" s="5" t="inlineStr">
        <is>
          <t>00065043133</t>
        </is>
      </c>
      <c r="D214" s="5" t="inlineStr">
        <is>
          <t>SYSTANE PRESERVATIVE FREE 0.4-0.3 % OPHTHALMIC SOLUTION</t>
        </is>
      </c>
      <c r="E214" s="6" t="inlineStr">
        <is>
          <t>30.0</t>
        </is>
      </c>
      <c r="F214" s="7" t="n">
        <v>360</v>
      </c>
      <c r="G214" s="7" t="n">
        <v>12</v>
      </c>
      <c r="H214" s="7" t="n">
        <v>5</v>
      </c>
      <c r="I214" s="7" t="n">
        <v>-7</v>
      </c>
      <c r="J214" s="8" t="n">
        <v>162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ALL_PBM</t>
        </is>
      </c>
      <c r="C215" s="5" t="inlineStr">
        <is>
          <t>64980032802</t>
        </is>
      </c>
      <c r="D215" s="5" t="inlineStr">
        <is>
          <t>BENZOYL PEROXIDE-ERYTHROMYCIN 5-3 % EXTERNAL GEL</t>
        </is>
      </c>
      <c r="E215" s="6" t="inlineStr">
        <is>
          <t>46.6</t>
        </is>
      </c>
      <c r="F215" s="7" t="n">
        <v>46.6</v>
      </c>
      <c r="G215" s="7" t="n">
        <v>1</v>
      </c>
      <c r="H215" s="7" t="n">
        <v>0</v>
      </c>
      <c r="I215" s="7" t="n">
        <v>-1</v>
      </c>
      <c r="J215" s="8" t="n">
        <v>160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ALL_PBM</t>
        </is>
      </c>
      <c r="C216" s="5" t="inlineStr">
        <is>
          <t>60505083001</t>
        </is>
      </c>
      <c r="D216" s="5" t="inlineStr">
        <is>
          <t>MOMETASONE FUROATE 50MCG/ACT SUSPENSION</t>
        </is>
      </c>
      <c r="E216" s="6" t="inlineStr">
        <is>
          <t>17.0</t>
        </is>
      </c>
      <c r="F216" s="7" t="n">
        <v>51</v>
      </c>
      <c r="G216" s="7" t="n">
        <v>3</v>
      </c>
      <c r="H216" s="7" t="n">
        <v>0</v>
      </c>
      <c r="I216" s="7" t="n">
        <v>-3</v>
      </c>
      <c r="J216" s="8" t="n">
        <v>160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ALL_PBM</t>
        </is>
      </c>
      <c r="C217" s="5" t="inlineStr">
        <is>
          <t>70010006599</t>
        </is>
      </c>
      <c r="D217" s="5" t="inlineStr">
        <is>
          <t>METFORMIN 1000MG TABLET</t>
        </is>
      </c>
      <c r="E217" s="6" t="inlineStr">
        <is>
          <t>1000.0</t>
        </is>
      </c>
      <c r="F217" s="7" t="n">
        <v>3420</v>
      </c>
      <c r="G217" s="7" t="n">
        <v>3.42</v>
      </c>
      <c r="H217" s="7" t="n">
        <v>3</v>
      </c>
      <c r="I217" s="7" t="n">
        <v>-0.4199999999999999</v>
      </c>
      <c r="J217" s="8" t="n">
        <v>157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ALL_PBM</t>
        </is>
      </c>
      <c r="C218" s="5" t="inlineStr">
        <is>
          <t>66993000210</t>
        </is>
      </c>
      <c r="D218" s="5" t="inlineStr">
        <is>
          <t>ESTRADIOL 0.1 MG/GM VAGINAL CREAM</t>
        </is>
      </c>
      <c r="E218" s="6" t="inlineStr">
        <is>
          <t>42.5</t>
        </is>
      </c>
      <c r="F218" s="7" t="n">
        <v>255</v>
      </c>
      <c r="G218" s="7" t="n">
        <v>6</v>
      </c>
      <c r="H218" s="7" t="n">
        <v>5</v>
      </c>
      <c r="I218" s="7" t="n">
        <v>-1</v>
      </c>
      <c r="J218" s="8" t="n">
        <v>157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ALL_PBM</t>
        </is>
      </c>
      <c r="C219" s="5" t="inlineStr">
        <is>
          <t>69097012715</t>
        </is>
      </c>
      <c r="D219" s="5" t="inlineStr">
        <is>
          <t xml:space="preserve">AMLODIPINE 5MG TABLET </t>
        </is>
      </c>
      <c r="E219" s="6" t="inlineStr">
        <is>
          <t>1000.0</t>
        </is>
      </c>
      <c r="F219" s="7" t="n">
        <v>2910</v>
      </c>
      <c r="G219" s="7" t="n">
        <v>2.91</v>
      </c>
      <c r="H219" s="7" t="n">
        <v>0</v>
      </c>
      <c r="I219" s="7" t="n">
        <v>-2.91</v>
      </c>
      <c r="J219" s="8" t="n">
        <v>155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ALL_PBM</t>
        </is>
      </c>
      <c r="C220" s="5" t="inlineStr">
        <is>
          <t>91237000178</t>
        </is>
      </c>
      <c r="D220" s="5" t="inlineStr">
        <is>
          <t>BLOOD PRESSURE MACHINE ***  *TALKING SENSE</t>
        </is>
      </c>
      <c r="E220" s="6" t="inlineStr">
        <is>
          <t>1.0</t>
        </is>
      </c>
      <c r="F220" s="7" t="n">
        <v>3</v>
      </c>
      <c r="G220" s="7" t="n">
        <v>3</v>
      </c>
      <c r="H220" s="7" t="n">
        <v>0</v>
      </c>
      <c r="I220" s="7" t="n">
        <v>-3</v>
      </c>
      <c r="J220" s="8" t="n">
        <v>152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ALL_PBM</t>
        </is>
      </c>
      <c r="C221" s="5" t="inlineStr">
        <is>
          <t>31722000530</t>
        </is>
      </c>
      <c r="D221" s="5" t="inlineStr">
        <is>
          <t>MESALAMINE 1000 MG RECTAL SUPPOSITORY</t>
        </is>
      </c>
      <c r="E221" s="6" t="inlineStr">
        <is>
          <t>30.0</t>
        </is>
      </c>
      <c r="F221" s="7" t="n">
        <v>30</v>
      </c>
      <c r="G221" s="7" t="n">
        <v>1</v>
      </c>
      <c r="H221" s="7" t="n">
        <v>1</v>
      </c>
      <c r="I221" s="7" t="n">
        <v>0</v>
      </c>
      <c r="J221" s="8" t="n">
        <v>152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ALL_PBM</t>
        </is>
      </c>
      <c r="C222" s="5" t="inlineStr">
        <is>
          <t>00074518290</t>
        </is>
      </c>
      <c r="D222" s="5" t="inlineStr">
        <is>
          <t xml:space="preserve">SYNTHROID 75MCG TABLET </t>
        </is>
      </c>
      <c r="E222" s="6" t="inlineStr">
        <is>
          <t>90.0</t>
        </is>
      </c>
      <c r="F222" s="7" t="n">
        <v>90</v>
      </c>
      <c r="G222" s="7" t="n">
        <v>1</v>
      </c>
      <c r="H222" s="7" t="n">
        <v>1</v>
      </c>
      <c r="I222" s="7" t="n">
        <v>0</v>
      </c>
      <c r="J222" s="8" t="n">
        <v>148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ALL_PBM</t>
        </is>
      </c>
      <c r="C223" s="5" t="inlineStr">
        <is>
          <t>00074434190</t>
        </is>
      </c>
      <c r="D223" s="5" t="inlineStr">
        <is>
          <t>SYNTHROID 25 MCG ORAL TABLET</t>
        </is>
      </c>
      <c r="E223" s="6" t="inlineStr">
        <is>
          <t>90.0</t>
        </is>
      </c>
      <c r="F223" s="7" t="n">
        <v>90</v>
      </c>
      <c r="G223" s="7" t="n">
        <v>1</v>
      </c>
      <c r="H223" s="7" t="n">
        <v>1</v>
      </c>
      <c r="I223" s="7" t="n">
        <v>0</v>
      </c>
      <c r="J223" s="8" t="n">
        <v>146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ALL_PBM</t>
        </is>
      </c>
      <c r="C224" s="5" t="inlineStr">
        <is>
          <t>00074455290</t>
        </is>
      </c>
      <c r="D224" s="5" t="inlineStr">
        <is>
          <t>SYNTHROID 50MCG TABLET</t>
        </is>
      </c>
      <c r="E224" s="6" t="inlineStr">
        <is>
          <t>90.0</t>
        </is>
      </c>
      <c r="F224" s="7" t="n">
        <v>90</v>
      </c>
      <c r="G224" s="7" t="n">
        <v>1</v>
      </c>
      <c r="H224" s="7" t="n">
        <v>1</v>
      </c>
      <c r="I224" s="7" t="n">
        <v>0</v>
      </c>
      <c r="J224" s="8" t="n">
        <v>146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ALL_PBM</t>
        </is>
      </c>
      <c r="C225" s="5" t="inlineStr">
        <is>
          <t>00093598527</t>
        </is>
      </c>
      <c r="D225" s="5" t="inlineStr">
        <is>
          <t>EPINEPHRINE (JR) 0.15MG/0.3ML</t>
        </is>
      </c>
      <c r="E225" s="6" t="inlineStr">
        <is>
          <t>2.0</t>
        </is>
      </c>
      <c r="F225" s="7" t="n">
        <v>2</v>
      </c>
      <c r="G225" s="7" t="n">
        <v>1</v>
      </c>
      <c r="H225" s="7" t="n">
        <v>0</v>
      </c>
      <c r="I225" s="7" t="n">
        <v>-1</v>
      </c>
      <c r="J225" s="8" t="n">
        <v>144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ALL_PBM</t>
        </is>
      </c>
      <c r="C226" s="5" t="inlineStr">
        <is>
          <t>61314063715</t>
        </is>
      </c>
      <c r="D226" s="5" t="inlineStr">
        <is>
          <t>PREDNISOLONE ACETATE 1% SUSPENSION</t>
        </is>
      </c>
      <c r="E226" s="6" t="inlineStr">
        <is>
          <t>15.0</t>
        </is>
      </c>
      <c r="F226" s="7" t="n">
        <v>30</v>
      </c>
      <c r="G226" s="7" t="n">
        <v>2</v>
      </c>
      <c r="H226" s="7" t="n">
        <v>0</v>
      </c>
      <c r="I226" s="7" t="n">
        <v>-2</v>
      </c>
      <c r="J226" s="8" t="n">
        <v>143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ALL_PBM</t>
        </is>
      </c>
      <c r="C227" s="5" t="inlineStr">
        <is>
          <t>43386009019</t>
        </is>
      </c>
      <c r="D227" s="5" t="inlineStr">
        <is>
          <t xml:space="preserve">GAVILYTE G SOLUTION </t>
        </is>
      </c>
      <c r="E227" s="6" t="inlineStr">
        <is>
          <t>4000.0</t>
        </is>
      </c>
      <c r="F227" s="7" t="n">
        <v>32000</v>
      </c>
      <c r="G227" s="7" t="n">
        <v>8</v>
      </c>
      <c r="H227" s="7" t="n">
        <v>6</v>
      </c>
      <c r="I227" s="7" t="n">
        <v>-2</v>
      </c>
      <c r="J227" s="8" t="n">
        <v>140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ALL_PBM</t>
        </is>
      </c>
      <c r="C228" s="5" t="inlineStr">
        <is>
          <t>60505434806</t>
        </is>
      </c>
      <c r="D228" s="5" t="inlineStr">
        <is>
          <t>DABIGATRAN ETEXILATE MESYLATE 150 MG ORAL CAPSULE</t>
        </is>
      </c>
      <c r="E228" s="6" t="inlineStr">
        <is>
          <t>60.0</t>
        </is>
      </c>
      <c r="F228" s="7" t="n">
        <v>180</v>
      </c>
      <c r="G228" s="7" t="n">
        <v>3</v>
      </c>
      <c r="H228" s="7" t="n">
        <v>0</v>
      </c>
      <c r="I228" s="7" t="n">
        <v>-3</v>
      </c>
      <c r="J228" s="8" t="n">
        <v>140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ALL_PBM</t>
        </is>
      </c>
      <c r="C229" s="5" t="inlineStr">
        <is>
          <t>21922003601</t>
        </is>
      </c>
      <c r="D229" s="5" t="inlineStr">
        <is>
          <t>CLINDAMYCIN PHOSPHATE 1 % EXTERNAL LOTION</t>
        </is>
      </c>
      <c r="E229" s="6" t="inlineStr">
        <is>
          <t>60.0</t>
        </is>
      </c>
      <c r="F229" s="7" t="n">
        <v>420</v>
      </c>
      <c r="G229" s="7" t="n">
        <v>7</v>
      </c>
      <c r="H229" s="7" t="n">
        <v>3</v>
      </c>
      <c r="I229" s="7" t="n">
        <v>-4</v>
      </c>
      <c r="J229" s="8" t="n">
        <v>139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ALL_PBM</t>
        </is>
      </c>
      <c r="C230" s="5" t="inlineStr">
        <is>
          <t>65862052205</t>
        </is>
      </c>
      <c r="D230" s="5" t="inlineStr">
        <is>
          <t>NAPROXEN 500MG TABLET</t>
        </is>
      </c>
      <c r="E230" s="6" t="inlineStr">
        <is>
          <t>500.0</t>
        </is>
      </c>
      <c r="F230" s="7" t="n">
        <v>996</v>
      </c>
      <c r="G230" s="7" t="n">
        <v>1.992</v>
      </c>
      <c r="H230" s="7" t="n">
        <v>0</v>
      </c>
      <c r="I230" s="7" t="n">
        <v>-1.992</v>
      </c>
      <c r="J230" s="8" t="n">
        <v>138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ALL_PBM</t>
        </is>
      </c>
      <c r="C231" s="5" t="inlineStr">
        <is>
          <t>43598032675</t>
        </is>
      </c>
      <c r="D231" s="5" t="inlineStr">
        <is>
          <t>CIPROFLOXACIN-DEXA 0.3-0.1% OTIC SUSP (EAR)</t>
        </is>
      </c>
      <c r="E231" s="6" t="inlineStr">
        <is>
          <t>7.5</t>
        </is>
      </c>
      <c r="F231" s="7" t="n">
        <v>15</v>
      </c>
      <c r="G231" s="7" t="n">
        <v>2</v>
      </c>
      <c r="H231" s="7" t="n">
        <v>3</v>
      </c>
      <c r="I231" s="7" t="n">
        <v>1</v>
      </c>
      <c r="J231" s="8" t="n">
        <v>132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ALL_PBM</t>
        </is>
      </c>
      <c r="C232" s="5" t="inlineStr">
        <is>
          <t>69097012815</t>
        </is>
      </c>
      <c r="D232" s="5" t="inlineStr">
        <is>
          <t>AMLODIPINE 10MG TABLET</t>
        </is>
      </c>
      <c r="E232" s="6" t="inlineStr">
        <is>
          <t>1000.0</t>
        </is>
      </c>
      <c r="F232" s="7" t="n">
        <v>2670</v>
      </c>
      <c r="G232" s="7" t="n">
        <v>2.67</v>
      </c>
      <c r="H232" s="7" t="n">
        <v>0</v>
      </c>
      <c r="I232" s="7" t="n">
        <v>-2.67</v>
      </c>
      <c r="J232" s="8" t="n">
        <v>132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ALL_PBM</t>
        </is>
      </c>
      <c r="C233" s="5" t="inlineStr">
        <is>
          <t>00006022131</t>
        </is>
      </c>
      <c r="D233" s="5" t="inlineStr">
        <is>
          <t>JANUVIA 25MG TABLET</t>
        </is>
      </c>
      <c r="E233" s="6" t="inlineStr">
        <is>
          <t>30.0</t>
        </is>
      </c>
      <c r="F233" s="7" t="n">
        <v>30</v>
      </c>
      <c r="G233" s="7" t="n">
        <v>1</v>
      </c>
      <c r="H233" s="7" t="n">
        <v>0</v>
      </c>
      <c r="I233" s="7" t="n">
        <v>-1</v>
      </c>
      <c r="J233" s="8" t="n">
        <v>128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ALL_PBM</t>
        </is>
      </c>
      <c r="C234" s="5" t="inlineStr">
        <is>
          <t>45802040049</t>
        </is>
      </c>
      <c r="D234" s="5" t="inlineStr">
        <is>
          <t>CICLOPIROX 0.77 % EXTERNAL SUSPENSION</t>
        </is>
      </c>
      <c r="E234" s="6" t="inlineStr">
        <is>
          <t>30.0</t>
        </is>
      </c>
      <c r="F234" s="7" t="n">
        <v>120</v>
      </c>
      <c r="G234" s="7" t="n">
        <v>4</v>
      </c>
      <c r="H234" s="7" t="n">
        <v>0</v>
      </c>
      <c r="I234" s="7" t="n">
        <v>-4</v>
      </c>
      <c r="J234" s="8" t="n">
        <v>128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ALL_PBM</t>
        </is>
      </c>
      <c r="C235" s="5" t="inlineStr">
        <is>
          <t>57237004390</t>
        </is>
      </c>
      <c r="D235" s="5" t="inlineStr">
        <is>
          <t>VALACYCLOVIR 1GM TABLET</t>
        </is>
      </c>
      <c r="E235" s="6" t="inlineStr">
        <is>
          <t>90.0</t>
        </is>
      </c>
      <c r="F235" s="7" t="n">
        <v>259</v>
      </c>
      <c r="G235" s="7" t="n">
        <v>2.877777777777778</v>
      </c>
      <c r="H235" s="7" t="n">
        <v>0</v>
      </c>
      <c r="I235" s="7" t="n">
        <v>-2.877777777777778</v>
      </c>
      <c r="J235" s="8" t="n">
        <v>128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ALL_PBM</t>
        </is>
      </c>
      <c r="C236" s="5" t="inlineStr">
        <is>
          <t>69315012710</t>
        </is>
      </c>
      <c r="D236" s="5" t="inlineStr">
        <is>
          <t xml:space="preserve">FOLIC ACID 1MG TABLET </t>
        </is>
      </c>
      <c r="E236" s="6" t="inlineStr">
        <is>
          <t>1000.0</t>
        </is>
      </c>
      <c r="F236" s="7" t="n">
        <v>720</v>
      </c>
      <c r="G236" s="7" t="n">
        <v>0.72</v>
      </c>
      <c r="H236" s="7" t="n">
        <v>0</v>
      </c>
      <c r="I236" s="7" t="n">
        <v>-0.72</v>
      </c>
      <c r="J236" s="8" t="n">
        <v>127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ALL_PBM</t>
        </is>
      </c>
      <c r="C237" s="5" t="inlineStr">
        <is>
          <t>00832022500</t>
        </is>
      </c>
      <c r="D237" s="5" t="inlineStr">
        <is>
          <t>MORPHINE SULFATE ER 10 MG CAPSULE</t>
        </is>
      </c>
      <c r="E237" s="6" t="inlineStr">
        <is>
          <t>100.0</t>
        </is>
      </c>
      <c r="F237" s="7" t="n">
        <v>30</v>
      </c>
      <c r="G237" s="7" t="n">
        <v>0.3</v>
      </c>
      <c r="H237" s="7" t="n">
        <v>0</v>
      </c>
      <c r="I237" s="7" t="n">
        <v>-0.3</v>
      </c>
      <c r="J237" s="8" t="n">
        <v>124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ALL_PBM</t>
        </is>
      </c>
      <c r="C238" s="5" t="inlineStr">
        <is>
          <t>68382064016</t>
        </is>
      </c>
      <c r="D238" s="5" t="inlineStr">
        <is>
          <t>DUTASTERIDE-TAMSULOSIN HCL 0.5-0.4 MG ORAL CAPSULE</t>
        </is>
      </c>
      <c r="E238" s="6" t="inlineStr">
        <is>
          <t>90.0</t>
        </is>
      </c>
      <c r="F238" s="7" t="n">
        <v>90</v>
      </c>
      <c r="G238" s="7" t="n">
        <v>1</v>
      </c>
      <c r="H238" s="7" t="n">
        <v>2</v>
      </c>
      <c r="I238" s="7" t="n">
        <v>1</v>
      </c>
      <c r="J238" s="8" t="n">
        <v>122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ALL_PBM</t>
        </is>
      </c>
      <c r="C239" s="5" t="inlineStr">
        <is>
          <t>00074740113</t>
        </is>
      </c>
      <c r="D239" s="5" t="inlineStr">
        <is>
          <t>DEPAKOTE ER 250 MG TABLET</t>
        </is>
      </c>
      <c r="E239" s="6" t="inlineStr">
        <is>
          <t>100.0</t>
        </is>
      </c>
      <c r="F239" s="7" t="n">
        <v>30</v>
      </c>
      <c r="G239" s="7" t="n">
        <v>0.3</v>
      </c>
      <c r="H239" s="7" t="n">
        <v>0</v>
      </c>
      <c r="I239" s="7" t="n">
        <v>-0.3</v>
      </c>
      <c r="J239" s="8" t="n">
        <v>121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ALL_PBM</t>
        </is>
      </c>
      <c r="C240" s="5" t="inlineStr">
        <is>
          <t>65862020399</t>
        </is>
      </c>
      <c r="D240" s="5" t="inlineStr">
        <is>
          <t>LOSARTAN 100MG TABLET</t>
        </is>
      </c>
      <c r="E240" s="6" t="inlineStr">
        <is>
          <t>1000.0</t>
        </is>
      </c>
      <c r="F240" s="7" t="n">
        <v>1290</v>
      </c>
      <c r="G240" s="7" t="n">
        <v>1.29</v>
      </c>
      <c r="H240" s="7" t="n">
        <v>0</v>
      </c>
      <c r="I240" s="7" t="n">
        <v>-1.29</v>
      </c>
      <c r="J240" s="8" t="n">
        <v>121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ALL_PBM</t>
        </is>
      </c>
      <c r="C241" s="5" t="inlineStr">
        <is>
          <t>00168009960</t>
        </is>
      </c>
      <c r="D241" s="5" t="inlineStr">
        <is>
          <t>KETOCONAZOLE 2% CREAM</t>
        </is>
      </c>
      <c r="E241" s="6" t="inlineStr">
        <is>
          <t>60.0</t>
        </is>
      </c>
      <c r="F241" s="7" t="n">
        <v>300</v>
      </c>
      <c r="G241" s="7" t="n">
        <v>5</v>
      </c>
      <c r="H241" s="7" t="n">
        <v>0</v>
      </c>
      <c r="I241" s="7" t="n">
        <v>-5</v>
      </c>
      <c r="J241" s="8" t="n">
        <v>119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ALL_PBM</t>
        </is>
      </c>
      <c r="C242" s="5" t="inlineStr">
        <is>
          <t>51672130104</t>
        </is>
      </c>
      <c r="D242" s="5" t="inlineStr">
        <is>
          <t>AMMONIUM LACTATE 12 % EXTERNAL CREAM</t>
        </is>
      </c>
      <c r="E242" s="6" t="inlineStr">
        <is>
          <t>280.0</t>
        </is>
      </c>
      <c r="F242" s="7" t="n">
        <v>1820</v>
      </c>
      <c r="G242" s="7" t="n">
        <v>6.5</v>
      </c>
      <c r="H242" s="7" t="n">
        <v>8</v>
      </c>
      <c r="I242" s="7" t="n">
        <v>1.5</v>
      </c>
      <c r="J242" s="8" t="n">
        <v>117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ALL_PBM</t>
        </is>
      </c>
      <c r="C243" s="5" t="inlineStr">
        <is>
          <t>71921019033</t>
        </is>
      </c>
      <c r="D243" s="5" t="inlineStr">
        <is>
          <t>EXEMESTANE 25MG TABLET</t>
        </is>
      </c>
      <c r="E243" s="6" t="inlineStr">
        <is>
          <t>30.0</t>
        </is>
      </c>
      <c r="F243" s="7" t="n">
        <v>150</v>
      </c>
      <c r="G243" s="7" t="n">
        <v>5</v>
      </c>
      <c r="H243" s="7" t="n">
        <v>3</v>
      </c>
      <c r="I243" s="7" t="n">
        <v>-2</v>
      </c>
      <c r="J243" s="8" t="n">
        <v>117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ALL_PBM</t>
        </is>
      </c>
      <c r="C244" s="5" t="inlineStr">
        <is>
          <t>70377000913</t>
        </is>
      </c>
      <c r="D244" s="5" t="inlineStr">
        <is>
          <t>ROSUVASTATIN 40MG TABLET</t>
        </is>
      </c>
      <c r="E244" s="6" t="inlineStr">
        <is>
          <t>500.0</t>
        </is>
      </c>
      <c r="F244" s="7" t="n">
        <v>1140</v>
      </c>
      <c r="G244" s="7" t="n">
        <v>2.28</v>
      </c>
      <c r="H244" s="7" t="n">
        <v>0</v>
      </c>
      <c r="I244" s="7" t="n">
        <v>-2.28</v>
      </c>
      <c r="J244" s="8" t="n">
        <v>116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ALL_PBM</t>
        </is>
      </c>
      <c r="C245" s="5" t="inlineStr">
        <is>
          <t>43547045909</t>
        </is>
      </c>
      <c r="D245" s="5" t="inlineStr">
        <is>
          <t>CANDESARTAN CILEXETIL-HCTZ 16-12.5 MG ORAL TABLET</t>
        </is>
      </c>
      <c r="E245" s="6" t="inlineStr">
        <is>
          <t>90.0</t>
        </is>
      </c>
      <c r="F245" s="7" t="n">
        <v>90</v>
      </c>
      <c r="G245" s="7" t="n">
        <v>1</v>
      </c>
      <c r="H245" s="7" t="n">
        <v>0</v>
      </c>
      <c r="I245" s="7" t="n">
        <v>-1</v>
      </c>
      <c r="J245" s="8" t="n">
        <v>116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ALL_PBM</t>
        </is>
      </c>
      <c r="C246" s="5" t="inlineStr">
        <is>
          <t>70010006310</t>
        </is>
      </c>
      <c r="D246" s="5" t="inlineStr">
        <is>
          <t>METFORMIN HCL 500 MG TABLET</t>
        </is>
      </c>
      <c r="E246" s="6" t="inlineStr">
        <is>
          <t>1000.0</t>
        </is>
      </c>
      <c r="F246" s="7" t="n">
        <v>3060</v>
      </c>
      <c r="G246" s="7" t="n">
        <v>3.06</v>
      </c>
      <c r="H246" s="7" t="n">
        <v>2</v>
      </c>
      <c r="I246" s="7" t="n">
        <v>-1.06</v>
      </c>
      <c r="J246" s="8" t="n">
        <v>115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ALL_PBM</t>
        </is>
      </c>
      <c r="C247" s="5" t="inlineStr">
        <is>
          <t>65162067684</t>
        </is>
      </c>
      <c r="D247" s="5" t="inlineStr">
        <is>
          <t>AZELASTINE HCL 137 MCG/SPRAY NASAL SOLUTION</t>
        </is>
      </c>
      <c r="E247" s="6" t="inlineStr">
        <is>
          <t>30.0</t>
        </is>
      </c>
      <c r="F247" s="7" t="n">
        <v>240</v>
      </c>
      <c r="G247" s="7" t="n">
        <v>8</v>
      </c>
      <c r="H247" s="7" t="n">
        <v>0</v>
      </c>
      <c r="I247" s="7" t="n">
        <v>-8</v>
      </c>
      <c r="J247" s="8" t="n">
        <v>114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ALL_PBM</t>
        </is>
      </c>
      <c r="C248" s="5" t="inlineStr">
        <is>
          <t>67877022305</t>
        </is>
      </c>
      <c r="D248" s="5" t="inlineStr">
        <is>
          <t>GABAPENTIN 300 MG CAPSULE</t>
        </is>
      </c>
      <c r="E248" s="6" t="inlineStr">
        <is>
          <t>500.0</t>
        </is>
      </c>
      <c r="F248" s="7" t="n">
        <v>1890</v>
      </c>
      <c r="G248" s="7" t="n">
        <v>3.78</v>
      </c>
      <c r="H248" s="7" t="n">
        <v>0</v>
      </c>
      <c r="I248" s="7" t="n">
        <v>-3.78</v>
      </c>
      <c r="J248" s="8" t="n">
        <v>114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ALL_PBM</t>
        </is>
      </c>
      <c r="C249" s="5" t="inlineStr">
        <is>
          <t>98302000104</t>
        </is>
      </c>
      <c r="D249" s="5" t="inlineStr">
        <is>
          <t>LANCETS PHARMACIST CHOICE</t>
        </is>
      </c>
      <c r="E249" s="6" t="inlineStr">
        <is>
          <t>100.0</t>
        </is>
      </c>
      <c r="F249" s="7" t="n">
        <v>300</v>
      </c>
      <c r="G249" s="7" t="n">
        <v>3</v>
      </c>
      <c r="H249" s="7" t="n">
        <v>0</v>
      </c>
      <c r="I249" s="7" t="n">
        <v>-3</v>
      </c>
      <c r="J249" s="8" t="n">
        <v>111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ALL_PBM</t>
        </is>
      </c>
      <c r="C250" s="5" t="inlineStr">
        <is>
          <t>33342033380</t>
        </is>
      </c>
      <c r="D250" s="5" t="inlineStr">
        <is>
          <t>TRIAMCINOLONE ACETONIDE 0.1 % EXTERNAL OINTMENT</t>
        </is>
      </c>
      <c r="E250" s="6" t="inlineStr">
        <is>
          <t>80.0</t>
        </is>
      </c>
      <c r="F250" s="7" t="n">
        <v>800</v>
      </c>
      <c r="G250" s="7" t="n">
        <v>10</v>
      </c>
      <c r="H250" s="7" t="n">
        <v>8</v>
      </c>
      <c r="I250" s="7" t="n">
        <v>-2</v>
      </c>
      <c r="J250" s="8" t="n">
        <v>111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ALL_PBM</t>
        </is>
      </c>
      <c r="C251" s="5" t="inlineStr">
        <is>
          <t>00093365740</t>
        </is>
      </c>
      <c r="D251" s="5" t="inlineStr">
        <is>
          <t>BUPRENORPHINE 10 MCG/HR TRANSDERMAL PATCH WEEKLY</t>
        </is>
      </c>
      <c r="E251" s="6" t="inlineStr">
        <is>
          <t>4.0</t>
        </is>
      </c>
      <c r="F251" s="7" t="n">
        <v>4</v>
      </c>
      <c r="G251" s="7" t="n">
        <v>1</v>
      </c>
      <c r="H251" s="7" t="n">
        <v>1</v>
      </c>
      <c r="I251" s="7" t="n">
        <v>0</v>
      </c>
      <c r="J251" s="8" t="n">
        <v>110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ALL_PBM</t>
        </is>
      </c>
      <c r="C252" s="5" t="inlineStr">
        <is>
          <t>70377007713</t>
        </is>
      </c>
      <c r="D252" s="5" t="inlineStr">
        <is>
          <t>ATORVASTATIN 10MG TABLET</t>
        </is>
      </c>
      <c r="E252" s="6" t="inlineStr">
        <is>
          <t>1000.0</t>
        </is>
      </c>
      <c r="F252" s="7" t="n">
        <v>1410</v>
      </c>
      <c r="G252" s="7" t="n">
        <v>1.41</v>
      </c>
      <c r="H252" s="7" t="n">
        <v>0</v>
      </c>
      <c r="I252" s="7" t="n">
        <v>-1.41</v>
      </c>
      <c r="J252" s="8" t="n">
        <v>109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ALL_PBM</t>
        </is>
      </c>
      <c r="C253" s="5" t="inlineStr">
        <is>
          <t>42192071506</t>
        </is>
      </c>
      <c r="D253" s="5" t="inlineStr">
        <is>
          <t>CICLOPIROX 8 % EXTERNAL SOLUTION</t>
        </is>
      </c>
      <c r="E253" s="6" t="inlineStr">
        <is>
          <t>6.6</t>
        </is>
      </c>
      <c r="F253" s="7" t="n">
        <v>46.2</v>
      </c>
      <c r="G253" s="7" t="n">
        <v>7.000000000000001</v>
      </c>
      <c r="H253" s="7" t="n">
        <v>8</v>
      </c>
      <c r="I253" s="7" t="n">
        <v>0.9999999999999991</v>
      </c>
      <c r="J253" s="8" t="n">
        <v>109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ALL_PBM</t>
        </is>
      </c>
      <c r="C254" s="5" t="inlineStr">
        <is>
          <t>70010078305</t>
        </is>
      </c>
      <c r="D254" s="5" t="inlineStr">
        <is>
          <t>METOPROLOL SUCCINATE ER 200MG TABLET</t>
        </is>
      </c>
      <c r="E254" s="6" t="inlineStr">
        <is>
          <t>500.0</t>
        </is>
      </c>
      <c r="F254" s="7" t="n">
        <v>330</v>
      </c>
      <c r="G254" s="7" t="n">
        <v>0.66</v>
      </c>
      <c r="H254" s="7" t="n">
        <v>0</v>
      </c>
      <c r="I254" s="7" t="n">
        <v>-0.66</v>
      </c>
      <c r="J254" s="8" t="n">
        <v>108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ALL_PBM</t>
        </is>
      </c>
      <c r="C255" s="5" t="inlineStr">
        <is>
          <t>65162035803</t>
        </is>
      </c>
      <c r="D255" s="5" t="inlineStr">
        <is>
          <t>ZAFEMY 150-35 MCG/24HR TRANSDERMAL PATCH WEEKLY</t>
        </is>
      </c>
      <c r="E255" s="6" t="inlineStr">
        <is>
          <t>3.0</t>
        </is>
      </c>
      <c r="F255" s="7" t="n">
        <v>3</v>
      </c>
      <c r="G255" s="7" t="n">
        <v>1</v>
      </c>
      <c r="H255" s="7" t="n">
        <v>0</v>
      </c>
      <c r="I255" s="7" t="n">
        <v>-1</v>
      </c>
      <c r="J255" s="8" t="n">
        <v>105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ALL_PBM</t>
        </is>
      </c>
      <c r="C256" s="5" t="inlineStr">
        <is>
          <t>00832601910</t>
        </is>
      </c>
      <c r="D256" s="5" t="inlineStr">
        <is>
          <t>CHLORPROMAZINE HCL 50 MG ORAL TABLET</t>
        </is>
      </c>
      <c r="E256" s="6" t="inlineStr">
        <is>
          <t>1000.0</t>
        </is>
      </c>
      <c r="F256" s="7" t="n">
        <v>270</v>
      </c>
      <c r="G256" s="7" t="n">
        <v>0.27</v>
      </c>
      <c r="H256" s="7" t="n">
        <v>0</v>
      </c>
      <c r="I256" s="7" t="n">
        <v>-0.27</v>
      </c>
      <c r="J256" s="8" t="n">
        <v>105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ALL_PBM</t>
        </is>
      </c>
      <c r="C257" s="5" t="inlineStr">
        <is>
          <t>68180096903</t>
        </is>
      </c>
      <c r="D257" s="5" t="inlineStr">
        <is>
          <t>LEVOTHYROXINE 100MCG TABLET</t>
        </is>
      </c>
      <c r="E257" s="6" t="inlineStr">
        <is>
          <t>1000.0</t>
        </is>
      </c>
      <c r="F257" s="7" t="n">
        <v>480</v>
      </c>
      <c r="G257" s="7" t="n">
        <v>0.48</v>
      </c>
      <c r="H257" s="7" t="n">
        <v>0</v>
      </c>
      <c r="I257" s="7" t="n">
        <v>-0.48</v>
      </c>
      <c r="J257" s="8" t="n">
        <v>104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ALL_PBM</t>
        </is>
      </c>
      <c r="C258" s="5" t="inlineStr">
        <is>
          <t>42571013725</t>
        </is>
      </c>
      <c r="D258" s="5" t="inlineStr">
        <is>
          <t>KETOROLAC 0.5 % OPHTHALMIC SOLUTION</t>
        </is>
      </c>
      <c r="E258" s="6" t="inlineStr">
        <is>
          <t>5.0</t>
        </is>
      </c>
      <c r="F258" s="7" t="n">
        <v>40</v>
      </c>
      <c r="G258" s="7" t="n">
        <v>8</v>
      </c>
      <c r="H258" s="7" t="n">
        <v>0</v>
      </c>
      <c r="I258" s="7" t="n">
        <v>-8</v>
      </c>
      <c r="J258" s="8" t="n">
        <v>102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ALL_PBM</t>
        </is>
      </c>
      <c r="C259" s="5" t="inlineStr">
        <is>
          <t>43547046009</t>
        </is>
      </c>
      <c r="D259" s="5" t="inlineStr">
        <is>
          <t>CANDESARTAN CILEXETIL-HCTZ 32-12.5 MG ORAL TABLET</t>
        </is>
      </c>
      <c r="E259" s="6" t="inlineStr">
        <is>
          <t>90.0</t>
        </is>
      </c>
      <c r="F259" s="7" t="n">
        <v>90</v>
      </c>
      <c r="G259" s="7" t="n">
        <v>1</v>
      </c>
      <c r="H259" s="7" t="n">
        <v>0</v>
      </c>
      <c r="I259" s="7" t="n">
        <v>-1</v>
      </c>
      <c r="J259" s="8" t="n">
        <v>102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ALL_PBM</t>
        </is>
      </c>
      <c r="C260" s="5" t="inlineStr">
        <is>
          <t>08222440006</t>
        </is>
      </c>
      <c r="D260" s="5" t="inlineStr">
        <is>
          <t>ALCOHOL PADS ULTICARE</t>
        </is>
      </c>
      <c r="E260" s="6" t="inlineStr">
        <is>
          <t>100.0</t>
        </is>
      </c>
      <c r="F260" s="7" t="n">
        <v>2000</v>
      </c>
      <c r="G260" s="7" t="n">
        <v>20</v>
      </c>
      <c r="H260" s="7" t="n">
        <v>0</v>
      </c>
      <c r="I260" s="7" t="n">
        <v>-20</v>
      </c>
      <c r="J260" s="8" t="n">
        <v>100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ALL_PBM</t>
        </is>
      </c>
      <c r="C261" s="5" t="inlineStr">
        <is>
          <t>00193755301</t>
        </is>
      </c>
      <c r="D261" s="5" t="inlineStr">
        <is>
          <t>CONTOUR NEXT EZ W/DEVICE KIT</t>
        </is>
      </c>
      <c r="E261" s="6" t="inlineStr">
        <is>
          <t>1.0</t>
        </is>
      </c>
      <c r="F261" s="7" t="n">
        <v>7</v>
      </c>
      <c r="G261" s="7" t="n">
        <v>7</v>
      </c>
      <c r="H261" s="7" t="n">
        <v>12</v>
      </c>
      <c r="I261" s="7" t="n">
        <v>5</v>
      </c>
      <c r="J261" s="8" t="n">
        <v>100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ALL_PBM</t>
        </is>
      </c>
      <c r="C262" s="5" t="inlineStr">
        <is>
          <t>52937000340</t>
        </is>
      </c>
      <c r="D262" s="5" t="inlineStr">
        <is>
          <t>VASCEPA 0.5 GM ORAL CAPSULE</t>
        </is>
      </c>
      <c r="E262" s="6" t="inlineStr">
        <is>
          <t>240.0</t>
        </is>
      </c>
      <c r="F262" s="7" t="n">
        <v>60</v>
      </c>
      <c r="G262" s="7" t="n">
        <v>0.25</v>
      </c>
      <c r="H262" s="7" t="n">
        <v>0</v>
      </c>
      <c r="I262" s="7" t="n">
        <v>-0.25</v>
      </c>
      <c r="J262" s="8" t="n">
        <v>99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ALL_PBM</t>
        </is>
      </c>
      <c r="C263" s="5" t="inlineStr">
        <is>
          <t>70010078005</t>
        </is>
      </c>
      <c r="D263" s="5" t="inlineStr">
        <is>
          <t>METOPROLOL SUCCINATE ER 25MG TABLET</t>
        </is>
      </c>
      <c r="E263" s="6" t="inlineStr">
        <is>
          <t>500.0</t>
        </is>
      </c>
      <c r="F263" s="7" t="n">
        <v>1140</v>
      </c>
      <c r="G263" s="7" t="n">
        <v>2.28</v>
      </c>
      <c r="H263" s="7" t="n">
        <v>4</v>
      </c>
      <c r="I263" s="7" t="n">
        <v>1.72</v>
      </c>
      <c r="J263" s="8" t="n">
        <v>99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ALL_PBM</t>
        </is>
      </c>
      <c r="C264" s="5" t="inlineStr">
        <is>
          <t>54092018981</t>
        </is>
      </c>
      <c r="D264" s="5" t="inlineStr">
        <is>
          <t>PENTASA 250 MG ORAL CAPSULE EXTENDED RELEASE</t>
        </is>
      </c>
      <c r="E264" s="6" t="inlineStr">
        <is>
          <t>240.0</t>
        </is>
      </c>
      <c r="F264" s="7" t="n">
        <v>30</v>
      </c>
      <c r="G264" s="7" t="n">
        <v>0.125</v>
      </c>
      <c r="H264" s="7" t="n">
        <v>0</v>
      </c>
      <c r="I264" s="7" t="n">
        <v>-0.125</v>
      </c>
      <c r="J264" s="8" t="n">
        <v>97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ALL_PBM</t>
        </is>
      </c>
      <c r="C265" s="5" t="inlineStr">
        <is>
          <t>50742050504</t>
        </is>
      </c>
      <c r="D265" s="5" t="inlineStr">
        <is>
          <t>SCOPOLAMINE 1 MG/3DAYS TRANSDERMAL PATCH 72 HOUR</t>
        </is>
      </c>
      <c r="E265" s="6" t="inlineStr">
        <is>
          <t>4.0</t>
        </is>
      </c>
      <c r="F265" s="7" t="n">
        <v>13</v>
      </c>
      <c r="G265" s="7" t="n">
        <v>3.25</v>
      </c>
      <c r="H265" s="7" t="n">
        <v>4</v>
      </c>
      <c r="I265" s="7" t="n">
        <v>0.75</v>
      </c>
      <c r="J265" s="8" t="n">
        <v>94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ALL_PBM</t>
        </is>
      </c>
      <c r="C266" s="5" t="inlineStr">
        <is>
          <t>69367039505</t>
        </is>
      </c>
      <c r="D266" s="5" t="inlineStr">
        <is>
          <t>IBUPROFEN 600 MG TABLET</t>
        </is>
      </c>
      <c r="E266" s="6" t="inlineStr">
        <is>
          <t>500.0</t>
        </is>
      </c>
      <c r="F266" s="7" t="n">
        <v>1216</v>
      </c>
      <c r="G266" s="7" t="n">
        <v>2.432</v>
      </c>
      <c r="H266" s="7" t="n">
        <v>2</v>
      </c>
      <c r="I266" s="7" t="n">
        <v>-0.4319999999999999</v>
      </c>
      <c r="J266" s="8" t="n">
        <v>94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ALL_PBM</t>
        </is>
      </c>
      <c r="C267" s="5" t="inlineStr">
        <is>
          <t>69367036005</t>
        </is>
      </c>
      <c r="D267" s="5" t="inlineStr">
        <is>
          <t>ROSUVASTATIN 10 MG ORAL TABLET</t>
        </is>
      </c>
      <c r="E267" s="6" t="inlineStr">
        <is>
          <t>500.0</t>
        </is>
      </c>
      <c r="F267" s="7" t="n">
        <v>510</v>
      </c>
      <c r="G267" s="7" t="n">
        <v>1.02</v>
      </c>
      <c r="H267" s="7" t="n">
        <v>0</v>
      </c>
      <c r="I267" s="7" t="n">
        <v>-1.02</v>
      </c>
      <c r="J267" s="8" t="n">
        <v>93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ALL_PBM</t>
        </is>
      </c>
      <c r="C268" s="5" t="inlineStr">
        <is>
          <t>64380072507</t>
        </is>
      </c>
      <c r="D268" s="5" t="inlineStr">
        <is>
          <t>MYCOPHENOLATE MOFETIL 500MG TABLET</t>
        </is>
      </c>
      <c r="E268" s="6" t="inlineStr">
        <is>
          <t>500.0</t>
        </is>
      </c>
      <c r="F268" s="7" t="n">
        <v>180</v>
      </c>
      <c r="G268" s="7" t="n">
        <v>0.36</v>
      </c>
      <c r="H268" s="7" t="n">
        <v>0</v>
      </c>
      <c r="I268" s="7" t="n">
        <v>-0.36</v>
      </c>
      <c r="J268" s="8" t="n">
        <v>93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ALL_PBM</t>
        </is>
      </c>
      <c r="C269" s="5" t="inlineStr">
        <is>
          <t>00832046530</t>
        </is>
      </c>
      <c r="D269" s="5" t="inlineStr">
        <is>
          <t>NYSTATIN 100000UNIT/GM POWDER</t>
        </is>
      </c>
      <c r="E269" s="6" t="inlineStr">
        <is>
          <t>30.0</t>
        </is>
      </c>
      <c r="F269" s="7" t="n">
        <v>120</v>
      </c>
      <c r="G269" s="7" t="n">
        <v>4</v>
      </c>
      <c r="H269" s="7" t="n">
        <v>0</v>
      </c>
      <c r="I269" s="7" t="n">
        <v>-4</v>
      </c>
      <c r="J269" s="8" t="n">
        <v>93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ALL_PBM</t>
        </is>
      </c>
      <c r="C270" s="5" t="inlineStr">
        <is>
          <t>00406117001</t>
        </is>
      </c>
      <c r="D270" s="5" t="inlineStr">
        <is>
          <t>NALTREXONE 50MG TABLET</t>
        </is>
      </c>
      <c r="E270" s="6" t="inlineStr">
        <is>
          <t>100.0</t>
        </is>
      </c>
      <c r="F270" s="7" t="n">
        <v>60</v>
      </c>
      <c r="G270" s="7" t="n">
        <v>0.6</v>
      </c>
      <c r="H270" s="7" t="n">
        <v>0</v>
      </c>
      <c r="I270" s="7" t="n">
        <v>-0.6</v>
      </c>
      <c r="J270" s="8" t="n">
        <v>92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ALL_PBM</t>
        </is>
      </c>
      <c r="C271" s="5" t="inlineStr">
        <is>
          <t>67877084210</t>
        </is>
      </c>
      <c r="D271" s="5" t="inlineStr">
        <is>
          <t>FAMOTIDINE 20MG TABLET</t>
        </is>
      </c>
      <c r="E271" s="6" t="inlineStr">
        <is>
          <t>1000.0</t>
        </is>
      </c>
      <c r="F271" s="7" t="n">
        <v>1638</v>
      </c>
      <c r="G271" s="7" t="n">
        <v>1.638</v>
      </c>
      <c r="H271" s="7" t="n">
        <v>0</v>
      </c>
      <c r="I271" s="7" t="n">
        <v>-1.638</v>
      </c>
      <c r="J271" s="8" t="n">
        <v>92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ALL_PBM</t>
        </is>
      </c>
      <c r="C272" s="5" t="inlineStr">
        <is>
          <t>00169183411</t>
        </is>
      </c>
      <c r="D272" s="5" t="inlineStr">
        <is>
          <t>NOVOLIN N 100UNIT/ML SUSPENSION</t>
        </is>
      </c>
      <c r="E272" s="6" t="inlineStr">
        <is>
          <t>10.0</t>
        </is>
      </c>
      <c r="F272" s="7" t="n">
        <v>20</v>
      </c>
      <c r="G272" s="7" t="n">
        <v>2</v>
      </c>
      <c r="H272" s="7" t="n">
        <v>2</v>
      </c>
      <c r="I272" s="7" t="n">
        <v>0</v>
      </c>
      <c r="J272" s="8" t="n">
        <v>92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ALL_PBM</t>
        </is>
      </c>
      <c r="C273" s="5" t="inlineStr">
        <is>
          <t>68382052960</t>
        </is>
      </c>
      <c r="D273" s="5" t="inlineStr">
        <is>
          <t>CHOLESTYRAMINE LIGHT 4GM PACK</t>
        </is>
      </c>
      <c r="E273" s="6" t="inlineStr">
        <is>
          <t>60.0</t>
        </is>
      </c>
      <c r="F273" s="7" t="n">
        <v>60</v>
      </c>
      <c r="G273" s="7" t="n">
        <v>1</v>
      </c>
      <c r="H273" s="7" t="n">
        <v>1</v>
      </c>
      <c r="I273" s="7" t="n">
        <v>0</v>
      </c>
      <c r="J273" s="8" t="n">
        <v>90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ALL_PBM</t>
        </is>
      </c>
      <c r="C274" s="5" t="inlineStr">
        <is>
          <t>68382066010</t>
        </is>
      </c>
      <c r="D274" s="5" t="inlineStr">
        <is>
          <t>SPIRONOLACTONE 25MG TABLET</t>
        </is>
      </c>
      <c r="E274" s="6" t="inlineStr">
        <is>
          <t>1000.0</t>
        </is>
      </c>
      <c r="F274" s="7" t="n">
        <v>975</v>
      </c>
      <c r="G274" s="7" t="n">
        <v>0.975</v>
      </c>
      <c r="H274" s="7" t="n">
        <v>0</v>
      </c>
      <c r="I274" s="7" t="n">
        <v>-0.975</v>
      </c>
      <c r="J274" s="8" t="n">
        <v>90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ALL_PBM</t>
        </is>
      </c>
      <c r="C275" s="5" t="inlineStr">
        <is>
          <t>00378907293</t>
        </is>
      </c>
      <c r="D275" s="5" t="inlineStr">
        <is>
          <t>RIVASTIGMINE 13.3 MG/24HR TRANSDERMAL PATCH 24 HOUR</t>
        </is>
      </c>
      <c r="E275" s="6" t="inlineStr">
        <is>
          <t>30.0</t>
        </is>
      </c>
      <c r="F275" s="7" t="n">
        <v>30</v>
      </c>
      <c r="G275" s="7" t="n">
        <v>1</v>
      </c>
      <c r="H275" s="7" t="n">
        <v>0</v>
      </c>
      <c r="I275" s="7" t="n">
        <v>-1</v>
      </c>
      <c r="J275" s="8" t="n">
        <v>89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ALL_PBM</t>
        </is>
      </c>
      <c r="C276" s="5" t="inlineStr">
        <is>
          <t>68180096703</t>
        </is>
      </c>
      <c r="D276" s="5" t="inlineStr">
        <is>
          <t>LEVOTHYROXINE 75MCG TABLET</t>
        </is>
      </c>
      <c r="E276" s="6" t="inlineStr">
        <is>
          <t>1000.0</t>
        </is>
      </c>
      <c r="F276" s="7" t="n">
        <v>420</v>
      </c>
      <c r="G276" s="7" t="n">
        <v>0.42</v>
      </c>
      <c r="H276" s="7" t="n">
        <v>0</v>
      </c>
      <c r="I276" s="7" t="n">
        <v>-0.42</v>
      </c>
      <c r="J276" s="8" t="n">
        <v>89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ALL_PBM</t>
        </is>
      </c>
      <c r="C277" s="5" t="inlineStr">
        <is>
          <t>24208048610</t>
        </is>
      </c>
      <c r="D277" s="5" t="inlineStr">
        <is>
          <t xml:space="preserve">DORZOLAMID-TIMOLO 22.3-6.8MG/ML (EYE) </t>
        </is>
      </c>
      <c r="E277" s="6" t="inlineStr">
        <is>
          <t>10.0</t>
        </is>
      </c>
      <c r="F277" s="7" t="n">
        <v>70</v>
      </c>
      <c r="G277" s="7" t="n">
        <v>7</v>
      </c>
      <c r="H277" s="7" t="n">
        <v>0</v>
      </c>
      <c r="I277" s="7" t="n">
        <v>-7</v>
      </c>
      <c r="J277" s="8" t="n">
        <v>88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ALL_PBM</t>
        </is>
      </c>
      <c r="C278" s="5" t="inlineStr">
        <is>
          <t>42385095330</t>
        </is>
      </c>
      <c r="D278" s="5" t="inlineStr">
        <is>
          <t>EMTRICITABINE-TENOFOVIR DF 200-300MG TABLET</t>
        </is>
      </c>
      <c r="E278" s="6" t="inlineStr">
        <is>
          <t>30.0</t>
        </is>
      </c>
      <c r="F278" s="7" t="n">
        <v>120</v>
      </c>
      <c r="G278" s="7" t="n">
        <v>4</v>
      </c>
      <c r="H278" s="7" t="n">
        <v>3</v>
      </c>
      <c r="I278" s="7" t="n">
        <v>-1</v>
      </c>
      <c r="J278" s="8" t="n">
        <v>87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ALL_PBM</t>
        </is>
      </c>
      <c r="C279" s="5" t="inlineStr">
        <is>
          <t>91237000128</t>
        </is>
      </c>
      <c r="D279" s="5" t="inlineStr">
        <is>
          <t xml:space="preserve">ALCOHOL PADS EASY COMFORT  ALPINE </t>
        </is>
      </c>
      <c r="E279" s="6" t="inlineStr">
        <is>
          <t>100.0</t>
        </is>
      </c>
      <c r="F279" s="7" t="n">
        <v>600</v>
      </c>
      <c r="G279" s="7" t="n">
        <v>6</v>
      </c>
      <c r="H279" s="7" t="n">
        <v>0</v>
      </c>
      <c r="I279" s="7" t="n">
        <v>-6</v>
      </c>
      <c r="J279" s="8" t="n">
        <v>86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ALL_PBM</t>
        </is>
      </c>
      <c r="C280" s="5" t="inlineStr">
        <is>
          <t>45802011101</t>
        </is>
      </c>
      <c r="D280" s="5" t="inlineStr">
        <is>
          <t>DICLOFENAC SODIUM 3 % EXTERNAL GEL</t>
        </is>
      </c>
      <c r="E280" s="6" t="inlineStr">
        <is>
          <t>100.0</t>
        </is>
      </c>
      <c r="F280" s="7" t="n">
        <v>200</v>
      </c>
      <c r="G280" s="7" t="n">
        <v>2</v>
      </c>
      <c r="H280" s="7" t="n">
        <v>1</v>
      </c>
      <c r="I280" s="7" t="n">
        <v>-1</v>
      </c>
      <c r="J280" s="8" t="n">
        <v>84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ALL_PBM</t>
        </is>
      </c>
      <c r="C281" s="5" t="inlineStr">
        <is>
          <t>51672127304</t>
        </is>
      </c>
      <c r="D281" s="5" t="inlineStr">
        <is>
          <t>FLUOCINONIDE 0.05% EXTERNAL SOLUTION</t>
        </is>
      </c>
      <c r="E281" s="6" t="inlineStr">
        <is>
          <t>60.0</t>
        </is>
      </c>
      <c r="F281" s="7" t="n">
        <v>180</v>
      </c>
      <c r="G281" s="7" t="n">
        <v>3</v>
      </c>
      <c r="H281" s="7" t="n">
        <v>3</v>
      </c>
      <c r="I281" s="7" t="n">
        <v>0</v>
      </c>
      <c r="J281" s="8" t="n">
        <v>82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ALL_PBM</t>
        </is>
      </c>
      <c r="C282" s="5" t="inlineStr">
        <is>
          <t>10702005601</t>
        </is>
      </c>
      <c r="D282" s="5" t="inlineStr">
        <is>
          <t>OXYCODONE HCL 10 MG ORAL TABLET</t>
        </is>
      </c>
      <c r="E282" s="6" t="inlineStr">
        <is>
          <t>100.0</t>
        </is>
      </c>
      <c r="F282" s="7" t="n">
        <v>434</v>
      </c>
      <c r="G282" s="7" t="n">
        <v>4.34</v>
      </c>
      <c r="H282" s="7" t="n">
        <v>6</v>
      </c>
      <c r="I282" s="7" t="n">
        <v>1.66</v>
      </c>
      <c r="J282" s="8" t="n">
        <v>82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ALL_PBM</t>
        </is>
      </c>
      <c r="C283" s="5" t="inlineStr">
        <is>
          <t>00574220545</t>
        </is>
      </c>
      <c r="D283" s="5" t="inlineStr">
        <is>
          <t>TRETINOIN 0.05% CREAM</t>
        </is>
      </c>
      <c r="E283" s="6" t="inlineStr">
        <is>
          <t>45.0</t>
        </is>
      </c>
      <c r="F283" s="7" t="n">
        <v>90</v>
      </c>
      <c r="G283" s="7" t="n">
        <v>2</v>
      </c>
      <c r="H283" s="7" t="n">
        <v>0</v>
      </c>
      <c r="I283" s="7" t="n">
        <v>-2</v>
      </c>
      <c r="J283" s="8" t="n">
        <v>81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ALL_PBM</t>
        </is>
      </c>
      <c r="C284" s="5" t="inlineStr">
        <is>
          <t>73070010315</t>
        </is>
      </c>
      <c r="D284" s="5" t="inlineStr">
        <is>
          <t>INSULIN ASPART FLEXPEN 100 UNIT/ML SUBCUTANEOUS SOLUTION PEN-INJECTOR</t>
        </is>
      </c>
      <c r="E284" s="6" t="inlineStr">
        <is>
          <t>15.0</t>
        </is>
      </c>
      <c r="F284" s="7" t="n">
        <v>18</v>
      </c>
      <c r="G284" s="7" t="n">
        <v>1.2</v>
      </c>
      <c r="H284" s="7" t="n">
        <v>0</v>
      </c>
      <c r="I284" s="7" t="n">
        <v>-1.2</v>
      </c>
      <c r="J284" s="8" t="n">
        <v>80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ALL_PBM</t>
        </is>
      </c>
      <c r="C285" s="5" t="inlineStr">
        <is>
          <t>70756005212</t>
        </is>
      </c>
      <c r="D285" s="5" t="inlineStr">
        <is>
          <t>FAMOTIDINE 40MG TABLET</t>
        </is>
      </c>
      <c r="E285" s="6" t="inlineStr">
        <is>
          <t>1000.0</t>
        </is>
      </c>
      <c r="F285" s="7" t="n">
        <v>1170</v>
      </c>
      <c r="G285" s="7" t="n">
        <v>1.17</v>
      </c>
      <c r="H285" s="7" t="n">
        <v>0</v>
      </c>
      <c r="I285" s="7" t="n">
        <v>-1.17</v>
      </c>
      <c r="J285" s="8" t="n">
        <v>80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ALL_PBM</t>
        </is>
      </c>
      <c r="C286" s="5" t="inlineStr">
        <is>
          <t>49884078909</t>
        </is>
      </c>
      <c r="D286" s="5" t="inlineStr">
        <is>
          <t>OLMESARTAN-AMLODIPINE-HCTZ 40-10-12.5 MG ORAL TABLET</t>
        </is>
      </c>
      <c r="E286" s="6" t="inlineStr">
        <is>
          <t>90.0</t>
        </is>
      </c>
      <c r="F286" s="7" t="n">
        <v>30</v>
      </c>
      <c r="G286" s="7" t="n">
        <v>0.3333333333333333</v>
      </c>
      <c r="H286" s="7" t="n">
        <v>0</v>
      </c>
      <c r="I286" s="7" t="n">
        <v>-0.3333333333333333</v>
      </c>
      <c r="J286" s="8" t="n">
        <v>80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ALL_PBM</t>
        </is>
      </c>
      <c r="C287" s="5" t="inlineStr">
        <is>
          <t>60219174903</t>
        </is>
      </c>
      <c r="D287" s="5" t="inlineStr">
        <is>
          <t>ATROPINE SULFATE 1 % OPHTHALMIC SOLUTION</t>
        </is>
      </c>
      <c r="E287" s="6" t="inlineStr">
        <is>
          <t>5.0</t>
        </is>
      </c>
      <c r="F287" s="7" t="n">
        <v>15</v>
      </c>
      <c r="G287" s="7" t="n">
        <v>3</v>
      </c>
      <c r="H287" s="7" t="n">
        <v>3</v>
      </c>
      <c r="I287" s="7" t="n">
        <v>0</v>
      </c>
      <c r="J287" s="8" t="n">
        <v>78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ALL_PBM</t>
        </is>
      </c>
      <c r="C288" s="5" t="inlineStr">
        <is>
          <t>00054032656</t>
        </is>
      </c>
      <c r="D288" s="5" t="inlineStr">
        <is>
          <t>FLUTICASONE-SALMETEROL 100-50 MCG/ACT INH AEROSOL</t>
        </is>
      </c>
      <c r="E288" s="6" t="inlineStr">
        <is>
          <t>60.0</t>
        </is>
      </c>
      <c r="F288" s="7" t="n">
        <v>120</v>
      </c>
      <c r="G288" s="7" t="n">
        <v>2</v>
      </c>
      <c r="H288" s="7" t="n">
        <v>0</v>
      </c>
      <c r="I288" s="7" t="n">
        <v>-2</v>
      </c>
      <c r="J288" s="8" t="n">
        <v>77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ALL_PBM</t>
        </is>
      </c>
      <c r="C289" s="5" t="inlineStr">
        <is>
          <t>72266014201</t>
        </is>
      </c>
      <c r="D289" s="5" t="inlineStr">
        <is>
          <t>BROMFENAC SODIUM (ONCE-DAILY) 0.09% SOLUTION</t>
        </is>
      </c>
      <c r="E289" s="6" t="inlineStr">
        <is>
          <t>1.7</t>
        </is>
      </c>
      <c r="F289" s="7" t="n">
        <v>1.7</v>
      </c>
      <c r="G289" s="7" t="n">
        <v>1</v>
      </c>
      <c r="H289" s="7" t="n">
        <v>0</v>
      </c>
      <c r="I289" s="7" t="n">
        <v>-1</v>
      </c>
      <c r="J289" s="8" t="n">
        <v>75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ALL_PBM</t>
        </is>
      </c>
      <c r="C290" s="5" t="inlineStr">
        <is>
          <t>45802059701</t>
        </is>
      </c>
      <c r="D290" s="5" t="inlineStr">
        <is>
          <t>CLINDAMYCIN PHOS-BENZOYL PEROX 1.2-2.5 % EXTERNAL GEL</t>
        </is>
      </c>
      <c r="E290" s="6" t="inlineStr">
        <is>
          <t>50.0</t>
        </is>
      </c>
      <c r="F290" s="7" t="n">
        <v>100</v>
      </c>
      <c r="G290" s="7" t="n">
        <v>2</v>
      </c>
      <c r="H290" s="7" t="n">
        <v>2</v>
      </c>
      <c r="I290" s="7" t="n">
        <v>0</v>
      </c>
      <c r="J290" s="8" t="n">
        <v>75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ALL_PBM</t>
        </is>
      </c>
      <c r="C291" s="5" t="inlineStr">
        <is>
          <t>68180097103</t>
        </is>
      </c>
      <c r="D291" s="5" t="inlineStr">
        <is>
          <t>LEVOTHYROXINE 125MCG TABLET</t>
        </is>
      </c>
      <c r="E291" s="6" t="inlineStr">
        <is>
          <t>1000.0</t>
        </is>
      </c>
      <c r="F291" s="7" t="n">
        <v>330</v>
      </c>
      <c r="G291" s="7" t="n">
        <v>0.33</v>
      </c>
      <c r="H291" s="7" t="n">
        <v>0</v>
      </c>
      <c r="I291" s="7" t="n">
        <v>-0.33</v>
      </c>
      <c r="J291" s="8" t="n">
        <v>74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ALL_PBM</t>
        </is>
      </c>
      <c r="C292" s="5" t="inlineStr">
        <is>
          <t>65862020299</t>
        </is>
      </c>
      <c r="D292" s="5" t="inlineStr">
        <is>
          <t>LOSARTAN 50MG TABLET</t>
        </is>
      </c>
      <c r="E292" s="6" t="inlineStr">
        <is>
          <t>1000.0</t>
        </is>
      </c>
      <c r="F292" s="7" t="n">
        <v>1080</v>
      </c>
      <c r="G292" s="7" t="n">
        <v>1.08</v>
      </c>
      <c r="H292" s="7" t="n">
        <v>0</v>
      </c>
      <c r="I292" s="7" t="n">
        <v>-1.08</v>
      </c>
      <c r="J292" s="8" t="n">
        <v>74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ALL_PBM</t>
        </is>
      </c>
      <c r="C293" s="5" t="inlineStr">
        <is>
          <t>68462026310</t>
        </is>
      </c>
      <c r="D293" s="5" t="inlineStr">
        <is>
          <t>ROSUVASTATIN 20MG TABLET</t>
        </is>
      </c>
      <c r="E293" s="6" t="inlineStr">
        <is>
          <t>1000.0</t>
        </is>
      </c>
      <c r="F293" s="7" t="n">
        <v>750</v>
      </c>
      <c r="G293" s="7" t="n">
        <v>0.75</v>
      </c>
      <c r="H293" s="7" t="n">
        <v>2</v>
      </c>
      <c r="I293" s="7" t="n">
        <v>1.25</v>
      </c>
      <c r="J293" s="8" t="n">
        <v>74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ALL_PBM</t>
        </is>
      </c>
      <c r="C294" s="5" t="inlineStr">
        <is>
          <t>68462043890</t>
        </is>
      </c>
      <c r="D294" s="5" t="inlineStr">
        <is>
          <t>OLMESARTAN 40MG TABLET</t>
        </is>
      </c>
      <c r="E294" s="6" t="inlineStr">
        <is>
          <t>90.0</t>
        </is>
      </c>
      <c r="F294" s="7" t="n">
        <v>180</v>
      </c>
      <c r="G294" s="7" t="n">
        <v>2</v>
      </c>
      <c r="H294" s="7" t="n">
        <v>4</v>
      </c>
      <c r="I294" s="7" t="n">
        <v>2</v>
      </c>
      <c r="J294" s="8" t="n">
        <v>74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ALL_PBM</t>
        </is>
      </c>
      <c r="C295" s="5" t="inlineStr">
        <is>
          <t>70436005404</t>
        </is>
      </c>
      <c r="D295" s="5" t="inlineStr">
        <is>
          <t>MEMANTINE HCL ER 7 MG ORAL CAPSULE EXTENDED RELEASE 24 HOUR</t>
        </is>
      </c>
      <c r="E295" s="6" t="inlineStr">
        <is>
          <t>30.0</t>
        </is>
      </c>
      <c r="F295" s="7" t="n">
        <v>120</v>
      </c>
      <c r="G295" s="7" t="n">
        <v>4</v>
      </c>
      <c r="H295" s="7" t="n">
        <v>4</v>
      </c>
      <c r="I295" s="7" t="n">
        <v>0</v>
      </c>
      <c r="J295" s="8" t="n">
        <v>73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ALL_PBM</t>
        </is>
      </c>
      <c r="C296" s="5" t="inlineStr">
        <is>
          <t>68180037603</t>
        </is>
      </c>
      <c r="D296" s="5" t="inlineStr">
        <is>
          <t>LOSARTAN POTASSIUM 25MG TABLET</t>
        </is>
      </c>
      <c r="E296" s="6" t="inlineStr">
        <is>
          <t>1000.0</t>
        </is>
      </c>
      <c r="F296" s="7" t="n">
        <v>1020</v>
      </c>
      <c r="G296" s="7" t="n">
        <v>1.02</v>
      </c>
      <c r="H296" s="7" t="n">
        <v>0</v>
      </c>
      <c r="I296" s="7" t="n">
        <v>-1.02</v>
      </c>
      <c r="J296" s="8" t="n">
        <v>71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ALL_PBM</t>
        </is>
      </c>
      <c r="C297" s="5" t="inlineStr">
        <is>
          <t>67877031905</t>
        </is>
      </c>
      <c r="D297" s="5" t="inlineStr">
        <is>
          <t>IBUPROFEN 400MG TABLET</t>
        </is>
      </c>
      <c r="E297" s="6" t="inlineStr">
        <is>
          <t>500.0</t>
        </is>
      </c>
      <c r="F297" s="7" t="n">
        <v>278</v>
      </c>
      <c r="G297" s="7" t="n">
        <v>0.556</v>
      </c>
      <c r="H297" s="7" t="n">
        <v>2</v>
      </c>
      <c r="I297" s="7" t="n">
        <v>1.444</v>
      </c>
      <c r="J297" s="8" t="n">
        <v>71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ALL_PBM</t>
        </is>
      </c>
      <c r="C298" s="5" t="inlineStr">
        <is>
          <t>68382064006</t>
        </is>
      </c>
      <c r="D298" s="5" t="inlineStr">
        <is>
          <t>DUTASTERIDE-TAMSULOSIN HCL 0.5-0.4 MG ORAL CAPSULE</t>
        </is>
      </c>
      <c r="E298" s="6" t="inlineStr">
        <is>
          <t>30.0</t>
        </is>
      </c>
      <c r="F298" s="7" t="n">
        <v>30</v>
      </c>
      <c r="G298" s="7" t="n">
        <v>1</v>
      </c>
      <c r="H298" s="7" t="n">
        <v>1</v>
      </c>
      <c r="I298" s="7" t="n">
        <v>0</v>
      </c>
      <c r="J298" s="8" t="n">
        <v>70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ALL_PBM</t>
        </is>
      </c>
      <c r="C299" s="5" t="inlineStr">
        <is>
          <t>59651003212</t>
        </is>
      </c>
      <c r="D299" s="5" t="inlineStr">
        <is>
          <t>IBUPROFEN 100 MG/5ML SUSPENSION</t>
        </is>
      </c>
      <c r="E299" s="6" t="inlineStr">
        <is>
          <t>120.0</t>
        </is>
      </c>
      <c r="F299" s="7" t="n">
        <v>1080</v>
      </c>
      <c r="G299" s="7" t="n">
        <v>9</v>
      </c>
      <c r="H299" s="7" t="n">
        <v>10</v>
      </c>
      <c r="I299" s="7" t="n">
        <v>1</v>
      </c>
      <c r="J299" s="8" t="n">
        <v>69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ALL_PBM</t>
        </is>
      </c>
      <c r="C300" s="5" t="inlineStr">
        <is>
          <t>16571073521</t>
        </is>
      </c>
      <c r="D300" s="5" t="inlineStr">
        <is>
          <t>METHYLERGONOVINE MALEATE 0.2MG TABLET</t>
        </is>
      </c>
      <c r="E300" s="6" t="inlineStr">
        <is>
          <t>12.0</t>
        </is>
      </c>
      <c r="F300" s="7" t="n">
        <v>6</v>
      </c>
      <c r="G300" s="7" t="n">
        <v>0.5</v>
      </c>
      <c r="H300" s="7" t="n">
        <v>1</v>
      </c>
      <c r="I300" s="7" t="n">
        <v>0.5</v>
      </c>
      <c r="J300" s="8" t="n">
        <v>68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ALL_PBM</t>
        </is>
      </c>
      <c r="C301" s="5" t="inlineStr">
        <is>
          <t>31722053705</t>
        </is>
      </c>
      <c r="D301" s="5" t="inlineStr">
        <is>
          <t xml:space="preserve">LEVETIRACETAM 500MG TAB </t>
        </is>
      </c>
      <c r="E301" s="6" t="inlineStr">
        <is>
          <t>500.0</t>
        </is>
      </c>
      <c r="F301" s="7" t="n">
        <v>600</v>
      </c>
      <c r="G301" s="7" t="n">
        <v>1.2</v>
      </c>
      <c r="H301" s="7" t="n">
        <v>0</v>
      </c>
      <c r="I301" s="7" t="n">
        <v>-1.2</v>
      </c>
      <c r="J301" s="8" t="n">
        <v>68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ALL_PBM</t>
        </is>
      </c>
      <c r="C302" s="5" t="inlineStr">
        <is>
          <t>69238154001</t>
        </is>
      </c>
      <c r="D302" s="5" t="inlineStr">
        <is>
          <t>URSODIOL 300MG CAPSULE</t>
        </is>
      </c>
      <c r="E302" s="6" t="inlineStr">
        <is>
          <t>100.0</t>
        </is>
      </c>
      <c r="F302" s="7" t="n">
        <v>90</v>
      </c>
      <c r="G302" s="7" t="n">
        <v>0.9</v>
      </c>
      <c r="H302" s="7" t="n">
        <v>0</v>
      </c>
      <c r="I302" s="7" t="n">
        <v>-0.9</v>
      </c>
      <c r="J302" s="8" t="n">
        <v>68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ALL_PBM</t>
        </is>
      </c>
      <c r="C303" s="5" t="inlineStr">
        <is>
          <t>00713063437</t>
        </is>
      </c>
      <c r="D303" s="5" t="inlineStr">
        <is>
          <t>MOMETASONE FUROATE 0.1 % EXTERNAL CREAM</t>
        </is>
      </c>
      <c r="E303" s="6" t="inlineStr">
        <is>
          <t>45.0</t>
        </is>
      </c>
      <c r="F303" s="7" t="n">
        <v>135</v>
      </c>
      <c r="G303" s="7" t="n">
        <v>3</v>
      </c>
      <c r="H303" s="7" t="n">
        <v>0</v>
      </c>
      <c r="I303" s="7" t="n">
        <v>-3</v>
      </c>
      <c r="J303" s="8" t="n">
        <v>68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ALL_PBM</t>
        </is>
      </c>
      <c r="C304" s="5" t="inlineStr">
        <is>
          <t>62332017260</t>
        </is>
      </c>
      <c r="D304" s="5" t="inlineStr">
        <is>
          <t>LACOSAMIDE 100MG TABLET</t>
        </is>
      </c>
      <c r="E304" s="6" t="inlineStr">
        <is>
          <t>60.0</t>
        </is>
      </c>
      <c r="F304" s="7" t="n">
        <v>240</v>
      </c>
      <c r="G304" s="7" t="n">
        <v>4</v>
      </c>
      <c r="H304" s="7" t="n">
        <v>5</v>
      </c>
      <c r="I304" s="7" t="n">
        <v>1</v>
      </c>
      <c r="J304" s="8" t="n">
        <v>67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ALL_PBM</t>
        </is>
      </c>
      <c r="C305" s="5" t="inlineStr">
        <is>
          <t>43547028211</t>
        </is>
      </c>
      <c r="D305" s="5" t="inlineStr">
        <is>
          <t>ESCITALOPRAM 20MG TABLET</t>
        </is>
      </c>
      <c r="E305" s="6" t="inlineStr">
        <is>
          <t>1000.0</t>
        </is>
      </c>
      <c r="F305" s="7" t="n">
        <v>255</v>
      </c>
      <c r="G305" s="7" t="n">
        <v>0.255</v>
      </c>
      <c r="H305" s="7" t="n">
        <v>0</v>
      </c>
      <c r="I305" s="7" t="n">
        <v>-0.255</v>
      </c>
      <c r="J305" s="8" t="n">
        <v>67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ALL_PBM</t>
        </is>
      </c>
      <c r="C306" s="5" t="inlineStr">
        <is>
          <t>51672408104</t>
        </is>
      </c>
      <c r="D306" s="5" t="inlineStr">
        <is>
          <t>CLINDAMYCIN PHOSPHATE 1 % EXTERNAL SOLUTION</t>
        </is>
      </c>
      <c r="E306" s="6" t="inlineStr">
        <is>
          <t>60.0</t>
        </is>
      </c>
      <c r="F306" s="7" t="n">
        <v>180</v>
      </c>
      <c r="G306" s="7" t="n">
        <v>3</v>
      </c>
      <c r="H306" s="7" t="n">
        <v>0</v>
      </c>
      <c r="I306" s="7" t="n">
        <v>-3</v>
      </c>
      <c r="J306" s="8" t="n">
        <v>66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ALL_PBM</t>
        </is>
      </c>
      <c r="C307" s="5" t="inlineStr">
        <is>
          <t>59651078205</t>
        </is>
      </c>
      <c r="D307" s="5" t="inlineStr">
        <is>
          <t>GLIPIZIDE ER 10MG TABLET</t>
        </is>
      </c>
      <c r="E307" s="6" t="inlineStr">
        <is>
          <t>500.0</t>
        </is>
      </c>
      <c r="F307" s="7" t="n">
        <v>570</v>
      </c>
      <c r="G307" s="7" t="n">
        <v>1.14</v>
      </c>
      <c r="H307" s="7" t="n">
        <v>2</v>
      </c>
      <c r="I307" s="7" t="n">
        <v>0.8600000000000001</v>
      </c>
      <c r="J307" s="8" t="n">
        <v>66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ALL_PBM</t>
        </is>
      </c>
      <c r="C308" s="5" t="inlineStr">
        <is>
          <t>00168026850</t>
        </is>
      </c>
      <c r="D308" s="5" t="inlineStr">
        <is>
          <t>BETAMETHASONE DIP AUG 0.05 % OINTMENT</t>
        </is>
      </c>
      <c r="E308" s="6" t="inlineStr">
        <is>
          <t>50.0</t>
        </is>
      </c>
      <c r="F308" s="7" t="n">
        <v>50</v>
      </c>
      <c r="G308" s="7" t="n">
        <v>1</v>
      </c>
      <c r="H308" s="7" t="n">
        <v>0</v>
      </c>
      <c r="I308" s="7" t="n">
        <v>-1</v>
      </c>
      <c r="J308" s="8" t="n">
        <v>66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ALL_PBM</t>
        </is>
      </c>
      <c r="C309" s="5" t="inlineStr">
        <is>
          <t>00143980305</t>
        </is>
      </c>
      <c r="D309" s="5" t="inlineStr">
        <is>
          <t>DOXYCYCLINE HYCLATE 100MG CAPSULE</t>
        </is>
      </c>
      <c r="E309" s="6" t="inlineStr">
        <is>
          <t>500.0</t>
        </is>
      </c>
      <c r="F309" s="7" t="n">
        <v>246</v>
      </c>
      <c r="G309" s="7" t="n">
        <v>0.492</v>
      </c>
      <c r="H309" s="7" t="n">
        <v>0</v>
      </c>
      <c r="I309" s="7" t="n">
        <v>-0.492</v>
      </c>
      <c r="J309" s="8" t="n">
        <v>66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ALL_PBM</t>
        </is>
      </c>
      <c r="C310" s="5" t="inlineStr">
        <is>
          <t>00555902658</t>
        </is>
      </c>
      <c r="D310" s="5" t="inlineStr">
        <is>
          <t>JUNEL FE 1/20 1-20MG TABLET</t>
        </is>
      </c>
      <c r="E310" s="6" t="inlineStr">
        <is>
          <t>28.0</t>
        </is>
      </c>
      <c r="F310" s="7" t="n">
        <v>280</v>
      </c>
      <c r="G310" s="7" t="n">
        <v>10</v>
      </c>
      <c r="H310" s="7" t="n">
        <v>3</v>
      </c>
      <c r="I310" s="7" t="n">
        <v>-7</v>
      </c>
      <c r="J310" s="8" t="n">
        <v>66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ALL_PBM</t>
        </is>
      </c>
      <c r="C311" s="5" t="inlineStr">
        <is>
          <t>69097022416</t>
        </is>
      </c>
      <c r="D311" s="5" t="inlineStr">
        <is>
          <t xml:space="preserve">ALENDRONATE 70MG TAB </t>
        </is>
      </c>
      <c r="E311" s="6" t="inlineStr">
        <is>
          <t>4.0</t>
        </is>
      </c>
      <c r="F311" s="7" t="n">
        <v>108</v>
      </c>
      <c r="G311" s="7" t="n">
        <v>27</v>
      </c>
      <c r="H311" s="7" t="n">
        <v>10</v>
      </c>
      <c r="I311" s="7" t="n">
        <v>-17</v>
      </c>
      <c r="J311" s="8" t="n">
        <v>66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ALL_PBM</t>
        </is>
      </c>
      <c r="C312" s="5" t="inlineStr">
        <is>
          <t>67877032105</t>
        </is>
      </c>
      <c r="D312" s="5" t="inlineStr">
        <is>
          <t xml:space="preserve">IBUPROFEN 800MG TAB </t>
        </is>
      </c>
      <c r="E312" s="6" t="inlineStr">
        <is>
          <t>500.0</t>
        </is>
      </c>
      <c r="F312" s="7" t="n">
        <v>541</v>
      </c>
      <c r="G312" s="7" t="n">
        <v>1.082</v>
      </c>
      <c r="H312" s="7" t="n">
        <v>0</v>
      </c>
      <c r="I312" s="7" t="n">
        <v>-1.082</v>
      </c>
      <c r="J312" s="8" t="n">
        <v>66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ALL_PBM</t>
        </is>
      </c>
      <c r="C313" s="5" t="inlineStr">
        <is>
          <t>70756001112</t>
        </is>
      </c>
      <c r="D313" s="5" t="inlineStr">
        <is>
          <t>CHLORTHALIDONE 25MG TABLET</t>
        </is>
      </c>
      <c r="E313" s="6" t="inlineStr">
        <is>
          <t>1000.0</t>
        </is>
      </c>
      <c r="F313" s="7" t="n">
        <v>420</v>
      </c>
      <c r="G313" s="7" t="n">
        <v>0.42</v>
      </c>
      <c r="H313" s="7" t="n">
        <v>0</v>
      </c>
      <c r="I313" s="7" t="n">
        <v>-0.42</v>
      </c>
      <c r="J313" s="8" t="n">
        <v>66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ALL_PBM</t>
        </is>
      </c>
      <c r="C314" s="5" t="inlineStr">
        <is>
          <t>72888001400</t>
        </is>
      </c>
      <c r="D314" s="5" t="inlineStr">
        <is>
          <t>CYCLOBENZAPRINE 10MG TABLET</t>
        </is>
      </c>
      <c r="E314" s="6" t="inlineStr">
        <is>
          <t>1000.0</t>
        </is>
      </c>
      <c r="F314" s="7" t="n">
        <v>725</v>
      </c>
      <c r="G314" s="7" t="n">
        <v>0.725</v>
      </c>
      <c r="H314" s="7" t="n">
        <v>0</v>
      </c>
      <c r="I314" s="7" t="n">
        <v>-0.725</v>
      </c>
      <c r="J314" s="8" t="n">
        <v>65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ALL_PBM</t>
        </is>
      </c>
      <c r="C315" s="5" t="inlineStr">
        <is>
          <t>00093681673</t>
        </is>
      </c>
      <c r="D315" s="5" t="inlineStr">
        <is>
          <t>BUDESONIDE 0.5MG/2ML INHALATION SUSPENSION</t>
        </is>
      </c>
      <c r="E315" s="6" t="inlineStr">
        <is>
          <t>60.0</t>
        </is>
      </c>
      <c r="F315" s="7" t="n">
        <v>240</v>
      </c>
      <c r="G315" s="7" t="n">
        <v>4</v>
      </c>
      <c r="H315" s="7" t="n">
        <v>0</v>
      </c>
      <c r="I315" s="7" t="n">
        <v>-4</v>
      </c>
      <c r="J315" s="8" t="n">
        <v>65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ALL_PBM</t>
        </is>
      </c>
      <c r="C316" s="5" t="inlineStr">
        <is>
          <t>51672300701</t>
        </is>
      </c>
      <c r="D316" s="5" t="inlineStr">
        <is>
          <t>HYDROCORTISONE-ACETIC ACID 1-2 % OTIC SOLUTION</t>
        </is>
      </c>
      <c r="E316" s="6" t="inlineStr">
        <is>
          <t>10.0</t>
        </is>
      </c>
      <c r="F316" s="7" t="n">
        <v>10</v>
      </c>
      <c r="G316" s="7" t="n">
        <v>1</v>
      </c>
      <c r="H316" s="7" t="n">
        <v>0</v>
      </c>
      <c r="I316" s="7" t="n">
        <v>-1</v>
      </c>
      <c r="J316" s="8" t="n">
        <v>64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ALL_PBM</t>
        </is>
      </c>
      <c r="C317" s="5" t="inlineStr">
        <is>
          <t>76204020030</t>
        </is>
      </c>
      <c r="D317" s="5" t="inlineStr">
        <is>
          <t>ALBUTEROL SULFATE (2.5 MG/3ML) 0.083% INHALATION NEBULIZATION SOLUTION</t>
        </is>
      </c>
      <c r="E317" s="6" t="inlineStr">
        <is>
          <t>90.0</t>
        </is>
      </c>
      <c r="F317" s="7" t="n">
        <v>720</v>
      </c>
      <c r="G317" s="7" t="n">
        <v>8</v>
      </c>
      <c r="H317" s="7" t="n">
        <v>0</v>
      </c>
      <c r="I317" s="7" t="n">
        <v>-8</v>
      </c>
      <c r="J317" s="8" t="n">
        <v>63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ALL_PBM</t>
        </is>
      </c>
      <c r="C318" s="5" t="inlineStr">
        <is>
          <t>59746012110</t>
        </is>
      </c>
      <c r="D318" s="5" t="inlineStr">
        <is>
          <t>MECLIZINE HCL 25MG TABLET</t>
        </is>
      </c>
      <c r="E318" s="6" t="inlineStr">
        <is>
          <t>1000.0</t>
        </is>
      </c>
      <c r="F318" s="7" t="n">
        <v>409</v>
      </c>
      <c r="G318" s="7" t="n">
        <v>0.409</v>
      </c>
      <c r="H318" s="7" t="n">
        <v>0</v>
      </c>
      <c r="I318" s="7" t="n">
        <v>-0.409</v>
      </c>
      <c r="J318" s="8" t="n">
        <v>63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ALL_PBM</t>
        </is>
      </c>
      <c r="C319" s="5" t="inlineStr">
        <is>
          <t>50742026103</t>
        </is>
      </c>
      <c r="D319" s="5" t="inlineStr">
        <is>
          <t>NIFEDIPINE 60MG TABLET ER</t>
        </is>
      </c>
      <c r="E319" s="6" t="inlineStr">
        <is>
          <t>300.0</t>
        </is>
      </c>
      <c r="F319" s="7" t="n">
        <v>300</v>
      </c>
      <c r="G319" s="7" t="n">
        <v>1</v>
      </c>
      <c r="H319" s="7" t="n">
        <v>0</v>
      </c>
      <c r="I319" s="7" t="n">
        <v>-1</v>
      </c>
      <c r="J319" s="8" t="n">
        <v>62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ALL_PBM</t>
        </is>
      </c>
      <c r="C320" s="5" t="inlineStr">
        <is>
          <t>67877022405</t>
        </is>
      </c>
      <c r="D320" s="5" t="inlineStr">
        <is>
          <t xml:space="preserve">GABAPENTIN 400MG CAP </t>
        </is>
      </c>
      <c r="E320" s="6" t="inlineStr">
        <is>
          <t>500.0</t>
        </is>
      </c>
      <c r="F320" s="7" t="n">
        <v>750</v>
      </c>
      <c r="G320" s="7" t="n">
        <v>1.5</v>
      </c>
      <c r="H320" s="7" t="n">
        <v>0</v>
      </c>
      <c r="I320" s="7" t="n">
        <v>-1.5</v>
      </c>
      <c r="J320" s="8" t="n">
        <v>62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ALL_PBM</t>
        </is>
      </c>
      <c r="C321" s="5" t="inlineStr">
        <is>
          <t>69097007212</t>
        </is>
      </c>
      <c r="D321" s="5" t="inlineStr">
        <is>
          <t>BUPROPION HCL ER (XL) 300MG TABLET</t>
        </is>
      </c>
      <c r="E321" s="6" t="inlineStr">
        <is>
          <t>500.0</t>
        </is>
      </c>
      <c r="F321" s="7" t="n">
        <v>210</v>
      </c>
      <c r="G321" s="7" t="n">
        <v>0.42</v>
      </c>
      <c r="H321" s="7" t="n">
        <v>0</v>
      </c>
      <c r="I321" s="7" t="n">
        <v>-0.42</v>
      </c>
      <c r="J321" s="8" t="n">
        <v>61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ALL_PBM</t>
        </is>
      </c>
      <c r="C322" s="5" t="inlineStr">
        <is>
          <t>69097015912</t>
        </is>
      </c>
      <c r="D322" s="5" t="inlineStr">
        <is>
          <t xml:space="preserve">MELOXICAM 15MG TAB </t>
        </is>
      </c>
      <c r="E322" s="6" t="inlineStr">
        <is>
          <t>500.0</t>
        </is>
      </c>
      <c r="F322" s="7" t="n">
        <v>534</v>
      </c>
      <c r="G322" s="7" t="n">
        <v>1.068</v>
      </c>
      <c r="H322" s="7" t="n">
        <v>0</v>
      </c>
      <c r="I322" s="7" t="n">
        <v>-1.068</v>
      </c>
      <c r="J322" s="8" t="n">
        <v>61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ALL_PBM</t>
        </is>
      </c>
      <c r="C323" s="5" t="inlineStr">
        <is>
          <t>70069065201</t>
        </is>
      </c>
      <c r="D323" s="5" t="inlineStr">
        <is>
          <t>BRIMONIDINE TARTRATE-TIMOLOL 0.2-0.5 % OPHTHALMIC SOLUTION</t>
        </is>
      </c>
      <c r="E323" s="6" t="inlineStr">
        <is>
          <t>10.0</t>
        </is>
      </c>
      <c r="F323" s="7" t="n">
        <v>10</v>
      </c>
      <c r="G323" s="7" t="n">
        <v>1</v>
      </c>
      <c r="H323" s="7" t="n">
        <v>0</v>
      </c>
      <c r="I323" s="7" t="n">
        <v>-1</v>
      </c>
      <c r="J323" s="8" t="n">
        <v>61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ALL_PBM</t>
        </is>
      </c>
      <c r="C324" s="5" t="inlineStr">
        <is>
          <t>51672131802</t>
        </is>
      </c>
      <c r="D324" s="5" t="inlineStr">
        <is>
          <t xml:space="preserve">CICLOPIROX 0.77% CREAM </t>
        </is>
      </c>
      <c r="E324" s="6" t="inlineStr">
        <is>
          <t>30.0</t>
        </is>
      </c>
      <c r="F324" s="7" t="n">
        <v>120</v>
      </c>
      <c r="G324" s="7" t="n">
        <v>4</v>
      </c>
      <c r="H324" s="7" t="n">
        <v>0</v>
      </c>
      <c r="I324" s="7" t="n">
        <v>-4</v>
      </c>
      <c r="J324" s="8" t="n">
        <v>61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ALL_PBM</t>
        </is>
      </c>
      <c r="C325" s="5" t="inlineStr">
        <is>
          <t>68462028132</t>
        </is>
      </c>
      <c r="D325" s="5" t="inlineStr">
        <is>
          <t>BRIMONIDINE TARTRATE-TIMOLOL 0.2-0.5 % OPHTHALMIC SOLUTION</t>
        </is>
      </c>
      <c r="E325" s="6" t="inlineStr">
        <is>
          <t>10.0</t>
        </is>
      </c>
      <c r="F325" s="7" t="n">
        <v>10</v>
      </c>
      <c r="G325" s="7" t="n">
        <v>1</v>
      </c>
      <c r="H325" s="7" t="n">
        <v>0</v>
      </c>
      <c r="I325" s="7" t="n">
        <v>-1</v>
      </c>
      <c r="J325" s="8" t="n">
        <v>61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ALL_PBM</t>
        </is>
      </c>
      <c r="C326" s="5" t="inlineStr">
        <is>
          <t>62332004390</t>
        </is>
      </c>
      <c r="D326" s="5" t="inlineStr">
        <is>
          <t>IRBESARTAN 300MG TABLET</t>
        </is>
      </c>
      <c r="E326" s="6" t="inlineStr">
        <is>
          <t>90.0</t>
        </is>
      </c>
      <c r="F326" s="7" t="n">
        <v>180</v>
      </c>
      <c r="G326" s="7" t="n">
        <v>2</v>
      </c>
      <c r="H326" s="7" t="n">
        <v>0</v>
      </c>
      <c r="I326" s="7" t="n">
        <v>-2</v>
      </c>
      <c r="J326" s="8" t="n">
        <v>60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ALL_PBM</t>
        </is>
      </c>
      <c r="C327" s="5" t="inlineStr">
        <is>
          <t>57237000511</t>
        </is>
      </c>
      <c r="D327" s="5" t="inlineStr">
        <is>
          <t xml:space="preserve">FLUCONAZOLE 150MG TAB </t>
        </is>
      </c>
      <c r="E327" s="6" t="inlineStr">
        <is>
          <t>12.0</t>
        </is>
      </c>
      <c r="F327" s="7" t="n">
        <v>27</v>
      </c>
      <c r="G327" s="7" t="n">
        <v>2.25</v>
      </c>
      <c r="H327" s="7" t="n">
        <v>3</v>
      </c>
      <c r="I327" s="7" t="n">
        <v>0.75</v>
      </c>
      <c r="J327" s="8" t="n">
        <v>60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ALL_PBM</t>
        </is>
      </c>
      <c r="C328" s="5" t="inlineStr">
        <is>
          <t>50742050510</t>
        </is>
      </c>
      <c r="D328" s="5" t="inlineStr">
        <is>
          <t>SCOPOLAMINE 1 MG/3DAYS TRANSDERMAL PATCH 72 HOUR</t>
        </is>
      </c>
      <c r="E328" s="6" t="inlineStr">
        <is>
          <t>10.0</t>
        </is>
      </c>
      <c r="F328" s="7" t="n">
        <v>10</v>
      </c>
      <c r="G328" s="7" t="n">
        <v>1</v>
      </c>
      <c r="H328" s="7" t="n">
        <v>0</v>
      </c>
      <c r="I328" s="7" t="n">
        <v>-1</v>
      </c>
      <c r="J328" s="8" t="n">
        <v>60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ALL_PBM</t>
        </is>
      </c>
      <c r="C329" s="5" t="inlineStr">
        <is>
          <t>67877015905</t>
        </is>
      </c>
      <c r="D329" s="5" t="inlineStr">
        <is>
          <t xml:space="preserve">METFORMIN ER 500MG TABLET </t>
        </is>
      </c>
      <c r="E329" s="6" t="inlineStr">
        <is>
          <t>500.0</t>
        </is>
      </c>
      <c r="F329" s="7" t="n">
        <v>300</v>
      </c>
      <c r="G329" s="7" t="n">
        <v>0.6</v>
      </c>
      <c r="H329" s="7" t="n">
        <v>0</v>
      </c>
      <c r="I329" s="7" t="n">
        <v>-0.6</v>
      </c>
      <c r="J329" s="8" t="n">
        <v>59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ALL_PBM</t>
        </is>
      </c>
      <c r="C330" s="5" t="inlineStr">
        <is>
          <t>00378581577</t>
        </is>
      </c>
      <c r="D330" s="5" t="inlineStr">
        <is>
          <t>VALSARTAN 320MG TABLET</t>
        </is>
      </c>
      <c r="E330" s="6" t="inlineStr">
        <is>
          <t>90.0</t>
        </is>
      </c>
      <c r="F330" s="7" t="n">
        <v>180</v>
      </c>
      <c r="G330" s="7" t="n">
        <v>2</v>
      </c>
      <c r="H330" s="7" t="n">
        <v>0</v>
      </c>
      <c r="I330" s="7" t="n">
        <v>-2</v>
      </c>
      <c r="J330" s="8" t="n">
        <v>59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ALL_PBM</t>
        </is>
      </c>
      <c r="C331" s="5" t="inlineStr">
        <is>
          <t>68180069806</t>
        </is>
      </c>
      <c r="D331" s="5" t="inlineStr">
        <is>
          <t>TRAMADOL HCL ER 200MG TABLET</t>
        </is>
      </c>
      <c r="E331" s="6" t="inlineStr">
        <is>
          <t>30.0</t>
        </is>
      </c>
      <c r="F331" s="7" t="n">
        <v>30</v>
      </c>
      <c r="G331" s="7" t="n">
        <v>1</v>
      </c>
      <c r="H331" s="7" t="n">
        <v>0</v>
      </c>
      <c r="I331" s="7" t="n">
        <v>-1</v>
      </c>
      <c r="J331" s="8" t="n">
        <v>59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ALL_PBM</t>
        </is>
      </c>
      <c r="C332" s="5" t="inlineStr">
        <is>
          <t>45802040109</t>
        </is>
      </c>
      <c r="D332" s="5" t="inlineStr">
        <is>
          <t>CICLOPIROX 1 % EXTERNAL SHAMPOO</t>
        </is>
      </c>
      <c r="E332" s="6" t="inlineStr">
        <is>
          <t>120.0</t>
        </is>
      </c>
      <c r="F332" s="7" t="n">
        <v>240</v>
      </c>
      <c r="G332" s="7" t="n">
        <v>2</v>
      </c>
      <c r="H332" s="7" t="n">
        <v>0</v>
      </c>
      <c r="I332" s="7" t="n">
        <v>-2</v>
      </c>
      <c r="J332" s="8" t="n">
        <v>58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ALL_PBM</t>
        </is>
      </c>
      <c r="C333" s="5" t="inlineStr">
        <is>
          <t>51672130005</t>
        </is>
      </c>
      <c r="D333" s="5" t="inlineStr">
        <is>
          <t>AMMONIUM LACTATE 12 % EXTERNAL LOTION</t>
        </is>
      </c>
      <c r="E333" s="6" t="inlineStr">
        <is>
          <t>225.0</t>
        </is>
      </c>
      <c r="F333" s="7" t="n">
        <v>1300</v>
      </c>
      <c r="G333" s="7" t="n">
        <v>5.777777777777778</v>
      </c>
      <c r="H333" s="7" t="n">
        <v>0</v>
      </c>
      <c r="I333" s="7" t="n">
        <v>-5.777777777777778</v>
      </c>
      <c r="J333" s="8" t="n">
        <v>58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ALL_PBM</t>
        </is>
      </c>
      <c r="C334" s="5" t="inlineStr">
        <is>
          <t>59762330403</t>
        </is>
      </c>
      <c r="D334" s="5" t="inlineStr">
        <is>
          <t>NITROGLYCERIN 0.4 MG SUBLINGUAL TAB 25X4</t>
        </is>
      </c>
      <c r="E334" s="6" t="inlineStr">
        <is>
          <t>100.0</t>
        </is>
      </c>
      <c r="F334" s="7" t="n">
        <v>125</v>
      </c>
      <c r="G334" s="7" t="n">
        <v>1.25</v>
      </c>
      <c r="H334" s="7" t="n">
        <v>0</v>
      </c>
      <c r="I334" s="7" t="n">
        <v>-1.25</v>
      </c>
      <c r="J334" s="8" t="n">
        <v>57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ALL_PBM</t>
        </is>
      </c>
      <c r="C335" s="5" t="inlineStr">
        <is>
          <t>00172409680</t>
        </is>
      </c>
      <c r="D335" s="5" t="inlineStr">
        <is>
          <t xml:space="preserve">BACLOFEN 10MG TAB </t>
        </is>
      </c>
      <c r="E335" s="6" t="inlineStr">
        <is>
          <t>1000.0</t>
        </is>
      </c>
      <c r="F335" s="7" t="n">
        <v>540</v>
      </c>
      <c r="G335" s="7" t="n">
        <v>0.54</v>
      </c>
      <c r="H335" s="7" t="n">
        <v>0</v>
      </c>
      <c r="I335" s="7" t="n">
        <v>-0.54</v>
      </c>
      <c r="J335" s="8" t="n">
        <v>57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ALL_PBM</t>
        </is>
      </c>
      <c r="C336" s="5" t="inlineStr">
        <is>
          <t>68180031902</t>
        </is>
      </c>
      <c r="D336" s="5" t="inlineStr">
        <is>
          <t>BUPROPION HCL ER (XL) 150MG</t>
        </is>
      </c>
      <c r="E336" s="6" t="inlineStr">
        <is>
          <t>500.0</t>
        </is>
      </c>
      <c r="F336" s="7" t="n">
        <v>291</v>
      </c>
      <c r="G336" s="7" t="n">
        <v>0.582</v>
      </c>
      <c r="H336" s="7" t="n">
        <v>0</v>
      </c>
      <c r="I336" s="7" t="n">
        <v>-0.582</v>
      </c>
      <c r="J336" s="8" t="n">
        <v>57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ALL_PBM</t>
        </is>
      </c>
      <c r="C337" s="5" t="inlineStr">
        <is>
          <t>61314014305</t>
        </is>
      </c>
      <c r="D337" s="5" t="inlineStr">
        <is>
          <t>BRIMONIDINE TARTRATE 0.2% SOLUTION</t>
        </is>
      </c>
      <c r="E337" s="6" t="inlineStr">
        <is>
          <t>5.0</t>
        </is>
      </c>
      <c r="F337" s="7" t="n">
        <v>45</v>
      </c>
      <c r="G337" s="7" t="n">
        <v>9</v>
      </c>
      <c r="H337" s="7" t="n">
        <v>0</v>
      </c>
      <c r="I337" s="7" t="n">
        <v>-9</v>
      </c>
      <c r="J337" s="8" t="n">
        <v>57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ALL_PBM</t>
        </is>
      </c>
      <c r="C338" s="5" t="inlineStr">
        <is>
          <t>72578015001</t>
        </is>
      </c>
      <c r="D338" s="5" t="inlineStr">
        <is>
          <t>ACETAZOLAMIDE 250 MG ORAL TABLET</t>
        </is>
      </c>
      <c r="E338" s="6" t="inlineStr">
        <is>
          <t>100.0</t>
        </is>
      </c>
      <c r="F338" s="7" t="n">
        <v>180</v>
      </c>
      <c r="G338" s="7" t="n">
        <v>1.8</v>
      </c>
      <c r="H338" s="7" t="n">
        <v>0</v>
      </c>
      <c r="I338" s="7" t="n">
        <v>-1.8</v>
      </c>
      <c r="J338" s="8" t="n">
        <v>56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ALL_PBM</t>
        </is>
      </c>
      <c r="C339" s="5" t="inlineStr">
        <is>
          <t>59651030501</t>
        </is>
      </c>
      <c r="D339" s="5" t="inlineStr">
        <is>
          <t>CHLORZOXAZONE 375 MG ORAL TABLET</t>
        </is>
      </c>
      <c r="E339" s="6" t="inlineStr">
        <is>
          <t>100.0</t>
        </is>
      </c>
      <c r="F339" s="7" t="n">
        <v>90</v>
      </c>
      <c r="G339" s="7" t="n">
        <v>0.9</v>
      </c>
      <c r="H339" s="7" t="n">
        <v>0</v>
      </c>
      <c r="I339" s="7" t="n">
        <v>-0.9</v>
      </c>
      <c r="J339" s="8" t="n">
        <v>56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ALL_PBM</t>
        </is>
      </c>
      <c r="C340" s="5" t="inlineStr">
        <is>
          <t>51672138903</t>
        </is>
      </c>
      <c r="D340" s="5" t="inlineStr">
        <is>
          <t>AZELAIC ACID 15 % EXTERNAL GEL</t>
        </is>
      </c>
      <c r="E340" s="6" t="inlineStr">
        <is>
          <t>50.0</t>
        </is>
      </c>
      <c r="F340" s="7" t="n">
        <v>50</v>
      </c>
      <c r="G340" s="7" t="n">
        <v>1</v>
      </c>
      <c r="H340" s="7" t="n">
        <v>1</v>
      </c>
      <c r="I340" s="7" t="n">
        <v>0</v>
      </c>
      <c r="J340" s="8" t="n">
        <v>56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ALL_PBM</t>
        </is>
      </c>
      <c r="C341" s="5" t="inlineStr">
        <is>
          <t>00555904558</t>
        </is>
      </c>
      <c r="D341" s="5" t="inlineStr">
        <is>
          <t>AVIANE 0.1-20MG TABLET</t>
        </is>
      </c>
      <c r="E341" s="6" t="inlineStr">
        <is>
          <t>28.0</t>
        </is>
      </c>
      <c r="F341" s="7" t="n">
        <v>168</v>
      </c>
      <c r="G341" s="7" t="n">
        <v>6</v>
      </c>
      <c r="H341" s="7" t="n">
        <v>0</v>
      </c>
      <c r="I341" s="7" t="n">
        <v>-6</v>
      </c>
      <c r="J341" s="8" t="n">
        <v>56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ALL_PBM</t>
        </is>
      </c>
      <c r="C342" s="5" t="inlineStr">
        <is>
          <t>00781543920</t>
        </is>
      </c>
      <c r="D342" s="5" t="inlineStr">
        <is>
          <t xml:space="preserve">CEFPODOXIME 200MG TAB </t>
        </is>
      </c>
      <c r="E342" s="6" t="inlineStr">
        <is>
          <t>20.0</t>
        </is>
      </c>
      <c r="F342" s="7" t="n">
        <v>28</v>
      </c>
      <c r="G342" s="7" t="n">
        <v>1.4</v>
      </c>
      <c r="H342" s="7" t="n">
        <v>0</v>
      </c>
      <c r="I342" s="7" t="n">
        <v>-1.4</v>
      </c>
      <c r="J342" s="8" t="n">
        <v>56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ALL_PBM</t>
        </is>
      </c>
      <c r="C343" s="5" t="inlineStr">
        <is>
          <t>68382080001</t>
        </is>
      </c>
      <c r="D343" s="5" t="inlineStr">
        <is>
          <t>LABETALOL 300MG TABLET</t>
        </is>
      </c>
      <c r="E343" s="6" t="inlineStr">
        <is>
          <t>100.0</t>
        </is>
      </c>
      <c r="F343" s="7" t="n">
        <v>180</v>
      </c>
      <c r="G343" s="7" t="n">
        <v>1.8</v>
      </c>
      <c r="H343" s="7" t="n">
        <v>0</v>
      </c>
      <c r="I343" s="7" t="n">
        <v>-1.8</v>
      </c>
      <c r="J343" s="8" t="n">
        <v>56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ALL_PBM</t>
        </is>
      </c>
      <c r="C344" s="5" t="inlineStr">
        <is>
          <t>62332063260</t>
        </is>
      </c>
      <c r="D344" s="5" t="inlineStr">
        <is>
          <t>DESONIDE 0.05 % EXTERNAL CREAM</t>
        </is>
      </c>
      <c r="E344" s="6" t="inlineStr">
        <is>
          <t>60.0</t>
        </is>
      </c>
      <c r="F344" s="7" t="n">
        <v>60</v>
      </c>
      <c r="G344" s="7" t="n">
        <v>1</v>
      </c>
      <c r="H344" s="7" t="n">
        <v>0</v>
      </c>
      <c r="I344" s="7" t="n">
        <v>-1</v>
      </c>
      <c r="J344" s="8" t="n">
        <v>55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ALL_PBM</t>
        </is>
      </c>
      <c r="C345" s="5" t="inlineStr">
        <is>
          <t>13668013610</t>
        </is>
      </c>
      <c r="D345" s="5" t="inlineStr">
        <is>
          <t>ESCITALOPRAM 10MG TABLET</t>
        </is>
      </c>
      <c r="E345" s="6" t="inlineStr">
        <is>
          <t>1000.0</t>
        </is>
      </c>
      <c r="F345" s="7" t="n">
        <v>435</v>
      </c>
      <c r="G345" s="7" t="n">
        <v>0.435</v>
      </c>
      <c r="H345" s="7" t="n">
        <v>0</v>
      </c>
      <c r="I345" s="7" t="n">
        <v>-0.435</v>
      </c>
      <c r="J345" s="8" t="n">
        <v>55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ALL_PBM</t>
        </is>
      </c>
      <c r="C346" s="5" t="inlineStr">
        <is>
          <t>00168009930</t>
        </is>
      </c>
      <c r="D346" s="5" t="inlineStr">
        <is>
          <t>KETOCONAZOLE 2 % EXTERNAL CREAM</t>
        </is>
      </c>
      <c r="E346" s="6" t="inlineStr">
        <is>
          <t>30.0</t>
        </is>
      </c>
      <c r="F346" s="7" t="n">
        <v>90</v>
      </c>
      <c r="G346" s="7" t="n">
        <v>3</v>
      </c>
      <c r="H346" s="7" t="n">
        <v>0</v>
      </c>
      <c r="I346" s="7" t="n">
        <v>-3</v>
      </c>
      <c r="J346" s="8" t="n">
        <v>55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ALL_PBM</t>
        </is>
      </c>
      <c r="C347" s="5" t="inlineStr">
        <is>
          <t>69315030805</t>
        </is>
      </c>
      <c r="D347" s="5" t="inlineStr">
        <is>
          <t>CIPROFLOXACIN HCL 0.3 % OPHTHALMIC SOLUTION</t>
        </is>
      </c>
      <c r="E347" s="6" t="inlineStr">
        <is>
          <t>5.0</t>
        </is>
      </c>
      <c r="F347" s="7" t="n">
        <v>30</v>
      </c>
      <c r="G347" s="7" t="n">
        <v>6</v>
      </c>
      <c r="H347" s="7" t="n">
        <v>8</v>
      </c>
      <c r="I347" s="7" t="n">
        <v>2</v>
      </c>
      <c r="J347" s="8" t="n">
        <v>55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ALL_PBM</t>
        </is>
      </c>
      <c r="C348" s="5" t="inlineStr">
        <is>
          <t>42806071501</t>
        </is>
      </c>
      <c r="D348" s="5" t="inlineStr">
        <is>
          <t>BENZONATATE 200MG CAPSULE</t>
        </is>
      </c>
      <c r="E348" s="6" t="inlineStr">
        <is>
          <t>100.0</t>
        </is>
      </c>
      <c r="F348" s="7" t="n">
        <v>132</v>
      </c>
      <c r="G348" s="7" t="n">
        <v>1.32</v>
      </c>
      <c r="H348" s="7" t="n">
        <v>0</v>
      </c>
      <c r="I348" s="7" t="n">
        <v>-1.32</v>
      </c>
      <c r="J348" s="8" t="n">
        <v>54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ALL_PBM</t>
        </is>
      </c>
      <c r="C349" s="5" t="inlineStr">
        <is>
          <t>65862052305</t>
        </is>
      </c>
      <c r="D349" s="5" t="inlineStr">
        <is>
          <t>GABAPENTIN 600MG TABLET</t>
        </is>
      </c>
      <c r="E349" s="6" t="inlineStr">
        <is>
          <t>500.0</t>
        </is>
      </c>
      <c r="F349" s="7" t="n">
        <v>330</v>
      </c>
      <c r="G349" s="7" t="n">
        <v>0.66</v>
      </c>
      <c r="H349" s="7" t="n">
        <v>1</v>
      </c>
      <c r="I349" s="7" t="n">
        <v>0.34</v>
      </c>
      <c r="J349" s="8" t="n">
        <v>53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ALL_PBM</t>
        </is>
      </c>
      <c r="C350" s="5" t="inlineStr">
        <is>
          <t>53746054501</t>
        </is>
      </c>
      <c r="D350" s="5" t="inlineStr">
        <is>
          <t>PRIMIDONE 250 MG ORAL TABLET</t>
        </is>
      </c>
      <c r="E350" s="6" t="inlineStr">
        <is>
          <t>100.0</t>
        </is>
      </c>
      <c r="F350" s="7" t="n">
        <v>180</v>
      </c>
      <c r="G350" s="7" t="n">
        <v>1.8</v>
      </c>
      <c r="H350" s="7" t="n">
        <v>2</v>
      </c>
      <c r="I350" s="7" t="n">
        <v>0.2</v>
      </c>
      <c r="J350" s="8" t="n">
        <v>53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ALL_PBM</t>
        </is>
      </c>
      <c r="C351" s="5" t="inlineStr">
        <is>
          <t>51672127506</t>
        </is>
      </c>
      <c r="D351" s="5" t="inlineStr">
        <is>
          <t xml:space="preserve">CLOTRIMAZOLE 1% CREAM </t>
        </is>
      </c>
      <c r="E351" s="6" t="inlineStr">
        <is>
          <t>45.0</t>
        </is>
      </c>
      <c r="F351" s="7" t="n">
        <v>225</v>
      </c>
      <c r="G351" s="7" t="n">
        <v>5</v>
      </c>
      <c r="H351" s="7" t="n">
        <v>0</v>
      </c>
      <c r="I351" s="7" t="n">
        <v>-5</v>
      </c>
      <c r="J351" s="8" t="n">
        <v>52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ALL_PBM</t>
        </is>
      </c>
      <c r="C352" s="5" t="inlineStr">
        <is>
          <t>00093736810</t>
        </is>
      </c>
      <c r="D352" s="5" t="inlineStr">
        <is>
          <t>LOSARTAN HCTZ 100-25MG TABLET</t>
        </is>
      </c>
      <c r="E352" s="6" t="inlineStr">
        <is>
          <t>1000.0</t>
        </is>
      </c>
      <c r="F352" s="7" t="n">
        <v>540</v>
      </c>
      <c r="G352" s="7" t="n">
        <v>0.54</v>
      </c>
      <c r="H352" s="7" t="n">
        <v>0</v>
      </c>
      <c r="I352" s="7" t="n">
        <v>-0.54</v>
      </c>
      <c r="J352" s="8" t="n">
        <v>52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ALL_PBM</t>
        </is>
      </c>
      <c r="C353" s="5" t="inlineStr">
        <is>
          <t>00168034720</t>
        </is>
      </c>
      <c r="D353" s="5" t="inlineStr">
        <is>
          <t>TERCONAZOLE 0.8 % VAGINAL CREAM</t>
        </is>
      </c>
      <c r="E353" s="6" t="inlineStr">
        <is>
          <t>20.0</t>
        </is>
      </c>
      <c r="F353" s="7" t="n">
        <v>40</v>
      </c>
      <c r="G353" s="7" t="n">
        <v>2</v>
      </c>
      <c r="H353" s="7" t="n">
        <v>3</v>
      </c>
      <c r="I353" s="7" t="n">
        <v>1</v>
      </c>
      <c r="J353" s="8" t="n">
        <v>52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ALL_PBM</t>
        </is>
      </c>
      <c r="C354" s="5" t="inlineStr">
        <is>
          <t>65862001205</t>
        </is>
      </c>
      <c r="D354" s="5" t="inlineStr">
        <is>
          <t>SERTRALINE 50MG TABLET</t>
        </is>
      </c>
      <c r="E354" s="6" t="inlineStr">
        <is>
          <t>500.0</t>
        </is>
      </c>
      <c r="F354" s="7" t="n">
        <v>405</v>
      </c>
      <c r="G354" s="7" t="n">
        <v>0.8100000000000001</v>
      </c>
      <c r="H354" s="7" t="n">
        <v>2</v>
      </c>
      <c r="I354" s="7" t="n">
        <v>1.19</v>
      </c>
      <c r="J354" s="8" t="n">
        <v>52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ALL_PBM</t>
        </is>
      </c>
      <c r="C355" s="5" t="inlineStr">
        <is>
          <t>16571065710</t>
        </is>
      </c>
      <c r="D355" s="5" t="inlineStr">
        <is>
          <t xml:space="preserve">CEVIMELINE 30MG CAP </t>
        </is>
      </c>
      <c r="E355" s="6" t="inlineStr">
        <is>
          <t>100.0</t>
        </is>
      </c>
      <c r="F355" s="7" t="n">
        <v>90</v>
      </c>
      <c r="G355" s="7" t="n">
        <v>0.9</v>
      </c>
      <c r="H355" s="7" t="n">
        <v>0</v>
      </c>
      <c r="I355" s="7" t="n">
        <v>-0.9</v>
      </c>
      <c r="J355" s="8" t="n">
        <v>52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ALL_PBM</t>
        </is>
      </c>
      <c r="C356" s="5" t="inlineStr">
        <is>
          <t>70710116701</t>
        </is>
      </c>
      <c r="D356" s="5" t="inlineStr">
        <is>
          <t>ATENOLOL-CHLORTHALIDONE 50-25MG TABLET</t>
        </is>
      </c>
      <c r="E356" s="6" t="inlineStr">
        <is>
          <t>100.0</t>
        </is>
      </c>
      <c r="F356" s="7" t="n">
        <v>210</v>
      </c>
      <c r="G356" s="7" t="n">
        <v>2.1</v>
      </c>
      <c r="H356" s="7" t="n">
        <v>3</v>
      </c>
      <c r="I356" s="7" t="n">
        <v>0.8999999999999999</v>
      </c>
      <c r="J356" s="8" t="n">
        <v>52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ALL_PBM</t>
        </is>
      </c>
      <c r="C357" s="5" t="inlineStr">
        <is>
          <t>33342009009</t>
        </is>
      </c>
      <c r="D357" s="5" t="inlineStr">
        <is>
          <t>RIVASTIGMINE TARTRATE 3 MG ORAL CAPSULE</t>
        </is>
      </c>
      <c r="E357" s="6" t="inlineStr">
        <is>
          <t>60.0</t>
        </is>
      </c>
      <c r="F357" s="7" t="n">
        <v>180</v>
      </c>
      <c r="G357" s="7" t="n">
        <v>3</v>
      </c>
      <c r="H357" s="7" t="n">
        <v>0</v>
      </c>
      <c r="I357" s="7" t="n">
        <v>-3</v>
      </c>
      <c r="J357" s="8" t="n">
        <v>52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ALL_PBM</t>
        </is>
      </c>
      <c r="C358" s="5" t="inlineStr">
        <is>
          <t>76204010030</t>
        </is>
      </c>
      <c r="D358" s="5" t="inlineStr">
        <is>
          <t>IPRATROPIUM BROMIDE 0.02 % INHALATION SOLUTION</t>
        </is>
      </c>
      <c r="E358" s="6" t="inlineStr">
        <is>
          <t>75.0</t>
        </is>
      </c>
      <c r="F358" s="7" t="n">
        <v>300</v>
      </c>
      <c r="G358" s="7" t="n">
        <v>4</v>
      </c>
      <c r="H358" s="7" t="n">
        <v>0</v>
      </c>
      <c r="I358" s="7" t="n">
        <v>-4</v>
      </c>
      <c r="J358" s="8" t="n">
        <v>52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ALL_PBM</t>
        </is>
      </c>
      <c r="C359" s="5" t="inlineStr">
        <is>
          <t>24208034425</t>
        </is>
      </c>
      <c r="D359" s="5" t="inlineStr">
        <is>
          <t>FLUNISOLIDE 25 MCG/ACT (0.025%) NASAL SOLUTION</t>
        </is>
      </c>
      <c r="E359" s="6" t="inlineStr">
        <is>
          <t>25.0</t>
        </is>
      </c>
      <c r="F359" s="7" t="n">
        <v>25</v>
      </c>
      <c r="G359" s="7" t="n">
        <v>1</v>
      </c>
      <c r="H359" s="7" t="n">
        <v>1</v>
      </c>
      <c r="I359" s="7" t="n">
        <v>0</v>
      </c>
      <c r="J359" s="8" t="n">
        <v>51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ALL_PBM</t>
        </is>
      </c>
      <c r="C360" s="5" t="inlineStr">
        <is>
          <t>60505057804</t>
        </is>
      </c>
      <c r="D360" s="5" t="inlineStr">
        <is>
          <t>AZELASTINE 0.05% OPHTHALMIC SOLUTION</t>
        </is>
      </c>
      <c r="E360" s="6" t="inlineStr">
        <is>
          <t>6.0</t>
        </is>
      </c>
      <c r="F360" s="7" t="n">
        <v>42</v>
      </c>
      <c r="G360" s="7" t="n">
        <v>7</v>
      </c>
      <c r="H360" s="7" t="n">
        <v>0</v>
      </c>
      <c r="I360" s="7" t="n">
        <v>-7</v>
      </c>
      <c r="J360" s="8" t="n">
        <v>51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ALL_PBM</t>
        </is>
      </c>
      <c r="C361" s="5" t="inlineStr">
        <is>
          <t>68180051802</t>
        </is>
      </c>
      <c r="D361" s="5" t="inlineStr">
        <is>
          <t xml:space="preserve">LISINOPRIL-HCTZ 10-12.5MG TAB </t>
        </is>
      </c>
      <c r="E361" s="6" t="inlineStr">
        <is>
          <t>500.0</t>
        </is>
      </c>
      <c r="F361" s="7" t="n">
        <v>450</v>
      </c>
      <c r="G361" s="7" t="n">
        <v>0.9</v>
      </c>
      <c r="H361" s="7" t="n">
        <v>2</v>
      </c>
      <c r="I361" s="7" t="n">
        <v>1.1</v>
      </c>
      <c r="J361" s="8" t="n">
        <v>51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ALL_PBM</t>
        </is>
      </c>
      <c r="C362" s="5" t="inlineStr">
        <is>
          <t>00074706890</t>
        </is>
      </c>
      <c r="D362" s="5" t="inlineStr">
        <is>
          <t>SYNTHROID 125 MCG ORAL TABLET</t>
        </is>
      </c>
      <c r="E362" s="6" t="inlineStr">
        <is>
          <t>90.0</t>
        </is>
      </c>
      <c r="F362" s="7" t="n">
        <v>30</v>
      </c>
      <c r="G362" s="7" t="n">
        <v>0.3333333333333333</v>
      </c>
      <c r="H362" s="7" t="n">
        <v>1</v>
      </c>
      <c r="I362" s="7" t="n">
        <v>0.6666666666666667</v>
      </c>
      <c r="J362" s="8" t="n">
        <v>50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ALL_PBM</t>
        </is>
      </c>
      <c r="C363" s="5" t="inlineStr">
        <is>
          <t>00115521116</t>
        </is>
      </c>
      <c r="D363" s="5" t="inlineStr">
        <is>
          <t>COLESTIPOL HCL 1 GM ORAL TABLET</t>
        </is>
      </c>
      <c r="E363" s="6" t="inlineStr">
        <is>
          <t>120.0</t>
        </is>
      </c>
      <c r="F363" s="7" t="n">
        <v>90</v>
      </c>
      <c r="G363" s="7" t="n">
        <v>0.75</v>
      </c>
      <c r="H363" s="7" t="n">
        <v>1</v>
      </c>
      <c r="I363" s="7" t="n">
        <v>0.25</v>
      </c>
      <c r="J363" s="8" t="n">
        <v>50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ALL_PBM</t>
        </is>
      </c>
      <c r="C364" s="5" t="inlineStr">
        <is>
          <t>33342005144</t>
        </is>
      </c>
      <c r="D364" s="5" t="inlineStr">
        <is>
          <t>LOSARTANHCTZ 100-12.5 MG TABLET</t>
        </is>
      </c>
      <c r="E364" s="6" t="inlineStr">
        <is>
          <t>1000.0</t>
        </is>
      </c>
      <c r="F364" s="7" t="n">
        <v>390</v>
      </c>
      <c r="G364" s="7" t="n">
        <v>0.39</v>
      </c>
      <c r="H364" s="7" t="n">
        <v>0</v>
      </c>
      <c r="I364" s="7" t="n">
        <v>-0.39</v>
      </c>
      <c r="J364" s="8" t="n">
        <v>50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ALL_PBM</t>
        </is>
      </c>
      <c r="C365" s="5" t="inlineStr">
        <is>
          <t>50111091703</t>
        </is>
      </c>
      <c r="D365" s="5" t="inlineStr">
        <is>
          <t>TORSEMIDE 20MG TABLET</t>
        </is>
      </c>
      <c r="E365" s="6" t="inlineStr">
        <is>
          <t>1000.0</t>
        </is>
      </c>
      <c r="F365" s="7" t="n">
        <v>420</v>
      </c>
      <c r="G365" s="7" t="n">
        <v>0.42</v>
      </c>
      <c r="H365" s="7" t="n">
        <v>0</v>
      </c>
      <c r="I365" s="7" t="n">
        <v>-0.42</v>
      </c>
      <c r="J365" s="8" t="n">
        <v>48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ALL_PBM</t>
        </is>
      </c>
      <c r="C366" s="5" t="inlineStr">
        <is>
          <t>68180052002</t>
        </is>
      </c>
      <c r="D366" s="5" t="inlineStr">
        <is>
          <t xml:space="preserve">LISINOPRIL-HCTZ 20-25MG TAB </t>
        </is>
      </c>
      <c r="E366" s="6" t="inlineStr">
        <is>
          <t>500.0</t>
        </is>
      </c>
      <c r="F366" s="7" t="n">
        <v>360</v>
      </c>
      <c r="G366" s="7" t="n">
        <v>0.72</v>
      </c>
      <c r="H366" s="7" t="n">
        <v>2</v>
      </c>
      <c r="I366" s="7" t="n">
        <v>1.28</v>
      </c>
      <c r="J366" s="8" t="n">
        <v>48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ALL_PBM</t>
        </is>
      </c>
      <c r="C367" s="5" t="inlineStr">
        <is>
          <t>61442010305</t>
        </is>
      </c>
      <c r="D367" s="5" t="inlineStr">
        <is>
          <t xml:space="preserve">DICLOFENAC SOD 75MG TAB DR </t>
        </is>
      </c>
      <c r="E367" s="6" t="inlineStr">
        <is>
          <t>500.0</t>
        </is>
      </c>
      <c r="F367" s="7" t="n">
        <v>210</v>
      </c>
      <c r="G367" s="7" t="n">
        <v>0.42</v>
      </c>
      <c r="H367" s="7" t="n">
        <v>0</v>
      </c>
      <c r="I367" s="7" t="n">
        <v>-0.42</v>
      </c>
      <c r="J367" s="8" t="n">
        <v>48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ALL_PBM</t>
        </is>
      </c>
      <c r="C368" s="5" t="inlineStr">
        <is>
          <t>70377005612</t>
        </is>
      </c>
      <c r="D368" s="5" t="inlineStr">
        <is>
          <t>ESOMEPRAZOLE 40MG CAPSULE DR</t>
        </is>
      </c>
      <c r="E368" s="6" t="inlineStr">
        <is>
          <t>90.0</t>
        </is>
      </c>
      <c r="F368" s="7" t="n">
        <v>210</v>
      </c>
      <c r="G368" s="7" t="n">
        <v>2.333333333333333</v>
      </c>
      <c r="H368" s="7" t="n">
        <v>0</v>
      </c>
      <c r="I368" s="7" t="n">
        <v>-2.333333333333333</v>
      </c>
      <c r="J368" s="8" t="n">
        <v>47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ALL_PBM</t>
        </is>
      </c>
      <c r="C369" s="5" t="inlineStr">
        <is>
          <t>71930005012</t>
        </is>
      </c>
      <c r="D369" s="5" t="inlineStr">
        <is>
          <t>POTASSIUM CITRATE 15MEQ TABLET EXTENDED RELEASE</t>
        </is>
      </c>
      <c r="E369" s="6" t="inlineStr">
        <is>
          <t>100.0</t>
        </is>
      </c>
      <c r="F369" s="7" t="n">
        <v>180</v>
      </c>
      <c r="G369" s="7" t="n">
        <v>1.8</v>
      </c>
      <c r="H369" s="7" t="n">
        <v>0</v>
      </c>
      <c r="I369" s="7" t="n">
        <v>-1.8</v>
      </c>
      <c r="J369" s="8" t="n">
        <v>46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ALL_PBM</t>
        </is>
      </c>
      <c r="C370" s="5" t="inlineStr">
        <is>
          <t>72578000805</t>
        </is>
      </c>
      <c r="D370" s="5" t="inlineStr">
        <is>
          <t>METRONIDAZOLE 500MG TABLET</t>
        </is>
      </c>
      <c r="E370" s="6" t="inlineStr">
        <is>
          <t>500.0</t>
        </is>
      </c>
      <c r="F370" s="7" t="n">
        <v>65</v>
      </c>
      <c r="G370" s="7" t="n">
        <v>0.13</v>
      </c>
      <c r="H370" s="7" t="n">
        <v>0</v>
      </c>
      <c r="I370" s="7" t="n">
        <v>-0.13</v>
      </c>
      <c r="J370" s="8" t="n">
        <v>46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ALL_PBM</t>
        </is>
      </c>
      <c r="C371" s="5" t="inlineStr">
        <is>
          <t>57237004230</t>
        </is>
      </c>
      <c r="D371" s="5" t="inlineStr">
        <is>
          <t>VALACYCLOVIR 500MG TABLET</t>
        </is>
      </c>
      <c r="E371" s="6" t="inlineStr">
        <is>
          <t>30.0</t>
        </is>
      </c>
      <c r="F371" s="7" t="n">
        <v>66</v>
      </c>
      <c r="G371" s="7" t="n">
        <v>2.2</v>
      </c>
      <c r="H371" s="7" t="n">
        <v>0</v>
      </c>
      <c r="I371" s="7" t="n">
        <v>-2.2</v>
      </c>
      <c r="J371" s="8" t="n">
        <v>46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ALL_PBM</t>
        </is>
      </c>
      <c r="C372" s="5" t="inlineStr">
        <is>
          <t>50742011808</t>
        </is>
      </c>
      <c r="D372" s="5" t="inlineStr">
        <is>
          <t>CABERGOLINE 0.5MG TABLET</t>
        </is>
      </c>
      <c r="E372" s="6" t="inlineStr">
        <is>
          <t>8.0</t>
        </is>
      </c>
      <c r="F372" s="7" t="n">
        <v>24</v>
      </c>
      <c r="G372" s="7" t="n">
        <v>3</v>
      </c>
      <c r="H372" s="7" t="n">
        <v>0</v>
      </c>
      <c r="I372" s="7" t="n">
        <v>-3</v>
      </c>
      <c r="J372" s="8" t="n">
        <v>46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ALL_PBM</t>
        </is>
      </c>
      <c r="C373" s="5" t="inlineStr">
        <is>
          <t>62332017460</t>
        </is>
      </c>
      <c r="D373" s="5" t="inlineStr">
        <is>
          <t>LACOSAMIDE 200 MG ORAL TABLET</t>
        </is>
      </c>
      <c r="E373" s="6" t="inlineStr">
        <is>
          <t>60.0</t>
        </is>
      </c>
      <c r="F373" s="7" t="n">
        <v>120</v>
      </c>
      <c r="G373" s="7" t="n">
        <v>2</v>
      </c>
      <c r="H373" s="7" t="n">
        <v>4</v>
      </c>
      <c r="I373" s="7" t="n">
        <v>2</v>
      </c>
      <c r="J373" s="8" t="n">
        <v>46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ALL_PBM</t>
        </is>
      </c>
      <c r="C374" s="5" t="inlineStr">
        <is>
          <t>59651029701</t>
        </is>
      </c>
      <c r="D374" s="5" t="inlineStr">
        <is>
          <t>NIFEDIPINE 90MG TABLET ER</t>
        </is>
      </c>
      <c r="E374" s="6" t="inlineStr">
        <is>
          <t>100.0</t>
        </is>
      </c>
      <c r="F374" s="7" t="n">
        <v>120</v>
      </c>
      <c r="G374" s="7" t="n">
        <v>1.2</v>
      </c>
      <c r="H374" s="7" t="n">
        <v>0</v>
      </c>
      <c r="I374" s="7" t="n">
        <v>-1.2</v>
      </c>
      <c r="J374" s="8" t="n">
        <v>46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ALL_PBM</t>
        </is>
      </c>
      <c r="C375" s="5" t="inlineStr">
        <is>
          <t>65162099708</t>
        </is>
      </c>
      <c r="D375" s="5" t="inlineStr">
        <is>
          <t>DOTTI 0.1 MG/24HR TRANSDERMAL PATCH TWICE WEEKLY</t>
        </is>
      </c>
      <c r="E375" s="6" t="inlineStr">
        <is>
          <t>8.0</t>
        </is>
      </c>
      <c r="F375" s="7" t="n">
        <v>8</v>
      </c>
      <c r="G375" s="7" t="n">
        <v>1</v>
      </c>
      <c r="H375" s="7" t="n">
        <v>0</v>
      </c>
      <c r="I375" s="7" t="n">
        <v>-1</v>
      </c>
      <c r="J375" s="8" t="n">
        <v>46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ALL_PBM</t>
        </is>
      </c>
      <c r="C376" s="5" t="inlineStr">
        <is>
          <t>50111056003</t>
        </is>
      </c>
      <c r="D376" s="5" t="inlineStr">
        <is>
          <t>TRAZODONE 50MG TABLET</t>
        </is>
      </c>
      <c r="E376" s="6" t="inlineStr">
        <is>
          <t>1000.0</t>
        </is>
      </c>
      <c r="F376" s="7" t="n">
        <v>396</v>
      </c>
      <c r="G376" s="7" t="n">
        <v>0.396</v>
      </c>
      <c r="H376" s="7" t="n">
        <v>0</v>
      </c>
      <c r="I376" s="7" t="n">
        <v>-0.396</v>
      </c>
      <c r="J376" s="8" t="n">
        <v>45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ALL_PBM</t>
        </is>
      </c>
      <c r="C377" s="5" t="inlineStr">
        <is>
          <t>08484081028</t>
        </is>
      </c>
      <c r="D377" s="5" t="inlineStr">
        <is>
          <t>LANCETS PRODIGY</t>
        </is>
      </c>
      <c r="E377" s="6" t="inlineStr">
        <is>
          <t>100.0</t>
        </is>
      </c>
      <c r="F377" s="7" t="n">
        <v>500</v>
      </c>
      <c r="G377" s="7" t="n">
        <v>5</v>
      </c>
      <c r="H377" s="7" t="n">
        <v>0</v>
      </c>
      <c r="I377" s="7" t="n">
        <v>-5</v>
      </c>
      <c r="J377" s="8" t="n">
        <v>45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ALL_PBM</t>
        </is>
      </c>
      <c r="C378" s="5" t="inlineStr">
        <is>
          <t>61442010201</t>
        </is>
      </c>
      <c r="D378" s="5" t="inlineStr">
        <is>
          <t xml:space="preserve">DICLOFENAC SOD 50MG TAB DR </t>
        </is>
      </c>
      <c r="E378" s="6" t="inlineStr">
        <is>
          <t>100.0</t>
        </is>
      </c>
      <c r="F378" s="7" t="n">
        <v>240</v>
      </c>
      <c r="G378" s="7" t="n">
        <v>2.4</v>
      </c>
      <c r="H378" s="7" t="n">
        <v>0</v>
      </c>
      <c r="I378" s="7" t="n">
        <v>-2.4</v>
      </c>
      <c r="J378" s="8" t="n">
        <v>45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ALL_PBM</t>
        </is>
      </c>
      <c r="C379" s="5" t="inlineStr">
        <is>
          <t>16729000517</t>
        </is>
      </c>
      <c r="D379" s="5" t="inlineStr">
        <is>
          <t>SIMVASTATIN 20MG TABLET</t>
        </is>
      </c>
      <c r="E379" s="6" t="inlineStr">
        <is>
          <t>1000.0</t>
        </is>
      </c>
      <c r="F379" s="7" t="n">
        <v>930</v>
      </c>
      <c r="G379" s="7" t="n">
        <v>0.93</v>
      </c>
      <c r="H379" s="7" t="n">
        <v>0</v>
      </c>
      <c r="I379" s="7" t="n">
        <v>-0.93</v>
      </c>
      <c r="J379" s="8" t="n">
        <v>45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ALL_PBM</t>
        </is>
      </c>
      <c r="C380" s="5" t="inlineStr">
        <is>
          <t>00904722320</t>
        </is>
      </c>
      <c r="D380" s="5" t="inlineStr">
        <is>
          <t>ROBAFEN DM 20-200 MG/20ML ORAL LIQUID</t>
        </is>
      </c>
      <c r="E380" s="6" t="inlineStr">
        <is>
          <t>118.0</t>
        </is>
      </c>
      <c r="F380" s="7" t="n">
        <v>1180</v>
      </c>
      <c r="G380" s="7" t="n">
        <v>10</v>
      </c>
      <c r="H380" s="7" t="n">
        <v>0</v>
      </c>
      <c r="I380" s="7" t="n">
        <v>-10</v>
      </c>
      <c r="J380" s="8" t="n">
        <v>45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ALL_PBM</t>
        </is>
      </c>
      <c r="C381" s="5" t="inlineStr">
        <is>
          <t>00713063737</t>
        </is>
      </c>
      <c r="D381" s="5" t="inlineStr">
        <is>
          <t>METRONIDAZOLE 0.75 % EXTERNAL GEL</t>
        </is>
      </c>
      <c r="E381" s="6" t="inlineStr">
        <is>
          <t>45.0</t>
        </is>
      </c>
      <c r="F381" s="7" t="n">
        <v>45</v>
      </c>
      <c r="G381" s="7" t="n">
        <v>1</v>
      </c>
      <c r="H381" s="7" t="n">
        <v>0</v>
      </c>
      <c r="I381" s="7" t="n">
        <v>-1</v>
      </c>
      <c r="J381" s="8" t="n">
        <v>45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ALL_PBM</t>
        </is>
      </c>
      <c r="C382" s="5" t="inlineStr">
        <is>
          <t>68180096603</t>
        </is>
      </c>
      <c r="D382" s="5" t="inlineStr">
        <is>
          <t>LEVOTHYROXINE 50MCG TABLET</t>
        </is>
      </c>
      <c r="E382" s="6" t="inlineStr">
        <is>
          <t>1000.0</t>
        </is>
      </c>
      <c r="F382" s="7" t="n">
        <v>180</v>
      </c>
      <c r="G382" s="7" t="n">
        <v>0.18</v>
      </c>
      <c r="H382" s="7" t="n">
        <v>0</v>
      </c>
      <c r="I382" s="7" t="n">
        <v>-0.18</v>
      </c>
      <c r="J382" s="8" t="n">
        <v>44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ALL_PBM</t>
        </is>
      </c>
      <c r="C383" s="5" t="inlineStr">
        <is>
          <t>72888003600</t>
        </is>
      </c>
      <c r="D383" s="5" t="inlineStr">
        <is>
          <t>CARVEDILOL 12.5MG TABLET</t>
        </is>
      </c>
      <c r="E383" s="6" t="inlineStr">
        <is>
          <t>1000.0</t>
        </is>
      </c>
      <c r="F383" s="7" t="n">
        <v>840</v>
      </c>
      <c r="G383" s="7" t="n">
        <v>0.84</v>
      </c>
      <c r="H383" s="7" t="n">
        <v>0</v>
      </c>
      <c r="I383" s="7" t="n">
        <v>-0.84</v>
      </c>
      <c r="J383" s="8" t="n">
        <v>44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ALL_PBM</t>
        </is>
      </c>
      <c r="C384" s="5" t="inlineStr">
        <is>
          <t>72888003700</t>
        </is>
      </c>
      <c r="D384" s="5" t="inlineStr">
        <is>
          <t xml:space="preserve">CARVEDILOL 25 MG TABLET </t>
        </is>
      </c>
      <c r="E384" s="6" t="inlineStr">
        <is>
          <t>1000.0</t>
        </is>
      </c>
      <c r="F384" s="7" t="n">
        <v>930</v>
      </c>
      <c r="G384" s="7" t="n">
        <v>0.93</v>
      </c>
      <c r="H384" s="7" t="n">
        <v>0</v>
      </c>
      <c r="I384" s="7" t="n">
        <v>-0.93</v>
      </c>
      <c r="J384" s="8" t="n">
        <v>44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ALL_PBM</t>
        </is>
      </c>
      <c r="C385" s="5" t="inlineStr">
        <is>
          <t>00168008031</t>
        </is>
      </c>
      <c r="D385" s="5" t="inlineStr">
        <is>
          <t>HYDROCORTISONE 2.5% CREAM</t>
        </is>
      </c>
      <c r="E385" s="6" t="inlineStr">
        <is>
          <t>30.0</t>
        </is>
      </c>
      <c r="F385" s="7" t="n">
        <v>300</v>
      </c>
      <c r="G385" s="7" t="n">
        <v>10</v>
      </c>
      <c r="H385" s="7" t="n">
        <v>7</v>
      </c>
      <c r="I385" s="7" t="n">
        <v>-3</v>
      </c>
      <c r="J385" s="8" t="n">
        <v>44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ALL_PBM</t>
        </is>
      </c>
      <c r="C386" s="5" t="inlineStr">
        <is>
          <t>13107003105</t>
        </is>
      </c>
      <c r="D386" s="5" t="inlineStr">
        <is>
          <t>MIRTAZAPINE 15MG TABLET</t>
        </is>
      </c>
      <c r="E386" s="6" t="inlineStr">
        <is>
          <t>500.0</t>
        </is>
      </c>
      <c r="F386" s="7" t="n">
        <v>300</v>
      </c>
      <c r="G386" s="7" t="n">
        <v>0.6</v>
      </c>
      <c r="H386" s="7" t="n">
        <v>0</v>
      </c>
      <c r="I386" s="7" t="n">
        <v>-0.6</v>
      </c>
      <c r="J386" s="8" t="n">
        <v>44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ALL_PBM</t>
        </is>
      </c>
      <c r="C387" s="5" t="inlineStr">
        <is>
          <t>10702000950</t>
        </is>
      </c>
      <c r="D387" s="5" t="inlineStr">
        <is>
          <t>OXYCODONE 30MG TABLET</t>
        </is>
      </c>
      <c r="E387" s="6" t="inlineStr">
        <is>
          <t>500.0</t>
        </is>
      </c>
      <c r="F387" s="7" t="n">
        <v>120</v>
      </c>
      <c r="G387" s="7" t="n">
        <v>0.24</v>
      </c>
      <c r="H387" s="7" t="n">
        <v>0</v>
      </c>
      <c r="I387" s="7" t="n">
        <v>-0.24</v>
      </c>
      <c r="J387" s="8" t="n">
        <v>43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ALL_PBM</t>
        </is>
      </c>
      <c r="C388" s="5" t="inlineStr">
        <is>
          <t>59651002988</t>
        </is>
      </c>
      <c r="D388" s="5" t="inlineStr">
        <is>
          <t>LO-ZUMANDIMINE 3-0.02 MG ORAL TABLET</t>
        </is>
      </c>
      <c r="E388" s="6" t="inlineStr">
        <is>
          <t>84.0</t>
        </is>
      </c>
      <c r="F388" s="7" t="n">
        <v>196</v>
      </c>
      <c r="G388" s="7" t="n">
        <v>2.333333333333333</v>
      </c>
      <c r="H388" s="7" t="n">
        <v>0</v>
      </c>
      <c r="I388" s="7" t="n">
        <v>-2.333333333333333</v>
      </c>
      <c r="J388" s="8" t="n">
        <v>43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ALL_PBM</t>
        </is>
      </c>
      <c r="C389" s="5" t="inlineStr">
        <is>
          <t>45802049326</t>
        </is>
      </c>
      <c r="D389" s="5" t="inlineStr">
        <is>
          <t>AMMONIUM LACTATE 12%CREAM 385GM</t>
        </is>
      </c>
      <c r="E389" s="6" t="inlineStr">
        <is>
          <t>385.0</t>
        </is>
      </c>
      <c r="F389" s="7" t="n">
        <v>770</v>
      </c>
      <c r="G389" s="7" t="n">
        <v>2</v>
      </c>
      <c r="H389" s="7" t="n">
        <v>0</v>
      </c>
      <c r="I389" s="7" t="n">
        <v>-2</v>
      </c>
      <c r="J389" s="8" t="n">
        <v>43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ALL_PBM</t>
        </is>
      </c>
      <c r="C390" s="5" t="inlineStr">
        <is>
          <t>57664050289</t>
        </is>
      </c>
      <c r="D390" s="5" t="inlineStr">
        <is>
          <t>TIZANIDINE 2MG TABLET</t>
        </is>
      </c>
      <c r="E390" s="6" t="inlineStr">
        <is>
          <t>150.0</t>
        </is>
      </c>
      <c r="F390" s="7" t="n">
        <v>270</v>
      </c>
      <c r="G390" s="7" t="n">
        <v>1.8</v>
      </c>
      <c r="H390" s="7" t="n">
        <v>0</v>
      </c>
      <c r="I390" s="7" t="n">
        <v>-1.8</v>
      </c>
      <c r="J390" s="8" t="n">
        <v>42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ALL_PBM</t>
        </is>
      </c>
      <c r="C391" s="5" t="inlineStr">
        <is>
          <t>00093172101</t>
        </is>
      </c>
      <c r="D391" s="5" t="inlineStr">
        <is>
          <t xml:space="preserve">WARFARIN SODIUM 5MG TAB </t>
        </is>
      </c>
      <c r="E391" s="6" t="inlineStr">
        <is>
          <t>100.0</t>
        </is>
      </c>
      <c r="F391" s="7" t="n">
        <v>150</v>
      </c>
      <c r="G391" s="7" t="n">
        <v>1.5</v>
      </c>
      <c r="H391" s="7" t="n">
        <v>2</v>
      </c>
      <c r="I391" s="7" t="n">
        <v>0.5</v>
      </c>
      <c r="J391" s="8" t="n">
        <v>42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ALL_PBM</t>
        </is>
      </c>
      <c r="C392" s="5" t="inlineStr">
        <is>
          <t>62332018203</t>
        </is>
      </c>
      <c r="D392" s="5" t="inlineStr">
        <is>
          <t>ZOLMITRIPTAN 5 MG ORAL TABLET DISINTEGRATING</t>
        </is>
      </c>
      <c r="E392" s="6" t="inlineStr">
        <is>
          <t>3.0</t>
        </is>
      </c>
      <c r="F392" s="7" t="n">
        <v>9</v>
      </c>
      <c r="G392" s="7" t="n">
        <v>3</v>
      </c>
      <c r="H392" s="7" t="n">
        <v>3</v>
      </c>
      <c r="I392" s="7" t="n">
        <v>0</v>
      </c>
      <c r="J392" s="8" t="n">
        <v>41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ALL_PBM</t>
        </is>
      </c>
      <c r="C393" s="5" t="inlineStr">
        <is>
          <t>45802046653</t>
        </is>
      </c>
      <c r="D393" s="5" t="inlineStr">
        <is>
          <t xml:space="preserve">ECONAZOLE NITRATE 1% CREAM </t>
        </is>
      </c>
      <c r="E393" s="6" t="inlineStr">
        <is>
          <t>85.0</t>
        </is>
      </c>
      <c r="F393" s="7" t="n">
        <v>85</v>
      </c>
      <c r="G393" s="7" t="n">
        <v>1</v>
      </c>
      <c r="H393" s="7" t="n">
        <v>0</v>
      </c>
      <c r="I393" s="7" t="n">
        <v>-1</v>
      </c>
      <c r="J393" s="8" t="n">
        <v>41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ALL_PBM</t>
        </is>
      </c>
      <c r="C394" s="5" t="inlineStr">
        <is>
          <t>68462010230</t>
        </is>
      </c>
      <c r="D394" s="5" t="inlineStr">
        <is>
          <t>FLUCONAZOLE 100 MG ORAL TABLET</t>
        </is>
      </c>
      <c r="E394" s="6" t="inlineStr">
        <is>
          <t>30.0</t>
        </is>
      </c>
      <c r="F394" s="7" t="n">
        <v>36</v>
      </c>
      <c r="G394" s="7" t="n">
        <v>1.2</v>
      </c>
      <c r="H394" s="7" t="n">
        <v>0</v>
      </c>
      <c r="I394" s="7" t="n">
        <v>-1.2</v>
      </c>
      <c r="J394" s="8" t="n">
        <v>41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ALL_PBM</t>
        </is>
      </c>
      <c r="C395" s="5" t="inlineStr">
        <is>
          <t>75907002448</t>
        </is>
      </c>
      <c r="D395" s="5" t="inlineStr">
        <is>
          <t>CLONIDINE 0.2 MG/24HR TRANSDERMAL PATCH WEEKLY</t>
        </is>
      </c>
      <c r="E395" s="6" t="inlineStr">
        <is>
          <t>4.0</t>
        </is>
      </c>
      <c r="F395" s="7" t="n">
        <v>4</v>
      </c>
      <c r="G395" s="7" t="n">
        <v>1</v>
      </c>
      <c r="H395" s="7" t="n">
        <v>2</v>
      </c>
      <c r="I395" s="7" t="n">
        <v>1</v>
      </c>
      <c r="J395" s="8" t="n">
        <v>41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ALL_PBM</t>
        </is>
      </c>
      <c r="C396" s="5" t="inlineStr">
        <is>
          <t>00378705752</t>
        </is>
      </c>
      <c r="D396" s="5" t="inlineStr">
        <is>
          <t>ALBUTEROL SULFATE 0.63 MG/3ML INHALATION NEBULIZATION SOLUTION</t>
        </is>
      </c>
      <c r="E396" s="6" t="inlineStr">
        <is>
          <t>75.0</t>
        </is>
      </c>
      <c r="F396" s="7" t="n">
        <v>225</v>
      </c>
      <c r="G396" s="7" t="n">
        <v>3</v>
      </c>
      <c r="H396" s="7" t="n">
        <v>0</v>
      </c>
      <c r="I396" s="7" t="n">
        <v>-3</v>
      </c>
      <c r="J396" s="8" t="n">
        <v>41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ALL_PBM</t>
        </is>
      </c>
      <c r="C397" s="5" t="inlineStr">
        <is>
          <t>69315030810</t>
        </is>
      </c>
      <c r="D397" s="5" t="inlineStr">
        <is>
          <t>CIPROFLOXACIN HCL 0.3 % OPHTHALMIC SOLUTION</t>
        </is>
      </c>
      <c r="E397" s="6" t="inlineStr">
        <is>
          <t>10.0</t>
        </is>
      </c>
      <c r="F397" s="7" t="n">
        <v>30</v>
      </c>
      <c r="G397" s="7" t="n">
        <v>3</v>
      </c>
      <c r="H397" s="7" t="n">
        <v>3</v>
      </c>
      <c r="I397" s="7" t="n">
        <v>0</v>
      </c>
      <c r="J397" s="8" t="n">
        <v>41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ALL_PBM</t>
        </is>
      </c>
      <c r="C398" s="5" t="inlineStr">
        <is>
          <t>67877024910</t>
        </is>
      </c>
      <c r="D398" s="5" t="inlineStr">
        <is>
          <t>QUETIAPINE 50MG TABLET</t>
        </is>
      </c>
      <c r="E398" s="6" t="inlineStr">
        <is>
          <t>1000.0</t>
        </is>
      </c>
      <c r="F398" s="7" t="n">
        <v>300</v>
      </c>
      <c r="G398" s="7" t="n">
        <v>0.3</v>
      </c>
      <c r="H398" s="7" t="n">
        <v>0</v>
      </c>
      <c r="I398" s="7" t="n">
        <v>-0.3</v>
      </c>
      <c r="J398" s="8" t="n">
        <v>40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ALL_PBM</t>
        </is>
      </c>
      <c r="C399" s="5" t="inlineStr">
        <is>
          <t>59651072405</t>
        </is>
      </c>
      <c r="D399" s="5" t="inlineStr">
        <is>
          <t>CLONAZEPAM 2MG TABLET</t>
        </is>
      </c>
      <c r="E399" s="6" t="inlineStr">
        <is>
          <t>500.0</t>
        </is>
      </c>
      <c r="F399" s="7" t="n">
        <v>350</v>
      </c>
      <c r="G399" s="7" t="n">
        <v>0.7</v>
      </c>
      <c r="H399" s="7" t="n">
        <v>1</v>
      </c>
      <c r="I399" s="7" t="n">
        <v>0.3</v>
      </c>
      <c r="J399" s="8" t="n">
        <v>40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ALL_PBM</t>
        </is>
      </c>
      <c r="C400" s="5" t="inlineStr">
        <is>
          <t>76204080025</t>
        </is>
      </c>
      <c r="D400" s="5" t="inlineStr">
        <is>
          <t>LEVALBUTEROL HCL 0.63 MG/3ML INHALATION NEBULIZATION SOLUTION</t>
        </is>
      </c>
      <c r="E400" s="6" t="inlineStr">
        <is>
          <t>75.0</t>
        </is>
      </c>
      <c r="F400" s="7" t="n">
        <v>225</v>
      </c>
      <c r="G400" s="7" t="n">
        <v>3</v>
      </c>
      <c r="H400" s="7" t="n">
        <v>0</v>
      </c>
      <c r="I400" s="7" t="n">
        <v>-3</v>
      </c>
      <c r="J400" s="8" t="n">
        <v>40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ALL_PBM</t>
        </is>
      </c>
      <c r="C401" s="5" t="inlineStr">
        <is>
          <t>69097017353</t>
        </is>
      </c>
      <c r="D401" s="5" t="inlineStr">
        <is>
          <t>IPRATROPIUM-ALBUTEROL 0.5-2.5 (3)MG/3ML SOLUTION</t>
        </is>
      </c>
      <c r="E401" s="6" t="inlineStr">
        <is>
          <t>90.0</t>
        </is>
      </c>
      <c r="F401" s="7" t="n">
        <v>630</v>
      </c>
      <c r="G401" s="7" t="n">
        <v>7</v>
      </c>
      <c r="H401" s="7" t="n">
        <v>0</v>
      </c>
      <c r="I401" s="7" t="n">
        <v>-7</v>
      </c>
      <c r="J401" s="8" t="n">
        <v>40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ALL_PBM</t>
        </is>
      </c>
      <c r="C402" s="5" t="inlineStr">
        <is>
          <t>00781286810</t>
        </is>
      </c>
      <c r="D402" s="5" t="inlineStr">
        <is>
          <t>OMEPRAZOLE 20MG CAPSULE DR</t>
        </is>
      </c>
      <c r="E402" s="6" t="inlineStr">
        <is>
          <t>1000.0</t>
        </is>
      </c>
      <c r="F402" s="7" t="n">
        <v>1320</v>
      </c>
      <c r="G402" s="7" t="n">
        <v>1.32</v>
      </c>
      <c r="H402" s="7" t="n">
        <v>0</v>
      </c>
      <c r="I402" s="7" t="n">
        <v>-1.32</v>
      </c>
      <c r="J402" s="8" t="n">
        <v>40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ALL_PBM</t>
        </is>
      </c>
      <c r="C403" s="5" t="inlineStr">
        <is>
          <t>57237022005</t>
        </is>
      </c>
      <c r="D403" s="5" t="inlineStr">
        <is>
          <t>PIOGLITAZONE 30MG TABLET</t>
        </is>
      </c>
      <c r="E403" s="6" t="inlineStr">
        <is>
          <t>500.0</t>
        </is>
      </c>
      <c r="F403" s="7" t="n">
        <v>390</v>
      </c>
      <c r="G403" s="7" t="n">
        <v>0.78</v>
      </c>
      <c r="H403" s="7" t="n">
        <v>1</v>
      </c>
      <c r="I403" s="7" t="n">
        <v>0.22</v>
      </c>
      <c r="J403" s="8" t="n">
        <v>40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ALL_PBM</t>
        </is>
      </c>
      <c r="C404" s="5" t="inlineStr">
        <is>
          <t>00904650106</t>
        </is>
      </c>
      <c r="D404" s="5" t="inlineStr">
        <is>
          <t>FLUCONAZOLE 200 MG ORAL TABLET</t>
        </is>
      </c>
      <c r="E404" s="6" t="inlineStr">
        <is>
          <t>50.0</t>
        </is>
      </c>
      <c r="F404" s="7" t="n">
        <v>78</v>
      </c>
      <c r="G404" s="7" t="n">
        <v>1.56</v>
      </c>
      <c r="H404" s="7" t="n">
        <v>0</v>
      </c>
      <c r="I404" s="7" t="n">
        <v>-1.56</v>
      </c>
      <c r="J404" s="8" t="n">
        <v>40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ALL_PBM</t>
        </is>
      </c>
      <c r="C405" s="5" t="inlineStr">
        <is>
          <t>72205020090</t>
        </is>
      </c>
      <c r="D405" s="5" t="inlineStr">
        <is>
          <t>ROFLUMILAST 500 MCG ORAL TABLET</t>
        </is>
      </c>
      <c r="E405" s="6" t="inlineStr">
        <is>
          <t>90.0</t>
        </is>
      </c>
      <c r="F405" s="7" t="n">
        <v>90</v>
      </c>
      <c r="G405" s="7" t="n">
        <v>1</v>
      </c>
      <c r="H405" s="7" t="n">
        <v>0</v>
      </c>
      <c r="I405" s="7" t="n">
        <v>-1</v>
      </c>
      <c r="J405" s="8" t="n">
        <v>40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ALL_PBM</t>
        </is>
      </c>
      <c r="C406" s="5" t="inlineStr">
        <is>
          <t>67877025001</t>
        </is>
      </c>
      <c r="D406" s="5" t="inlineStr">
        <is>
          <t>QUETIAPINE FUMARATE 100MG TABLET</t>
        </is>
      </c>
      <c r="E406" s="6" t="inlineStr">
        <is>
          <t>100.0</t>
        </is>
      </c>
      <c r="F406" s="7" t="n">
        <v>285</v>
      </c>
      <c r="G406" s="7" t="n">
        <v>2.85</v>
      </c>
      <c r="H406" s="7" t="n">
        <v>0</v>
      </c>
      <c r="I406" s="7" t="n">
        <v>-2.85</v>
      </c>
      <c r="J406" s="8" t="n">
        <v>39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ALL_PBM</t>
        </is>
      </c>
      <c r="C407" s="5" t="inlineStr">
        <is>
          <t>68180096503</t>
        </is>
      </c>
      <c r="D407" s="5" t="inlineStr">
        <is>
          <t>LEVOTHYROXINE 25MCG TABLET</t>
        </is>
      </c>
      <c r="E407" s="6" t="inlineStr">
        <is>
          <t>1000.0</t>
        </is>
      </c>
      <c r="F407" s="7" t="n">
        <v>240</v>
      </c>
      <c r="G407" s="7" t="n">
        <v>0.24</v>
      </c>
      <c r="H407" s="7" t="n">
        <v>0</v>
      </c>
      <c r="I407" s="7" t="n">
        <v>-0.24</v>
      </c>
      <c r="J407" s="8" t="n">
        <v>39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ALL_PBM</t>
        </is>
      </c>
      <c r="C408" s="5" t="inlineStr">
        <is>
          <t>57664068788</t>
        </is>
      </c>
      <c r="D408" s="5" t="inlineStr">
        <is>
          <t>AMITRIPTYLINE 10 MG TABLET</t>
        </is>
      </c>
      <c r="E408" s="6" t="inlineStr">
        <is>
          <t>100.0</t>
        </is>
      </c>
      <c r="F408" s="7" t="n">
        <v>240</v>
      </c>
      <c r="G408" s="7" t="n">
        <v>2.4</v>
      </c>
      <c r="H408" s="7" t="n">
        <v>0</v>
      </c>
      <c r="I408" s="7" t="n">
        <v>-2.4</v>
      </c>
      <c r="J408" s="8" t="n">
        <v>39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ALL_PBM</t>
        </is>
      </c>
      <c r="C409" s="5" t="inlineStr">
        <is>
          <t>67877024201</t>
        </is>
      </c>
      <c r="D409" s="5" t="inlineStr">
        <is>
          <t>QUETIAPINE 25MG TABLET</t>
        </is>
      </c>
      <c r="E409" s="6" t="inlineStr">
        <is>
          <t>100.0</t>
        </is>
      </c>
      <c r="F409" s="7" t="n">
        <v>231</v>
      </c>
      <c r="G409" s="7" t="n">
        <v>2.31</v>
      </c>
      <c r="H409" s="7" t="n">
        <v>0</v>
      </c>
      <c r="I409" s="7" t="n">
        <v>-2.31</v>
      </c>
      <c r="J409" s="8" t="n">
        <v>39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ALL_PBM</t>
        </is>
      </c>
      <c r="C410" s="5" t="inlineStr">
        <is>
          <t>00555904958</t>
        </is>
      </c>
      <c r="D410" s="5" t="inlineStr">
        <is>
          <t>CRYSELLE-28 0.3-0.03MG TABLET</t>
        </is>
      </c>
      <c r="E410" s="6" t="inlineStr">
        <is>
          <t>28.0</t>
        </is>
      </c>
      <c r="F410" s="7" t="n">
        <v>84</v>
      </c>
      <c r="G410" s="7" t="n">
        <v>3</v>
      </c>
      <c r="H410" s="7" t="n">
        <v>0</v>
      </c>
      <c r="I410" s="7" t="n">
        <v>-3</v>
      </c>
      <c r="J410" s="8" t="n">
        <v>39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ALL_PBM</t>
        </is>
      </c>
      <c r="C411" s="5" t="inlineStr">
        <is>
          <t>70010006405</t>
        </is>
      </c>
      <c r="D411" s="5" t="inlineStr">
        <is>
          <t>METFORMIN HCL 850 MG ORAL TABLET</t>
        </is>
      </c>
      <c r="E411" s="6" t="inlineStr">
        <is>
          <t>500.0</t>
        </is>
      </c>
      <c r="F411" s="7" t="n">
        <v>870</v>
      </c>
      <c r="G411" s="7" t="n">
        <v>1.74</v>
      </c>
      <c r="H411" s="7" t="n">
        <v>3</v>
      </c>
      <c r="I411" s="7" t="n">
        <v>1.26</v>
      </c>
      <c r="J411" s="8" t="n">
        <v>39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ALL_PBM</t>
        </is>
      </c>
      <c r="C412" s="5" t="inlineStr">
        <is>
          <t>65862052405</t>
        </is>
      </c>
      <c r="D412" s="5" t="inlineStr">
        <is>
          <t>GABAPENTIN 800 MG TABLET</t>
        </is>
      </c>
      <c r="E412" s="6" t="inlineStr">
        <is>
          <t>500.0</t>
        </is>
      </c>
      <c r="F412" s="7" t="n">
        <v>570</v>
      </c>
      <c r="G412" s="7" t="n">
        <v>1.14</v>
      </c>
      <c r="H412" s="7" t="n">
        <v>2</v>
      </c>
      <c r="I412" s="7" t="n">
        <v>0.8600000000000001</v>
      </c>
      <c r="J412" s="8" t="n">
        <v>39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ALL_PBM</t>
        </is>
      </c>
      <c r="C413" s="5" t="inlineStr">
        <is>
          <t>65862001105</t>
        </is>
      </c>
      <c r="D413" s="5" t="inlineStr">
        <is>
          <t>SERTRALINE 25MG TABLET</t>
        </is>
      </c>
      <c r="E413" s="6" t="inlineStr">
        <is>
          <t>500.0</t>
        </is>
      </c>
      <c r="F413" s="7" t="n">
        <v>330</v>
      </c>
      <c r="G413" s="7" t="n">
        <v>0.66</v>
      </c>
      <c r="H413" s="7" t="n">
        <v>0</v>
      </c>
      <c r="I413" s="7" t="n">
        <v>-0.66</v>
      </c>
      <c r="J413" s="8" t="n">
        <v>38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ALL_PBM</t>
        </is>
      </c>
      <c r="C414" s="5" t="inlineStr">
        <is>
          <t>64980051505</t>
        </is>
      </c>
      <c r="D414" s="5" t="inlineStr">
        <is>
          <t xml:space="preserve">OFLOXACIN 0.3% SOL (EYE) </t>
        </is>
      </c>
      <c r="E414" s="6" t="inlineStr">
        <is>
          <t>5.0</t>
        </is>
      </c>
      <c r="F414" s="7" t="n">
        <v>10</v>
      </c>
      <c r="G414" s="7" t="n">
        <v>2</v>
      </c>
      <c r="H414" s="7" t="n">
        <v>0</v>
      </c>
      <c r="I414" s="7" t="n">
        <v>-2</v>
      </c>
      <c r="J414" s="8" t="n">
        <v>38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ALL_PBM</t>
        </is>
      </c>
      <c r="C415" s="5" t="inlineStr">
        <is>
          <t>70756040411</t>
        </is>
      </c>
      <c r="D415" s="5" t="inlineStr">
        <is>
          <t>NITROFURANTOIN MONOHYD MACRO 100 MG ORAL CAPSULE</t>
        </is>
      </c>
      <c r="E415" s="6" t="inlineStr">
        <is>
          <t>100.0</t>
        </is>
      </c>
      <c r="F415" s="7" t="n">
        <v>68</v>
      </c>
      <c r="G415" s="7" t="n">
        <v>0.68</v>
      </c>
      <c r="H415" s="7" t="n">
        <v>2</v>
      </c>
      <c r="I415" s="7" t="n">
        <v>1.32</v>
      </c>
      <c r="J415" s="8" t="n">
        <v>38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ALL_PBM</t>
        </is>
      </c>
      <c r="C416" s="5" t="inlineStr">
        <is>
          <t>33342028007</t>
        </is>
      </c>
      <c r="D416" s="5" t="inlineStr">
        <is>
          <t>AMLODIPINE BESYLATE-VALSARTAN 10-160 MG ORAL TABLET</t>
        </is>
      </c>
      <c r="E416" s="6" t="inlineStr">
        <is>
          <t>30.0</t>
        </is>
      </c>
      <c r="F416" s="7" t="n">
        <v>120</v>
      </c>
      <c r="G416" s="7" t="n">
        <v>4</v>
      </c>
      <c r="H416" s="7" t="n">
        <v>6</v>
      </c>
      <c r="I416" s="7" t="n">
        <v>2</v>
      </c>
      <c r="J416" s="8" t="n">
        <v>38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ALL_PBM</t>
        </is>
      </c>
      <c r="C417" s="5" t="inlineStr">
        <is>
          <t>23155077310</t>
        </is>
      </c>
      <c r="D417" s="5" t="inlineStr">
        <is>
          <t>ENALAPRIL 20MG TABLET</t>
        </is>
      </c>
      <c r="E417" s="6" t="inlineStr">
        <is>
          <t>1000.0</t>
        </is>
      </c>
      <c r="F417" s="7" t="n">
        <v>270</v>
      </c>
      <c r="G417" s="7" t="n">
        <v>0.27</v>
      </c>
      <c r="H417" s="7" t="n">
        <v>0</v>
      </c>
      <c r="I417" s="7" t="n">
        <v>-0.27</v>
      </c>
      <c r="J417" s="8" t="n">
        <v>38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ALL_PBM</t>
        </is>
      </c>
      <c r="C418" s="5" t="inlineStr">
        <is>
          <t>43547042409</t>
        </is>
      </c>
      <c r="D418" s="5" t="inlineStr">
        <is>
          <t>LOSARTAN-HCTZ 100-25MG TABLET</t>
        </is>
      </c>
      <c r="E418" s="6" t="inlineStr">
        <is>
          <t>90.0</t>
        </is>
      </c>
      <c r="F418" s="7" t="n">
        <v>420</v>
      </c>
      <c r="G418" s="7" t="n">
        <v>4.666666666666667</v>
      </c>
      <c r="H418" s="7" t="n">
        <v>1</v>
      </c>
      <c r="I418" s="7" t="n">
        <v>-3.666666666666667</v>
      </c>
      <c r="J418" s="8" t="n">
        <v>38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ALL_PBM</t>
        </is>
      </c>
      <c r="C419" s="5" t="inlineStr">
        <is>
          <t>23155050110</t>
        </is>
      </c>
      <c r="D419" s="5" t="inlineStr">
        <is>
          <t>HYDROXYZINE HCL 25MG TABLET</t>
        </is>
      </c>
      <c r="E419" s="6" t="inlineStr">
        <is>
          <t>1000.0</t>
        </is>
      </c>
      <c r="F419" s="7" t="n">
        <v>367</v>
      </c>
      <c r="G419" s="7" t="n">
        <v>0.367</v>
      </c>
      <c r="H419" s="7" t="n">
        <v>0</v>
      </c>
      <c r="I419" s="7" t="n">
        <v>-0.367</v>
      </c>
      <c r="J419" s="8" t="n">
        <v>37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ALL_PBM</t>
        </is>
      </c>
      <c r="C420" s="5" t="inlineStr">
        <is>
          <t>67877019710</t>
        </is>
      </c>
      <c r="D420" s="5" t="inlineStr">
        <is>
          <t>AMLODIPINE 2.5MG TABLET</t>
        </is>
      </c>
      <c r="E420" s="6" t="inlineStr">
        <is>
          <t>1000.0</t>
        </is>
      </c>
      <c r="F420" s="7" t="n">
        <v>660</v>
      </c>
      <c r="G420" s="7" t="n">
        <v>0.66</v>
      </c>
      <c r="H420" s="7" t="n">
        <v>1</v>
      </c>
      <c r="I420" s="7" t="n">
        <v>0.34</v>
      </c>
      <c r="J420" s="8" t="n">
        <v>37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ALL_PBM</t>
        </is>
      </c>
      <c r="C421" s="5" t="inlineStr">
        <is>
          <t>69315030660</t>
        </is>
      </c>
      <c r="D421" s="5" t="inlineStr">
        <is>
          <t>NYSTATIN 100000 UNIT/GM EXTERNAL POWDER</t>
        </is>
      </c>
      <c r="E421" s="6" t="inlineStr">
        <is>
          <t>60.0</t>
        </is>
      </c>
      <c r="F421" s="7" t="n">
        <v>60</v>
      </c>
      <c r="G421" s="7" t="n">
        <v>1</v>
      </c>
      <c r="H421" s="7" t="n">
        <v>0</v>
      </c>
      <c r="I421" s="7" t="n">
        <v>-1</v>
      </c>
      <c r="J421" s="8" t="n">
        <v>37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ALL_PBM</t>
        </is>
      </c>
      <c r="C422" s="5" t="inlineStr">
        <is>
          <t>61442019205</t>
        </is>
      </c>
      <c r="D422" s="5" t="inlineStr">
        <is>
          <t>MEMANTINE 5MG TABLET</t>
        </is>
      </c>
      <c r="E422" s="6" t="inlineStr">
        <is>
          <t>500.0</t>
        </is>
      </c>
      <c r="F422" s="7" t="n">
        <v>270</v>
      </c>
      <c r="G422" s="7" t="n">
        <v>0.54</v>
      </c>
      <c r="H422" s="7" t="n">
        <v>0</v>
      </c>
      <c r="I422" s="7" t="n">
        <v>-0.54</v>
      </c>
      <c r="J422" s="8" t="n">
        <v>37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ALL_PBM</t>
        </is>
      </c>
      <c r="C423" s="5" t="inlineStr">
        <is>
          <t>00781712254</t>
        </is>
      </c>
      <c r="D423" s="5" t="inlineStr">
        <is>
          <t>ESTRADIOL 0.0375 MG/24HR TRANSDERMAL PATCH WEEKLY</t>
        </is>
      </c>
      <c r="E423" s="6" t="inlineStr">
        <is>
          <t>4.0</t>
        </is>
      </c>
      <c r="F423" s="7" t="n">
        <v>4</v>
      </c>
      <c r="G423" s="7" t="n">
        <v>1</v>
      </c>
      <c r="H423" s="7" t="n">
        <v>2</v>
      </c>
      <c r="I423" s="7" t="n">
        <v>1</v>
      </c>
      <c r="J423" s="8" t="n">
        <v>37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ALL_PBM</t>
        </is>
      </c>
      <c r="C424" s="5" t="inlineStr">
        <is>
          <t>00536100715</t>
        </is>
      </c>
      <c r="D424" s="5" t="inlineStr">
        <is>
          <t>CALCIUM CARBONATE 500MG TABLET CHEWABLE</t>
        </is>
      </c>
      <c r="E424" s="6" t="inlineStr">
        <is>
          <t>150.0</t>
        </is>
      </c>
      <c r="F424" s="7" t="n">
        <v>390</v>
      </c>
      <c r="G424" s="7" t="n">
        <v>2.6</v>
      </c>
      <c r="H424" s="7" t="n">
        <v>6</v>
      </c>
      <c r="I424" s="7" t="n">
        <v>3.4</v>
      </c>
      <c r="J424" s="8" t="n">
        <v>37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ALL_PBM</t>
        </is>
      </c>
      <c r="C425" s="5" t="inlineStr">
        <is>
          <t>00378581377</t>
        </is>
      </c>
      <c r="D425" s="5" t="inlineStr">
        <is>
          <t>VALSARTAN 80MG TABLET</t>
        </is>
      </c>
      <c r="E425" s="6" t="inlineStr">
        <is>
          <t>90.0</t>
        </is>
      </c>
      <c r="F425" s="7" t="n">
        <v>150</v>
      </c>
      <c r="G425" s="7" t="n">
        <v>1.666666666666667</v>
      </c>
      <c r="H425" s="7" t="n">
        <v>0</v>
      </c>
      <c r="I425" s="7" t="n">
        <v>-1.666666666666667</v>
      </c>
      <c r="J425" s="8" t="n">
        <v>37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ALL_PBM</t>
        </is>
      </c>
      <c r="C426" s="5" t="inlineStr">
        <is>
          <t>00143924920</t>
        </is>
      </c>
      <c r="D426" s="5" t="inlineStr">
        <is>
          <t xml:space="preserve">AMOXICILLIN-POT CLAVULANATE 875-125 MG TABLET </t>
        </is>
      </c>
      <c r="E426" s="6" t="inlineStr">
        <is>
          <t>20.0</t>
        </is>
      </c>
      <c r="F426" s="7" t="n">
        <v>62</v>
      </c>
      <c r="G426" s="7" t="n">
        <v>3.1</v>
      </c>
      <c r="H426" s="7" t="n">
        <v>0</v>
      </c>
      <c r="I426" s="7" t="n">
        <v>-3.1</v>
      </c>
      <c r="J426" s="8" t="n">
        <v>36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ALL_PBM</t>
        </is>
      </c>
      <c r="C427" s="5" t="inlineStr">
        <is>
          <t>00093745601</t>
        </is>
      </c>
      <c r="D427" s="5" t="inlineStr">
        <is>
          <t>GLIPIZIDE-METFORMIN 2.5-500MG TABLET</t>
        </is>
      </c>
      <c r="E427" s="6" t="inlineStr">
        <is>
          <t>100.0</t>
        </is>
      </c>
      <c r="F427" s="7" t="n">
        <v>120</v>
      </c>
      <c r="G427" s="7" t="n">
        <v>1.2</v>
      </c>
      <c r="H427" s="7" t="n">
        <v>0</v>
      </c>
      <c r="I427" s="7" t="n">
        <v>-1.2</v>
      </c>
      <c r="J427" s="8" t="n">
        <v>36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ALL_PBM</t>
        </is>
      </c>
      <c r="C428" s="5" t="inlineStr">
        <is>
          <t>47781019601</t>
        </is>
      </c>
      <c r="D428" s="5" t="inlineStr">
        <is>
          <t>OXYCODONE-ACETAMINOPHEN 5-325 MG ORAL TABLET</t>
        </is>
      </c>
      <c r="E428" s="6" t="inlineStr">
        <is>
          <t>100.0</t>
        </is>
      </c>
      <c r="F428" s="7" t="n">
        <v>225</v>
      </c>
      <c r="G428" s="7" t="n">
        <v>2.25</v>
      </c>
      <c r="H428" s="7" t="n">
        <v>0</v>
      </c>
      <c r="I428" s="7" t="n">
        <v>-2.25</v>
      </c>
      <c r="J428" s="8" t="n">
        <v>36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ALL_PBM</t>
        </is>
      </c>
      <c r="C429" s="5" t="inlineStr">
        <is>
          <t>51672407008</t>
        </is>
      </c>
      <c r="D429" s="5" t="inlineStr">
        <is>
          <t>CETIRIZINE HCL 1 MG/ML ORAL SOLUTION</t>
        </is>
      </c>
      <c r="E429" s="6" t="inlineStr">
        <is>
          <t>120.0</t>
        </is>
      </c>
      <c r="F429" s="7" t="n">
        <v>720</v>
      </c>
      <c r="G429" s="7" t="n">
        <v>6</v>
      </c>
      <c r="H429" s="7" t="n">
        <v>0</v>
      </c>
      <c r="I429" s="7" t="n">
        <v>-6</v>
      </c>
      <c r="J429" s="8" t="n">
        <v>36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ALL_PBM</t>
        </is>
      </c>
      <c r="C430" s="5" t="inlineStr">
        <is>
          <t>65862001305</t>
        </is>
      </c>
      <c r="D430" s="5" t="inlineStr">
        <is>
          <t>SERTRALINE 100MG TABLET</t>
        </is>
      </c>
      <c r="E430" s="6" t="inlineStr">
        <is>
          <t>500.0</t>
        </is>
      </c>
      <c r="F430" s="7" t="n">
        <v>330</v>
      </c>
      <c r="G430" s="7" t="n">
        <v>0.66</v>
      </c>
      <c r="H430" s="7" t="n">
        <v>0</v>
      </c>
      <c r="I430" s="7" t="n">
        <v>-0.66</v>
      </c>
      <c r="J430" s="8" t="n">
        <v>35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ALL_PBM</t>
        </is>
      </c>
      <c r="C431" s="5" t="inlineStr">
        <is>
          <t>52817018010</t>
        </is>
      </c>
      <c r="D431" s="5" t="inlineStr">
        <is>
          <t xml:space="preserve">CLONIDINE 0.1MG TAB </t>
        </is>
      </c>
      <c r="E431" s="6" t="inlineStr">
        <is>
          <t>100.0</t>
        </is>
      </c>
      <c r="F431" s="7" t="n">
        <v>193</v>
      </c>
      <c r="G431" s="7" t="n">
        <v>1.93</v>
      </c>
      <c r="H431" s="7" t="n">
        <v>0</v>
      </c>
      <c r="I431" s="7" t="n">
        <v>-1.93</v>
      </c>
      <c r="J431" s="8" t="n">
        <v>35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ALL_PBM</t>
        </is>
      </c>
      <c r="C432" s="5" t="inlineStr">
        <is>
          <t>45802006336</t>
        </is>
      </c>
      <c r="D432" s="5" t="inlineStr">
        <is>
          <t xml:space="preserve">TRIAMCINOLONE ACETONIDE 0.025 % EXTERNAL CREAM </t>
        </is>
      </c>
      <c r="E432" s="6" t="inlineStr">
        <is>
          <t>80.0</t>
        </is>
      </c>
      <c r="F432" s="7" t="n">
        <v>320</v>
      </c>
      <c r="G432" s="7" t="n">
        <v>4</v>
      </c>
      <c r="H432" s="7" t="n">
        <v>0</v>
      </c>
      <c r="I432" s="7" t="n">
        <v>-4</v>
      </c>
      <c r="J432" s="8" t="n">
        <v>35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ALL_PBM</t>
        </is>
      </c>
      <c r="C433" s="5" t="inlineStr">
        <is>
          <t>73473030370</t>
        </is>
      </c>
      <c r="D433" s="5" t="inlineStr">
        <is>
          <t>METRONIDAZOLE 0.75% VAGINAL GEL</t>
        </is>
      </c>
      <c r="E433" s="6" t="inlineStr">
        <is>
          <t>70.0</t>
        </is>
      </c>
      <c r="F433" s="7" t="n">
        <v>140</v>
      </c>
      <c r="G433" s="7" t="n">
        <v>2</v>
      </c>
      <c r="H433" s="7" t="n">
        <v>0</v>
      </c>
      <c r="I433" s="7" t="n">
        <v>-2</v>
      </c>
      <c r="J433" s="8" t="n">
        <v>35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ALL_PBM</t>
        </is>
      </c>
      <c r="C434" s="5" t="inlineStr">
        <is>
          <t>69238112309</t>
        </is>
      </c>
      <c r="D434" s="5" t="inlineStr">
        <is>
          <t>NADOLOL 20MG TABLET</t>
        </is>
      </c>
      <c r="E434" s="6" t="inlineStr">
        <is>
          <t>90.0</t>
        </is>
      </c>
      <c r="F434" s="7" t="n">
        <v>60</v>
      </c>
      <c r="G434" s="7" t="n">
        <v>0.6666666666666666</v>
      </c>
      <c r="H434" s="7" t="n">
        <v>0</v>
      </c>
      <c r="I434" s="7" t="n">
        <v>-0.6666666666666666</v>
      </c>
      <c r="J434" s="8" t="n">
        <v>35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ALL_PBM</t>
        </is>
      </c>
      <c r="C435" s="5" t="inlineStr">
        <is>
          <t>64380078508</t>
        </is>
      </c>
      <c r="D435" s="5" t="inlineStr">
        <is>
          <t>PREDNISONE 20MG TABLET</t>
        </is>
      </c>
      <c r="E435" s="6" t="inlineStr">
        <is>
          <t>1000.0</t>
        </is>
      </c>
      <c r="F435" s="7" t="n">
        <v>54</v>
      </c>
      <c r="G435" s="7" t="n">
        <v>0.054</v>
      </c>
      <c r="H435" s="7" t="n">
        <v>0</v>
      </c>
      <c r="I435" s="7" t="n">
        <v>-0.054</v>
      </c>
      <c r="J435" s="8" t="n">
        <v>35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ALL_PBM</t>
        </is>
      </c>
      <c r="C436" s="5" t="inlineStr">
        <is>
          <t>50111056103</t>
        </is>
      </c>
      <c r="D436" s="5" t="inlineStr">
        <is>
          <t>TRAZODONE 100MG TABLET</t>
        </is>
      </c>
      <c r="E436" s="6" t="inlineStr">
        <is>
          <t>1000.0</t>
        </is>
      </c>
      <c r="F436" s="7" t="n">
        <v>255</v>
      </c>
      <c r="G436" s="7" t="n">
        <v>0.255</v>
      </c>
      <c r="H436" s="7" t="n">
        <v>0</v>
      </c>
      <c r="I436" s="7" t="n">
        <v>-0.255</v>
      </c>
      <c r="J436" s="8" t="n">
        <v>35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ALL_PBM</t>
        </is>
      </c>
      <c r="C437" s="5" t="inlineStr">
        <is>
          <t>69238207807</t>
        </is>
      </c>
      <c r="D437" s="5" t="inlineStr">
        <is>
          <t>PROPRANOLOL HCL 20 MG ORAL TABLET</t>
        </is>
      </c>
      <c r="E437" s="6" t="inlineStr">
        <is>
          <t>1000.0</t>
        </is>
      </c>
      <c r="F437" s="7" t="n">
        <v>540</v>
      </c>
      <c r="G437" s="7" t="n">
        <v>0.54</v>
      </c>
      <c r="H437" s="7" t="n">
        <v>0</v>
      </c>
      <c r="I437" s="7" t="n">
        <v>-0.54</v>
      </c>
      <c r="J437" s="8" t="n">
        <v>34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ALL_PBM</t>
        </is>
      </c>
      <c r="C438" s="5" t="inlineStr">
        <is>
          <t>42571031501</t>
        </is>
      </c>
      <c r="D438" s="5" t="inlineStr">
        <is>
          <t>CLOBAZAM 10MG TABLET</t>
        </is>
      </c>
      <c r="E438" s="6" t="inlineStr">
        <is>
          <t>100.0</t>
        </is>
      </c>
      <c r="F438" s="7" t="n">
        <v>90</v>
      </c>
      <c r="G438" s="7" t="n">
        <v>0.9</v>
      </c>
      <c r="H438" s="7" t="n">
        <v>0</v>
      </c>
      <c r="I438" s="7" t="n">
        <v>-0.9</v>
      </c>
      <c r="J438" s="8" t="n">
        <v>34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ALL_PBM</t>
        </is>
      </c>
      <c r="C439" s="5" t="inlineStr">
        <is>
          <t>70377004812</t>
        </is>
      </c>
      <c r="D439" s="5" t="inlineStr">
        <is>
          <t>PRAVASTATIN 80MG TABLET</t>
        </is>
      </c>
      <c r="E439" s="6" t="inlineStr">
        <is>
          <t>90.0</t>
        </is>
      </c>
      <c r="F439" s="7" t="n">
        <v>60</v>
      </c>
      <c r="G439" s="7" t="n">
        <v>0.6666666666666666</v>
      </c>
      <c r="H439" s="7" t="n">
        <v>0</v>
      </c>
      <c r="I439" s="7" t="n">
        <v>-0.6666666666666666</v>
      </c>
      <c r="J439" s="8" t="n">
        <v>34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ALL_PBM</t>
        </is>
      </c>
      <c r="C440" s="5" t="inlineStr">
        <is>
          <t>31722053960</t>
        </is>
      </c>
      <c r="D440" s="5" t="inlineStr">
        <is>
          <t xml:space="preserve">LEVETIRACETAM 1000MG TAB </t>
        </is>
      </c>
      <c r="E440" s="6" t="inlineStr">
        <is>
          <t>60.0</t>
        </is>
      </c>
      <c r="F440" s="7" t="n">
        <v>180</v>
      </c>
      <c r="G440" s="7" t="n">
        <v>3</v>
      </c>
      <c r="H440" s="7" t="n">
        <v>0</v>
      </c>
      <c r="I440" s="7" t="n">
        <v>-3</v>
      </c>
      <c r="J440" s="8" t="n">
        <v>34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ALL_PBM</t>
        </is>
      </c>
      <c r="C441" s="5" t="inlineStr">
        <is>
          <t>23155000810</t>
        </is>
      </c>
      <c r="D441" s="5" t="inlineStr">
        <is>
          <t>HYDROCHLOROTHIAZIDE 25MG TABLET</t>
        </is>
      </c>
      <c r="E441" s="6" t="inlineStr">
        <is>
          <t>1000.0</t>
        </is>
      </c>
      <c r="F441" s="7" t="n">
        <v>1350</v>
      </c>
      <c r="G441" s="7" t="n">
        <v>1.35</v>
      </c>
      <c r="H441" s="7" t="n">
        <v>0</v>
      </c>
      <c r="I441" s="7" t="n">
        <v>-1.35</v>
      </c>
      <c r="J441" s="8" t="n">
        <v>33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ALL_PBM</t>
        </is>
      </c>
      <c r="C442" s="5" t="inlineStr">
        <is>
          <t>00591292754</t>
        </is>
      </c>
      <c r="D442" s="5" t="inlineStr">
        <is>
          <t>LEVALBUTEROL TARTRATE 45 MCG/ACT INHALATION AEROSOL</t>
        </is>
      </c>
      <c r="E442" s="6" t="inlineStr">
        <is>
          <t>15.0</t>
        </is>
      </c>
      <c r="F442" s="7" t="n">
        <v>15</v>
      </c>
      <c r="G442" s="7" t="n">
        <v>1</v>
      </c>
      <c r="H442" s="7" t="n">
        <v>2</v>
      </c>
      <c r="I442" s="7" t="n">
        <v>1</v>
      </c>
      <c r="J442" s="8" t="n">
        <v>33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ALL_PBM</t>
        </is>
      </c>
      <c r="C443" s="5" t="inlineStr">
        <is>
          <t>67877012405</t>
        </is>
      </c>
      <c r="D443" s="5" t="inlineStr">
        <is>
          <t>SILVER SULFADIAZINE 1 % EXTERNAL CREAM</t>
        </is>
      </c>
      <c r="E443" s="6" t="inlineStr">
        <is>
          <t>50.0</t>
        </is>
      </c>
      <c r="F443" s="7" t="n">
        <v>150</v>
      </c>
      <c r="G443" s="7" t="n">
        <v>3</v>
      </c>
      <c r="H443" s="7" t="n">
        <v>0</v>
      </c>
      <c r="I443" s="7" t="n">
        <v>-3</v>
      </c>
      <c r="J443" s="8" t="n">
        <v>33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ALL_PBM</t>
        </is>
      </c>
      <c r="C444" s="5" t="inlineStr">
        <is>
          <t>55111065001</t>
        </is>
      </c>
      <c r="D444" s="5" t="inlineStr">
        <is>
          <t>METAXALONE 800 MG ORAL TABLET</t>
        </is>
      </c>
      <c r="E444" s="6" t="inlineStr">
        <is>
          <t>100.0</t>
        </is>
      </c>
      <c r="F444" s="7" t="n">
        <v>30</v>
      </c>
      <c r="G444" s="7" t="n">
        <v>0.3</v>
      </c>
      <c r="H444" s="7" t="n">
        <v>1</v>
      </c>
      <c r="I444" s="7" t="n">
        <v>0.7</v>
      </c>
      <c r="J444" s="8" t="n">
        <v>33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ALL_PBM</t>
        </is>
      </c>
      <c r="C445" s="5" t="inlineStr">
        <is>
          <t>00093681655</t>
        </is>
      </c>
      <c r="D445" s="5" t="inlineStr">
        <is>
          <t>BUDESONIDE 0.5 MG/2ML INHALATION SUSPENSION</t>
        </is>
      </c>
      <c r="E445" s="6" t="inlineStr">
        <is>
          <t>60.0</t>
        </is>
      </c>
      <c r="F445" s="7" t="n">
        <v>120</v>
      </c>
      <c r="G445" s="7" t="n">
        <v>2</v>
      </c>
      <c r="H445" s="7" t="n">
        <v>0</v>
      </c>
      <c r="I445" s="7" t="n">
        <v>-2</v>
      </c>
      <c r="J445" s="8" t="n">
        <v>33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ALL_PBM</t>
        </is>
      </c>
      <c r="C446" s="5" t="inlineStr">
        <is>
          <t>70700011685</t>
        </is>
      </c>
      <c r="D446" s="5" t="inlineStr">
        <is>
          <t>ALTAVERA 0.15-30MG TABLET</t>
        </is>
      </c>
      <c r="E446" s="6" t="inlineStr">
        <is>
          <t>28.0</t>
        </is>
      </c>
      <c r="F446" s="7" t="n">
        <v>112</v>
      </c>
      <c r="G446" s="7" t="n">
        <v>4</v>
      </c>
      <c r="H446" s="7" t="n">
        <v>1</v>
      </c>
      <c r="I446" s="7" t="n">
        <v>-3</v>
      </c>
      <c r="J446" s="8" t="n">
        <v>33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ALL_PBM</t>
        </is>
      </c>
      <c r="C447" s="5" t="inlineStr">
        <is>
          <t>59630075050</t>
        </is>
      </c>
      <c r="D447" s="5" t="inlineStr">
        <is>
          <t>METHYLIN 5 MG/5ML ORAL SOLUTION</t>
        </is>
      </c>
      <c r="E447" s="6" t="inlineStr">
        <is>
          <t>500.0</t>
        </is>
      </c>
      <c r="F447" s="7" t="n">
        <v>300</v>
      </c>
      <c r="G447" s="7" t="n">
        <v>0.6</v>
      </c>
      <c r="H447" s="7" t="n">
        <v>0</v>
      </c>
      <c r="I447" s="7" t="n">
        <v>-0.6</v>
      </c>
      <c r="J447" s="8" t="n">
        <v>33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ALL_PBM</t>
        </is>
      </c>
      <c r="C448" s="5" t="inlineStr">
        <is>
          <t>59651072299</t>
        </is>
      </c>
      <c r="D448" s="5" t="inlineStr">
        <is>
          <t>CLONAZEPAM 0.5MG TABLET</t>
        </is>
      </c>
      <c r="E448" s="6" t="inlineStr">
        <is>
          <t>1000.0</t>
        </is>
      </c>
      <c r="F448" s="7" t="n">
        <v>120</v>
      </c>
      <c r="G448" s="7" t="n">
        <v>0.12</v>
      </c>
      <c r="H448" s="7" t="n">
        <v>0</v>
      </c>
      <c r="I448" s="7" t="n">
        <v>-0.12</v>
      </c>
      <c r="J448" s="8" t="n">
        <v>32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ALL_PBM</t>
        </is>
      </c>
      <c r="C449" s="5" t="inlineStr">
        <is>
          <t>67877022210</t>
        </is>
      </c>
      <c r="D449" s="5" t="inlineStr">
        <is>
          <t>GABAPENTIN 100MG CAPSULE</t>
        </is>
      </c>
      <c r="E449" s="6" t="inlineStr">
        <is>
          <t>1000.0</t>
        </is>
      </c>
      <c r="F449" s="7" t="n">
        <v>840</v>
      </c>
      <c r="G449" s="7" t="n">
        <v>0.84</v>
      </c>
      <c r="H449" s="7" t="n">
        <v>0</v>
      </c>
      <c r="I449" s="7" t="n">
        <v>-0.84</v>
      </c>
      <c r="J449" s="8" t="n">
        <v>32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ALL_PBM</t>
        </is>
      </c>
      <c r="C450" s="5" t="inlineStr">
        <is>
          <t>69238207701</t>
        </is>
      </c>
      <c r="D450" s="5" t="inlineStr">
        <is>
          <t xml:space="preserve">PROPRANOLOL 10MG TABLET </t>
        </is>
      </c>
      <c r="E450" s="6" t="inlineStr">
        <is>
          <t>100.0</t>
        </is>
      </c>
      <c r="F450" s="7" t="n">
        <v>240</v>
      </c>
      <c r="G450" s="7" t="n">
        <v>2.4</v>
      </c>
      <c r="H450" s="7" t="n">
        <v>0</v>
      </c>
      <c r="I450" s="7" t="n">
        <v>-2.4</v>
      </c>
      <c r="J450" s="8" t="n">
        <v>32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ALL_PBM</t>
        </is>
      </c>
      <c r="C451" s="5" t="inlineStr">
        <is>
          <t>68180098103</t>
        </is>
      </c>
      <c r="D451" s="5" t="inlineStr">
        <is>
          <t>LISINOPRIL 20MG TABLET</t>
        </is>
      </c>
      <c r="E451" s="6" t="inlineStr">
        <is>
          <t>1000.0</t>
        </is>
      </c>
      <c r="F451" s="7" t="n">
        <v>780</v>
      </c>
      <c r="G451" s="7" t="n">
        <v>0.78</v>
      </c>
      <c r="H451" s="7" t="n">
        <v>0</v>
      </c>
      <c r="I451" s="7" t="n">
        <v>-0.78</v>
      </c>
      <c r="J451" s="8" t="n">
        <v>32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ALL_PBM</t>
        </is>
      </c>
      <c r="C452" s="5" t="inlineStr">
        <is>
          <t>75907002348</t>
        </is>
      </c>
      <c r="D452" s="5" t="inlineStr">
        <is>
          <t>CLONIDINE 0.1 MG/24HR TRANSDERMAL PATCH WEEKLY</t>
        </is>
      </c>
      <c r="E452" s="6" t="inlineStr">
        <is>
          <t>4.0</t>
        </is>
      </c>
      <c r="F452" s="7" t="n">
        <v>4</v>
      </c>
      <c r="G452" s="7" t="n">
        <v>1</v>
      </c>
      <c r="H452" s="7" t="n">
        <v>2</v>
      </c>
      <c r="I452" s="7" t="n">
        <v>1</v>
      </c>
      <c r="J452" s="8" t="n">
        <v>32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ALL_PBM</t>
        </is>
      </c>
      <c r="C453" s="5" t="inlineStr">
        <is>
          <t>00121086816</t>
        </is>
      </c>
      <c r="D453" s="5" t="inlineStr">
        <is>
          <t>NYSTATIN 100000 UNIT/ML MOUTH/THROAT SUSPENSION</t>
        </is>
      </c>
      <c r="E453" s="6" t="inlineStr">
        <is>
          <t>473.0</t>
        </is>
      </c>
      <c r="F453" s="7" t="n">
        <v>473</v>
      </c>
      <c r="G453" s="7" t="n">
        <v>1</v>
      </c>
      <c r="H453" s="7" t="n">
        <v>1</v>
      </c>
      <c r="I453" s="7" t="n">
        <v>0</v>
      </c>
      <c r="J453" s="8" t="n">
        <v>32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ALL_PBM</t>
        </is>
      </c>
      <c r="C454" s="5" t="inlineStr">
        <is>
          <t>00168041730</t>
        </is>
      </c>
      <c r="D454" s="5" t="inlineStr">
        <is>
          <t>TACROLIMUS 0.03 % EXTERNAL OINTMENT</t>
        </is>
      </c>
      <c r="E454" s="6" t="inlineStr">
        <is>
          <t>30.0</t>
        </is>
      </c>
      <c r="F454" s="7" t="n">
        <v>30</v>
      </c>
      <c r="G454" s="7" t="n">
        <v>1</v>
      </c>
      <c r="H454" s="7" t="n">
        <v>0</v>
      </c>
      <c r="I454" s="7" t="n">
        <v>-1</v>
      </c>
      <c r="J454" s="8" t="n">
        <v>32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ALL_PBM</t>
        </is>
      </c>
      <c r="C455" s="5" t="inlineStr">
        <is>
          <t>45802012932</t>
        </is>
      </c>
      <c r="D455" s="5" t="inlineStr">
        <is>
          <t>HALOBETASOL PROPIONATE 0.05 % EXTERNAL CREAM</t>
        </is>
      </c>
      <c r="E455" s="6" t="inlineStr">
        <is>
          <t>50.0</t>
        </is>
      </c>
      <c r="F455" s="7" t="n">
        <v>50</v>
      </c>
      <c r="G455" s="7" t="n">
        <v>1</v>
      </c>
      <c r="H455" s="7" t="n">
        <v>3</v>
      </c>
      <c r="I455" s="7" t="n">
        <v>2</v>
      </c>
      <c r="J455" s="8" t="n">
        <v>32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ALL_PBM</t>
        </is>
      </c>
      <c r="C456" s="5" t="inlineStr">
        <is>
          <t>68462038730</t>
        </is>
      </c>
      <c r="D456" s="5" t="inlineStr">
        <is>
          <t>SOLIFENACIN SUCCINATE 10MG TABLET</t>
        </is>
      </c>
      <c r="E456" s="6" t="inlineStr">
        <is>
          <t>30.0</t>
        </is>
      </c>
      <c r="F456" s="7" t="n">
        <v>60</v>
      </c>
      <c r="G456" s="7" t="n">
        <v>2</v>
      </c>
      <c r="H456" s="7" t="n">
        <v>0</v>
      </c>
      <c r="I456" s="7" t="n">
        <v>-2</v>
      </c>
      <c r="J456" s="8" t="n">
        <v>31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ALL_PBM</t>
        </is>
      </c>
      <c r="C457" s="5" t="inlineStr">
        <is>
          <t>68180029503</t>
        </is>
      </c>
      <c r="D457" s="5" t="inlineStr">
        <is>
          <t>DULOXETINE 30MG  CAPSULE DR</t>
        </is>
      </c>
      <c r="E457" s="6" t="inlineStr">
        <is>
          <t>1000.0</t>
        </is>
      </c>
      <c r="F457" s="7" t="n">
        <v>270</v>
      </c>
      <c r="G457" s="7" t="n">
        <v>0.27</v>
      </c>
      <c r="H457" s="7" t="n">
        <v>0</v>
      </c>
      <c r="I457" s="7" t="n">
        <v>-0.27</v>
      </c>
      <c r="J457" s="8" t="n">
        <v>31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ALL_PBM</t>
        </is>
      </c>
      <c r="C458" s="5" t="inlineStr">
        <is>
          <t>62756014202</t>
        </is>
      </c>
      <c r="D458" s="5" t="inlineStr">
        <is>
          <t xml:space="preserve">METFORMIN ER 500MG TAB </t>
        </is>
      </c>
      <c r="E458" s="6" t="inlineStr">
        <is>
          <t>500.0</t>
        </is>
      </c>
      <c r="F458" s="7" t="n">
        <v>330</v>
      </c>
      <c r="G458" s="7" t="n">
        <v>0.66</v>
      </c>
      <c r="H458" s="7" t="n">
        <v>0</v>
      </c>
      <c r="I458" s="7" t="n">
        <v>-0.66</v>
      </c>
      <c r="J458" s="8" t="n">
        <v>31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ALL_PBM</t>
        </is>
      </c>
      <c r="C459" s="5" t="inlineStr">
        <is>
          <t>65862078190</t>
        </is>
      </c>
      <c r="D459" s="5" t="inlineStr">
        <is>
          <t>OLMESARTAN-HCTZ 40-25 MG TABLET</t>
        </is>
      </c>
      <c r="E459" s="6" t="inlineStr">
        <is>
          <t>90.0</t>
        </is>
      </c>
      <c r="F459" s="7" t="n">
        <v>90</v>
      </c>
      <c r="G459" s="7" t="n">
        <v>1</v>
      </c>
      <c r="H459" s="7" t="n">
        <v>0</v>
      </c>
      <c r="I459" s="7" t="n">
        <v>-1</v>
      </c>
      <c r="J459" s="8" t="n">
        <v>31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ALL_PBM</t>
        </is>
      </c>
      <c r="C460" s="5" t="inlineStr">
        <is>
          <t>57237022105</t>
        </is>
      </c>
      <c r="D460" s="5" t="inlineStr">
        <is>
          <t>PIOGLITAZONE 45MG TABLET</t>
        </is>
      </c>
      <c r="E460" s="6" t="inlineStr">
        <is>
          <t>500.0</t>
        </is>
      </c>
      <c r="F460" s="7" t="n">
        <v>180</v>
      </c>
      <c r="G460" s="7" t="n">
        <v>0.36</v>
      </c>
      <c r="H460" s="7" t="n">
        <v>0</v>
      </c>
      <c r="I460" s="7" t="n">
        <v>-0.36</v>
      </c>
      <c r="J460" s="8" t="n">
        <v>30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ALL_PBM</t>
        </is>
      </c>
      <c r="C461" s="5" t="inlineStr">
        <is>
          <t>51672131200</t>
        </is>
      </c>
      <c r="D461" s="5" t="inlineStr">
        <is>
          <t>MUPIROCIN 2% OINTMENT</t>
        </is>
      </c>
      <c r="E461" s="6" t="inlineStr">
        <is>
          <t>22.0</t>
        </is>
      </c>
      <c r="F461" s="7" t="n">
        <v>88</v>
      </c>
      <c r="G461" s="7" t="n">
        <v>4</v>
      </c>
      <c r="H461" s="7" t="n">
        <v>0</v>
      </c>
      <c r="I461" s="7" t="n">
        <v>-4</v>
      </c>
      <c r="J461" s="8" t="n">
        <v>30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ALL_PBM</t>
        </is>
      </c>
      <c r="C462" s="5" t="inlineStr">
        <is>
          <t>68382066105</t>
        </is>
      </c>
      <c r="D462" s="5" t="inlineStr">
        <is>
          <t>SPIRONOLACTONE 50MG TABLET</t>
        </is>
      </c>
      <c r="E462" s="6" t="inlineStr">
        <is>
          <t>500.0</t>
        </is>
      </c>
      <c r="F462" s="7" t="n">
        <v>120</v>
      </c>
      <c r="G462" s="7" t="n">
        <v>0.24</v>
      </c>
      <c r="H462" s="7" t="n">
        <v>0</v>
      </c>
      <c r="I462" s="7" t="n">
        <v>-0.24</v>
      </c>
      <c r="J462" s="8" t="n">
        <v>30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ALL_PBM</t>
        </is>
      </c>
      <c r="C463" s="5" t="inlineStr">
        <is>
          <t>45802024494</t>
        </is>
      </c>
      <c r="D463" s="5" t="inlineStr">
        <is>
          <t>NYSTATIN-TRIAMCINOLONE 100000-0.1 U/GM OINTMENT</t>
        </is>
      </c>
      <c r="E463" s="6" t="inlineStr">
        <is>
          <t>30.0</t>
        </is>
      </c>
      <c r="F463" s="7" t="n">
        <v>60</v>
      </c>
      <c r="G463" s="7" t="n">
        <v>2</v>
      </c>
      <c r="H463" s="7" t="n">
        <v>0</v>
      </c>
      <c r="I463" s="7" t="n">
        <v>-2</v>
      </c>
      <c r="J463" s="8" t="n">
        <v>30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ALL_PBM</t>
        </is>
      </c>
      <c r="C464" s="5" t="inlineStr">
        <is>
          <t>68382079805</t>
        </is>
      </c>
      <c r="D464" s="5" t="inlineStr">
        <is>
          <t xml:space="preserve">LABETALOL 100MG TAB </t>
        </is>
      </c>
      <c r="E464" s="6" t="inlineStr">
        <is>
          <t>500.0</t>
        </is>
      </c>
      <c r="F464" s="7" t="n">
        <v>180</v>
      </c>
      <c r="G464" s="7" t="n">
        <v>0.36</v>
      </c>
      <c r="H464" s="7" t="n">
        <v>0</v>
      </c>
      <c r="I464" s="7" t="n">
        <v>-0.36</v>
      </c>
      <c r="J464" s="8" t="n">
        <v>30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ALL_PBM</t>
        </is>
      </c>
      <c r="C465" s="5" t="inlineStr">
        <is>
          <t>43598012105</t>
        </is>
      </c>
      <c r="D465" s="5" t="inlineStr">
        <is>
          <t>CLOPIDOGREL BISULFATE 75 MG ORAL TABLET</t>
        </is>
      </c>
      <c r="E465" s="6" t="inlineStr">
        <is>
          <t>500.0</t>
        </is>
      </c>
      <c r="F465" s="7" t="n">
        <v>704</v>
      </c>
      <c r="G465" s="7" t="n">
        <v>1.408</v>
      </c>
      <c r="H465" s="7" t="n">
        <v>0</v>
      </c>
      <c r="I465" s="7" t="n">
        <v>-1.408</v>
      </c>
      <c r="J465" s="8" t="n">
        <v>30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ALL_PBM</t>
        </is>
      </c>
      <c r="C466" s="5" t="inlineStr">
        <is>
          <t>55111073130</t>
        </is>
      </c>
      <c r="D466" s="5" t="inlineStr">
        <is>
          <t>VALSARTAN 40MG TABLET</t>
        </is>
      </c>
      <c r="E466" s="6" t="inlineStr">
        <is>
          <t>30.0</t>
        </is>
      </c>
      <c r="F466" s="7" t="n">
        <v>90</v>
      </c>
      <c r="G466" s="7" t="n">
        <v>3</v>
      </c>
      <c r="H466" s="7" t="n">
        <v>0</v>
      </c>
      <c r="I466" s="7" t="n">
        <v>-3</v>
      </c>
      <c r="J466" s="8" t="n">
        <v>30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ALL_PBM</t>
        </is>
      </c>
      <c r="C467" s="5" t="inlineStr">
        <is>
          <t>65862078201</t>
        </is>
      </c>
      <c r="D467" s="5" t="inlineStr">
        <is>
          <t>METHENAMINE HIPPURATE 1GM TABLET</t>
        </is>
      </c>
      <c r="E467" s="6" t="inlineStr">
        <is>
          <t>100.0</t>
        </is>
      </c>
      <c r="F467" s="7" t="n">
        <v>120</v>
      </c>
      <c r="G467" s="7" t="n">
        <v>1.2</v>
      </c>
      <c r="H467" s="7" t="n">
        <v>0</v>
      </c>
      <c r="I467" s="7" t="n">
        <v>-1.2</v>
      </c>
      <c r="J467" s="8" t="n">
        <v>30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ALL_PBM</t>
        </is>
      </c>
      <c r="C468" s="5" t="inlineStr">
        <is>
          <t>68382045219</t>
        </is>
      </c>
      <c r="D468" s="5" t="inlineStr">
        <is>
          <t>MESALAMINE ER 0.375GCAPSULE</t>
        </is>
      </c>
      <c r="E468" s="6" t="inlineStr">
        <is>
          <t>120.0</t>
        </is>
      </c>
      <c r="F468" s="7" t="n">
        <v>120</v>
      </c>
      <c r="G468" s="7" t="n">
        <v>1</v>
      </c>
      <c r="H468" s="7" t="n">
        <v>1</v>
      </c>
      <c r="I468" s="7" t="n">
        <v>0</v>
      </c>
      <c r="J468" s="8" t="n">
        <v>29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ALL_PBM</t>
        </is>
      </c>
      <c r="C469" s="5" t="inlineStr">
        <is>
          <t>59651030901</t>
        </is>
      </c>
      <c r="D469" s="5" t="inlineStr">
        <is>
          <t>FLUOXETINE HCL 20MG TABLET</t>
        </is>
      </c>
      <c r="E469" s="6" t="inlineStr">
        <is>
          <t>100.0</t>
        </is>
      </c>
      <c r="F469" s="7" t="n">
        <v>90</v>
      </c>
      <c r="G469" s="7" t="n">
        <v>0.9</v>
      </c>
      <c r="H469" s="7" t="n">
        <v>0</v>
      </c>
      <c r="I469" s="7" t="n">
        <v>-0.9</v>
      </c>
      <c r="J469" s="8" t="n">
        <v>29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ALL_PBM</t>
        </is>
      </c>
      <c r="C470" s="5" t="inlineStr">
        <is>
          <t>00378172493</t>
        </is>
      </c>
      <c r="D470" s="5" t="inlineStr">
        <is>
          <t>AMLODIPINE VALSARTAN 10-320MG TABLET</t>
        </is>
      </c>
      <c r="E470" s="6" t="inlineStr">
        <is>
          <t>30.0</t>
        </is>
      </c>
      <c r="F470" s="7" t="n">
        <v>90</v>
      </c>
      <c r="G470" s="7" t="n">
        <v>3</v>
      </c>
      <c r="H470" s="7" t="n">
        <v>0</v>
      </c>
      <c r="I470" s="7" t="n">
        <v>-3</v>
      </c>
      <c r="J470" s="8" t="n">
        <v>29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ALL_PBM</t>
        </is>
      </c>
      <c r="C471" s="5" t="inlineStr">
        <is>
          <t>69097082112</t>
        </is>
      </c>
      <c r="D471" s="5" t="inlineStr">
        <is>
          <t xml:space="preserve">GEMFIBROZIL 600MG TAB </t>
        </is>
      </c>
      <c r="E471" s="6" t="inlineStr">
        <is>
          <t>500.0</t>
        </is>
      </c>
      <c r="F471" s="7" t="n">
        <v>180</v>
      </c>
      <c r="G471" s="7" t="n">
        <v>0.36</v>
      </c>
      <c r="H471" s="7" t="n">
        <v>0</v>
      </c>
      <c r="I471" s="7" t="n">
        <v>-0.36</v>
      </c>
      <c r="J471" s="8" t="n">
        <v>29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ALL_PBM</t>
        </is>
      </c>
      <c r="C472" s="5" t="inlineStr">
        <is>
          <t>16571020310</t>
        </is>
      </c>
      <c r="D472" s="5" t="inlineStr">
        <is>
          <t>DICLOFENAC SODIUM 25MG TABLET DR</t>
        </is>
      </c>
      <c r="E472" s="6" t="inlineStr">
        <is>
          <t>100.0</t>
        </is>
      </c>
      <c r="F472" s="7" t="n">
        <v>30</v>
      </c>
      <c r="G472" s="7" t="n">
        <v>0.3</v>
      </c>
      <c r="H472" s="7" t="n">
        <v>0</v>
      </c>
      <c r="I472" s="7" t="n">
        <v>-0.3</v>
      </c>
      <c r="J472" s="8" t="n">
        <v>29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ALL_PBM</t>
        </is>
      </c>
      <c r="C473" s="5" t="inlineStr">
        <is>
          <t>65862052890</t>
        </is>
      </c>
      <c r="D473" s="5" t="inlineStr">
        <is>
          <t>VENLAFAXINE HCL ER 75 MG CAPSULE</t>
        </is>
      </c>
      <c r="E473" s="6" t="inlineStr">
        <is>
          <t>90.0</t>
        </is>
      </c>
      <c r="F473" s="7" t="n">
        <v>90</v>
      </c>
      <c r="G473" s="7" t="n">
        <v>1</v>
      </c>
      <c r="H473" s="7" t="n">
        <v>0</v>
      </c>
      <c r="I473" s="7" t="n">
        <v>-1</v>
      </c>
      <c r="J473" s="8" t="n">
        <v>29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ALL_PBM</t>
        </is>
      </c>
      <c r="C474" s="5" t="inlineStr">
        <is>
          <t>00168014630</t>
        </is>
      </c>
      <c r="D474" s="5" t="inlineStr">
        <is>
          <t>HYDROCORTISONE 2.5% OINTMENT</t>
        </is>
      </c>
      <c r="E474" s="6" t="inlineStr">
        <is>
          <t>28.35</t>
        </is>
      </c>
      <c r="F474" s="7" t="n">
        <v>85.05</v>
      </c>
      <c r="G474" s="7" t="n">
        <v>3</v>
      </c>
      <c r="H474" s="7" t="n">
        <v>0</v>
      </c>
      <c r="I474" s="7" t="n">
        <v>-3</v>
      </c>
      <c r="J474" s="8" t="n">
        <v>29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ALL_PBM</t>
        </is>
      </c>
      <c r="C475" s="5" t="inlineStr">
        <is>
          <t>55111025660</t>
        </is>
      </c>
      <c r="D475" s="5" t="inlineStr">
        <is>
          <t xml:space="preserve">ZIPRASIDONE 20MG CAP </t>
        </is>
      </c>
      <c r="E475" s="6" t="inlineStr">
        <is>
          <t>60.0</t>
        </is>
      </c>
      <c r="F475" s="7" t="n">
        <v>60</v>
      </c>
      <c r="G475" s="7" t="n">
        <v>1</v>
      </c>
      <c r="H475" s="7" t="n">
        <v>0</v>
      </c>
      <c r="I475" s="7" t="n">
        <v>-1</v>
      </c>
      <c r="J475" s="8" t="n">
        <v>29</v>
      </c>
      <c r="K475" s="9">
        <f>IFERROR(IF((ROUND((J475/G475)*I475,1))&lt;0,(ROUND((J475/G475)*I475,1)),0),0)</f>
        <v/>
      </c>
    </row>
    <row r="476">
      <c r="A476" s="4" t="n">
        <v>473</v>
      </c>
      <c r="B476" s="5" t="inlineStr">
        <is>
          <t>ALL_PBM</t>
        </is>
      </c>
      <c r="C476" s="5" t="inlineStr">
        <is>
          <t>24208091055</t>
        </is>
      </c>
      <c r="D476" s="5" t="inlineStr">
        <is>
          <t>ERYTHROMYCIN 5MG/GM OINTMENT</t>
        </is>
      </c>
      <c r="E476" s="6" t="inlineStr">
        <is>
          <t>3.5</t>
        </is>
      </c>
      <c r="F476" s="7" t="n">
        <v>7</v>
      </c>
      <c r="G476" s="7" t="n">
        <v>2</v>
      </c>
      <c r="H476" s="7" t="n">
        <v>0</v>
      </c>
      <c r="I476" s="7" t="n">
        <v>-2</v>
      </c>
      <c r="J476" s="8" t="n">
        <v>29</v>
      </c>
      <c r="K476" s="9">
        <f>IFERROR(IF((ROUND((J476/G476)*I476,1))&lt;0,(ROUND((J476/G476)*I476,1)),0),0)</f>
        <v/>
      </c>
    </row>
    <row r="477">
      <c r="A477" s="4" t="n">
        <v>474</v>
      </c>
      <c r="B477" s="5" t="inlineStr">
        <is>
          <t>ALL_PBM</t>
        </is>
      </c>
      <c r="C477" s="5" t="inlineStr">
        <is>
          <t>57237003105</t>
        </is>
      </c>
      <c r="D477" s="5" t="inlineStr">
        <is>
          <t>AMOXICILLIN 500 MG CAPSULE</t>
        </is>
      </c>
      <c r="E477" s="6" t="inlineStr">
        <is>
          <t>500.0</t>
        </is>
      </c>
      <c r="F477" s="7" t="n">
        <v>147</v>
      </c>
      <c r="G477" s="7" t="n">
        <v>0.294</v>
      </c>
      <c r="H477" s="7" t="n">
        <v>0</v>
      </c>
      <c r="I477" s="7" t="n">
        <v>-0.294</v>
      </c>
      <c r="J477" s="8" t="n">
        <v>29</v>
      </c>
      <c r="K477" s="9">
        <f>IFERROR(IF((ROUND((J477/G477)*I477,1))&lt;0,(ROUND((J477/G477)*I477,1)),0),0)</f>
        <v/>
      </c>
    </row>
    <row r="478">
      <c r="A478" s="4" t="n">
        <v>475</v>
      </c>
      <c r="B478" s="5" t="inlineStr">
        <is>
          <t>ALL_PBM</t>
        </is>
      </c>
      <c r="C478" s="5" t="inlineStr">
        <is>
          <t>67877043405</t>
        </is>
      </c>
      <c r="D478" s="5" t="inlineStr">
        <is>
          <t>ARIPIPRAZOLE 20 MG ORAL TABLET</t>
        </is>
      </c>
      <c r="E478" s="6" t="inlineStr">
        <is>
          <t>500.0</t>
        </is>
      </c>
      <c r="F478" s="7" t="n">
        <v>90</v>
      </c>
      <c r="G478" s="7" t="n">
        <v>0.18</v>
      </c>
      <c r="H478" s="7" t="n">
        <v>0</v>
      </c>
      <c r="I478" s="7" t="n">
        <v>-0.18</v>
      </c>
      <c r="J478" s="8" t="n">
        <v>29</v>
      </c>
      <c r="K478" s="9">
        <f>IFERROR(IF((ROUND((J478/G478)*I478,1))&lt;0,(ROUND((J478/G478)*I478,1)),0),0)</f>
        <v/>
      </c>
    </row>
    <row r="479">
      <c r="A479" s="4" t="n">
        <v>476</v>
      </c>
      <c r="B479" s="5" t="inlineStr">
        <is>
          <t>ALL_PBM</t>
        </is>
      </c>
      <c r="C479" s="5" t="inlineStr">
        <is>
          <t>72516001201</t>
        </is>
      </c>
      <c r="D479" s="5" t="inlineStr">
        <is>
          <t>AMPHETAMINE-DEXTROAMPHETAMINE 20MG TABLET</t>
        </is>
      </c>
      <c r="E479" s="6" t="inlineStr">
        <is>
          <t>100.0</t>
        </is>
      </c>
      <c r="F479" s="7" t="n">
        <v>60</v>
      </c>
      <c r="G479" s="7" t="n">
        <v>0.6</v>
      </c>
      <c r="H479" s="7" t="n">
        <v>0</v>
      </c>
      <c r="I479" s="7" t="n">
        <v>-0.6</v>
      </c>
      <c r="J479" s="8" t="n">
        <v>29</v>
      </c>
      <c r="K479" s="9">
        <f>IFERROR(IF((ROUND((J479/G479)*I479,1))&lt;0,(ROUND((J479/G479)*I479,1)),0),0)</f>
        <v/>
      </c>
    </row>
    <row r="480">
      <c r="A480" s="4" t="n">
        <v>477</v>
      </c>
      <c r="B480" s="5" t="inlineStr">
        <is>
          <t>ALL_PBM</t>
        </is>
      </c>
      <c r="C480" s="5" t="inlineStr">
        <is>
          <t>68462015713</t>
        </is>
      </c>
      <c r="D480" s="5" t="inlineStr">
        <is>
          <t xml:space="preserve">ONDANSETRON ODT  4MG TAB </t>
        </is>
      </c>
      <c r="E480" s="6" t="inlineStr">
        <is>
          <t>30.0</t>
        </is>
      </c>
      <c r="F480" s="7" t="n">
        <v>60</v>
      </c>
      <c r="G480" s="7" t="n">
        <v>2</v>
      </c>
      <c r="H480" s="7" t="n">
        <v>0</v>
      </c>
      <c r="I480" s="7" t="n">
        <v>-2</v>
      </c>
      <c r="J480" s="8" t="n">
        <v>29</v>
      </c>
      <c r="K480" s="9">
        <f>IFERROR(IF((ROUND((J480/G480)*I480,1))&lt;0,(ROUND((J480/G480)*I480,1)),0),0)</f>
        <v/>
      </c>
    </row>
    <row r="481">
      <c r="A481" s="4" t="n">
        <v>478</v>
      </c>
      <c r="B481" s="5" t="inlineStr">
        <is>
          <t>ALL_PBM</t>
        </is>
      </c>
      <c r="C481" s="5" t="inlineStr">
        <is>
          <t>72205000130</t>
        </is>
      </c>
      <c r="D481" s="5" t="inlineStr">
        <is>
          <t>MOXIFLOXACIN HCL 400 MG ORAL TABLET</t>
        </is>
      </c>
      <c r="E481" s="6" t="inlineStr">
        <is>
          <t>30.0</t>
        </is>
      </c>
      <c r="F481" s="7" t="n">
        <v>7</v>
      </c>
      <c r="G481" s="7" t="n">
        <v>0.2333333333333333</v>
      </c>
      <c r="H481" s="7" t="n">
        <v>0</v>
      </c>
      <c r="I481" s="7" t="n">
        <v>-0.2333333333333333</v>
      </c>
      <c r="J481" s="8" t="n">
        <v>28</v>
      </c>
      <c r="K481" s="9">
        <f>IFERROR(IF((ROUND((J481/G481)*I481,1))&lt;0,(ROUND((J481/G481)*I481,1)),0),0)</f>
        <v/>
      </c>
    </row>
    <row r="482">
      <c r="A482" s="4" t="n">
        <v>479</v>
      </c>
      <c r="B482" s="5" t="inlineStr">
        <is>
          <t>ALL_PBM</t>
        </is>
      </c>
      <c r="C482" s="5" t="inlineStr">
        <is>
          <t>33342029815</t>
        </is>
      </c>
      <c r="D482" s="5" t="inlineStr">
        <is>
          <t>MEMANTINE 10MG TABLET</t>
        </is>
      </c>
      <c r="E482" s="6" t="inlineStr">
        <is>
          <t>500.0</t>
        </is>
      </c>
      <c r="F482" s="7" t="n">
        <v>270</v>
      </c>
      <c r="G482" s="7" t="n">
        <v>0.54</v>
      </c>
      <c r="H482" s="7" t="n">
        <v>0</v>
      </c>
      <c r="I482" s="7" t="n">
        <v>-0.54</v>
      </c>
      <c r="J482" s="8" t="n">
        <v>28</v>
      </c>
      <c r="K482" s="9">
        <f>IFERROR(IF((ROUND((J482/G482)*I482,1))&lt;0,(ROUND((J482/G482)*I482,1)),0),0)</f>
        <v/>
      </c>
    </row>
    <row r="483">
      <c r="A483" s="4" t="n">
        <v>480</v>
      </c>
      <c r="B483" s="5" t="inlineStr">
        <is>
          <t>ALL_PBM</t>
        </is>
      </c>
      <c r="C483" s="5" t="inlineStr">
        <is>
          <t>00574022901</t>
        </is>
      </c>
      <c r="D483" s="5" t="inlineStr">
        <is>
          <t>BENAZEPRIL-HCTZ 20-12.5MG TABLET</t>
        </is>
      </c>
      <c r="E483" s="6" t="inlineStr">
        <is>
          <t>100.0</t>
        </is>
      </c>
      <c r="F483" s="7" t="n">
        <v>90</v>
      </c>
      <c r="G483" s="7" t="n">
        <v>0.9</v>
      </c>
      <c r="H483" s="7" t="n">
        <v>0</v>
      </c>
      <c r="I483" s="7" t="n">
        <v>-0.9</v>
      </c>
      <c r="J483" s="8" t="n">
        <v>28</v>
      </c>
      <c r="K483" s="9">
        <f>IFERROR(IF((ROUND((J483/G483)*I483,1))&lt;0,(ROUND((J483/G483)*I483,1)),0),0)</f>
        <v/>
      </c>
    </row>
    <row r="484">
      <c r="A484" s="4" t="n">
        <v>481</v>
      </c>
      <c r="B484" s="5" t="inlineStr">
        <is>
          <t>ALL_PBM</t>
        </is>
      </c>
      <c r="C484" s="5" t="inlineStr">
        <is>
          <t>68180047201</t>
        </is>
      </c>
      <c r="D484" s="5" t="inlineStr">
        <is>
          <t>AMLODIPINE-BENAZEPRIL 10-20MG CAPSULE</t>
        </is>
      </c>
      <c r="E484" s="6" t="inlineStr">
        <is>
          <t>100.0</t>
        </is>
      </c>
      <c r="F484" s="7" t="n">
        <v>180</v>
      </c>
      <c r="G484" s="7" t="n">
        <v>1.8</v>
      </c>
      <c r="H484" s="7" t="n">
        <v>0</v>
      </c>
      <c r="I484" s="7" t="n">
        <v>-1.8</v>
      </c>
      <c r="J484" s="8" t="n">
        <v>28</v>
      </c>
      <c r="K484" s="9">
        <f>IFERROR(IF((ROUND((J484/G484)*I484,1))&lt;0,(ROUND((J484/G484)*I484,1)),0),0)</f>
        <v/>
      </c>
    </row>
    <row r="485">
      <c r="A485" s="4" t="n">
        <v>482</v>
      </c>
      <c r="B485" s="5" t="inlineStr">
        <is>
          <t>ALL_PBM</t>
        </is>
      </c>
      <c r="C485" s="5" t="inlineStr">
        <is>
          <t>51672131201</t>
        </is>
      </c>
      <c r="D485" s="5" t="inlineStr">
        <is>
          <t>MUPIROCIN 2 % EXTERNAL OINTMENT</t>
        </is>
      </c>
      <c r="E485" s="6" t="inlineStr">
        <is>
          <t>15.0</t>
        </is>
      </c>
      <c r="F485" s="7" t="n">
        <v>75</v>
      </c>
      <c r="G485" s="7" t="n">
        <v>5</v>
      </c>
      <c r="H485" s="7" t="n">
        <v>3</v>
      </c>
      <c r="I485" s="7" t="n">
        <v>-2</v>
      </c>
      <c r="J485" s="8" t="n">
        <v>28</v>
      </c>
      <c r="K485" s="9">
        <f>IFERROR(IF((ROUND((J485/G485)*I485,1))&lt;0,(ROUND((J485/G485)*I485,1)),0),0)</f>
        <v/>
      </c>
    </row>
    <row r="486">
      <c r="A486" s="4" t="n">
        <v>483</v>
      </c>
      <c r="B486" s="5" t="inlineStr">
        <is>
          <t>ALL_PBM</t>
        </is>
      </c>
      <c r="C486" s="5" t="inlineStr">
        <is>
          <t>69315011710</t>
        </is>
      </c>
      <c r="D486" s="5" t="inlineStr">
        <is>
          <t>FUROSEMIDE 40 MG TABLET</t>
        </is>
      </c>
      <c r="E486" s="6" t="inlineStr">
        <is>
          <t>1000.0</t>
        </is>
      </c>
      <c r="F486" s="7" t="n">
        <v>300</v>
      </c>
      <c r="G486" s="7" t="n">
        <v>0.3</v>
      </c>
      <c r="H486" s="7" t="n">
        <v>0</v>
      </c>
      <c r="I486" s="7" t="n">
        <v>-0.3</v>
      </c>
      <c r="J486" s="8" t="n">
        <v>28</v>
      </c>
      <c r="K486" s="9">
        <f>IFERROR(IF((ROUND((J486/G486)*I486,1))&lt;0,(ROUND((J486/G486)*I486,1)),0),0)</f>
        <v/>
      </c>
    </row>
    <row r="487">
      <c r="A487" s="4" t="n">
        <v>484</v>
      </c>
      <c r="B487" s="5" t="inlineStr">
        <is>
          <t>ALL_PBM</t>
        </is>
      </c>
      <c r="C487" s="5" t="inlineStr">
        <is>
          <t>68382077501</t>
        </is>
      </c>
      <c r="D487" s="5" t="inlineStr">
        <is>
          <t xml:space="preserve">METHOTREXATE 2.5MG TAB </t>
        </is>
      </c>
      <c r="E487" s="6" t="inlineStr">
        <is>
          <t>100.0</t>
        </is>
      </c>
      <c r="F487" s="7" t="n">
        <v>56</v>
      </c>
      <c r="G487" s="7" t="n">
        <v>0.5600000000000001</v>
      </c>
      <c r="H487" s="7" t="n">
        <v>0</v>
      </c>
      <c r="I487" s="7" t="n">
        <v>-0.5600000000000001</v>
      </c>
      <c r="J487" s="8" t="n">
        <v>28</v>
      </c>
      <c r="K487" s="9">
        <f>IFERROR(IF((ROUND((J487/G487)*I487,1))&lt;0,(ROUND((J487/G487)*I487,1)),0),0)</f>
        <v/>
      </c>
    </row>
    <row r="488">
      <c r="A488" s="4" t="n">
        <v>485</v>
      </c>
      <c r="B488" s="5" t="inlineStr">
        <is>
          <t>ALL_PBM</t>
        </is>
      </c>
      <c r="C488" s="5" t="inlineStr">
        <is>
          <t>00093322308</t>
        </is>
      </c>
      <c r="D488" s="5" t="inlineStr">
        <is>
          <t>ESTRADIOL 10MCG TABLET</t>
        </is>
      </c>
      <c r="E488" s="6" t="inlineStr">
        <is>
          <t>8.0</t>
        </is>
      </c>
      <c r="F488" s="7" t="n">
        <v>8</v>
      </c>
      <c r="G488" s="7" t="n">
        <v>1</v>
      </c>
      <c r="H488" s="7" t="n">
        <v>0</v>
      </c>
      <c r="I488" s="7" t="n">
        <v>-1</v>
      </c>
      <c r="J488" s="8" t="n">
        <v>28</v>
      </c>
      <c r="K488" s="9">
        <f>IFERROR(IF((ROUND((J488/G488)*I488,1))&lt;0,(ROUND((J488/G488)*I488,1)),0),0)</f>
        <v/>
      </c>
    </row>
    <row r="489">
      <c r="A489" s="4" t="n">
        <v>486</v>
      </c>
      <c r="B489" s="5" t="inlineStr">
        <is>
          <t>ALL_PBM</t>
        </is>
      </c>
      <c r="C489" s="5" t="inlineStr">
        <is>
          <t>00093354143</t>
        </is>
      </c>
      <c r="D489" s="5" t="inlineStr">
        <is>
          <t>ESTRADIOL 0.1MG/GM CREAM</t>
        </is>
      </c>
      <c r="E489" s="6" t="inlineStr">
        <is>
          <t>42.5</t>
        </is>
      </c>
      <c r="F489" s="7" t="n">
        <v>42.5</v>
      </c>
      <c r="G489" s="7" t="n">
        <v>1</v>
      </c>
      <c r="H489" s="7" t="n">
        <v>0</v>
      </c>
      <c r="I489" s="7" t="n">
        <v>-1</v>
      </c>
      <c r="J489" s="8" t="n">
        <v>28</v>
      </c>
      <c r="K489" s="9">
        <f>IFERROR(IF((ROUND((J489/G489)*I489,1))&lt;0,(ROUND((J489/G489)*I489,1)),0),0)</f>
        <v/>
      </c>
    </row>
    <row r="490">
      <c r="A490" s="4" t="n">
        <v>487</v>
      </c>
      <c r="B490" s="5" t="inlineStr">
        <is>
          <t>ALL_PBM</t>
        </is>
      </c>
      <c r="C490" s="5" t="inlineStr">
        <is>
          <t>00781711954</t>
        </is>
      </c>
      <c r="D490" s="5" t="inlineStr">
        <is>
          <t>ESTRADIOL 0.025 MG/24HR TRANSDERMAL PATCH WEEKLY</t>
        </is>
      </c>
      <c r="E490" s="6" t="inlineStr">
        <is>
          <t>4.0</t>
        </is>
      </c>
      <c r="F490" s="7" t="n">
        <v>4</v>
      </c>
      <c r="G490" s="7" t="n">
        <v>1</v>
      </c>
      <c r="H490" s="7" t="n">
        <v>0</v>
      </c>
      <c r="I490" s="7" t="n">
        <v>-1</v>
      </c>
      <c r="J490" s="8" t="n">
        <v>27</v>
      </c>
      <c r="K490" s="9">
        <f>IFERROR(IF((ROUND((J490/G490)*I490,1))&lt;0,(ROUND((J490/G490)*I490,1)),0),0)</f>
        <v/>
      </c>
    </row>
    <row r="491">
      <c r="A491" s="4" t="n">
        <v>488</v>
      </c>
      <c r="B491" s="5" t="inlineStr">
        <is>
          <t>ALL_PBM</t>
        </is>
      </c>
      <c r="C491" s="5" t="inlineStr">
        <is>
          <t>33342005044</t>
        </is>
      </c>
      <c r="D491" s="5" t="inlineStr">
        <is>
          <t>LOSARTAN-HCTZ 50-12.5 MG TABLET</t>
        </is>
      </c>
      <c r="E491" s="6" t="inlineStr">
        <is>
          <t>1000.0</t>
        </is>
      </c>
      <c r="F491" s="7" t="n">
        <v>150</v>
      </c>
      <c r="G491" s="7" t="n">
        <v>0.15</v>
      </c>
      <c r="H491" s="7" t="n">
        <v>1</v>
      </c>
      <c r="I491" s="7" t="n">
        <v>0.85</v>
      </c>
      <c r="J491" s="8" t="n">
        <v>27</v>
      </c>
      <c r="K491" s="9">
        <f>IFERROR(IF((ROUND((J491/G491)*I491,1))&lt;0,(ROUND((J491/G491)*I491,1)),0),0)</f>
        <v/>
      </c>
    </row>
    <row r="492">
      <c r="A492" s="4" t="n">
        <v>489</v>
      </c>
      <c r="B492" s="5" t="inlineStr">
        <is>
          <t>ALL_PBM</t>
        </is>
      </c>
      <c r="C492" s="5" t="inlineStr">
        <is>
          <t>68382013905</t>
        </is>
      </c>
      <c r="D492" s="5" t="inlineStr">
        <is>
          <t xml:space="preserve">TOPIRAMATE 50MG TAB </t>
        </is>
      </c>
      <c r="E492" s="6" t="inlineStr">
        <is>
          <t>500.0</t>
        </is>
      </c>
      <c r="F492" s="7" t="n">
        <v>210</v>
      </c>
      <c r="G492" s="7" t="n">
        <v>0.42</v>
      </c>
      <c r="H492" s="7" t="n">
        <v>0</v>
      </c>
      <c r="I492" s="7" t="n">
        <v>-0.42</v>
      </c>
      <c r="J492" s="8" t="n">
        <v>27</v>
      </c>
      <c r="K492" s="9">
        <f>IFERROR(IF((ROUND((J492/G492)*I492,1))&lt;0,(ROUND((J492/G492)*I492,1)),0),0)</f>
        <v/>
      </c>
    </row>
    <row r="493">
      <c r="A493" s="4" t="n">
        <v>490</v>
      </c>
      <c r="B493" s="5" t="inlineStr">
        <is>
          <t>ALL_PBM</t>
        </is>
      </c>
      <c r="C493" s="5" t="inlineStr">
        <is>
          <t>00168032346</t>
        </is>
      </c>
      <c r="D493" s="5" t="inlineStr">
        <is>
          <t>METRONIDAZOLE TOPICAL 0.75% CREAM</t>
        </is>
      </c>
      <c r="E493" s="6" t="inlineStr">
        <is>
          <t>45.0</t>
        </is>
      </c>
      <c r="F493" s="7" t="n">
        <v>45</v>
      </c>
      <c r="G493" s="7" t="n">
        <v>1</v>
      </c>
      <c r="H493" s="7" t="n">
        <v>0</v>
      </c>
      <c r="I493" s="7" t="n">
        <v>-1</v>
      </c>
      <c r="J493" s="8" t="n">
        <v>27</v>
      </c>
      <c r="K493" s="9">
        <f>IFERROR(IF((ROUND((J493/G493)*I493,1))&lt;0,(ROUND((J493/G493)*I493,1)),0),0)</f>
        <v/>
      </c>
    </row>
    <row r="494">
      <c r="A494" s="4" t="n">
        <v>491</v>
      </c>
      <c r="B494" s="5" t="inlineStr">
        <is>
          <t>ALL_PBM</t>
        </is>
      </c>
      <c r="C494" s="5" t="inlineStr">
        <is>
          <t>69315031228</t>
        </is>
      </c>
      <c r="D494" s="5" t="inlineStr">
        <is>
          <t>PROCTO-MED HC 2.5 % EXTERNAL CREAM</t>
        </is>
      </c>
      <c r="E494" s="6" t="inlineStr">
        <is>
          <t>28.0</t>
        </is>
      </c>
      <c r="F494" s="7" t="n">
        <v>84</v>
      </c>
      <c r="G494" s="7" t="n">
        <v>3</v>
      </c>
      <c r="H494" s="7" t="n">
        <v>5</v>
      </c>
      <c r="I494" s="7" t="n">
        <v>2</v>
      </c>
      <c r="J494" s="8" t="n">
        <v>27</v>
      </c>
      <c r="K494" s="9">
        <f>IFERROR(IF((ROUND((J494/G494)*I494,1))&lt;0,(ROUND((J494/G494)*I494,1)),0),0)</f>
        <v/>
      </c>
    </row>
    <row r="495">
      <c r="A495" s="4" t="n">
        <v>492</v>
      </c>
      <c r="B495" s="5" t="inlineStr">
        <is>
          <t>ALL_PBM</t>
        </is>
      </c>
      <c r="C495" s="5" t="inlineStr">
        <is>
          <t>49483070350</t>
        </is>
      </c>
      <c r="D495" s="5" t="inlineStr">
        <is>
          <t>FLUOXETINE 40MG CAPSULE</t>
        </is>
      </c>
      <c r="E495" s="6" t="inlineStr">
        <is>
          <t>500.0</t>
        </is>
      </c>
      <c r="F495" s="7" t="n">
        <v>90</v>
      </c>
      <c r="G495" s="7" t="n">
        <v>0.18</v>
      </c>
      <c r="H495" s="7" t="n">
        <v>0</v>
      </c>
      <c r="I495" s="7" t="n">
        <v>-0.18</v>
      </c>
      <c r="J495" s="8" t="n">
        <v>26</v>
      </c>
      <c r="K495" s="9">
        <f>IFERROR(IF((ROUND((J495/G495)*I495,1))&lt;0,(ROUND((J495/G495)*I495,1)),0),0)</f>
        <v/>
      </c>
    </row>
    <row r="496">
      <c r="A496" s="4" t="n">
        <v>493</v>
      </c>
      <c r="B496" s="5" t="inlineStr">
        <is>
          <t>ALL_PBM</t>
        </is>
      </c>
      <c r="C496" s="5" t="inlineStr">
        <is>
          <t>31722053812</t>
        </is>
      </c>
      <c r="D496" s="5" t="inlineStr">
        <is>
          <t>LEVETIRACETAM 750MG TABLET</t>
        </is>
      </c>
      <c r="E496" s="6" t="inlineStr">
        <is>
          <t>120.0</t>
        </is>
      </c>
      <c r="F496" s="7" t="n">
        <v>180</v>
      </c>
      <c r="G496" s="7" t="n">
        <v>1.5</v>
      </c>
      <c r="H496" s="7" t="n">
        <v>0</v>
      </c>
      <c r="I496" s="7" t="n">
        <v>-1.5</v>
      </c>
      <c r="J496" s="8" t="n">
        <v>26</v>
      </c>
      <c r="K496" s="9">
        <f>IFERROR(IF((ROUND((J496/G496)*I496,1))&lt;0,(ROUND((J496/G496)*I496,1)),0),0)</f>
        <v/>
      </c>
    </row>
    <row r="497">
      <c r="A497" s="4" t="n">
        <v>494</v>
      </c>
      <c r="B497" s="5" t="inlineStr">
        <is>
          <t>ALL_PBM</t>
        </is>
      </c>
      <c r="C497" s="5" t="inlineStr">
        <is>
          <t>68180097003</t>
        </is>
      </c>
      <c r="D497" s="5" t="inlineStr">
        <is>
          <t>LEVOTHYROXINE 112MCG TABLET</t>
        </is>
      </c>
      <c r="E497" s="6" t="inlineStr">
        <is>
          <t>1000.0</t>
        </is>
      </c>
      <c r="F497" s="7" t="n">
        <v>90</v>
      </c>
      <c r="G497" s="7" t="n">
        <v>0.09</v>
      </c>
      <c r="H497" s="7" t="n">
        <v>0</v>
      </c>
      <c r="I497" s="7" t="n">
        <v>-0.09</v>
      </c>
      <c r="J497" s="8" t="n">
        <v>26</v>
      </c>
      <c r="K497" s="9">
        <f>IFERROR(IF((ROUND((J497/G497)*I497,1))&lt;0,(ROUND((J497/G497)*I497,1)),0),0)</f>
        <v/>
      </c>
    </row>
    <row r="498">
      <c r="A498" s="4" t="n">
        <v>495</v>
      </c>
      <c r="B498" s="5" t="inlineStr">
        <is>
          <t>ALL_PBM</t>
        </is>
      </c>
      <c r="C498" s="5" t="inlineStr">
        <is>
          <t>33342033354</t>
        </is>
      </c>
      <c r="D498" s="5" t="inlineStr">
        <is>
          <t>TRIAMCINOLONE 0.1% EXTERNAL OINTMENT</t>
        </is>
      </c>
      <c r="E498" s="6" t="inlineStr">
        <is>
          <t>454.0</t>
        </is>
      </c>
      <c r="F498" s="7" t="n">
        <v>454</v>
      </c>
      <c r="G498" s="7" t="n">
        <v>1</v>
      </c>
      <c r="H498" s="7" t="n">
        <v>0</v>
      </c>
      <c r="I498" s="7" t="n">
        <v>-1</v>
      </c>
      <c r="J498" s="8" t="n">
        <v>26</v>
      </c>
      <c r="K498" s="9">
        <f>IFERROR(IF((ROUND((J498/G498)*I498,1))&lt;0,(ROUND((J498/G498)*I498,1)),0),0)</f>
        <v/>
      </c>
    </row>
    <row r="499">
      <c r="A499" s="4" t="n">
        <v>496</v>
      </c>
      <c r="B499" s="5" t="inlineStr">
        <is>
          <t>ALL_PBM</t>
        </is>
      </c>
      <c r="C499" s="5" t="inlineStr">
        <is>
          <t>47781026405</t>
        </is>
      </c>
      <c r="D499" s="5" t="inlineStr">
        <is>
          <t xml:space="preserve">OXYCODONE 15 MG TABLET </t>
        </is>
      </c>
      <c r="E499" s="6" t="inlineStr">
        <is>
          <t>500.0</t>
        </is>
      </c>
      <c r="F499" s="7" t="n">
        <v>180</v>
      </c>
      <c r="G499" s="7" t="n">
        <v>0.36</v>
      </c>
      <c r="H499" s="7" t="n">
        <v>0</v>
      </c>
      <c r="I499" s="7" t="n">
        <v>-0.36</v>
      </c>
      <c r="J499" s="8" t="n">
        <v>25</v>
      </c>
      <c r="K499" s="9">
        <f>IFERROR(IF((ROUND((J499/G499)*I499,1))&lt;0,(ROUND((J499/G499)*I499,1)),0),0)</f>
        <v/>
      </c>
    </row>
    <row r="500">
      <c r="A500" s="4" t="n">
        <v>497</v>
      </c>
      <c r="B500" s="5" t="inlineStr">
        <is>
          <t>ALL_PBM</t>
        </is>
      </c>
      <c r="C500" s="5" t="inlineStr">
        <is>
          <t>31722072250</t>
        </is>
      </c>
      <c r="D500" s="5" t="inlineStr">
        <is>
          <t xml:space="preserve">LEVOFLOXACIN 500MG TAB </t>
        </is>
      </c>
      <c r="E500" s="6" t="inlineStr">
        <is>
          <t>50.0</t>
        </is>
      </c>
      <c r="F500" s="7" t="n">
        <v>44</v>
      </c>
      <c r="G500" s="7" t="n">
        <v>0.88</v>
      </c>
      <c r="H500" s="7" t="n">
        <v>0</v>
      </c>
      <c r="I500" s="7" t="n">
        <v>-0.88</v>
      </c>
      <c r="J500" s="8" t="n">
        <v>25</v>
      </c>
      <c r="K500" s="9">
        <f>IFERROR(IF((ROUND((J500/G500)*I500,1))&lt;0,(ROUND((J500/G500)*I500,1)),0),0)</f>
        <v/>
      </c>
    </row>
    <row r="501">
      <c r="A501" s="4" t="n">
        <v>498</v>
      </c>
      <c r="B501" s="5" t="inlineStr">
        <is>
          <t>ALL_PBM</t>
        </is>
      </c>
      <c r="C501" s="5" t="inlineStr">
        <is>
          <t>16729009016</t>
        </is>
      </c>
      <c r="D501" s="5" t="inlineStr">
        <is>
          <t xml:space="preserve">FINASTERIDE 5MG TAB </t>
        </is>
      </c>
      <c r="E501" s="6" t="inlineStr">
        <is>
          <t>500.0</t>
        </is>
      </c>
      <c r="F501" s="7" t="n">
        <v>450</v>
      </c>
      <c r="G501" s="7" t="n">
        <v>0.9</v>
      </c>
      <c r="H501" s="7" t="n">
        <v>0</v>
      </c>
      <c r="I501" s="7" t="n">
        <v>-0.9</v>
      </c>
      <c r="J501" s="8" t="n">
        <v>25</v>
      </c>
      <c r="K501" s="9">
        <f>IFERROR(IF((ROUND((J501/G501)*I501,1))&lt;0,(ROUND((J501/G501)*I501,1)),0),0)</f>
        <v/>
      </c>
    </row>
    <row r="502">
      <c r="A502" s="4" t="n">
        <v>499</v>
      </c>
      <c r="B502" s="5" t="inlineStr">
        <is>
          <t>ALL_PBM</t>
        </is>
      </c>
      <c r="C502" s="5" t="inlineStr">
        <is>
          <t>68382013805</t>
        </is>
      </c>
      <c r="D502" s="5" t="inlineStr">
        <is>
          <t>TOPIRAMATE 25MG TABLET</t>
        </is>
      </c>
      <c r="E502" s="6" t="inlineStr">
        <is>
          <t>500.0</t>
        </is>
      </c>
      <c r="F502" s="7" t="n">
        <v>120</v>
      </c>
      <c r="G502" s="7" t="n">
        <v>0.24</v>
      </c>
      <c r="H502" s="7" t="n">
        <v>0</v>
      </c>
      <c r="I502" s="7" t="n">
        <v>-0.24</v>
      </c>
      <c r="J502" s="8" t="n">
        <v>25</v>
      </c>
      <c r="K502" s="9">
        <f>IFERROR(IF((ROUND((J502/G502)*I502,1))&lt;0,(ROUND((J502/G502)*I502,1)),0),0)</f>
        <v/>
      </c>
    </row>
    <row r="503">
      <c r="A503" s="4" t="n">
        <v>500</v>
      </c>
      <c r="B503" s="5" t="inlineStr">
        <is>
          <t>ALL_PBM</t>
        </is>
      </c>
      <c r="C503" s="5" t="inlineStr">
        <is>
          <t>69315011610</t>
        </is>
      </c>
      <c r="D503" s="5" t="inlineStr">
        <is>
          <t xml:space="preserve">FUROSEMIDE 20MG TAB </t>
        </is>
      </c>
      <c r="E503" s="6" t="inlineStr">
        <is>
          <t>1000.0</t>
        </is>
      </c>
      <c r="F503" s="7" t="n">
        <v>510</v>
      </c>
      <c r="G503" s="7" t="n">
        <v>0.51</v>
      </c>
      <c r="H503" s="7" t="n">
        <v>0</v>
      </c>
      <c r="I503" s="7" t="n">
        <v>-0.51</v>
      </c>
      <c r="J503" s="8" t="n">
        <v>25</v>
      </c>
      <c r="K503" s="9">
        <f>IFERROR(IF((ROUND((J503/G503)*I503,1))&lt;0,(ROUND((J503/G503)*I503,1)),0),0)</f>
        <v/>
      </c>
    </row>
    <row r="504">
      <c r="A504" s="4" t="n">
        <v>501</v>
      </c>
      <c r="B504" s="5" t="inlineStr">
        <is>
          <t>ALL_PBM</t>
        </is>
      </c>
      <c r="C504" s="5" t="inlineStr">
        <is>
          <t>00472037945</t>
        </is>
      </c>
      <c r="D504" s="5" t="inlineStr">
        <is>
          <t>CLOTRIMAZOLE-BETAMETHASONE 1-0.05 % EXTERNAL CREAM</t>
        </is>
      </c>
      <c r="E504" s="6" t="inlineStr">
        <is>
          <t>45.0</t>
        </is>
      </c>
      <c r="F504" s="7" t="n">
        <v>90</v>
      </c>
      <c r="G504" s="7" t="n">
        <v>2</v>
      </c>
      <c r="H504" s="7" t="n">
        <v>0</v>
      </c>
      <c r="I504" s="7" t="n">
        <v>-2</v>
      </c>
      <c r="J504" s="8" t="n">
        <v>25</v>
      </c>
      <c r="K504" s="9">
        <f>IFERROR(IF((ROUND((J504/G504)*I504,1))&lt;0,(ROUND((J504/G504)*I504,1)),0),0)</f>
        <v/>
      </c>
    </row>
    <row r="505">
      <c r="A505" s="4" t="n">
        <v>502</v>
      </c>
      <c r="B505" s="5" t="inlineStr">
        <is>
          <t>ALL_PBM</t>
        </is>
      </c>
      <c r="C505" s="5" t="inlineStr">
        <is>
          <t>69680011225</t>
        </is>
      </c>
      <c r="D505" s="5" t="inlineStr">
        <is>
          <t>CYANOCOBALAMIN 1000 MCG/ML INJECTION SOLUTION</t>
        </is>
      </c>
      <c r="E505" s="6" t="inlineStr">
        <is>
          <t>25.0</t>
        </is>
      </c>
      <c r="F505" s="7" t="n">
        <v>7</v>
      </c>
      <c r="G505" s="7" t="n">
        <v>0.28</v>
      </c>
      <c r="H505" s="7" t="n">
        <v>0</v>
      </c>
      <c r="I505" s="7" t="n">
        <v>-0.28</v>
      </c>
      <c r="J505" s="8" t="n">
        <v>25</v>
      </c>
      <c r="K505" s="9">
        <f>IFERROR(IF((ROUND((J505/G505)*I505,1))&lt;0,(ROUND((J505/G505)*I505,1)),0),0)</f>
        <v/>
      </c>
    </row>
    <row r="506">
      <c r="A506" s="4" t="n">
        <v>503</v>
      </c>
      <c r="B506" s="5" t="inlineStr">
        <is>
          <t>ALL_PBM</t>
        </is>
      </c>
      <c r="C506" s="5" t="inlineStr">
        <is>
          <t>65162069179</t>
        </is>
      </c>
      <c r="D506" s="5" t="inlineStr">
        <is>
          <t>ONDANSETRON HCL 4 MG/5ML SOLUTION</t>
        </is>
      </c>
      <c r="E506" s="6" t="inlineStr">
        <is>
          <t>50.0</t>
        </is>
      </c>
      <c r="F506" s="7" t="n">
        <v>50</v>
      </c>
      <c r="G506" s="7" t="n">
        <v>1</v>
      </c>
      <c r="H506" s="7" t="n">
        <v>3</v>
      </c>
      <c r="I506" s="7" t="n">
        <v>2</v>
      </c>
      <c r="J506" s="8" t="n">
        <v>24</v>
      </c>
      <c r="K506" s="9">
        <f>IFERROR(IF((ROUND((J506/G506)*I506,1))&lt;0,(ROUND((J506/G506)*I506,1)),0),0)</f>
        <v/>
      </c>
    </row>
    <row r="507">
      <c r="A507" s="4" t="n">
        <v>504</v>
      </c>
      <c r="B507" s="5" t="inlineStr">
        <is>
          <t>ALL_PBM</t>
        </is>
      </c>
      <c r="C507" s="5" t="inlineStr">
        <is>
          <t>49483060450</t>
        </is>
      </c>
      <c r="D507" s="5" t="inlineStr">
        <is>
          <t>IBUPROFEN 800MG TABLET</t>
        </is>
      </c>
      <c r="E507" s="6" t="inlineStr">
        <is>
          <t>500.0</t>
        </is>
      </c>
      <c r="F507" s="7" t="n">
        <v>71</v>
      </c>
      <c r="G507" s="7" t="n">
        <v>0.142</v>
      </c>
      <c r="H507" s="7" t="n">
        <v>0</v>
      </c>
      <c r="I507" s="7" t="n">
        <v>-0.142</v>
      </c>
      <c r="J507" s="8" t="n">
        <v>24</v>
      </c>
      <c r="K507" s="9">
        <f>IFERROR(IF((ROUND((J507/G507)*I507,1))&lt;0,(ROUND((J507/G507)*I507,1)),0),0)</f>
        <v/>
      </c>
    </row>
    <row r="508">
      <c r="A508" s="4" t="n">
        <v>505</v>
      </c>
      <c r="B508" s="5" t="inlineStr">
        <is>
          <t>ALL_PBM</t>
        </is>
      </c>
      <c r="C508" s="5" t="inlineStr">
        <is>
          <t>31722066860</t>
        </is>
      </c>
      <c r="D508" s="5" t="inlineStr">
        <is>
          <t>RANOLAZINE ER 500 MG ORAL TABLET EXTENDED RELEASE 12 HOUR</t>
        </is>
      </c>
      <c r="E508" s="6" t="inlineStr">
        <is>
          <t>60.0</t>
        </is>
      </c>
      <c r="F508" s="7" t="n">
        <v>180</v>
      </c>
      <c r="G508" s="7" t="n">
        <v>3</v>
      </c>
      <c r="H508" s="7" t="n">
        <v>5</v>
      </c>
      <c r="I508" s="7" t="n">
        <v>2</v>
      </c>
      <c r="J508" s="8" t="n">
        <v>24</v>
      </c>
      <c r="K508" s="9">
        <f>IFERROR(IF((ROUND((J508/G508)*I508,1))&lt;0,(ROUND((J508/G508)*I508,1)),0),0)</f>
        <v/>
      </c>
    </row>
    <row r="509">
      <c r="A509" s="4" t="n">
        <v>506</v>
      </c>
      <c r="B509" s="5" t="inlineStr">
        <is>
          <t>ALL_PBM</t>
        </is>
      </c>
      <c r="C509" s="5" t="inlineStr">
        <is>
          <t>68180097903</t>
        </is>
      </c>
      <c r="D509" s="5" t="inlineStr">
        <is>
          <t>LISINOPRIL 40MG TABLET</t>
        </is>
      </c>
      <c r="E509" s="6" t="inlineStr">
        <is>
          <t>1000.0</t>
        </is>
      </c>
      <c r="F509" s="7" t="n">
        <v>330</v>
      </c>
      <c r="G509" s="7" t="n">
        <v>0.33</v>
      </c>
      <c r="H509" s="7" t="n">
        <v>0</v>
      </c>
      <c r="I509" s="7" t="n">
        <v>-0.33</v>
      </c>
      <c r="J509" s="8" t="n">
        <v>24</v>
      </c>
      <c r="K509" s="9">
        <f>IFERROR(IF((ROUND((J509/G509)*I509,1))&lt;0,(ROUND((J509/G509)*I509,1)),0),0)</f>
        <v/>
      </c>
    </row>
    <row r="510">
      <c r="A510" s="4" t="n">
        <v>507</v>
      </c>
      <c r="B510" s="5" t="inlineStr">
        <is>
          <t>ALL_PBM</t>
        </is>
      </c>
      <c r="C510" s="5" t="inlineStr">
        <is>
          <t>61314014310</t>
        </is>
      </c>
      <c r="D510" s="5" t="inlineStr">
        <is>
          <t>BRIMONIDINE TARTRATE 0.2% SOLUTION</t>
        </is>
      </c>
      <c r="E510" s="6" t="inlineStr">
        <is>
          <t>10.0</t>
        </is>
      </c>
      <c r="F510" s="7" t="n">
        <v>20</v>
      </c>
      <c r="G510" s="7" t="n">
        <v>2</v>
      </c>
      <c r="H510" s="7" t="n">
        <v>0</v>
      </c>
      <c r="I510" s="7" t="n">
        <v>-2</v>
      </c>
      <c r="J510" s="8" t="n">
        <v>24</v>
      </c>
      <c r="K510" s="9">
        <f>IFERROR(IF((ROUND((J510/G510)*I510,1))&lt;0,(ROUND((J510/G510)*I510,1)),0),0)</f>
        <v/>
      </c>
    </row>
    <row r="511">
      <c r="A511" s="4" t="n">
        <v>508</v>
      </c>
      <c r="B511" s="5" t="inlineStr">
        <is>
          <t>ALL_PBM</t>
        </is>
      </c>
      <c r="C511" s="5" t="inlineStr">
        <is>
          <t>21922006215</t>
        </is>
      </c>
      <c r="D511" s="5" t="inlineStr">
        <is>
          <t>TRIAMCINOLONE ACETONIDE 0.1 % EXTERNAL CREAM</t>
        </is>
      </c>
      <c r="E511" s="6" t="inlineStr">
        <is>
          <t>80.0</t>
        </is>
      </c>
      <c r="F511" s="7" t="n">
        <v>240</v>
      </c>
      <c r="G511" s="7" t="n">
        <v>3</v>
      </c>
      <c r="H511" s="7" t="n">
        <v>6</v>
      </c>
      <c r="I511" s="7" t="n">
        <v>3</v>
      </c>
      <c r="J511" s="8" t="n">
        <v>24</v>
      </c>
      <c r="K511" s="9">
        <f>IFERROR(IF((ROUND((J511/G511)*I511,1))&lt;0,(ROUND((J511/G511)*I511,1)),0),0)</f>
        <v/>
      </c>
    </row>
    <row r="512">
      <c r="A512" s="4" t="n">
        <v>509</v>
      </c>
      <c r="B512" s="5" t="inlineStr">
        <is>
          <t>ALL_PBM</t>
        </is>
      </c>
      <c r="C512" s="5" t="inlineStr">
        <is>
          <t>72888007715</t>
        </is>
      </c>
      <c r="D512" s="5" t="inlineStr">
        <is>
          <t>DORZOLAMIDE HCL 2 % OPHTHALMIC SOLUTION</t>
        </is>
      </c>
      <c r="E512" s="6" t="inlineStr">
        <is>
          <t>10.0</t>
        </is>
      </c>
      <c r="F512" s="7" t="n">
        <v>20</v>
      </c>
      <c r="G512" s="7" t="n">
        <v>2</v>
      </c>
      <c r="H512" s="7" t="n">
        <v>0</v>
      </c>
      <c r="I512" s="7" t="n">
        <v>-2</v>
      </c>
      <c r="J512" s="8" t="n">
        <v>24</v>
      </c>
      <c r="K512" s="9">
        <f>IFERROR(IF((ROUND((J512/G512)*I512,1))&lt;0,(ROUND((J512/G512)*I512,1)),0),0)</f>
        <v/>
      </c>
    </row>
    <row r="513">
      <c r="A513" s="4" t="n">
        <v>510</v>
      </c>
      <c r="B513" s="5" t="inlineStr">
        <is>
          <t>ALL_PBM</t>
        </is>
      </c>
      <c r="C513" s="5" t="inlineStr">
        <is>
          <t>70436005704</t>
        </is>
      </c>
      <c r="D513" s="5" t="inlineStr">
        <is>
          <t>MEMANTINE 28MG CAPSULE ER</t>
        </is>
      </c>
      <c r="E513" s="6" t="inlineStr">
        <is>
          <t>30.0</t>
        </is>
      </c>
      <c r="F513" s="7" t="n">
        <v>30</v>
      </c>
      <c r="G513" s="7" t="n">
        <v>1</v>
      </c>
      <c r="H513" s="7" t="n">
        <v>0</v>
      </c>
      <c r="I513" s="7" t="n">
        <v>-1</v>
      </c>
      <c r="J513" s="8" t="n">
        <v>23</v>
      </c>
      <c r="K513" s="9">
        <f>IFERROR(IF((ROUND((J513/G513)*I513,1))&lt;0,(ROUND((J513/G513)*I513,1)),0),0)</f>
        <v/>
      </c>
    </row>
    <row r="514">
      <c r="A514" s="4" t="n">
        <v>511</v>
      </c>
      <c r="B514" s="5" t="inlineStr">
        <is>
          <t>ALL_PBM</t>
        </is>
      </c>
      <c r="C514" s="5" t="inlineStr">
        <is>
          <t>57237023301</t>
        </is>
      </c>
      <c r="D514" s="5" t="inlineStr">
        <is>
          <t>SULFAMETHOXAZOLE-TRIMETHOPRIM 800-160MG TABLET</t>
        </is>
      </c>
      <c r="E514" s="6" t="inlineStr">
        <is>
          <t>100.0</t>
        </is>
      </c>
      <c r="F514" s="7" t="n">
        <v>48</v>
      </c>
      <c r="G514" s="7" t="n">
        <v>0.48</v>
      </c>
      <c r="H514" s="7" t="n">
        <v>1</v>
      </c>
      <c r="I514" s="7" t="n">
        <v>0.52</v>
      </c>
      <c r="J514" s="8" t="n">
        <v>23</v>
      </c>
      <c r="K514" s="9">
        <f>IFERROR(IF((ROUND((J514/G514)*I514,1))&lt;0,(ROUND((J514/G514)*I514,1)),0),0)</f>
        <v/>
      </c>
    </row>
    <row r="515">
      <c r="A515" s="4" t="n">
        <v>512</v>
      </c>
      <c r="B515" s="5" t="inlineStr">
        <is>
          <t>ALL_PBM</t>
        </is>
      </c>
      <c r="C515" s="5" t="inlineStr">
        <is>
          <t>31722004990</t>
        </is>
      </c>
      <c r="D515" s="5" t="inlineStr">
        <is>
          <t>EPLERENONE 25 MG ORAL TABLET</t>
        </is>
      </c>
      <c r="E515" s="6" t="inlineStr">
        <is>
          <t>90.0</t>
        </is>
      </c>
      <c r="F515" s="7" t="n">
        <v>90</v>
      </c>
      <c r="G515" s="7" t="n">
        <v>1</v>
      </c>
      <c r="H515" s="7" t="n">
        <v>0</v>
      </c>
      <c r="I515" s="7" t="n">
        <v>-1</v>
      </c>
      <c r="J515" s="8" t="n">
        <v>23</v>
      </c>
      <c r="K515" s="9">
        <f>IFERROR(IF((ROUND((J515/G515)*I515,1))&lt;0,(ROUND((J515/G515)*I515,1)),0),0)</f>
        <v/>
      </c>
    </row>
    <row r="516">
      <c r="A516" s="4" t="n">
        <v>513</v>
      </c>
      <c r="B516" s="5" t="inlineStr">
        <is>
          <t>ALL_PBM</t>
        </is>
      </c>
      <c r="C516" s="5" t="inlineStr">
        <is>
          <t>47781026305</t>
        </is>
      </c>
      <c r="D516" s="5" t="inlineStr">
        <is>
          <t>OXYCODONE HCL 5 MG TABLET</t>
        </is>
      </c>
      <c r="E516" s="6" t="inlineStr">
        <is>
          <t>500.0</t>
        </is>
      </c>
      <c r="F516" s="7" t="n">
        <v>32</v>
      </c>
      <c r="G516" s="7" t="n">
        <v>0.064</v>
      </c>
      <c r="H516" s="7" t="n">
        <v>0</v>
      </c>
      <c r="I516" s="7" t="n">
        <v>-0.064</v>
      </c>
      <c r="J516" s="8" t="n">
        <v>23</v>
      </c>
      <c r="K516" s="9">
        <f>IFERROR(IF((ROUND((J516/G516)*I516,1))&lt;0,(ROUND((J516/G516)*I516,1)),0),0)</f>
        <v/>
      </c>
    </row>
    <row r="517">
      <c r="A517" s="4" t="n">
        <v>514</v>
      </c>
      <c r="B517" s="5" t="inlineStr">
        <is>
          <t>ALL_PBM</t>
        </is>
      </c>
      <c r="C517" s="5" t="inlineStr">
        <is>
          <t>00168000215</t>
        </is>
      </c>
      <c r="D517" s="5" t="inlineStr">
        <is>
          <t>TRIAMCINOLONE ACETONIDE 0.5 % CREAM</t>
        </is>
      </c>
      <c r="E517" s="6" t="inlineStr">
        <is>
          <t>15.0</t>
        </is>
      </c>
      <c r="F517" s="7" t="n">
        <v>45</v>
      </c>
      <c r="G517" s="7" t="n">
        <v>3</v>
      </c>
      <c r="H517" s="7" t="n">
        <v>0</v>
      </c>
      <c r="I517" s="7" t="n">
        <v>-3</v>
      </c>
      <c r="J517" s="8" t="n">
        <v>23</v>
      </c>
      <c r="K517" s="9">
        <f>IFERROR(IF((ROUND((J517/G517)*I517,1))&lt;0,(ROUND((J517/G517)*I517,1)),0),0)</f>
        <v/>
      </c>
    </row>
    <row r="518">
      <c r="A518" s="4" t="n">
        <v>515</v>
      </c>
      <c r="B518" s="5" t="inlineStr">
        <is>
          <t>ALL_PBM</t>
        </is>
      </c>
      <c r="C518" s="5" t="inlineStr">
        <is>
          <t>57237010099</t>
        </is>
      </c>
      <c r="D518" s="5" t="inlineStr">
        <is>
          <t>METOPROLOL TARTRATE 25MG TABLET</t>
        </is>
      </c>
      <c r="E518" s="6" t="inlineStr">
        <is>
          <t>1000.0</t>
        </is>
      </c>
      <c r="F518" s="7" t="n">
        <v>150</v>
      </c>
      <c r="G518" s="7" t="n">
        <v>0.15</v>
      </c>
      <c r="H518" s="7" t="n">
        <v>0</v>
      </c>
      <c r="I518" s="7" t="n">
        <v>-0.15</v>
      </c>
      <c r="J518" s="8" t="n">
        <v>23</v>
      </c>
      <c r="K518" s="9">
        <f>IFERROR(IF((ROUND((J518/G518)*I518,1))&lt;0,(ROUND((J518/G518)*I518,1)),0),0)</f>
        <v/>
      </c>
    </row>
    <row r="519">
      <c r="A519" s="4" t="n">
        <v>516</v>
      </c>
      <c r="B519" s="5" t="inlineStr">
        <is>
          <t>ALL_PBM</t>
        </is>
      </c>
      <c r="C519" s="5" t="inlineStr">
        <is>
          <t>57237015901</t>
        </is>
      </c>
      <c r="D519" s="5" t="inlineStr">
        <is>
          <t>REPAGLINIDE 2MG TABLET</t>
        </is>
      </c>
      <c r="E519" s="6" t="inlineStr">
        <is>
          <t>100.0</t>
        </is>
      </c>
      <c r="F519" s="7" t="n">
        <v>270</v>
      </c>
      <c r="G519" s="7" t="n">
        <v>2.7</v>
      </c>
      <c r="H519" s="7" t="n">
        <v>0</v>
      </c>
      <c r="I519" s="7" t="n">
        <v>-2.7</v>
      </c>
      <c r="J519" s="8" t="n">
        <v>23</v>
      </c>
      <c r="K519" s="9">
        <f>IFERROR(IF((ROUND((J519/G519)*I519,1))&lt;0,(ROUND((J519/G519)*I519,1)),0),0)</f>
        <v/>
      </c>
    </row>
    <row r="520">
      <c r="A520" s="4" t="n">
        <v>517</v>
      </c>
      <c r="B520" s="5" t="inlineStr">
        <is>
          <t>ALL_PBM</t>
        </is>
      </c>
      <c r="C520" s="5" t="inlineStr">
        <is>
          <t>23155066201</t>
        </is>
      </c>
      <c r="D520" s="5" t="inlineStr">
        <is>
          <t xml:space="preserve">CALCITRIOL 0.25MCG CAP </t>
        </is>
      </c>
      <c r="E520" s="6" t="inlineStr">
        <is>
          <t>100.0</t>
        </is>
      </c>
      <c r="F520" s="7" t="n">
        <v>90</v>
      </c>
      <c r="G520" s="7" t="n">
        <v>0.9</v>
      </c>
      <c r="H520" s="7" t="n">
        <v>3</v>
      </c>
      <c r="I520" s="7" t="n">
        <v>2.1</v>
      </c>
      <c r="J520" s="8" t="n">
        <v>23</v>
      </c>
      <c r="K520" s="9">
        <f>IFERROR(IF((ROUND((J520/G520)*I520,1))&lt;0,(ROUND((J520/G520)*I520,1)),0),0)</f>
        <v/>
      </c>
    </row>
    <row r="521">
      <c r="A521" s="4" t="n">
        <v>518</v>
      </c>
      <c r="B521" s="5" t="inlineStr">
        <is>
          <t>ALL_PBM</t>
        </is>
      </c>
      <c r="C521" s="5" t="inlineStr">
        <is>
          <t>42806071405</t>
        </is>
      </c>
      <c r="D521" s="5" t="inlineStr">
        <is>
          <t>BENZONATATE 100MG CAPSULE NYM</t>
        </is>
      </c>
      <c r="E521" s="6" t="inlineStr">
        <is>
          <t>500.0</t>
        </is>
      </c>
      <c r="F521" s="7" t="n">
        <v>32</v>
      </c>
      <c r="G521" s="7" t="n">
        <v>0.064</v>
      </c>
      <c r="H521" s="7" t="n">
        <v>1</v>
      </c>
      <c r="I521" s="7" t="n">
        <v>0.9359999999999999</v>
      </c>
      <c r="J521" s="8" t="n">
        <v>23</v>
      </c>
      <c r="K521" s="9">
        <f>IFERROR(IF((ROUND((J521/G521)*I521,1))&lt;0,(ROUND((J521/G521)*I521,1)),0),0)</f>
        <v/>
      </c>
    </row>
    <row r="522">
      <c r="A522" s="4" t="n">
        <v>519</v>
      </c>
      <c r="B522" s="5" t="inlineStr">
        <is>
          <t>ALL_PBM</t>
        </is>
      </c>
      <c r="C522" s="5" t="inlineStr">
        <is>
          <t>00378632177</t>
        </is>
      </c>
      <c r="D522" s="5" t="inlineStr">
        <is>
          <t>VALSARTAN-HYDROCHLOROTHIAZIDE 80-12.5 MG ORAL TABLET</t>
        </is>
      </c>
      <c r="E522" s="6" t="inlineStr">
        <is>
          <t>90.0</t>
        </is>
      </c>
      <c r="F522" s="7" t="n">
        <v>90</v>
      </c>
      <c r="G522" s="7" t="n">
        <v>1</v>
      </c>
      <c r="H522" s="7" t="n">
        <v>2</v>
      </c>
      <c r="I522" s="7" t="n">
        <v>1</v>
      </c>
      <c r="J522" s="8" t="n">
        <v>23</v>
      </c>
      <c r="K522" s="9">
        <f>IFERROR(IF((ROUND((J522/G522)*I522,1))&lt;0,(ROUND((J522/G522)*I522,1)),0),0)</f>
        <v/>
      </c>
    </row>
    <row r="523">
      <c r="A523" s="4" t="n">
        <v>520</v>
      </c>
      <c r="B523" s="5" t="inlineStr">
        <is>
          <t>ALL_PBM</t>
        </is>
      </c>
      <c r="C523" s="5" t="inlineStr">
        <is>
          <t>00781196260</t>
        </is>
      </c>
      <c r="D523" s="5" t="inlineStr">
        <is>
          <t xml:space="preserve">CLARITHROMYCIN 500MG TAB </t>
        </is>
      </c>
      <c r="E523" s="6" t="inlineStr">
        <is>
          <t>60.0</t>
        </is>
      </c>
      <c r="F523" s="7" t="n">
        <v>28</v>
      </c>
      <c r="G523" s="7" t="n">
        <v>0.4666666666666667</v>
      </c>
      <c r="H523" s="7" t="n">
        <v>0</v>
      </c>
      <c r="I523" s="7" t="n">
        <v>-0.4666666666666667</v>
      </c>
      <c r="J523" s="8" t="n">
        <v>23</v>
      </c>
      <c r="K523" s="9">
        <f>IFERROR(IF((ROUND((J523/G523)*I523,1))&lt;0,(ROUND((J523/G523)*I523,1)),0),0)</f>
        <v/>
      </c>
    </row>
    <row r="524">
      <c r="A524" s="4" t="n">
        <v>521</v>
      </c>
      <c r="B524" s="5" t="inlineStr">
        <is>
          <t>ALL_PBM</t>
        </is>
      </c>
      <c r="C524" s="5" t="inlineStr">
        <is>
          <t>00228212910</t>
        </is>
      </c>
      <c r="D524" s="5" t="inlineStr">
        <is>
          <t xml:space="preserve">CLONIDINE 0.3MG TAB </t>
        </is>
      </c>
      <c r="E524" s="6" t="inlineStr">
        <is>
          <t>100.0</t>
        </is>
      </c>
      <c r="F524" s="7" t="n">
        <v>60</v>
      </c>
      <c r="G524" s="7" t="n">
        <v>0.6</v>
      </c>
      <c r="H524" s="7" t="n">
        <v>3</v>
      </c>
      <c r="I524" s="7" t="n">
        <v>2.4</v>
      </c>
      <c r="J524" s="8" t="n">
        <v>23</v>
      </c>
      <c r="K524" s="9">
        <f>IFERROR(IF((ROUND((J524/G524)*I524,1))&lt;0,(ROUND((J524/G524)*I524,1)),0),0)</f>
        <v/>
      </c>
    </row>
    <row r="525">
      <c r="A525" s="4" t="n">
        <v>522</v>
      </c>
      <c r="B525" s="5" t="inlineStr">
        <is>
          <t>ALL_PBM</t>
        </is>
      </c>
      <c r="C525" s="5" t="inlineStr">
        <is>
          <t>00378050501</t>
        </is>
      </c>
      <c r="D525" s="5" t="inlineStr">
        <is>
          <t>BISOPROLOL-HCTZ 10-6.25MG TABLET</t>
        </is>
      </c>
      <c r="E525" s="6" t="inlineStr">
        <is>
          <t>100.0</t>
        </is>
      </c>
      <c r="F525" s="7" t="n">
        <v>150</v>
      </c>
      <c r="G525" s="7" t="n">
        <v>1.5</v>
      </c>
      <c r="H525" s="7" t="n">
        <v>0</v>
      </c>
      <c r="I525" s="7" t="n">
        <v>-1.5</v>
      </c>
      <c r="J525" s="8" t="n">
        <v>23</v>
      </c>
      <c r="K525" s="9">
        <f>IFERROR(IF((ROUND((J525/G525)*I525,1))&lt;0,(ROUND((J525/G525)*I525,1)),0),0)</f>
        <v/>
      </c>
    </row>
    <row r="526">
      <c r="A526" s="4" t="n">
        <v>523</v>
      </c>
      <c r="B526" s="5" t="inlineStr">
        <is>
          <t>ALL_PBM</t>
        </is>
      </c>
      <c r="C526" s="5" t="inlineStr">
        <is>
          <t>65862016999</t>
        </is>
      </c>
      <c r="D526" s="5" t="inlineStr">
        <is>
          <t>ATENOLOL 50MG TABLET</t>
        </is>
      </c>
      <c r="E526" s="6" t="inlineStr">
        <is>
          <t>1000.0</t>
        </is>
      </c>
      <c r="F526" s="7" t="n">
        <v>450</v>
      </c>
      <c r="G526" s="7" t="n">
        <v>0.45</v>
      </c>
      <c r="H526" s="7" t="n">
        <v>0</v>
      </c>
      <c r="I526" s="7" t="n">
        <v>-0.45</v>
      </c>
      <c r="J526" s="8" t="n">
        <v>23</v>
      </c>
      <c r="K526" s="9">
        <f>IFERROR(IF((ROUND((J526/G526)*I526,1))&lt;0,(ROUND((J526/G526)*I526,1)),0),0)</f>
        <v/>
      </c>
    </row>
    <row r="527">
      <c r="A527" s="4" t="n">
        <v>524</v>
      </c>
      <c r="B527" s="5" t="inlineStr">
        <is>
          <t>ALL_PBM</t>
        </is>
      </c>
      <c r="C527" s="5" t="inlineStr">
        <is>
          <t>42571034201</t>
        </is>
      </c>
      <c r="D527" s="5" t="inlineStr">
        <is>
          <t>CLOMIPRAMINE HCL 25 MG ORAL CAPSULE</t>
        </is>
      </c>
      <c r="E527" s="6" t="inlineStr">
        <is>
          <t>100.0</t>
        </is>
      </c>
      <c r="F527" s="7" t="n">
        <v>30</v>
      </c>
      <c r="G527" s="7" t="n">
        <v>0.3</v>
      </c>
      <c r="H527" s="7" t="n">
        <v>1</v>
      </c>
      <c r="I527" s="7" t="n">
        <v>0.7</v>
      </c>
      <c r="J527" s="8" t="n">
        <v>23</v>
      </c>
      <c r="K527" s="9">
        <f>IFERROR(IF((ROUND((J527/G527)*I527,1))&lt;0,(ROUND((J527/G527)*I527,1)),0),0)</f>
        <v/>
      </c>
    </row>
    <row r="528">
      <c r="A528" s="4" t="n">
        <v>525</v>
      </c>
      <c r="B528" s="5" t="inlineStr">
        <is>
          <t>ALL_PBM</t>
        </is>
      </c>
      <c r="C528" s="5" t="inlineStr">
        <is>
          <t>70377000613</t>
        </is>
      </c>
      <c r="D528" s="5" t="inlineStr">
        <is>
          <t>ROSUVASTATIN 5MG TABLET</t>
        </is>
      </c>
      <c r="E528" s="6" t="inlineStr">
        <is>
          <t>500.0</t>
        </is>
      </c>
      <c r="F528" s="7" t="n">
        <v>360</v>
      </c>
      <c r="G528" s="7" t="n">
        <v>0.72</v>
      </c>
      <c r="H528" s="7" t="n">
        <v>0</v>
      </c>
      <c r="I528" s="7" t="n">
        <v>-0.72</v>
      </c>
      <c r="J528" s="8" t="n">
        <v>23</v>
      </c>
      <c r="K528" s="9">
        <f>IFERROR(IF((ROUND((J528/G528)*I528,1))&lt;0,(ROUND((J528/G528)*I528,1)),0),0)</f>
        <v/>
      </c>
    </row>
    <row r="529">
      <c r="A529" s="4" t="n">
        <v>526</v>
      </c>
      <c r="B529" s="5" t="inlineStr">
        <is>
          <t>ALL_PBM</t>
        </is>
      </c>
      <c r="C529" s="5" t="inlineStr">
        <is>
          <t>00054350049</t>
        </is>
      </c>
      <c r="D529" s="5" t="inlineStr">
        <is>
          <t>LIDOCAINE VISCOUS 2 % ORAL SOLUTION</t>
        </is>
      </c>
      <c r="E529" s="6" t="inlineStr">
        <is>
          <t>100.0</t>
        </is>
      </c>
      <c r="F529" s="7" t="n">
        <v>400</v>
      </c>
      <c r="G529" s="7" t="n">
        <v>4</v>
      </c>
      <c r="H529" s="7" t="n">
        <v>3</v>
      </c>
      <c r="I529" s="7" t="n">
        <v>-1</v>
      </c>
      <c r="J529" s="8" t="n">
        <v>23</v>
      </c>
      <c r="K529" s="9">
        <f>IFERROR(IF((ROUND((J529/G529)*I529,1))&lt;0,(ROUND((J529/G529)*I529,1)),0),0)</f>
        <v/>
      </c>
    </row>
    <row r="530">
      <c r="A530" s="4" t="n">
        <v>527</v>
      </c>
      <c r="B530" s="5" t="inlineStr">
        <is>
          <t>ALL_PBM</t>
        </is>
      </c>
      <c r="C530" s="5" t="inlineStr">
        <is>
          <t>00378632377</t>
        </is>
      </c>
      <c r="D530" s="5" t="inlineStr">
        <is>
          <t>VALSARTAN-HCTZ 160-25MG TABLET</t>
        </is>
      </c>
      <c r="E530" s="6" t="inlineStr">
        <is>
          <t>90.0</t>
        </is>
      </c>
      <c r="F530" s="7" t="n">
        <v>120</v>
      </c>
      <c r="G530" s="7" t="n">
        <v>1.333333333333333</v>
      </c>
      <c r="H530" s="7" t="n">
        <v>2</v>
      </c>
      <c r="I530" s="7" t="n">
        <v>0.6666666666666667</v>
      </c>
      <c r="J530" s="8" t="n">
        <v>23</v>
      </c>
      <c r="K530" s="9">
        <f>IFERROR(IF((ROUND((J530/G530)*I530,1))&lt;0,(ROUND((J530/G530)*I530,1)),0),0)</f>
        <v/>
      </c>
    </row>
    <row r="531">
      <c r="A531" s="4" t="n">
        <v>528</v>
      </c>
      <c r="B531" s="5" t="inlineStr">
        <is>
          <t>ALL_PBM</t>
        </is>
      </c>
      <c r="C531" s="5" t="inlineStr">
        <is>
          <t>33342040550</t>
        </is>
      </c>
      <c r="D531" s="5" t="inlineStr">
        <is>
          <t>LIDOCAINE 5 % EXTERNAL OINTMENT</t>
        </is>
      </c>
      <c r="E531" s="6" t="inlineStr">
        <is>
          <t>50.0</t>
        </is>
      </c>
      <c r="F531" s="7" t="n">
        <v>100</v>
      </c>
      <c r="G531" s="7" t="n">
        <v>2</v>
      </c>
      <c r="H531" s="7" t="n">
        <v>0</v>
      </c>
      <c r="I531" s="7" t="n">
        <v>-2</v>
      </c>
      <c r="J531" s="8" t="n">
        <v>22</v>
      </c>
      <c r="K531" s="9">
        <f>IFERROR(IF((ROUND((J531/G531)*I531,1))&lt;0,(ROUND((J531/G531)*I531,1)),0),0)</f>
        <v/>
      </c>
    </row>
    <row r="532">
      <c r="A532" s="4" t="n">
        <v>529</v>
      </c>
      <c r="B532" s="5" t="inlineStr">
        <is>
          <t>ALL_PBM</t>
        </is>
      </c>
      <c r="C532" s="5" t="inlineStr">
        <is>
          <t>65162044210</t>
        </is>
      </c>
      <c r="D532" s="5" t="inlineStr">
        <is>
          <t>MECLIZINE 25MG TABLET</t>
        </is>
      </c>
      <c r="E532" s="6" t="inlineStr">
        <is>
          <t>100.0</t>
        </is>
      </c>
      <c r="F532" s="7" t="n">
        <v>120</v>
      </c>
      <c r="G532" s="7" t="n">
        <v>1.2</v>
      </c>
      <c r="H532" s="7" t="n">
        <v>0</v>
      </c>
      <c r="I532" s="7" t="n">
        <v>-1.2</v>
      </c>
      <c r="J532" s="8" t="n">
        <v>22</v>
      </c>
      <c r="K532" s="9">
        <f>IFERROR(IF((ROUND((J532/G532)*I532,1))&lt;0,(ROUND((J532/G532)*I532,1)),0),0)</f>
        <v/>
      </c>
    </row>
    <row r="533">
      <c r="A533" s="4" t="n">
        <v>530</v>
      </c>
      <c r="B533" s="5" t="inlineStr">
        <is>
          <t>ALL_PBM</t>
        </is>
      </c>
      <c r="C533" s="5" t="inlineStr">
        <is>
          <t>00054253125</t>
        </is>
      </c>
      <c r="D533" s="5" t="inlineStr">
        <is>
          <t>LITHIUM CARBONATE 600MG CAPSULE</t>
        </is>
      </c>
      <c r="E533" s="6" t="inlineStr">
        <is>
          <t>100.0</t>
        </is>
      </c>
      <c r="F533" s="7" t="n">
        <v>60</v>
      </c>
      <c r="G533" s="7" t="n">
        <v>0.6</v>
      </c>
      <c r="H533" s="7" t="n">
        <v>0</v>
      </c>
      <c r="I533" s="7" t="n">
        <v>-0.6</v>
      </c>
      <c r="J533" s="8" t="n">
        <v>22</v>
      </c>
      <c r="K533" s="9">
        <f>IFERROR(IF((ROUND((J533/G533)*I533,1))&lt;0,(ROUND((J533/G533)*I533,1)),0),0)</f>
        <v/>
      </c>
    </row>
    <row r="534">
      <c r="A534" s="4" t="n">
        <v>531</v>
      </c>
      <c r="B534" s="5" t="inlineStr">
        <is>
          <t>ALL_PBM</t>
        </is>
      </c>
      <c r="C534" s="5" t="inlineStr">
        <is>
          <t>68180059206</t>
        </is>
      </c>
      <c r="D534" s="5" t="inlineStr">
        <is>
          <t>DESVENLAFAXINE SUCCINATE ER 50MG TABLET</t>
        </is>
      </c>
      <c r="E534" s="6" t="inlineStr">
        <is>
          <t>30.0</t>
        </is>
      </c>
      <c r="F534" s="7" t="n">
        <v>90</v>
      </c>
      <c r="G534" s="7" t="n">
        <v>3</v>
      </c>
      <c r="H534" s="7" t="n">
        <v>3</v>
      </c>
      <c r="I534" s="7" t="n">
        <v>0</v>
      </c>
      <c r="J534" s="8" t="n">
        <v>22</v>
      </c>
      <c r="K534" s="9">
        <f>IFERROR(IF((ROUND((J534/G534)*I534,1))&lt;0,(ROUND((J534/G534)*I534,1)),0),0)</f>
        <v/>
      </c>
    </row>
    <row r="535">
      <c r="A535" s="4" t="n">
        <v>532</v>
      </c>
      <c r="B535" s="5" t="inlineStr">
        <is>
          <t>ALL_PBM</t>
        </is>
      </c>
      <c r="C535" s="5" t="inlineStr">
        <is>
          <t>64980028001</t>
        </is>
      </c>
      <c r="D535" s="5" t="inlineStr">
        <is>
          <t>GLIPIZIDE ER 5 MG TABLET</t>
        </is>
      </c>
      <c r="E535" s="6" t="inlineStr">
        <is>
          <t>100.0</t>
        </is>
      </c>
      <c r="F535" s="7" t="n">
        <v>300</v>
      </c>
      <c r="G535" s="7" t="n">
        <v>3</v>
      </c>
      <c r="H535" s="7" t="n">
        <v>0</v>
      </c>
      <c r="I535" s="7" t="n">
        <v>-3</v>
      </c>
      <c r="J535" s="8" t="n">
        <v>22</v>
      </c>
      <c r="K535" s="9">
        <f>IFERROR(IF((ROUND((J535/G535)*I535,1))&lt;0,(ROUND((J535/G535)*I535,1)),0),0)</f>
        <v/>
      </c>
    </row>
    <row r="536">
      <c r="A536" s="4" t="n">
        <v>533</v>
      </c>
      <c r="B536" s="5" t="inlineStr">
        <is>
          <t>ALL_PBM</t>
        </is>
      </c>
      <c r="C536" s="5" t="inlineStr">
        <is>
          <t>65862073205</t>
        </is>
      </c>
      <c r="D536" s="5" t="inlineStr">
        <is>
          <t>AMIODARONE 200MG TABLET</t>
        </is>
      </c>
      <c r="E536" s="6" t="inlineStr">
        <is>
          <t>500.0</t>
        </is>
      </c>
      <c r="F536" s="7" t="n">
        <v>210</v>
      </c>
      <c r="G536" s="7" t="n">
        <v>0.42</v>
      </c>
      <c r="H536" s="7" t="n">
        <v>0</v>
      </c>
      <c r="I536" s="7" t="n">
        <v>-0.42</v>
      </c>
      <c r="J536" s="8" t="n">
        <v>22</v>
      </c>
      <c r="K536" s="9">
        <f>IFERROR(IF((ROUND((J536/G536)*I536,1))&lt;0,(ROUND((J536/G536)*I536,1)),0),0)</f>
        <v/>
      </c>
    </row>
    <row r="537">
      <c r="A537" s="4" t="n">
        <v>534</v>
      </c>
      <c r="B537" s="5" t="inlineStr">
        <is>
          <t>ALL_PBM</t>
        </is>
      </c>
      <c r="C537" s="5" t="inlineStr">
        <is>
          <t>60505279500</t>
        </is>
      </c>
      <c r="D537" s="5" t="inlineStr">
        <is>
          <t xml:space="preserve">IBANDRONATE 150MG TAB </t>
        </is>
      </c>
      <c r="E537" s="6" t="inlineStr">
        <is>
          <t>1.0</t>
        </is>
      </c>
      <c r="F537" s="7" t="n">
        <v>3</v>
      </c>
      <c r="G537" s="7" t="n">
        <v>3</v>
      </c>
      <c r="H537" s="7" t="n">
        <v>0</v>
      </c>
      <c r="I537" s="7" t="n">
        <v>-3</v>
      </c>
      <c r="J537" s="8" t="n">
        <v>22</v>
      </c>
      <c r="K537" s="9">
        <f>IFERROR(IF((ROUND((J537/G537)*I537,1))&lt;0,(ROUND((J537/G537)*I537,1)),0),0)</f>
        <v/>
      </c>
    </row>
    <row r="538">
      <c r="A538" s="4" t="n">
        <v>535</v>
      </c>
      <c r="B538" s="5" t="inlineStr">
        <is>
          <t>ALL_PBM</t>
        </is>
      </c>
      <c r="C538" s="5" t="inlineStr">
        <is>
          <t>64980032430</t>
        </is>
      </c>
      <c r="D538" s="5" t="inlineStr">
        <is>
          <t>PROCTOZONE-HC 2.5% CREAM</t>
        </is>
      </c>
      <c r="E538" s="6" t="inlineStr">
        <is>
          <t>30.0</t>
        </is>
      </c>
      <c r="F538" s="7" t="n">
        <v>60</v>
      </c>
      <c r="G538" s="7" t="n">
        <v>2</v>
      </c>
      <c r="H538" s="7" t="n">
        <v>0</v>
      </c>
      <c r="I538" s="7" t="n">
        <v>-2</v>
      </c>
      <c r="J538" s="8" t="n">
        <v>22</v>
      </c>
      <c r="K538" s="9">
        <f>IFERROR(IF((ROUND((J538/G538)*I538,1))&lt;0,(ROUND((J538/G538)*I538,1)),0),0)</f>
        <v/>
      </c>
    </row>
    <row r="539">
      <c r="A539" s="4" t="n">
        <v>536</v>
      </c>
      <c r="B539" s="5" t="inlineStr">
        <is>
          <t>ALL_PBM</t>
        </is>
      </c>
      <c r="C539" s="5" t="inlineStr">
        <is>
          <t>00093720110</t>
        </is>
      </c>
      <c r="D539" s="5" t="inlineStr">
        <is>
          <t>PRAVASTATIN 20MG TABLET</t>
        </is>
      </c>
      <c r="E539" s="6" t="inlineStr">
        <is>
          <t>1000.0</t>
        </is>
      </c>
      <c r="F539" s="7" t="n">
        <v>180</v>
      </c>
      <c r="G539" s="7" t="n">
        <v>0.18</v>
      </c>
      <c r="H539" s="7" t="n">
        <v>0</v>
      </c>
      <c r="I539" s="7" t="n">
        <v>-0.18</v>
      </c>
      <c r="J539" s="8" t="n">
        <v>22</v>
      </c>
      <c r="K539" s="9">
        <f>IFERROR(IF((ROUND((J539/G539)*I539,1))&lt;0,(ROUND((J539/G539)*I539,1)),0),0)</f>
        <v/>
      </c>
    </row>
    <row r="540">
      <c r="A540" s="4" t="n">
        <v>537</v>
      </c>
      <c r="B540" s="5" t="inlineStr">
        <is>
          <t>ALL_PBM</t>
        </is>
      </c>
      <c r="C540" s="5" t="inlineStr">
        <is>
          <t>00555902858</t>
        </is>
      </c>
      <c r="D540" s="5" t="inlineStr">
        <is>
          <t>JUNEL FE 1.5/30 1.5-30 MG-MCG ORAL TABLET</t>
        </is>
      </c>
      <c r="E540" s="6" t="inlineStr">
        <is>
          <t>168.0</t>
        </is>
      </c>
      <c r="F540" s="7" t="n">
        <v>84</v>
      </c>
      <c r="G540" s="7" t="n">
        <v>0.5</v>
      </c>
      <c r="H540" s="7" t="n">
        <v>0</v>
      </c>
      <c r="I540" s="7" t="n">
        <v>-0.5</v>
      </c>
      <c r="J540" s="8" t="n">
        <v>22</v>
      </c>
      <c r="K540" s="9">
        <f>IFERROR(IF((ROUND((J540/G540)*I540,1))&lt;0,(ROUND((J540/G540)*I540,1)),0),0)</f>
        <v/>
      </c>
    </row>
    <row r="541">
      <c r="A541" s="4" t="n">
        <v>538</v>
      </c>
      <c r="B541" s="5" t="inlineStr">
        <is>
          <t>ALL_PBM</t>
        </is>
      </c>
      <c r="C541" s="5" t="inlineStr">
        <is>
          <t>00116400516</t>
        </is>
      </c>
      <c r="D541" s="5" t="inlineStr">
        <is>
          <t>LACTULOSE 10 GM/15ML ORAL SOLUTION</t>
        </is>
      </c>
      <c r="E541" s="6" t="inlineStr">
        <is>
          <t>473.0</t>
        </is>
      </c>
      <c r="F541" s="7" t="n">
        <v>946</v>
      </c>
      <c r="G541" s="7" t="n">
        <v>2</v>
      </c>
      <c r="H541" s="7" t="n">
        <v>5</v>
      </c>
      <c r="I541" s="7" t="n">
        <v>3</v>
      </c>
      <c r="J541" s="8" t="n">
        <v>22</v>
      </c>
      <c r="K541" s="9">
        <f>IFERROR(IF((ROUND((J541/G541)*I541,1))&lt;0,(ROUND((J541/G541)*I541,1)),0),0)</f>
        <v/>
      </c>
    </row>
    <row r="542">
      <c r="A542" s="4" t="n">
        <v>539</v>
      </c>
      <c r="B542" s="5" t="inlineStr">
        <is>
          <t>ALL_PBM</t>
        </is>
      </c>
      <c r="C542" s="5" t="inlineStr">
        <is>
          <t>65702072910</t>
        </is>
      </c>
      <c r="D542" s="5" t="inlineStr">
        <is>
          <t>ACCU-CHEK GUIDE W/DEVICE KIT</t>
        </is>
      </c>
      <c r="E542" s="6" t="inlineStr">
        <is>
          <t>1.0</t>
        </is>
      </c>
      <c r="F542" s="7" t="n">
        <v>1</v>
      </c>
      <c r="G542" s="7" t="n">
        <v>1</v>
      </c>
      <c r="H542" s="7" t="n">
        <v>3</v>
      </c>
      <c r="I542" s="7" t="n">
        <v>2</v>
      </c>
      <c r="J542" s="8" t="n">
        <v>21</v>
      </c>
      <c r="K542" s="9">
        <f>IFERROR(IF((ROUND((J542/G542)*I542,1))&lt;0,(ROUND((J542/G542)*I542,1)),0),0)</f>
        <v/>
      </c>
    </row>
    <row r="543">
      <c r="A543" s="4" t="n">
        <v>540</v>
      </c>
      <c r="B543" s="5" t="inlineStr">
        <is>
          <t>ALL_PBM</t>
        </is>
      </c>
      <c r="C543" s="5" t="inlineStr">
        <is>
          <t>61314022705</t>
        </is>
      </c>
      <c r="D543" s="5" t="inlineStr">
        <is>
          <t>TIMOLOL MALEATE 0.5% SOLUTION</t>
        </is>
      </c>
      <c r="E543" s="6" t="inlineStr">
        <is>
          <t>5.0</t>
        </is>
      </c>
      <c r="F543" s="7" t="n">
        <v>15</v>
      </c>
      <c r="G543" s="7" t="n">
        <v>3</v>
      </c>
      <c r="H543" s="7" t="n">
        <v>6</v>
      </c>
      <c r="I543" s="7" t="n">
        <v>3</v>
      </c>
      <c r="J543" s="8" t="n">
        <v>21</v>
      </c>
      <c r="K543" s="9">
        <f>IFERROR(IF((ROUND((J543/G543)*I543,1))&lt;0,(ROUND((J543/G543)*I543,1)),0),0)</f>
        <v/>
      </c>
    </row>
    <row r="544">
      <c r="A544" s="4" t="n">
        <v>541</v>
      </c>
      <c r="B544" s="5" t="inlineStr">
        <is>
          <t>ALL_PBM</t>
        </is>
      </c>
      <c r="C544" s="5" t="inlineStr">
        <is>
          <t>69097045805</t>
        </is>
      </c>
      <c r="D544" s="5" t="inlineStr">
        <is>
          <t xml:space="preserve">FENOFIBRATE 145MG TAB </t>
        </is>
      </c>
      <c r="E544" s="6" t="inlineStr">
        <is>
          <t>90.0</t>
        </is>
      </c>
      <c r="F544" s="7" t="n">
        <v>90</v>
      </c>
      <c r="G544" s="7" t="n">
        <v>1</v>
      </c>
      <c r="H544" s="7" t="n">
        <v>0</v>
      </c>
      <c r="I544" s="7" t="n">
        <v>-1</v>
      </c>
      <c r="J544" s="8" t="n">
        <v>21</v>
      </c>
      <c r="K544" s="9">
        <f>IFERROR(IF((ROUND((J544/G544)*I544,1))&lt;0,(ROUND((J544/G544)*I544,1)),0),0)</f>
        <v/>
      </c>
    </row>
    <row r="545">
      <c r="A545" s="4" t="n">
        <v>542</v>
      </c>
      <c r="B545" s="5" t="inlineStr">
        <is>
          <t>ALL_PBM</t>
        </is>
      </c>
      <c r="C545" s="5" t="inlineStr">
        <is>
          <t>65862022701</t>
        </is>
      </c>
      <c r="D545" s="5" t="inlineStr">
        <is>
          <t>LAMOTRIGINE 25MG TABLET</t>
        </is>
      </c>
      <c r="E545" s="6" t="inlineStr">
        <is>
          <t>100.0</t>
        </is>
      </c>
      <c r="F545" s="7" t="n">
        <v>660</v>
      </c>
      <c r="G545" s="7" t="n">
        <v>6.6</v>
      </c>
      <c r="H545" s="7" t="n">
        <v>10</v>
      </c>
      <c r="I545" s="7" t="n">
        <v>3.4</v>
      </c>
      <c r="J545" s="8" t="n">
        <v>21</v>
      </c>
      <c r="K545" s="9">
        <f>IFERROR(IF((ROUND((J545/G545)*I545,1))&lt;0,(ROUND((J545/G545)*I545,1)),0),0)</f>
        <v/>
      </c>
    </row>
    <row r="546">
      <c r="A546" s="4" t="n">
        <v>543</v>
      </c>
      <c r="B546" s="5" t="inlineStr">
        <is>
          <t>ALL_PBM</t>
        </is>
      </c>
      <c r="C546" s="5" t="inlineStr">
        <is>
          <t>00116200116</t>
        </is>
      </c>
      <c r="D546" s="5" t="inlineStr">
        <is>
          <t xml:space="preserve">CHLORHEXIDINE 0.12% SOLUTION </t>
        </is>
      </c>
      <c r="E546" s="6" t="inlineStr">
        <is>
          <t>473.0</t>
        </is>
      </c>
      <c r="F546" s="7" t="n">
        <v>1892</v>
      </c>
      <c r="G546" s="7" t="n">
        <v>4</v>
      </c>
      <c r="H546" s="7" t="n">
        <v>0</v>
      </c>
      <c r="I546" s="7" t="n">
        <v>-4</v>
      </c>
      <c r="J546" s="8" t="n">
        <v>21</v>
      </c>
      <c r="K546" s="9">
        <f>IFERROR(IF((ROUND((J546/G546)*I546,1))&lt;0,(ROUND((J546/G546)*I546,1)),0),0)</f>
        <v/>
      </c>
    </row>
    <row r="547">
      <c r="A547" s="4" t="n">
        <v>544</v>
      </c>
      <c r="B547" s="5" t="inlineStr">
        <is>
          <t>ALL_PBM</t>
        </is>
      </c>
      <c r="C547" s="5" t="inlineStr">
        <is>
          <t>57237015801</t>
        </is>
      </c>
      <c r="D547" s="5" t="inlineStr">
        <is>
          <t xml:space="preserve">REPAGLINIDE 1MG TAB </t>
        </is>
      </c>
      <c r="E547" s="6" t="inlineStr">
        <is>
          <t>100.0</t>
        </is>
      </c>
      <c r="F547" s="7" t="n">
        <v>180</v>
      </c>
      <c r="G547" s="7" t="n">
        <v>1.8</v>
      </c>
      <c r="H547" s="7" t="n">
        <v>0</v>
      </c>
      <c r="I547" s="7" t="n">
        <v>-1.8</v>
      </c>
      <c r="J547" s="8" t="n">
        <v>20</v>
      </c>
      <c r="K547" s="9">
        <f>IFERROR(IF((ROUND((J547/G547)*I547,1))&lt;0,(ROUND((J547/G547)*I547,1)),0),0)</f>
        <v/>
      </c>
    </row>
    <row r="548">
      <c r="A548" s="4" t="n">
        <v>545</v>
      </c>
      <c r="B548" s="5" t="inlineStr">
        <is>
          <t>ALL_PBM</t>
        </is>
      </c>
      <c r="C548" s="5" t="inlineStr">
        <is>
          <t>68180087673</t>
        </is>
      </c>
      <c r="D548" s="5" t="inlineStr">
        <is>
          <t xml:space="preserve">NORETHINDRONE 0.35MG TABLET </t>
        </is>
      </c>
      <c r="E548" s="6" t="inlineStr">
        <is>
          <t>84.0</t>
        </is>
      </c>
      <c r="F548" s="7" t="n">
        <v>112</v>
      </c>
      <c r="G548" s="7" t="n">
        <v>1.333333333333333</v>
      </c>
      <c r="H548" s="7" t="n">
        <v>2</v>
      </c>
      <c r="I548" s="7" t="n">
        <v>0.6666666666666667</v>
      </c>
      <c r="J548" s="8" t="n">
        <v>20</v>
      </c>
      <c r="K548" s="9">
        <f>IFERROR(IF((ROUND((J548/G548)*I548,1))&lt;0,(ROUND((J548/G548)*I548,1)),0),0)</f>
        <v/>
      </c>
    </row>
    <row r="549">
      <c r="A549" s="4" t="n">
        <v>546</v>
      </c>
      <c r="B549" s="5" t="inlineStr">
        <is>
          <t>ALL_PBM</t>
        </is>
      </c>
      <c r="C549" s="5" t="inlineStr">
        <is>
          <t>60505252201</t>
        </is>
      </c>
      <c r="D549" s="5" t="inlineStr">
        <is>
          <t>CILOSTAZOL 100MG TABLET</t>
        </is>
      </c>
      <c r="E549" s="6" t="inlineStr">
        <is>
          <t>60.0</t>
        </is>
      </c>
      <c r="F549" s="7" t="n">
        <v>180</v>
      </c>
      <c r="G549" s="7" t="n">
        <v>3</v>
      </c>
      <c r="H549" s="7" t="n">
        <v>0</v>
      </c>
      <c r="I549" s="7" t="n">
        <v>-3</v>
      </c>
      <c r="J549" s="8" t="n">
        <v>20</v>
      </c>
      <c r="K549" s="9">
        <f>IFERROR(IF((ROUND((J549/G549)*I549,1))&lt;0,(ROUND((J549/G549)*I549,1)),0),0)</f>
        <v/>
      </c>
    </row>
    <row r="550">
      <c r="A550" s="4" t="n">
        <v>547</v>
      </c>
      <c r="B550" s="5" t="inlineStr">
        <is>
          <t>ALL_PBM</t>
        </is>
      </c>
      <c r="C550" s="5" t="inlineStr">
        <is>
          <t>27241015608</t>
        </is>
      </c>
      <c r="D550" s="5" t="inlineStr">
        <is>
          <t>OXYBUTYNIN 10MG TABLET ER</t>
        </is>
      </c>
      <c r="E550" s="6" t="inlineStr">
        <is>
          <t>500.0</t>
        </is>
      </c>
      <c r="F550" s="7" t="n">
        <v>90</v>
      </c>
      <c r="G550" s="7" t="n">
        <v>0.18</v>
      </c>
      <c r="H550" s="7" t="n">
        <v>0</v>
      </c>
      <c r="I550" s="7" t="n">
        <v>-0.18</v>
      </c>
      <c r="J550" s="8" t="n">
        <v>20</v>
      </c>
      <c r="K550" s="9">
        <f>IFERROR(IF((ROUND((J550/G550)*I550,1))&lt;0,(ROUND((J550/G550)*I550,1)),0),0)</f>
        <v/>
      </c>
    </row>
    <row r="551">
      <c r="A551" s="4" t="n">
        <v>548</v>
      </c>
      <c r="B551" s="5" t="inlineStr">
        <is>
          <t>ALL_PBM</t>
        </is>
      </c>
      <c r="C551" s="5" t="inlineStr">
        <is>
          <t>67877041401</t>
        </is>
      </c>
      <c r="D551" s="5" t="inlineStr">
        <is>
          <t>METFORMIN HCL ER 750 MG TABLET</t>
        </is>
      </c>
      <c r="E551" s="6" t="inlineStr">
        <is>
          <t>100.0</t>
        </is>
      </c>
      <c r="F551" s="7" t="n">
        <v>90</v>
      </c>
      <c r="G551" s="7" t="n">
        <v>0.9</v>
      </c>
      <c r="H551" s="7" t="n">
        <v>3</v>
      </c>
      <c r="I551" s="7" t="n">
        <v>2.1</v>
      </c>
      <c r="J551" s="8" t="n">
        <v>20</v>
      </c>
      <c r="K551" s="9">
        <f>IFERROR(IF((ROUND((J551/G551)*I551,1))&lt;0,(ROUND((J551/G551)*I551,1)),0),0)</f>
        <v/>
      </c>
    </row>
    <row r="552">
      <c r="A552" s="4" t="n">
        <v>549</v>
      </c>
      <c r="B552" s="5" t="inlineStr">
        <is>
          <t>ALL_PBM</t>
        </is>
      </c>
      <c r="C552" s="5" t="inlineStr">
        <is>
          <t>76204030003</t>
        </is>
      </c>
      <c r="D552" s="5" t="inlineStr">
        <is>
          <t>SODIUM CHLORIDE 0.9 % INHALATION NEBULIZATION SOLUTION</t>
        </is>
      </c>
      <c r="E552" s="6" t="inlineStr">
        <is>
          <t>300.0</t>
        </is>
      </c>
      <c r="F552" s="7" t="n">
        <v>300</v>
      </c>
      <c r="G552" s="7" t="n">
        <v>1</v>
      </c>
      <c r="H552" s="7" t="n">
        <v>0</v>
      </c>
      <c r="I552" s="7" t="n">
        <v>-1</v>
      </c>
      <c r="J552" s="8" t="n">
        <v>20</v>
      </c>
      <c r="K552" s="9">
        <f>IFERROR(IF((ROUND((J552/G552)*I552,1))&lt;0,(ROUND((J552/G552)*I552,1)),0),0)</f>
        <v/>
      </c>
    </row>
    <row r="553">
      <c r="A553" s="4" t="n">
        <v>550</v>
      </c>
      <c r="B553" s="5" t="inlineStr">
        <is>
          <t>ALL_PBM</t>
        </is>
      </c>
      <c r="C553" s="5" t="inlineStr">
        <is>
          <t>53746051501</t>
        </is>
      </c>
      <c r="D553" s="5" t="inlineStr">
        <is>
          <t>SPIRONOLACTONE 100MG TABLET</t>
        </is>
      </c>
      <c r="E553" s="6" t="inlineStr">
        <is>
          <t>100.0</t>
        </is>
      </c>
      <c r="F553" s="7" t="n">
        <v>60</v>
      </c>
      <c r="G553" s="7" t="n">
        <v>0.6</v>
      </c>
      <c r="H553" s="7" t="n">
        <v>0</v>
      </c>
      <c r="I553" s="7" t="n">
        <v>-0.6</v>
      </c>
      <c r="J553" s="8" t="n">
        <v>20</v>
      </c>
      <c r="K553" s="9">
        <f>IFERROR(IF((ROUND((J553/G553)*I553,1))&lt;0,(ROUND((J553/G553)*I553,1)),0),0)</f>
        <v/>
      </c>
    </row>
    <row r="554">
      <c r="A554" s="4" t="n">
        <v>551</v>
      </c>
      <c r="B554" s="5" t="inlineStr">
        <is>
          <t>ALL_PBM</t>
        </is>
      </c>
      <c r="C554" s="5" t="inlineStr">
        <is>
          <t>68462029201</t>
        </is>
      </c>
      <c r="D554" s="5" t="inlineStr">
        <is>
          <t>VERAPAMIL ER 120MG TABLET</t>
        </is>
      </c>
      <c r="E554" s="6" t="inlineStr">
        <is>
          <t>100.0</t>
        </is>
      </c>
      <c r="F554" s="7" t="n">
        <v>120</v>
      </c>
      <c r="G554" s="7" t="n">
        <v>1.2</v>
      </c>
      <c r="H554" s="7" t="n">
        <v>0</v>
      </c>
      <c r="I554" s="7" t="n">
        <v>-1.2</v>
      </c>
      <c r="J554" s="8" t="n">
        <v>20</v>
      </c>
      <c r="K554" s="9">
        <f>IFERROR(IF((ROUND((J554/G554)*I554,1))&lt;0,(ROUND((J554/G554)*I554,1)),0),0)</f>
        <v/>
      </c>
    </row>
    <row r="555">
      <c r="A555" s="4" t="n">
        <v>552</v>
      </c>
      <c r="B555" s="5" t="inlineStr">
        <is>
          <t>ALL_PBM</t>
        </is>
      </c>
      <c r="C555" s="5" t="inlineStr">
        <is>
          <t>00713032637</t>
        </is>
      </c>
      <c r="D555" s="5" t="inlineStr">
        <is>
          <t>BETAMETHASONE VALERATE 0.1% CREAM</t>
        </is>
      </c>
      <c r="E555" s="6" t="inlineStr">
        <is>
          <t>45.0</t>
        </is>
      </c>
      <c r="F555" s="7" t="n">
        <v>45</v>
      </c>
      <c r="G555" s="7" t="n">
        <v>1</v>
      </c>
      <c r="H555" s="7" t="n">
        <v>5</v>
      </c>
      <c r="I555" s="7" t="n">
        <v>4</v>
      </c>
      <c r="J555" s="8" t="n">
        <v>20</v>
      </c>
      <c r="K555" s="9">
        <f>IFERROR(IF((ROUND((J555/G555)*I555,1))&lt;0,(ROUND((J555/G555)*I555,1)),0),0)</f>
        <v/>
      </c>
    </row>
    <row r="556">
      <c r="A556" s="4" t="n">
        <v>553</v>
      </c>
      <c r="B556" s="5" t="inlineStr">
        <is>
          <t>ALL_PBM</t>
        </is>
      </c>
      <c r="C556" s="5" t="inlineStr">
        <is>
          <t>70954025220</t>
        </is>
      </c>
      <c r="D556" s="5" t="inlineStr">
        <is>
          <t>FLUDROCORTISONE ACETATE 0.1 MG ORAL TABLET</t>
        </is>
      </c>
      <c r="E556" s="6" t="inlineStr">
        <is>
          <t>100.0</t>
        </is>
      </c>
      <c r="F556" s="7" t="n">
        <v>30</v>
      </c>
      <c r="G556" s="7" t="n">
        <v>0.3</v>
      </c>
      <c r="H556" s="7" t="n">
        <v>0</v>
      </c>
      <c r="I556" s="7" t="n">
        <v>-0.3</v>
      </c>
      <c r="J556" s="8" t="n">
        <v>20</v>
      </c>
      <c r="K556" s="9">
        <f>IFERROR(IF((ROUND((J556/G556)*I556,1))&lt;0,(ROUND((J556/G556)*I556,1)),0),0)</f>
        <v/>
      </c>
    </row>
    <row r="557">
      <c r="A557" s="4" t="n">
        <v>554</v>
      </c>
      <c r="B557" s="5" t="inlineStr">
        <is>
          <t>ALL_PBM</t>
        </is>
      </c>
      <c r="C557" s="5" t="inlineStr">
        <is>
          <t>55150027701</t>
        </is>
      </c>
      <c r="D557" s="5" t="inlineStr">
        <is>
          <t>TESTOSTERONE CYPIONATE 200 MG/ML INTRAMUSCULAR SOLUTION</t>
        </is>
      </c>
      <c r="E557" s="6" t="inlineStr">
        <is>
          <t>1.0</t>
        </is>
      </c>
      <c r="F557" s="7" t="n">
        <v>2</v>
      </c>
      <c r="G557" s="7" t="n">
        <v>2</v>
      </c>
      <c r="H557" s="7" t="n">
        <v>2</v>
      </c>
      <c r="I557" s="7" t="n">
        <v>0</v>
      </c>
      <c r="J557" s="8" t="n">
        <v>20</v>
      </c>
      <c r="K557" s="9">
        <f>IFERROR(IF((ROUND((J557/G557)*I557,1))&lt;0,(ROUND((J557/G557)*I557,1)),0),0)</f>
        <v/>
      </c>
    </row>
    <row r="558">
      <c r="A558" s="4" t="n">
        <v>555</v>
      </c>
      <c r="B558" s="5" t="inlineStr">
        <is>
          <t>ALL_PBM</t>
        </is>
      </c>
      <c r="C558" s="5" t="inlineStr">
        <is>
          <t>47781001301</t>
        </is>
      </c>
      <c r="D558" s="5" t="inlineStr">
        <is>
          <t>HYOSCYAMINE SULFATE 0.125MG TABLET</t>
        </is>
      </c>
      <c r="E558" s="6" t="inlineStr">
        <is>
          <t>100.0</t>
        </is>
      </c>
      <c r="F558" s="7" t="n">
        <v>40</v>
      </c>
      <c r="G558" s="7" t="n">
        <v>0.4</v>
      </c>
      <c r="H558" s="7" t="n">
        <v>0</v>
      </c>
      <c r="I558" s="7" t="n">
        <v>-0.4</v>
      </c>
      <c r="J558" s="8" t="n">
        <v>19</v>
      </c>
      <c r="K558" s="9">
        <f>IFERROR(IF((ROUND((J558/G558)*I558,1))&lt;0,(ROUND((J558/G558)*I558,1)),0),0)</f>
        <v/>
      </c>
    </row>
    <row r="559">
      <c r="A559" s="4" t="n">
        <v>556</v>
      </c>
      <c r="B559" s="5" t="inlineStr">
        <is>
          <t>ALL_PBM</t>
        </is>
      </c>
      <c r="C559" s="5" t="inlineStr">
        <is>
          <t>60505014101</t>
        </is>
      </c>
      <c r="D559" s="5" t="inlineStr">
        <is>
          <t xml:space="preserve">GLIPIZIDE 5MG TAB </t>
        </is>
      </c>
      <c r="E559" s="6" t="inlineStr">
        <is>
          <t>1000.0</t>
        </is>
      </c>
      <c r="F559" s="7" t="n">
        <v>300</v>
      </c>
      <c r="G559" s="7" t="n">
        <v>0.3</v>
      </c>
      <c r="H559" s="7" t="n">
        <v>0</v>
      </c>
      <c r="I559" s="7" t="n">
        <v>-0.3</v>
      </c>
      <c r="J559" s="8" t="n">
        <v>19</v>
      </c>
      <c r="K559" s="9">
        <f>IFERROR(IF((ROUND((J559/G559)*I559,1))&lt;0,(ROUND((J559/G559)*I559,1)),0),0)</f>
        <v/>
      </c>
    </row>
    <row r="560">
      <c r="A560" s="4" t="n">
        <v>557</v>
      </c>
      <c r="B560" s="5" t="inlineStr">
        <is>
          <t>ALL_PBM</t>
        </is>
      </c>
      <c r="C560" s="5" t="inlineStr">
        <is>
          <t>65862014836</t>
        </is>
      </c>
      <c r="D560" s="5" t="inlineStr">
        <is>
          <t xml:space="preserve">SUMATRIPTAN SUCCINATE 100MG TAB </t>
        </is>
      </c>
      <c r="E560" s="6" t="inlineStr">
        <is>
          <t>9.0</t>
        </is>
      </c>
      <c r="F560" s="7" t="n">
        <v>18</v>
      </c>
      <c r="G560" s="7" t="n">
        <v>2</v>
      </c>
      <c r="H560" s="7" t="n">
        <v>0</v>
      </c>
      <c r="I560" s="7" t="n">
        <v>-2</v>
      </c>
      <c r="J560" s="8" t="n">
        <v>19</v>
      </c>
      <c r="K560" s="9">
        <f>IFERROR(IF((ROUND((J560/G560)*I560,1))&lt;0,(ROUND((J560/G560)*I560,1)),0),0)</f>
        <v/>
      </c>
    </row>
    <row r="561">
      <c r="A561" s="4" t="n">
        <v>558</v>
      </c>
      <c r="B561" s="5" t="inlineStr">
        <is>
          <t>ALL_PBM</t>
        </is>
      </c>
      <c r="C561" s="5" t="inlineStr">
        <is>
          <t>24208038555</t>
        </is>
      </c>
      <c r="D561" s="5" t="inlineStr">
        <is>
          <t>MURO 128 5% OINTMENT</t>
        </is>
      </c>
      <c r="E561" s="6" t="inlineStr">
        <is>
          <t>3.5</t>
        </is>
      </c>
      <c r="F561" s="7" t="n">
        <v>3.5</v>
      </c>
      <c r="G561" s="7" t="n">
        <v>1</v>
      </c>
      <c r="H561" s="7" t="n">
        <v>0</v>
      </c>
      <c r="I561" s="7" t="n">
        <v>-1</v>
      </c>
      <c r="J561" s="8" t="n">
        <v>19</v>
      </c>
      <c r="K561" s="9">
        <f>IFERROR(IF((ROUND((J561/G561)*I561,1))&lt;0,(ROUND((J561/G561)*I561,1)),0),0)</f>
        <v/>
      </c>
    </row>
    <row r="562">
      <c r="A562" s="4" t="n">
        <v>559</v>
      </c>
      <c r="B562" s="5" t="inlineStr">
        <is>
          <t>ALL_PBM</t>
        </is>
      </c>
      <c r="C562" s="5" t="inlineStr">
        <is>
          <t>70752013812</t>
        </is>
      </c>
      <c r="D562" s="5" t="inlineStr">
        <is>
          <t>PROMETHAZINE HCL 6.25 MG/5ML ORAL SOLUTION</t>
        </is>
      </c>
      <c r="E562" s="6" t="inlineStr">
        <is>
          <t>473.0</t>
        </is>
      </c>
      <c r="F562" s="7" t="n">
        <v>740</v>
      </c>
      <c r="G562" s="7" t="n">
        <v>1.564482029598309</v>
      </c>
      <c r="H562" s="7" t="n">
        <v>0</v>
      </c>
      <c r="I562" s="7" t="n">
        <v>-1.564482029598309</v>
      </c>
      <c r="J562" s="8" t="n">
        <v>19</v>
      </c>
      <c r="K562" s="9">
        <f>IFERROR(IF((ROUND((J562/G562)*I562,1))&lt;0,(ROUND((J562/G562)*I562,1)),0),0)</f>
        <v/>
      </c>
    </row>
    <row r="563">
      <c r="A563" s="4" t="n">
        <v>560</v>
      </c>
      <c r="B563" s="5" t="inlineStr">
        <is>
          <t>ALL_PBM</t>
        </is>
      </c>
      <c r="C563" s="5" t="inlineStr">
        <is>
          <t>00832532510</t>
        </is>
      </c>
      <c r="D563" s="5" t="inlineStr">
        <is>
          <t>POTASSIUM ER 20MEQ TABLET</t>
        </is>
      </c>
      <c r="E563" s="6" t="inlineStr">
        <is>
          <t>1000.0</t>
        </is>
      </c>
      <c r="F563" s="7" t="n">
        <v>90</v>
      </c>
      <c r="G563" s="7" t="n">
        <v>0.09</v>
      </c>
      <c r="H563" s="7" t="n">
        <v>1</v>
      </c>
      <c r="I563" s="7" t="n">
        <v>0.91</v>
      </c>
      <c r="J563" s="8" t="n">
        <v>19</v>
      </c>
      <c r="K563" s="9">
        <f>IFERROR(IF((ROUND((J563/G563)*I563,1))&lt;0,(ROUND((J563/G563)*I563,1)),0),0)</f>
        <v/>
      </c>
    </row>
    <row r="564">
      <c r="A564" s="4" t="n">
        <v>561</v>
      </c>
      <c r="B564" s="5" t="inlineStr">
        <is>
          <t>ALL_PBM</t>
        </is>
      </c>
      <c r="C564" s="5" t="inlineStr">
        <is>
          <t>47335070352</t>
        </is>
      </c>
      <c r="D564" s="5" t="inlineStr">
        <is>
          <t>ALBUTEROL SULFATE (2.5 MG/3ML) 0.083% INHALATION NEBULIZATION SOLUTION</t>
        </is>
      </c>
      <c r="E564" s="6" t="inlineStr">
        <is>
          <t>90.0</t>
        </is>
      </c>
      <c r="F564" s="7" t="n">
        <v>180</v>
      </c>
      <c r="G564" s="7" t="n">
        <v>2</v>
      </c>
      <c r="H564" s="7" t="n">
        <v>0</v>
      </c>
      <c r="I564" s="7" t="n">
        <v>-2</v>
      </c>
      <c r="J564" s="8" t="n">
        <v>18</v>
      </c>
      <c r="K564" s="9">
        <f>IFERROR(IF((ROUND((J564/G564)*I564,1))&lt;0,(ROUND((J564/G564)*I564,1)),0),0)</f>
        <v/>
      </c>
    </row>
    <row r="565">
      <c r="A565" s="4" t="n">
        <v>562</v>
      </c>
      <c r="B565" s="5" t="inlineStr">
        <is>
          <t>ALL_PBM</t>
        </is>
      </c>
      <c r="C565" s="5" t="inlineStr">
        <is>
          <t>42858080201</t>
        </is>
      </c>
      <c r="D565" s="5" t="inlineStr">
        <is>
          <t>MORPHINE SULFATE ER 30 MG ORAL TABLET EXTENDED RELEASE</t>
        </is>
      </c>
      <c r="E565" s="6" t="inlineStr">
        <is>
          <t>100.0</t>
        </is>
      </c>
      <c r="F565" s="7" t="n">
        <v>60</v>
      </c>
      <c r="G565" s="7" t="n">
        <v>0.6</v>
      </c>
      <c r="H565" s="7" t="n">
        <v>1</v>
      </c>
      <c r="I565" s="7" t="n">
        <v>0.4</v>
      </c>
      <c r="J565" s="8" t="n">
        <v>18</v>
      </c>
      <c r="K565" s="9">
        <f>IFERROR(IF((ROUND((J565/G565)*I565,1))&lt;0,(ROUND((J565/G565)*I565,1)),0),0)</f>
        <v/>
      </c>
    </row>
    <row r="566">
      <c r="A566" s="4" t="n">
        <v>563</v>
      </c>
      <c r="B566" s="5" t="inlineStr">
        <is>
          <t>ALL_PBM</t>
        </is>
      </c>
      <c r="C566" s="5" t="inlineStr">
        <is>
          <t>67877043003</t>
        </is>
      </c>
      <c r="D566" s="5" t="inlineStr">
        <is>
          <t>ARIPIPRAZOLE 2MG TABLET</t>
        </is>
      </c>
      <c r="E566" s="6" t="inlineStr">
        <is>
          <t>30.0</t>
        </is>
      </c>
      <c r="F566" s="7" t="n">
        <v>120</v>
      </c>
      <c r="G566" s="7" t="n">
        <v>4</v>
      </c>
      <c r="H566" s="7" t="n">
        <v>0</v>
      </c>
      <c r="I566" s="7" t="n">
        <v>-4</v>
      </c>
      <c r="J566" s="8" t="n">
        <v>18</v>
      </c>
      <c r="K566" s="9">
        <f>IFERROR(IF((ROUND((J566/G566)*I566,1))&lt;0,(ROUND((J566/G566)*I566,1)),0),0)</f>
        <v/>
      </c>
    </row>
    <row r="567">
      <c r="A567" s="4" t="n">
        <v>564</v>
      </c>
      <c r="B567" s="5" t="inlineStr">
        <is>
          <t>ALL_PBM</t>
        </is>
      </c>
      <c r="C567" s="5" t="inlineStr">
        <is>
          <t>24208027615</t>
        </is>
      </c>
      <c r="D567" s="5" t="inlineStr">
        <is>
          <t>MURO 128 2% SOLUTION</t>
        </is>
      </c>
      <c r="E567" s="6" t="inlineStr">
        <is>
          <t>15.0</t>
        </is>
      </c>
      <c r="F567" s="7" t="n">
        <v>15</v>
      </c>
      <c r="G567" s="7" t="n">
        <v>1</v>
      </c>
      <c r="H567" s="7" t="n">
        <v>0</v>
      </c>
      <c r="I567" s="7" t="n">
        <v>-1</v>
      </c>
      <c r="J567" s="8" t="n">
        <v>18</v>
      </c>
      <c r="K567" s="9">
        <f>IFERROR(IF((ROUND((J567/G567)*I567,1))&lt;0,(ROUND((J567/G567)*I567,1)),0),0)</f>
        <v/>
      </c>
    </row>
    <row r="568">
      <c r="A568" s="4" t="n">
        <v>565</v>
      </c>
      <c r="B568" s="5" t="inlineStr">
        <is>
          <t>ALL_PBM</t>
        </is>
      </c>
      <c r="C568" s="5" t="inlineStr">
        <is>
          <t>13668000805</t>
        </is>
      </c>
      <c r="D568" s="5" t="inlineStr">
        <is>
          <t xml:space="preserve">ZOLPIDEM TARTRATE 10MG TAB </t>
        </is>
      </c>
      <c r="E568" s="6" t="inlineStr">
        <is>
          <t>500.0</t>
        </is>
      </c>
      <c r="F568" s="7" t="n">
        <v>345</v>
      </c>
      <c r="G568" s="7" t="n">
        <v>0.6899999999999999</v>
      </c>
      <c r="H568" s="7" t="n">
        <v>0</v>
      </c>
      <c r="I568" s="7" t="n">
        <v>-0.6899999999999999</v>
      </c>
      <c r="J568" s="8" t="n">
        <v>18</v>
      </c>
      <c r="K568" s="9">
        <f>IFERROR(IF((ROUND((J568/G568)*I568,1))&lt;0,(ROUND((J568/G568)*I568,1)),0),0)</f>
        <v/>
      </c>
    </row>
    <row r="569">
      <c r="A569" s="4" t="n">
        <v>566</v>
      </c>
      <c r="B569" s="5" t="inlineStr">
        <is>
          <t>ALL_PBM</t>
        </is>
      </c>
      <c r="C569" s="5" t="inlineStr">
        <is>
          <t>00093171401</t>
        </is>
      </c>
      <c r="D569" s="5" t="inlineStr">
        <is>
          <t>WARFARIN 2.5MG TABLET</t>
        </is>
      </c>
      <c r="E569" s="6" t="inlineStr">
        <is>
          <t>100.0</t>
        </is>
      </c>
      <c r="F569" s="7" t="n">
        <v>90</v>
      </c>
      <c r="G569" s="7" t="n">
        <v>0.9</v>
      </c>
      <c r="H569" s="7" t="n">
        <v>2</v>
      </c>
      <c r="I569" s="7" t="n">
        <v>1.1</v>
      </c>
      <c r="J569" s="8" t="n">
        <v>18</v>
      </c>
      <c r="K569" s="9">
        <f>IFERROR(IF((ROUND((J569/G569)*I569,1))&lt;0,(ROUND((J569/G569)*I569,1)),0),0)</f>
        <v/>
      </c>
    </row>
    <row r="570">
      <c r="A570" s="4" t="n">
        <v>567</v>
      </c>
      <c r="B570" s="5" t="inlineStr">
        <is>
          <t>ALL_PBM</t>
        </is>
      </c>
      <c r="C570" s="5" t="inlineStr">
        <is>
          <t>00093321201</t>
        </is>
      </c>
      <c r="D570" s="5" t="inlineStr">
        <is>
          <t>CLONAZEPAM 1MG TABLET</t>
        </is>
      </c>
      <c r="E570" s="6" t="inlineStr">
        <is>
          <t>100.0</t>
        </is>
      </c>
      <c r="F570" s="7" t="n">
        <v>180</v>
      </c>
      <c r="G570" s="7" t="n">
        <v>1.8</v>
      </c>
      <c r="H570" s="7" t="n">
        <v>0</v>
      </c>
      <c r="I570" s="7" t="n">
        <v>-1.8</v>
      </c>
      <c r="J570" s="8" t="n">
        <v>18</v>
      </c>
      <c r="K570" s="9">
        <f>IFERROR(IF((ROUND((J570/G570)*I570,1))&lt;0,(ROUND((J570/G570)*I570,1)),0),0)</f>
        <v/>
      </c>
    </row>
    <row r="571">
      <c r="A571" s="4" t="n">
        <v>568</v>
      </c>
      <c r="B571" s="5" t="inlineStr">
        <is>
          <t>ALL_PBM</t>
        </is>
      </c>
      <c r="C571" s="5" t="inlineStr">
        <is>
          <t>65862022960</t>
        </is>
      </c>
      <c r="D571" s="5" t="inlineStr">
        <is>
          <t>LAMOTRIGINE 150MG  TABLET</t>
        </is>
      </c>
      <c r="E571" s="6" t="inlineStr">
        <is>
          <t>60.0</t>
        </is>
      </c>
      <c r="F571" s="7" t="n">
        <v>120</v>
      </c>
      <c r="G571" s="7" t="n">
        <v>2</v>
      </c>
      <c r="H571" s="7" t="n">
        <v>0</v>
      </c>
      <c r="I571" s="7" t="n">
        <v>-2</v>
      </c>
      <c r="J571" s="8" t="n">
        <v>18</v>
      </c>
      <c r="K571" s="9">
        <f>IFERROR(IF((ROUND((J571/G571)*I571,1))&lt;0,(ROUND((J571/G571)*I571,1)),0),0)</f>
        <v/>
      </c>
    </row>
    <row r="572">
      <c r="A572" s="4" t="n">
        <v>569</v>
      </c>
      <c r="B572" s="5" t="inlineStr">
        <is>
          <t>ALL_PBM</t>
        </is>
      </c>
      <c r="C572" s="5" t="inlineStr">
        <is>
          <t>57237021905</t>
        </is>
      </c>
      <c r="D572" s="5" t="inlineStr">
        <is>
          <t>PIOGLITAZONE 15MG TABLET</t>
        </is>
      </c>
      <c r="E572" s="6" t="inlineStr">
        <is>
          <t>500.0</t>
        </is>
      </c>
      <c r="F572" s="7" t="n">
        <v>240</v>
      </c>
      <c r="G572" s="7" t="n">
        <v>0.48</v>
      </c>
      <c r="H572" s="7" t="n">
        <v>0</v>
      </c>
      <c r="I572" s="7" t="n">
        <v>-0.48</v>
      </c>
      <c r="J572" s="8" t="n">
        <v>18</v>
      </c>
      <c r="K572" s="9">
        <f>IFERROR(IF((ROUND((J572/G572)*I572,1))&lt;0,(ROUND((J572/G572)*I572,1)),0),0)</f>
        <v/>
      </c>
    </row>
    <row r="573">
      <c r="A573" s="4" t="n">
        <v>570</v>
      </c>
      <c r="B573" s="5" t="inlineStr">
        <is>
          <t>ALL_PBM</t>
        </is>
      </c>
      <c r="C573" s="5" t="inlineStr">
        <is>
          <t>69367024101</t>
        </is>
      </c>
      <c r="D573" s="5" t="inlineStr">
        <is>
          <t>NABUMETONE 500MG TABLET</t>
        </is>
      </c>
      <c r="E573" s="6" t="inlineStr">
        <is>
          <t>100.0</t>
        </is>
      </c>
      <c r="F573" s="7" t="n">
        <v>118</v>
      </c>
      <c r="G573" s="7" t="n">
        <v>1.18</v>
      </c>
      <c r="H573" s="7" t="n">
        <v>0</v>
      </c>
      <c r="I573" s="7" t="n">
        <v>-1.18</v>
      </c>
      <c r="J573" s="8" t="n">
        <v>18</v>
      </c>
      <c r="K573" s="9">
        <f>IFERROR(IF((ROUND((J573/G573)*I573,1))&lt;0,(ROUND((J573/G573)*I573,1)),0),0)</f>
        <v/>
      </c>
    </row>
    <row r="574">
      <c r="A574" s="4" t="n">
        <v>571</v>
      </c>
      <c r="B574" s="5" t="inlineStr">
        <is>
          <t>ALL_PBM</t>
        </is>
      </c>
      <c r="C574" s="5" t="inlineStr">
        <is>
          <t>00378013710</t>
        </is>
      </c>
      <c r="D574" s="5" t="inlineStr">
        <is>
          <t>ALLOPURINOL 100 MG TABLET</t>
        </is>
      </c>
      <c r="E574" s="6" t="inlineStr">
        <is>
          <t>1000.0</t>
        </is>
      </c>
      <c r="F574" s="7" t="n">
        <v>120</v>
      </c>
      <c r="G574" s="7" t="n">
        <v>0.12</v>
      </c>
      <c r="H574" s="7" t="n">
        <v>0</v>
      </c>
      <c r="I574" s="7" t="n">
        <v>-0.12</v>
      </c>
      <c r="J574" s="8" t="n">
        <v>17</v>
      </c>
      <c r="K574" s="9">
        <f>IFERROR(IF((ROUND((J574/G574)*I574,1))&lt;0,(ROUND((J574/G574)*I574,1)),0),0)</f>
        <v/>
      </c>
    </row>
    <row r="575">
      <c r="A575" s="4" t="n">
        <v>572</v>
      </c>
      <c r="B575" s="5" t="inlineStr">
        <is>
          <t>ALL_PBM</t>
        </is>
      </c>
      <c r="C575" s="5" t="inlineStr">
        <is>
          <t>21922001606</t>
        </is>
      </c>
      <c r="D575" s="5" t="inlineStr">
        <is>
          <t>CLOBETASOL PROPIONATE 0.05% CREAM</t>
        </is>
      </c>
      <c r="E575" s="6" t="inlineStr">
        <is>
          <t>45.0</t>
        </is>
      </c>
      <c r="F575" s="7" t="n">
        <v>45</v>
      </c>
      <c r="G575" s="7" t="n">
        <v>1</v>
      </c>
      <c r="H575" s="7" t="n">
        <v>0</v>
      </c>
      <c r="I575" s="7" t="n">
        <v>-1</v>
      </c>
      <c r="J575" s="8" t="n">
        <v>17</v>
      </c>
      <c r="K575" s="9">
        <f>IFERROR(IF((ROUND((J575/G575)*I575,1))&lt;0,(ROUND((J575/G575)*I575,1)),0),0)</f>
        <v/>
      </c>
    </row>
    <row r="576">
      <c r="A576" s="4" t="n">
        <v>573</v>
      </c>
      <c r="B576" s="5" t="inlineStr">
        <is>
          <t>ALL_PBM</t>
        </is>
      </c>
      <c r="C576" s="5" t="inlineStr">
        <is>
          <t>00603516632</t>
        </is>
      </c>
      <c r="D576" s="5" t="inlineStr">
        <is>
          <t>PHENOBARBITAL 32.4 MG TABLET</t>
        </is>
      </c>
      <c r="E576" s="6" t="inlineStr">
        <is>
          <t>1000.0</t>
        </is>
      </c>
      <c r="F576" s="7" t="n">
        <v>60</v>
      </c>
      <c r="G576" s="7" t="n">
        <v>0.06</v>
      </c>
      <c r="H576" s="7" t="n">
        <v>0</v>
      </c>
      <c r="I576" s="7" t="n">
        <v>-0.06</v>
      </c>
      <c r="J576" s="8" t="n">
        <v>17</v>
      </c>
      <c r="K576" s="9">
        <f>IFERROR(IF((ROUND((J576/G576)*I576,1))&lt;0,(ROUND((J576/G576)*I576,1)),0),0)</f>
        <v/>
      </c>
    </row>
    <row r="577">
      <c r="A577" s="4" t="n">
        <v>574</v>
      </c>
      <c r="B577" s="5" t="inlineStr">
        <is>
          <t>ALL_PBM</t>
        </is>
      </c>
      <c r="C577" s="5" t="inlineStr">
        <is>
          <t>72241003304</t>
        </is>
      </c>
      <c r="D577" s="5" t="inlineStr">
        <is>
          <t>NEBIVOLOL 5MG TABLET</t>
        </is>
      </c>
      <c r="E577" s="6" t="inlineStr">
        <is>
          <t>90.0</t>
        </is>
      </c>
      <c r="F577" s="7" t="n">
        <v>90</v>
      </c>
      <c r="G577" s="7" t="n">
        <v>1</v>
      </c>
      <c r="H577" s="7" t="n">
        <v>0</v>
      </c>
      <c r="I577" s="7" t="n">
        <v>-1</v>
      </c>
      <c r="J577" s="8" t="n">
        <v>17</v>
      </c>
      <c r="K577" s="9">
        <f>IFERROR(IF((ROUND((J577/G577)*I577,1))&lt;0,(ROUND((J577/G577)*I577,1)),0),0)</f>
        <v/>
      </c>
    </row>
    <row r="578">
      <c r="A578" s="4" t="n">
        <v>575</v>
      </c>
      <c r="B578" s="5" t="inlineStr">
        <is>
          <t>ALL_PBM</t>
        </is>
      </c>
      <c r="C578" s="5" t="inlineStr">
        <is>
          <t>23155000310</t>
        </is>
      </c>
      <c r="D578" s="5" t="inlineStr">
        <is>
          <t>HYDRALAZINE HCL 50MG TABLET</t>
        </is>
      </c>
      <c r="E578" s="6" t="inlineStr">
        <is>
          <t>1000.0</t>
        </is>
      </c>
      <c r="F578" s="7" t="n">
        <v>180</v>
      </c>
      <c r="G578" s="7" t="n">
        <v>0.18</v>
      </c>
      <c r="H578" s="7" t="n">
        <v>0</v>
      </c>
      <c r="I578" s="7" t="n">
        <v>-0.18</v>
      </c>
      <c r="J578" s="8" t="n">
        <v>17</v>
      </c>
      <c r="K578" s="9">
        <f>IFERROR(IF((ROUND((J578/G578)*I578,1))&lt;0,(ROUND((J578/G578)*I578,1)),0),0)</f>
        <v/>
      </c>
    </row>
    <row r="579">
      <c r="A579" s="4" t="n">
        <v>576</v>
      </c>
      <c r="B579" s="5" t="inlineStr">
        <is>
          <t>ALL_PBM</t>
        </is>
      </c>
      <c r="C579" s="5" t="inlineStr">
        <is>
          <t>00378210005</t>
        </is>
      </c>
      <c r="D579" s="5" t="inlineStr">
        <is>
          <t xml:space="preserve">LOPERAMIDE 2MG CAP </t>
        </is>
      </c>
      <c r="E579" s="6" t="inlineStr">
        <is>
          <t>500.0</t>
        </is>
      </c>
      <c r="F579" s="7" t="n">
        <v>54</v>
      </c>
      <c r="G579" s="7" t="n">
        <v>0.108</v>
      </c>
      <c r="H579" s="7" t="n">
        <v>0</v>
      </c>
      <c r="I579" s="7" t="n">
        <v>-0.108</v>
      </c>
      <c r="J579" s="8" t="n">
        <v>17</v>
      </c>
      <c r="K579" s="9">
        <f>IFERROR(IF((ROUND((J579/G579)*I579,1))&lt;0,(ROUND((J579/G579)*I579,1)),0),0)</f>
        <v/>
      </c>
    </row>
    <row r="580">
      <c r="A580" s="4" t="n">
        <v>577</v>
      </c>
      <c r="B580" s="5" t="inlineStr">
        <is>
          <t>ALL_PBM</t>
        </is>
      </c>
      <c r="C580" s="5" t="inlineStr">
        <is>
          <t>68382009305</t>
        </is>
      </c>
      <c r="D580" s="5" t="inlineStr">
        <is>
          <t xml:space="preserve">CARVEDILOL 6.25MG TAB </t>
        </is>
      </c>
      <c r="E580" s="6" t="inlineStr">
        <is>
          <t>500.0</t>
        </is>
      </c>
      <c r="F580" s="7" t="n">
        <v>1260</v>
      </c>
      <c r="G580" s="7" t="n">
        <v>2.52</v>
      </c>
      <c r="H580" s="7" t="n">
        <v>0</v>
      </c>
      <c r="I580" s="7" t="n">
        <v>-2.52</v>
      </c>
      <c r="J580" s="8" t="n">
        <v>17</v>
      </c>
      <c r="K580" s="9">
        <f>IFERROR(IF((ROUND((J580/G580)*I580,1))&lt;0,(ROUND((J580/G580)*I580,1)),0),0)</f>
        <v/>
      </c>
    </row>
    <row r="581">
      <c r="A581" s="4" t="n">
        <v>578</v>
      </c>
      <c r="B581" s="5" t="inlineStr">
        <is>
          <t>ALL_PBM</t>
        </is>
      </c>
      <c r="C581" s="5" t="inlineStr">
        <is>
          <t>68180097203</t>
        </is>
      </c>
      <c r="D581" s="5" t="inlineStr">
        <is>
          <t>LEVOTHYROXINE SODIUM 137 MCG ORAL TABLET</t>
        </is>
      </c>
      <c r="E581" s="6" t="inlineStr">
        <is>
          <t>1000.0</t>
        </is>
      </c>
      <c r="F581" s="7" t="n">
        <v>90</v>
      </c>
      <c r="G581" s="7" t="n">
        <v>0.09</v>
      </c>
      <c r="H581" s="7" t="n">
        <v>1</v>
      </c>
      <c r="I581" s="7" t="n">
        <v>0.91</v>
      </c>
      <c r="J581" s="8" t="n">
        <v>17</v>
      </c>
      <c r="K581" s="9">
        <f>IFERROR(IF((ROUND((J581/G581)*I581,1))&lt;0,(ROUND((J581/G581)*I581,1)),0),0)</f>
        <v/>
      </c>
    </row>
    <row r="582">
      <c r="A582" s="4" t="n">
        <v>579</v>
      </c>
      <c r="B582" s="5" t="inlineStr">
        <is>
          <t>ALL_PBM</t>
        </is>
      </c>
      <c r="C582" s="5" t="inlineStr">
        <is>
          <t>00713068231</t>
        </is>
      </c>
      <c r="D582" s="5" t="inlineStr">
        <is>
          <t>GENTAMICIN SULFATE 0.1 % EXTERNAL OINTMENT</t>
        </is>
      </c>
      <c r="E582" s="6" t="inlineStr">
        <is>
          <t>30.0</t>
        </is>
      </c>
      <c r="F582" s="7" t="n">
        <v>30</v>
      </c>
      <c r="G582" s="7" t="n">
        <v>1</v>
      </c>
      <c r="H582" s="7" t="n">
        <v>0</v>
      </c>
      <c r="I582" s="7" t="n">
        <v>-1</v>
      </c>
      <c r="J582" s="8" t="n">
        <v>17</v>
      </c>
      <c r="K582" s="9">
        <f>IFERROR(IF((ROUND((J582/G582)*I582,1))&lt;0,(ROUND((J582/G582)*I582,1)),0),0)</f>
        <v/>
      </c>
    </row>
    <row r="583">
      <c r="A583" s="4" t="n">
        <v>580</v>
      </c>
      <c r="B583" s="5" t="inlineStr">
        <is>
          <t>ALL_PBM</t>
        </is>
      </c>
      <c r="C583" s="5" t="inlineStr">
        <is>
          <t>65862002306</t>
        </is>
      </c>
      <c r="D583" s="5" t="inlineStr">
        <is>
          <t>MIRTAZAPINE 45 MG TABLET DISINTEGRATING</t>
        </is>
      </c>
      <c r="E583" s="6" t="inlineStr">
        <is>
          <t>30.0</t>
        </is>
      </c>
      <c r="F583" s="7" t="n">
        <v>30</v>
      </c>
      <c r="G583" s="7" t="n">
        <v>1</v>
      </c>
      <c r="H583" s="7" t="n">
        <v>0</v>
      </c>
      <c r="I583" s="7" t="n">
        <v>-1</v>
      </c>
      <c r="J583" s="8" t="n">
        <v>17</v>
      </c>
      <c r="K583" s="9">
        <f>IFERROR(IF((ROUND((J583/G583)*I583,1))&lt;0,(ROUND((J583/G583)*I583,1)),0),0)</f>
        <v/>
      </c>
    </row>
    <row r="584">
      <c r="A584" s="4" t="n">
        <v>581</v>
      </c>
      <c r="B584" s="5" t="inlineStr">
        <is>
          <t>ALL_PBM</t>
        </is>
      </c>
      <c r="C584" s="5" t="inlineStr">
        <is>
          <t>62332017360</t>
        </is>
      </c>
      <c r="D584" s="5" t="inlineStr">
        <is>
          <t>LACOSAMIDE 150MG TABLET</t>
        </is>
      </c>
      <c r="E584" s="6" t="inlineStr">
        <is>
          <t>60.0</t>
        </is>
      </c>
      <c r="F584" s="7" t="n">
        <v>60</v>
      </c>
      <c r="G584" s="7" t="n">
        <v>1</v>
      </c>
      <c r="H584" s="7" t="n">
        <v>0</v>
      </c>
      <c r="I584" s="7" t="n">
        <v>-1</v>
      </c>
      <c r="J584" s="8" t="n">
        <v>17</v>
      </c>
      <c r="K584" s="9">
        <f>IFERROR(IF((ROUND((J584/G584)*I584,1))&lt;0,(ROUND((J584/G584)*I584,1)),0),0)</f>
        <v/>
      </c>
    </row>
    <row r="585">
      <c r="A585" s="4" t="n">
        <v>582</v>
      </c>
      <c r="B585" s="5" t="inlineStr">
        <is>
          <t>ALL_PBM</t>
        </is>
      </c>
      <c r="C585" s="5" t="inlineStr">
        <is>
          <t>00093720210</t>
        </is>
      </c>
      <c r="D585" s="5" t="inlineStr">
        <is>
          <t>PRAVASTATIN 40MG TABLET</t>
        </is>
      </c>
      <c r="E585" s="6" t="inlineStr">
        <is>
          <t>1000.0</t>
        </is>
      </c>
      <c r="F585" s="7" t="n">
        <v>180</v>
      </c>
      <c r="G585" s="7" t="n">
        <v>0.18</v>
      </c>
      <c r="H585" s="7" t="n">
        <v>0</v>
      </c>
      <c r="I585" s="7" t="n">
        <v>-0.18</v>
      </c>
      <c r="J585" s="8" t="n">
        <v>17</v>
      </c>
      <c r="K585" s="9">
        <f>IFERROR(IF((ROUND((J585/G585)*I585,1))&lt;0,(ROUND((J585/G585)*I585,1)),0),0)</f>
        <v/>
      </c>
    </row>
    <row r="586">
      <c r="A586" s="4" t="n">
        <v>583</v>
      </c>
      <c r="B586" s="5" t="inlineStr">
        <is>
          <t>ALL_PBM</t>
        </is>
      </c>
      <c r="C586" s="5" t="inlineStr">
        <is>
          <t>23155083501</t>
        </is>
      </c>
      <c r="D586" s="5" t="inlineStr">
        <is>
          <t>HYDRALAZINE HCL 100MG TABLET</t>
        </is>
      </c>
      <c r="E586" s="6" t="inlineStr">
        <is>
          <t>100.0</t>
        </is>
      </c>
      <c r="F586" s="7" t="n">
        <v>540</v>
      </c>
      <c r="G586" s="7" t="n">
        <v>5.4</v>
      </c>
      <c r="H586" s="7" t="n">
        <v>3</v>
      </c>
      <c r="I586" s="7" t="n">
        <v>-2.4</v>
      </c>
      <c r="J586" s="8" t="n">
        <v>17</v>
      </c>
      <c r="K586" s="9">
        <f>IFERROR(IF((ROUND((J586/G586)*I586,1))&lt;0,(ROUND((J586/G586)*I586,1)),0),0)</f>
        <v/>
      </c>
    </row>
    <row r="587">
      <c r="A587" s="4" t="n">
        <v>584</v>
      </c>
      <c r="B587" s="5" t="inlineStr">
        <is>
          <t>ALL_PBM</t>
        </is>
      </c>
      <c r="C587" s="5" t="inlineStr">
        <is>
          <t>70377006611</t>
        </is>
      </c>
      <c r="D587" s="5" t="inlineStr">
        <is>
          <t>PRAZOSIN HCL 1 MG ORAL CAPSULE</t>
        </is>
      </c>
      <c r="E587" s="6" t="inlineStr">
        <is>
          <t>100.0</t>
        </is>
      </c>
      <c r="F587" s="7" t="n">
        <v>90</v>
      </c>
      <c r="G587" s="7" t="n">
        <v>0.9</v>
      </c>
      <c r="H587" s="7" t="n">
        <v>0</v>
      </c>
      <c r="I587" s="7" t="n">
        <v>-0.9</v>
      </c>
      <c r="J587" s="8" t="n">
        <v>17</v>
      </c>
      <c r="K587" s="9">
        <f>IFERROR(IF((ROUND((J587/G587)*I587,1))&lt;0,(ROUND((J587/G587)*I587,1)),0),0)</f>
        <v/>
      </c>
    </row>
    <row r="588">
      <c r="A588" s="4" t="n">
        <v>585</v>
      </c>
      <c r="B588" s="5" t="inlineStr">
        <is>
          <t>ALL_PBM</t>
        </is>
      </c>
      <c r="C588" s="5" t="inlineStr">
        <is>
          <t>00168025815</t>
        </is>
      </c>
      <c r="D588" s="5" t="inlineStr">
        <is>
          <t>CLOTRIMAZOLE-BETAMETHASONE 1-0.05 % EXTERNAL CREAM</t>
        </is>
      </c>
      <c r="E588" s="6" t="inlineStr">
        <is>
          <t>15.0</t>
        </is>
      </c>
      <c r="F588" s="7" t="n">
        <v>30</v>
      </c>
      <c r="G588" s="7" t="n">
        <v>2</v>
      </c>
      <c r="H588" s="7" t="n">
        <v>0</v>
      </c>
      <c r="I588" s="7" t="n">
        <v>-2</v>
      </c>
      <c r="J588" s="8" t="n">
        <v>17</v>
      </c>
      <c r="K588" s="9">
        <f>IFERROR(IF((ROUND((J588/G588)*I588,1))&lt;0,(ROUND((J588/G588)*I588,1)),0),0)</f>
        <v/>
      </c>
    </row>
    <row r="589">
      <c r="A589" s="4" t="n">
        <v>586</v>
      </c>
      <c r="B589" s="5" t="inlineStr">
        <is>
          <t>ALL_PBM</t>
        </is>
      </c>
      <c r="C589" s="5" t="inlineStr">
        <is>
          <t>72888000901</t>
        </is>
      </c>
      <c r="D589" s="5" t="inlineStr">
        <is>
          <t>BACLOFEN 5 MG ORAL TABLET</t>
        </is>
      </c>
      <c r="E589" s="6" t="inlineStr">
        <is>
          <t>100.0</t>
        </is>
      </c>
      <c r="F589" s="7" t="n">
        <v>90</v>
      </c>
      <c r="G589" s="7" t="n">
        <v>0.9</v>
      </c>
      <c r="H589" s="7" t="n">
        <v>0</v>
      </c>
      <c r="I589" s="7" t="n">
        <v>-0.9</v>
      </c>
      <c r="J589" s="8" t="n">
        <v>17</v>
      </c>
      <c r="K589" s="9">
        <f>IFERROR(IF((ROUND((J589/G589)*I589,1))&lt;0,(ROUND((J589/G589)*I589,1)),0),0)</f>
        <v/>
      </c>
    </row>
    <row r="590">
      <c r="A590" s="4" t="n">
        <v>587</v>
      </c>
      <c r="B590" s="5" t="inlineStr">
        <is>
          <t>ALL_PBM</t>
        </is>
      </c>
      <c r="C590" s="5" t="inlineStr">
        <is>
          <t>42571023530</t>
        </is>
      </c>
      <c r="D590" s="5" t="inlineStr">
        <is>
          <t>AMLODIPINE-OLMESARTAN 5-20MG TABLET</t>
        </is>
      </c>
      <c r="E590" s="6" t="inlineStr">
        <is>
          <t>30.0</t>
        </is>
      </c>
      <c r="F590" s="7" t="n">
        <v>120</v>
      </c>
      <c r="G590" s="7" t="n">
        <v>4</v>
      </c>
      <c r="H590" s="7" t="n">
        <v>0</v>
      </c>
      <c r="I590" s="7" t="n">
        <v>-4</v>
      </c>
      <c r="J590" s="8" t="n">
        <v>17</v>
      </c>
      <c r="K590" s="9">
        <f>IFERROR(IF((ROUND((J590/G590)*I590,1))&lt;0,(ROUND((J590/G590)*I590,1)),0),0)</f>
        <v/>
      </c>
    </row>
    <row r="591">
      <c r="A591" s="4" t="n">
        <v>588</v>
      </c>
      <c r="B591" s="5" t="inlineStr">
        <is>
          <t>ALL_PBM</t>
        </is>
      </c>
      <c r="C591" s="5" t="inlineStr">
        <is>
          <t>72888006605</t>
        </is>
      </c>
      <c r="D591" s="5" t="inlineStr">
        <is>
          <t>BUSPIRONE HCL 30 MG ORAL TABLET</t>
        </is>
      </c>
      <c r="E591" s="6" t="inlineStr">
        <is>
          <t>500.0</t>
        </is>
      </c>
      <c r="F591" s="7" t="n">
        <v>60</v>
      </c>
      <c r="G591" s="7" t="n">
        <v>0.12</v>
      </c>
      <c r="H591" s="7" t="n">
        <v>0</v>
      </c>
      <c r="I591" s="7" t="n">
        <v>-0.12</v>
      </c>
      <c r="J591" s="8" t="n">
        <v>17</v>
      </c>
      <c r="K591" s="9">
        <f>IFERROR(IF((ROUND((J591/G591)*I591,1))&lt;0,(ROUND((J591/G591)*I591,1)),0),0)</f>
        <v/>
      </c>
    </row>
    <row r="592">
      <c r="A592" s="4" t="n">
        <v>589</v>
      </c>
      <c r="B592" s="5" t="inlineStr">
        <is>
          <t>ALL_PBM</t>
        </is>
      </c>
      <c r="C592" s="5" t="inlineStr">
        <is>
          <t>23155002405</t>
        </is>
      </c>
      <c r="D592" s="5" t="inlineStr">
        <is>
          <t>BUSPIRONE 10MG TABLET</t>
        </is>
      </c>
      <c r="E592" s="6" t="inlineStr">
        <is>
          <t>500.0</t>
        </is>
      </c>
      <c r="F592" s="7" t="n">
        <v>240</v>
      </c>
      <c r="G592" s="7" t="n">
        <v>0.48</v>
      </c>
      <c r="H592" s="7" t="n">
        <v>0</v>
      </c>
      <c r="I592" s="7" t="n">
        <v>-0.48</v>
      </c>
      <c r="J592" s="8" t="n">
        <v>17</v>
      </c>
      <c r="K592" s="9">
        <f>IFERROR(IF((ROUND((J592/G592)*I592,1))&lt;0,(ROUND((J592/G592)*I592,1)),0),0)</f>
        <v/>
      </c>
    </row>
    <row r="593">
      <c r="A593" s="4" t="n">
        <v>590</v>
      </c>
      <c r="B593" s="5" t="inlineStr">
        <is>
          <t>ALL_PBM</t>
        </is>
      </c>
      <c r="C593" s="5" t="inlineStr">
        <is>
          <t>00093227434</t>
        </is>
      </c>
      <c r="D593" s="5" t="inlineStr">
        <is>
          <t>AMOXICILLIN-CLAVULANATE 500-125MG TABLET</t>
        </is>
      </c>
      <c r="E593" s="6" t="inlineStr">
        <is>
          <t>20.0</t>
        </is>
      </c>
      <c r="F593" s="7" t="n">
        <v>20</v>
      </c>
      <c r="G593" s="7" t="n">
        <v>1</v>
      </c>
      <c r="H593" s="7" t="n">
        <v>5</v>
      </c>
      <c r="I593" s="7" t="n">
        <v>4</v>
      </c>
      <c r="J593" s="8" t="n">
        <v>16</v>
      </c>
      <c r="K593" s="9">
        <f>IFERROR(IF((ROUND((J593/G593)*I593,1))&lt;0,(ROUND((J593/G593)*I593,1)),0),0)</f>
        <v/>
      </c>
    </row>
    <row r="594">
      <c r="A594" s="4" t="n">
        <v>591</v>
      </c>
      <c r="B594" s="5" t="inlineStr">
        <is>
          <t>ALL_PBM</t>
        </is>
      </c>
      <c r="C594" s="5" t="inlineStr">
        <is>
          <t>69315015501</t>
        </is>
      </c>
      <c r="D594" s="5" t="inlineStr">
        <is>
          <t>HYDROCHLOROTHIAZIDE 12.5MG TABLET</t>
        </is>
      </c>
      <c r="E594" s="6" t="inlineStr">
        <is>
          <t>100.0</t>
        </is>
      </c>
      <c r="F594" s="7" t="n">
        <v>180</v>
      </c>
      <c r="G594" s="7" t="n">
        <v>1.8</v>
      </c>
      <c r="H594" s="7" t="n">
        <v>0</v>
      </c>
      <c r="I594" s="7" t="n">
        <v>-1.8</v>
      </c>
      <c r="J594" s="8" t="n">
        <v>16</v>
      </c>
      <c r="K594" s="9">
        <f>IFERROR(IF((ROUND((J594/G594)*I594,1))&lt;0,(ROUND((J594/G594)*I594,1)),0),0)</f>
        <v/>
      </c>
    </row>
    <row r="595">
      <c r="A595" s="4" t="n">
        <v>592</v>
      </c>
      <c r="B595" s="5" t="inlineStr">
        <is>
          <t>ALL_PBM</t>
        </is>
      </c>
      <c r="C595" s="5" t="inlineStr">
        <is>
          <t>60505015801</t>
        </is>
      </c>
      <c r="D595" s="5" t="inlineStr">
        <is>
          <t>BUPROPION HCL 75MG TABLET</t>
        </is>
      </c>
      <c r="E595" s="6" t="inlineStr">
        <is>
          <t>100.0</t>
        </is>
      </c>
      <c r="F595" s="7" t="n">
        <v>60</v>
      </c>
      <c r="G595" s="7" t="n">
        <v>0.6</v>
      </c>
      <c r="H595" s="7" t="n">
        <v>0</v>
      </c>
      <c r="I595" s="7" t="n">
        <v>-0.6</v>
      </c>
      <c r="J595" s="8" t="n">
        <v>16</v>
      </c>
      <c r="K595" s="9">
        <f>IFERROR(IF((ROUND((J595/G595)*I595,1))&lt;0,(ROUND((J595/G595)*I595,1)),0),0)</f>
        <v/>
      </c>
    </row>
    <row r="596">
      <c r="A596" s="4" t="n">
        <v>593</v>
      </c>
      <c r="B596" s="5" t="inlineStr">
        <is>
          <t>ALL_PBM</t>
        </is>
      </c>
      <c r="C596" s="5" t="inlineStr">
        <is>
          <t>00185005501</t>
        </is>
      </c>
      <c r="D596" s="5" t="inlineStr">
        <is>
          <t>METOLAZONE 5 MG TABLET</t>
        </is>
      </c>
      <c r="E596" s="6" t="inlineStr">
        <is>
          <t>100.0</t>
        </is>
      </c>
      <c r="F596" s="7" t="n">
        <v>30</v>
      </c>
      <c r="G596" s="7" t="n">
        <v>0.3</v>
      </c>
      <c r="H596" s="7" t="n">
        <v>0</v>
      </c>
      <c r="I596" s="7" t="n">
        <v>-0.3</v>
      </c>
      <c r="J596" s="8" t="n">
        <v>16</v>
      </c>
      <c r="K596" s="9">
        <f>IFERROR(IF((ROUND((J596/G596)*I596,1))&lt;0,(ROUND((J596/G596)*I596,1)),0),0)</f>
        <v/>
      </c>
    </row>
    <row r="597">
      <c r="A597" s="4" t="n">
        <v>594</v>
      </c>
      <c r="B597" s="5" t="inlineStr">
        <is>
          <t>ALL_PBM</t>
        </is>
      </c>
      <c r="C597" s="5" t="inlineStr">
        <is>
          <t>67877024801</t>
        </is>
      </c>
      <c r="D597" s="5" t="inlineStr">
        <is>
          <t>QUETIAPINE FUMARATE 400 MG ORAL TABLET</t>
        </is>
      </c>
      <c r="E597" s="6" t="inlineStr">
        <is>
          <t>100.0</t>
        </is>
      </c>
      <c r="F597" s="7" t="n">
        <v>30</v>
      </c>
      <c r="G597" s="7" t="n">
        <v>0.3</v>
      </c>
      <c r="H597" s="7" t="n">
        <v>0</v>
      </c>
      <c r="I597" s="7" t="n">
        <v>-0.3</v>
      </c>
      <c r="J597" s="8" t="n">
        <v>16</v>
      </c>
      <c r="K597" s="9">
        <f>IFERROR(IF((ROUND((J597/G597)*I597,1))&lt;0,(ROUND((J597/G597)*I597,1)),0),0)</f>
        <v/>
      </c>
    </row>
    <row r="598">
      <c r="A598" s="4" t="n">
        <v>595</v>
      </c>
      <c r="B598" s="5" t="inlineStr">
        <is>
          <t>ALL_PBM</t>
        </is>
      </c>
      <c r="C598" s="5" t="inlineStr">
        <is>
          <t>64980059248</t>
        </is>
      </c>
      <c r="D598" s="5" t="inlineStr">
        <is>
          <t>LACTULOSE ENCEPHALOPATHY 10 GM/15ML ORAL SOLUTION</t>
        </is>
      </c>
      <c r="E598" s="6" t="inlineStr">
        <is>
          <t>473.0</t>
        </is>
      </c>
      <c r="F598" s="7" t="n">
        <v>473</v>
      </c>
      <c r="G598" s="7" t="n">
        <v>1</v>
      </c>
      <c r="H598" s="7" t="n">
        <v>0</v>
      </c>
      <c r="I598" s="7" t="n">
        <v>-1</v>
      </c>
      <c r="J598" s="8" t="n">
        <v>16</v>
      </c>
      <c r="K598" s="9">
        <f>IFERROR(IF((ROUND((J598/G598)*I598,1))&lt;0,(ROUND((J598/G598)*I598,1)),0),0)</f>
        <v/>
      </c>
    </row>
    <row r="599">
      <c r="A599" s="4" t="n">
        <v>596</v>
      </c>
      <c r="B599" s="5" t="inlineStr">
        <is>
          <t>ALL_PBM</t>
        </is>
      </c>
      <c r="C599" s="5" t="inlineStr">
        <is>
          <t>57664050318</t>
        </is>
      </c>
      <c r="D599" s="5" t="inlineStr">
        <is>
          <t>TIZANIDINE 4MG TABLET</t>
        </is>
      </c>
      <c r="E599" s="6" t="inlineStr">
        <is>
          <t>1000.0</t>
        </is>
      </c>
      <c r="F599" s="7" t="n">
        <v>120</v>
      </c>
      <c r="G599" s="7" t="n">
        <v>0.12</v>
      </c>
      <c r="H599" s="7" t="n">
        <v>0</v>
      </c>
      <c r="I599" s="7" t="n">
        <v>-0.12</v>
      </c>
      <c r="J599" s="8" t="n">
        <v>16</v>
      </c>
      <c r="K599" s="9">
        <f>IFERROR(IF((ROUND((J599/G599)*I599,1))&lt;0,(ROUND((J599/G599)*I599,1)),0),0)</f>
        <v/>
      </c>
    </row>
    <row r="600">
      <c r="A600" s="4" t="n">
        <v>597</v>
      </c>
      <c r="B600" s="5" t="inlineStr">
        <is>
          <t>ALL_PBM</t>
        </is>
      </c>
      <c r="C600" s="5" t="inlineStr">
        <is>
          <t>23155051901</t>
        </is>
      </c>
      <c r="D600" s="5" t="inlineStr">
        <is>
          <t>ISOSORBIDE MONONITRATE 30MG TABLET ER</t>
        </is>
      </c>
      <c r="E600" s="6" t="inlineStr">
        <is>
          <t>100.0</t>
        </is>
      </c>
      <c r="F600" s="7" t="n">
        <v>90</v>
      </c>
      <c r="G600" s="7" t="n">
        <v>0.9</v>
      </c>
      <c r="H600" s="7" t="n">
        <v>0</v>
      </c>
      <c r="I600" s="7" t="n">
        <v>-0.9</v>
      </c>
      <c r="J600" s="8" t="n">
        <v>16</v>
      </c>
      <c r="K600" s="9">
        <f>IFERROR(IF((ROUND((J600/G600)*I600,1))&lt;0,(ROUND((J600/G600)*I600,1)),0),0)</f>
        <v/>
      </c>
    </row>
    <row r="601">
      <c r="A601" s="4" t="n">
        <v>598</v>
      </c>
      <c r="B601" s="5" t="inlineStr">
        <is>
          <t>ALL_PBM</t>
        </is>
      </c>
      <c r="C601" s="5" t="inlineStr">
        <is>
          <t>68180029603</t>
        </is>
      </c>
      <c r="D601" s="5" t="inlineStr">
        <is>
          <t>DULOXETINE 60MG CAPSULE DR</t>
        </is>
      </c>
      <c r="E601" s="6" t="inlineStr">
        <is>
          <t>1000.0</t>
        </is>
      </c>
      <c r="F601" s="7" t="n">
        <v>60</v>
      </c>
      <c r="G601" s="7" t="n">
        <v>0.06</v>
      </c>
      <c r="H601" s="7" t="n">
        <v>0</v>
      </c>
      <c r="I601" s="7" t="n">
        <v>-0.06</v>
      </c>
      <c r="J601" s="8" t="n">
        <v>16</v>
      </c>
      <c r="K601" s="9">
        <f>IFERROR(IF((ROUND((J601/G601)*I601,1))&lt;0,(ROUND((J601/G601)*I601,1)),0),0)</f>
        <v/>
      </c>
    </row>
    <row r="602">
      <c r="A602" s="4" t="n">
        <v>599</v>
      </c>
      <c r="B602" s="5" t="inlineStr">
        <is>
          <t>ALL_PBM</t>
        </is>
      </c>
      <c r="C602" s="5" t="inlineStr">
        <is>
          <t>00378910293</t>
        </is>
      </c>
      <c r="D602" s="5" t="inlineStr">
        <is>
          <t>NITROGLYCERIN 0.1 MG/HR TRANSDERMAL PATCH 24 HOUR</t>
        </is>
      </c>
      <c r="E602" s="6" t="inlineStr">
        <is>
          <t>30.0</t>
        </is>
      </c>
      <c r="F602" s="7" t="n">
        <v>30</v>
      </c>
      <c r="G602" s="7" t="n">
        <v>1</v>
      </c>
      <c r="H602" s="7" t="n">
        <v>1</v>
      </c>
      <c r="I602" s="7" t="n">
        <v>0</v>
      </c>
      <c r="J602" s="8" t="n">
        <v>16</v>
      </c>
      <c r="K602" s="9">
        <f>IFERROR(IF((ROUND((J602/G602)*I602,1))&lt;0,(ROUND((J602/G602)*I602,1)),0),0)</f>
        <v/>
      </c>
    </row>
    <row r="603">
      <c r="A603" s="4" t="n">
        <v>600</v>
      </c>
      <c r="B603" s="5" t="inlineStr">
        <is>
          <t>ALL_PBM</t>
        </is>
      </c>
      <c r="C603" s="5" t="inlineStr">
        <is>
          <t>62332064531</t>
        </is>
      </c>
      <c r="D603" s="5" t="inlineStr">
        <is>
          <t>DOXEPIN HCL 50 MG ORAL CAPSULE</t>
        </is>
      </c>
      <c r="E603" s="6" t="inlineStr">
        <is>
          <t>100.0</t>
        </is>
      </c>
      <c r="F603" s="7" t="n">
        <v>90</v>
      </c>
      <c r="G603" s="7" t="n">
        <v>0.9</v>
      </c>
      <c r="H603" s="7" t="n">
        <v>0</v>
      </c>
      <c r="I603" s="7" t="n">
        <v>-0.9</v>
      </c>
      <c r="J603" s="8" t="n">
        <v>16</v>
      </c>
      <c r="K603" s="9">
        <f>IFERROR(IF((ROUND((J603/G603)*I603,1))&lt;0,(ROUND((J603/G603)*I603,1)),0),0)</f>
        <v/>
      </c>
    </row>
    <row r="604">
      <c r="A604" s="4" t="n">
        <v>601</v>
      </c>
      <c r="B604" s="5" t="inlineStr">
        <is>
          <t>ALL_PBM</t>
        </is>
      </c>
      <c r="C604" s="5" t="inlineStr">
        <is>
          <t>00093117701</t>
        </is>
      </c>
      <c r="D604" s="5" t="inlineStr">
        <is>
          <t>NEOMYCIN SULFATE 500 MG ORAL TABLET</t>
        </is>
      </c>
      <c r="E604" s="6" t="inlineStr">
        <is>
          <t>100.0</t>
        </is>
      </c>
      <c r="F604" s="7" t="n">
        <v>6</v>
      </c>
      <c r="G604" s="7" t="n">
        <v>0.06</v>
      </c>
      <c r="H604" s="7" t="n">
        <v>0</v>
      </c>
      <c r="I604" s="7" t="n">
        <v>-0.06</v>
      </c>
      <c r="J604" s="8" t="n">
        <v>16</v>
      </c>
      <c r="K604" s="9">
        <f>IFERROR(IF((ROUND((J604/G604)*I604,1))&lt;0,(ROUND((J604/G604)*I604,1)),0),0)</f>
        <v/>
      </c>
    </row>
    <row r="605">
      <c r="A605" s="4" t="n">
        <v>602</v>
      </c>
      <c r="B605" s="5" t="inlineStr">
        <is>
          <t>ALL_PBM</t>
        </is>
      </c>
      <c r="C605" s="5" t="inlineStr">
        <is>
          <t>68180061307</t>
        </is>
      </c>
      <c r="D605" s="5" t="inlineStr">
        <is>
          <t>QUETIAPINE 150MG TABLET ER</t>
        </is>
      </c>
      <c r="E605" s="6" t="inlineStr">
        <is>
          <t>60.0</t>
        </is>
      </c>
      <c r="F605" s="7" t="n">
        <v>28</v>
      </c>
      <c r="G605" s="7" t="n">
        <v>0.4666666666666667</v>
      </c>
      <c r="H605" s="7" t="n">
        <v>0</v>
      </c>
      <c r="I605" s="7" t="n">
        <v>-0.4666666666666667</v>
      </c>
      <c r="J605" s="8" t="n">
        <v>16</v>
      </c>
      <c r="K605" s="9">
        <f>IFERROR(IF((ROUND((J605/G605)*I605,1))&lt;0,(ROUND((J605/G605)*I605,1)),0),0)</f>
        <v/>
      </c>
    </row>
    <row r="606">
      <c r="A606" s="4" t="n">
        <v>603</v>
      </c>
      <c r="B606" s="5" t="inlineStr">
        <is>
          <t>ALL_PBM</t>
        </is>
      </c>
      <c r="C606" s="5" t="inlineStr">
        <is>
          <t>61314001910</t>
        </is>
      </c>
      <c r="D606" s="5" t="inlineStr">
        <is>
          <t>DORZOLAMIDE HCL 2% SOLUTION</t>
        </is>
      </c>
      <c r="E606" s="6" t="inlineStr">
        <is>
          <t>10.0</t>
        </is>
      </c>
      <c r="F606" s="7" t="n">
        <v>30</v>
      </c>
      <c r="G606" s="7" t="n">
        <v>3</v>
      </c>
      <c r="H606" s="7" t="n">
        <v>0</v>
      </c>
      <c r="I606" s="7" t="n">
        <v>-3</v>
      </c>
      <c r="J606" s="8" t="n">
        <v>16</v>
      </c>
      <c r="K606" s="9">
        <f>IFERROR(IF((ROUND((J606/G606)*I606,1))&lt;0,(ROUND((J606/G606)*I606,1)),0),0)</f>
        <v/>
      </c>
    </row>
    <row r="607">
      <c r="A607" s="4" t="n">
        <v>604</v>
      </c>
      <c r="B607" s="5" t="inlineStr">
        <is>
          <t>ALL_PBM</t>
        </is>
      </c>
      <c r="C607" s="5" t="inlineStr">
        <is>
          <t>70954045520</t>
        </is>
      </c>
      <c r="D607" s="5" t="inlineStr">
        <is>
          <t>BISOPROLOL FUMARATE 5 MG ORAL TABLET</t>
        </is>
      </c>
      <c r="E607" s="6" t="inlineStr">
        <is>
          <t>100.0</t>
        </is>
      </c>
      <c r="F607" s="7" t="n">
        <v>30</v>
      </c>
      <c r="G607" s="7" t="n">
        <v>0.3</v>
      </c>
      <c r="H607" s="7" t="n">
        <v>0</v>
      </c>
      <c r="I607" s="7" t="n">
        <v>-0.3</v>
      </c>
      <c r="J607" s="8" t="n">
        <v>16</v>
      </c>
      <c r="K607" s="9">
        <f>IFERROR(IF((ROUND((J607/G607)*I607,1))&lt;0,(ROUND((J607/G607)*I607,1)),0),0)</f>
        <v/>
      </c>
    </row>
    <row r="608">
      <c r="A608" s="4" t="n">
        <v>605</v>
      </c>
      <c r="B608" s="5" t="inlineStr">
        <is>
          <t>ALL_PBM</t>
        </is>
      </c>
      <c r="C608" s="5" t="inlineStr">
        <is>
          <t>70377006711</t>
        </is>
      </c>
      <c r="D608" s="5" t="inlineStr">
        <is>
          <t>PRAZOSIN HCL 2 MG ORAL CAPSULE</t>
        </is>
      </c>
      <c r="E608" s="6" t="inlineStr">
        <is>
          <t>100.0</t>
        </is>
      </c>
      <c r="F608" s="7" t="n">
        <v>90</v>
      </c>
      <c r="G608" s="7" t="n">
        <v>0.9</v>
      </c>
      <c r="H608" s="7" t="n">
        <v>0</v>
      </c>
      <c r="I608" s="7" t="n">
        <v>-0.9</v>
      </c>
      <c r="J608" s="8" t="n">
        <v>15</v>
      </c>
      <c r="K608" s="9">
        <f>IFERROR(IF((ROUND((J608/G608)*I608,1))&lt;0,(ROUND((J608/G608)*I608,1)),0),0)</f>
        <v/>
      </c>
    </row>
    <row r="609">
      <c r="A609" s="4" t="n">
        <v>606</v>
      </c>
      <c r="B609" s="5" t="inlineStr">
        <is>
          <t>ALL_PBM</t>
        </is>
      </c>
      <c r="C609" s="5" t="inlineStr">
        <is>
          <t>47335048583</t>
        </is>
      </c>
      <c r="D609" s="5" t="inlineStr">
        <is>
          <t>BICALUTAMIDE 50 MG TABLET</t>
        </is>
      </c>
      <c r="E609" s="6" t="inlineStr">
        <is>
          <t>30.0</t>
        </is>
      </c>
      <c r="F609" s="7" t="n">
        <v>30</v>
      </c>
      <c r="G609" s="7" t="n">
        <v>1</v>
      </c>
      <c r="H609" s="7" t="n">
        <v>0</v>
      </c>
      <c r="I609" s="7" t="n">
        <v>-1</v>
      </c>
      <c r="J609" s="8" t="n">
        <v>15</v>
      </c>
      <c r="K609" s="9">
        <f>IFERROR(IF((ROUND((J609/G609)*I609,1))&lt;0,(ROUND((J609/G609)*I609,1)),0),0)</f>
        <v/>
      </c>
    </row>
    <row r="610">
      <c r="A610" s="4" t="n">
        <v>607</v>
      </c>
      <c r="B610" s="5" t="inlineStr">
        <is>
          <t>ALL_PBM</t>
        </is>
      </c>
      <c r="C610" s="5" t="inlineStr">
        <is>
          <t>24979053301</t>
        </is>
      </c>
      <c r="D610" s="5" t="inlineStr">
        <is>
          <t xml:space="preserve">GUANFACINE ER 1MG TAB </t>
        </is>
      </c>
      <c r="E610" s="6" t="inlineStr">
        <is>
          <t>100.0</t>
        </is>
      </c>
      <c r="F610" s="7" t="n">
        <v>30</v>
      </c>
      <c r="G610" s="7" t="n">
        <v>0.3</v>
      </c>
      <c r="H610" s="7" t="n">
        <v>0</v>
      </c>
      <c r="I610" s="7" t="n">
        <v>-0.3</v>
      </c>
      <c r="J610" s="8" t="n">
        <v>15</v>
      </c>
      <c r="K610" s="9">
        <f>IFERROR(IF((ROUND((J610/G610)*I610,1))&lt;0,(ROUND((J610/G610)*I610,1)),0),0)</f>
        <v/>
      </c>
    </row>
    <row r="611">
      <c r="A611" s="4" t="n">
        <v>608</v>
      </c>
      <c r="B611" s="5" t="inlineStr">
        <is>
          <t>ALL_PBM</t>
        </is>
      </c>
      <c r="C611" s="5" t="inlineStr">
        <is>
          <t>45802004935</t>
        </is>
      </c>
      <c r="D611" s="5" t="inlineStr">
        <is>
          <t>TRIAMCINOLONE ACETONIDE 0.5 % EXTERNAL OINTMENT</t>
        </is>
      </c>
      <c r="E611" s="6" t="inlineStr">
        <is>
          <t>15.0</t>
        </is>
      </c>
      <c r="F611" s="7" t="n">
        <v>15</v>
      </c>
      <c r="G611" s="7" t="n">
        <v>1</v>
      </c>
      <c r="H611" s="7" t="n">
        <v>6</v>
      </c>
      <c r="I611" s="7" t="n">
        <v>5</v>
      </c>
      <c r="J611" s="8" t="n">
        <v>15</v>
      </c>
      <c r="K611" s="9">
        <f>IFERROR(IF((ROUND((J611/G611)*I611,1))&lt;0,(ROUND((J611/G611)*I611,1)),0),0)</f>
        <v/>
      </c>
    </row>
    <row r="612">
      <c r="A612" s="4" t="n">
        <v>609</v>
      </c>
      <c r="B612" s="5" t="inlineStr">
        <is>
          <t>ALL_PBM</t>
        </is>
      </c>
      <c r="C612" s="5" t="inlineStr">
        <is>
          <t>68180029407</t>
        </is>
      </c>
      <c r="D612" s="5" t="inlineStr">
        <is>
          <t>DULOXETINE 20MG CAPSULE DR</t>
        </is>
      </c>
      <c r="E612" s="6" t="inlineStr">
        <is>
          <t>60.0</t>
        </is>
      </c>
      <c r="F612" s="7" t="n">
        <v>60</v>
      </c>
      <c r="G612" s="7" t="n">
        <v>1</v>
      </c>
      <c r="H612" s="7" t="n">
        <v>0</v>
      </c>
      <c r="I612" s="7" t="n">
        <v>-1</v>
      </c>
      <c r="J612" s="8" t="n">
        <v>15</v>
      </c>
      <c r="K612" s="9">
        <f>IFERROR(IF((ROUND((J612/G612)*I612,1))&lt;0,(ROUND((J612/G612)*I612,1)),0),0)</f>
        <v/>
      </c>
    </row>
    <row r="613">
      <c r="A613" s="4" t="n">
        <v>610</v>
      </c>
      <c r="B613" s="5" t="inlineStr">
        <is>
          <t>ALL_PBM</t>
        </is>
      </c>
      <c r="C613" s="5" t="inlineStr">
        <is>
          <t>62559051001</t>
        </is>
      </c>
      <c r="D613" s="5" t="inlineStr">
        <is>
          <t>INDAPAMIDE 1.25MG TABLET</t>
        </is>
      </c>
      <c r="E613" s="6" t="inlineStr">
        <is>
          <t>100.0</t>
        </is>
      </c>
      <c r="F613" s="7" t="n">
        <v>120</v>
      </c>
      <c r="G613" s="7" t="n">
        <v>1.2</v>
      </c>
      <c r="H613" s="7" t="n">
        <v>0</v>
      </c>
      <c r="I613" s="7" t="n">
        <v>-1.2</v>
      </c>
      <c r="J613" s="8" t="n">
        <v>15</v>
      </c>
      <c r="K613" s="9">
        <f>IFERROR(IF((ROUND((J613/G613)*I613,1))&lt;0,(ROUND((J613/G613)*I613,1)),0),0)</f>
        <v/>
      </c>
    </row>
    <row r="614">
      <c r="A614" s="4" t="n">
        <v>611</v>
      </c>
      <c r="B614" s="5" t="inlineStr">
        <is>
          <t>ALL_PBM</t>
        </is>
      </c>
      <c r="C614" s="5" t="inlineStr">
        <is>
          <t>23155050210</t>
        </is>
      </c>
      <c r="D614" s="5" t="inlineStr">
        <is>
          <t>HYDROXYZINE HCL 50MG TABLET</t>
        </is>
      </c>
      <c r="E614" s="6" t="inlineStr">
        <is>
          <t>1000.0</t>
        </is>
      </c>
      <c r="F614" s="7" t="n">
        <v>90</v>
      </c>
      <c r="G614" s="7" t="n">
        <v>0.09</v>
      </c>
      <c r="H614" s="7" t="n">
        <v>0</v>
      </c>
      <c r="I614" s="7" t="n">
        <v>-0.09</v>
      </c>
      <c r="J614" s="8" t="n">
        <v>15</v>
      </c>
      <c r="K614" s="9">
        <f>IFERROR(IF((ROUND((J614/G614)*I614,1))&lt;0,(ROUND((J614/G614)*I614,1)),0),0)</f>
        <v/>
      </c>
    </row>
    <row r="615">
      <c r="A615" s="4" t="n">
        <v>612</v>
      </c>
      <c r="B615" s="5" t="inlineStr">
        <is>
          <t>ALL_PBM</t>
        </is>
      </c>
      <c r="C615" s="5" t="inlineStr">
        <is>
          <t>68180098003</t>
        </is>
      </c>
      <c r="D615" s="5" t="inlineStr">
        <is>
          <t>LISINOPRIL 10MG TABLET</t>
        </is>
      </c>
      <c r="E615" s="6" t="inlineStr">
        <is>
          <t>1000.0</t>
        </is>
      </c>
      <c r="F615" s="7" t="n">
        <v>270</v>
      </c>
      <c r="G615" s="7" t="n">
        <v>0.27</v>
      </c>
      <c r="H615" s="7" t="n">
        <v>0</v>
      </c>
      <c r="I615" s="7" t="n">
        <v>-0.27</v>
      </c>
      <c r="J615" s="8" t="n">
        <v>15</v>
      </c>
      <c r="K615" s="9">
        <f>IFERROR(IF((ROUND((J615/G615)*I615,1))&lt;0,(ROUND((J615/G615)*I615,1)),0),0)</f>
        <v/>
      </c>
    </row>
    <row r="616">
      <c r="A616" s="4" t="n">
        <v>613</v>
      </c>
      <c r="B616" s="5" t="inlineStr">
        <is>
          <t>ALL_PBM</t>
        </is>
      </c>
      <c r="C616" s="5" t="inlineStr">
        <is>
          <t>59746000103</t>
        </is>
      </c>
      <c r="D616" s="5" t="inlineStr">
        <is>
          <t xml:space="preserve">METHYLPREDNISOLONE 4MG (MEDROL) </t>
        </is>
      </c>
      <c r="E616" s="6" t="inlineStr">
        <is>
          <t>21.0</t>
        </is>
      </c>
      <c r="F616" s="7" t="n">
        <v>42</v>
      </c>
      <c r="G616" s="7" t="n">
        <v>2</v>
      </c>
      <c r="H616" s="7" t="n">
        <v>0</v>
      </c>
      <c r="I616" s="7" t="n">
        <v>-2</v>
      </c>
      <c r="J616" s="8" t="n">
        <v>15</v>
      </c>
      <c r="K616" s="9">
        <f>IFERROR(IF((ROUND((J616/G616)*I616,1))&lt;0,(ROUND((J616/G616)*I616,1)),0),0)</f>
        <v/>
      </c>
    </row>
    <row r="617">
      <c r="A617" s="4" t="n">
        <v>614</v>
      </c>
      <c r="B617" s="5" t="inlineStr">
        <is>
          <t>ALL_PBM</t>
        </is>
      </c>
      <c r="C617" s="5" t="inlineStr">
        <is>
          <t>62332008631</t>
        </is>
      </c>
      <c r="D617" s="5" t="inlineStr">
        <is>
          <t>FENOFIBRATE MICRONIZED 200MG CAPSULE</t>
        </is>
      </c>
      <c r="E617" s="6" t="inlineStr">
        <is>
          <t>100.0</t>
        </is>
      </c>
      <c r="F617" s="7" t="n">
        <v>90</v>
      </c>
      <c r="G617" s="7" t="n">
        <v>0.9</v>
      </c>
      <c r="H617" s="7" t="n">
        <v>0</v>
      </c>
      <c r="I617" s="7" t="n">
        <v>-0.9</v>
      </c>
      <c r="J617" s="8" t="n">
        <v>15</v>
      </c>
      <c r="K617" s="9">
        <f>IFERROR(IF((ROUND((J617/G617)*I617,1))&lt;0,(ROUND((J617/G617)*I617,1)),0),0)</f>
        <v/>
      </c>
    </row>
    <row r="618">
      <c r="A618" s="4" t="n">
        <v>615</v>
      </c>
      <c r="B618" s="5" t="inlineStr">
        <is>
          <t>ALL_PBM</t>
        </is>
      </c>
      <c r="C618" s="5" t="inlineStr">
        <is>
          <t>70010013801</t>
        </is>
      </c>
      <c r="D618" s="5" t="inlineStr">
        <is>
          <t>NAPROXEN 375 MG TABLET</t>
        </is>
      </c>
      <c r="E618" s="6" t="inlineStr">
        <is>
          <t>100.0</t>
        </is>
      </c>
      <c r="F618" s="7" t="n">
        <v>76</v>
      </c>
      <c r="G618" s="7" t="n">
        <v>0.76</v>
      </c>
      <c r="H618" s="7" t="n">
        <v>3</v>
      </c>
      <c r="I618" s="7" t="n">
        <v>2.24</v>
      </c>
      <c r="J618" s="8" t="n">
        <v>14</v>
      </c>
      <c r="K618" s="9">
        <f>IFERROR(IF((ROUND((J618/G618)*I618,1))&lt;0,(ROUND((J618/G618)*I618,1)),0),0)</f>
        <v/>
      </c>
    </row>
    <row r="619">
      <c r="A619" s="4" t="n">
        <v>616</v>
      </c>
      <c r="B619" s="5" t="inlineStr">
        <is>
          <t>ALL_PBM</t>
        </is>
      </c>
      <c r="C619" s="5" t="inlineStr">
        <is>
          <t>00093171201</t>
        </is>
      </c>
      <c r="D619" s="5" t="inlineStr">
        <is>
          <t xml:space="preserve">WARFARIN SODIUM 1MG TAB </t>
        </is>
      </c>
      <c r="E619" s="6" t="inlineStr">
        <is>
          <t>100.0</t>
        </is>
      </c>
      <c r="F619" s="7" t="n">
        <v>60</v>
      </c>
      <c r="G619" s="7" t="n">
        <v>0.6</v>
      </c>
      <c r="H619" s="7" t="n">
        <v>1</v>
      </c>
      <c r="I619" s="7" t="n">
        <v>0.4</v>
      </c>
      <c r="J619" s="8" t="n">
        <v>14</v>
      </c>
      <c r="K619" s="9">
        <f>IFERROR(IF((ROUND((J619/G619)*I619,1))&lt;0,(ROUND((J619/G619)*I619,1)),0),0)</f>
        <v/>
      </c>
    </row>
    <row r="620">
      <c r="A620" s="4" t="n">
        <v>617</v>
      </c>
      <c r="B620" s="5" t="inlineStr">
        <is>
          <t>ALL_PBM</t>
        </is>
      </c>
      <c r="C620" s="5" t="inlineStr">
        <is>
          <t>21922002107</t>
        </is>
      </c>
      <c r="D620" s="5" t="inlineStr">
        <is>
          <t>PERMETHRIN 5 % EXTERNAL CREAM</t>
        </is>
      </c>
      <c r="E620" s="6" t="inlineStr">
        <is>
          <t>60.0</t>
        </is>
      </c>
      <c r="F620" s="7" t="n">
        <v>60</v>
      </c>
      <c r="G620" s="7" t="n">
        <v>1</v>
      </c>
      <c r="H620" s="7" t="n">
        <v>0</v>
      </c>
      <c r="I620" s="7" t="n">
        <v>-1</v>
      </c>
      <c r="J620" s="8" t="n">
        <v>14</v>
      </c>
      <c r="K620" s="9">
        <f>IFERROR(IF((ROUND((J620/G620)*I620,1))&lt;0,(ROUND((J620/G620)*I620,1)),0),0)</f>
        <v/>
      </c>
    </row>
    <row r="621">
      <c r="A621" s="4" t="n">
        <v>618</v>
      </c>
      <c r="B621" s="5" t="inlineStr">
        <is>
          <t>ALL_PBM</t>
        </is>
      </c>
      <c r="C621" s="5" t="inlineStr">
        <is>
          <t>65862017501</t>
        </is>
      </c>
      <c r="D621" s="5" t="inlineStr">
        <is>
          <t>PENICILLIN V POTASSIUM 250MG TABLET</t>
        </is>
      </c>
      <c r="E621" s="6" t="inlineStr">
        <is>
          <t>100.0</t>
        </is>
      </c>
      <c r="F621" s="7" t="n">
        <v>60</v>
      </c>
      <c r="G621" s="7" t="n">
        <v>0.6</v>
      </c>
      <c r="H621" s="7" t="n">
        <v>0</v>
      </c>
      <c r="I621" s="7" t="n">
        <v>-0.6</v>
      </c>
      <c r="J621" s="8" t="n">
        <v>14</v>
      </c>
      <c r="K621" s="9">
        <f>IFERROR(IF((ROUND((J621/G621)*I621,1))&lt;0,(ROUND((J621/G621)*I621,1)),0),0)</f>
        <v/>
      </c>
    </row>
    <row r="622">
      <c r="A622" s="4" t="n">
        <v>619</v>
      </c>
      <c r="B622" s="5" t="inlineStr">
        <is>
          <t>ALL_PBM</t>
        </is>
      </c>
      <c r="C622" s="5" t="inlineStr">
        <is>
          <t>68180086111</t>
        </is>
      </c>
      <c r="D622" s="5" t="inlineStr">
        <is>
          <t>AZITHROMYCIN 250 MG TABLET</t>
        </is>
      </c>
      <c r="E622" s="6" t="inlineStr">
        <is>
          <t>6.0</t>
        </is>
      </c>
      <c r="F622" s="7" t="n">
        <v>16</v>
      </c>
      <c r="G622" s="7" t="n">
        <v>2.666666666666667</v>
      </c>
      <c r="H622" s="7" t="n">
        <v>12</v>
      </c>
      <c r="I622" s="7" t="n">
        <v>9.333333333333334</v>
      </c>
      <c r="J622" s="8" t="n">
        <v>14</v>
      </c>
      <c r="K622" s="9">
        <f>IFERROR(IF((ROUND((J622/G622)*I622,1))&lt;0,(ROUND((J622/G622)*I622,1)),0),0)</f>
        <v/>
      </c>
    </row>
    <row r="623">
      <c r="A623" s="4" t="n">
        <v>620</v>
      </c>
      <c r="B623" s="5" t="inlineStr">
        <is>
          <t>ALL_PBM</t>
        </is>
      </c>
      <c r="C623" s="5" t="inlineStr">
        <is>
          <t>68180086106</t>
        </is>
      </c>
      <c r="D623" s="5" t="inlineStr">
        <is>
          <t>AZITHROMYCIN 250 MG ORAL TABLET</t>
        </is>
      </c>
      <c r="E623" s="6" t="inlineStr">
        <is>
          <t>30.0</t>
        </is>
      </c>
      <c r="F623" s="7" t="n">
        <v>20</v>
      </c>
      <c r="G623" s="7" t="n">
        <v>0.6666666666666666</v>
      </c>
      <c r="H623" s="7" t="n">
        <v>0</v>
      </c>
      <c r="I623" s="7" t="n">
        <v>-0.6666666666666666</v>
      </c>
      <c r="J623" s="8" t="n">
        <v>14</v>
      </c>
      <c r="K623" s="9">
        <f>IFERROR(IF((ROUND((J623/G623)*I623,1))&lt;0,(ROUND((J623/G623)*I623,1)),0),0)</f>
        <v/>
      </c>
    </row>
    <row r="624">
      <c r="A624" s="4" t="n">
        <v>621</v>
      </c>
      <c r="B624" s="5" t="inlineStr">
        <is>
          <t>ALL_PBM</t>
        </is>
      </c>
      <c r="C624" s="5" t="inlineStr">
        <is>
          <t>51672400301</t>
        </is>
      </c>
      <c r="D624" s="5" t="inlineStr">
        <is>
          <t>NORTRIPTYLINE 50MG CAPSULE</t>
        </is>
      </c>
      <c r="E624" s="6" t="inlineStr">
        <is>
          <t>100.0</t>
        </is>
      </c>
      <c r="F624" s="7" t="n">
        <v>30</v>
      </c>
      <c r="G624" s="7" t="n">
        <v>0.3</v>
      </c>
      <c r="H624" s="7" t="n">
        <v>0</v>
      </c>
      <c r="I624" s="7" t="n">
        <v>-0.3</v>
      </c>
      <c r="J624" s="8" t="n">
        <v>14</v>
      </c>
      <c r="K624" s="9">
        <f>IFERROR(IF((ROUND((J624/G624)*I624,1))&lt;0,(ROUND((J624/G624)*I624,1)),0),0)</f>
        <v/>
      </c>
    </row>
    <row r="625">
      <c r="A625" s="4" t="n">
        <v>622</v>
      </c>
      <c r="B625" s="5" t="inlineStr">
        <is>
          <t>ALL_PBM</t>
        </is>
      </c>
      <c r="C625" s="5" t="inlineStr">
        <is>
          <t>00378797052</t>
        </is>
      </c>
      <c r="D625" s="5" t="inlineStr">
        <is>
          <t>IPRATROPIUM BROMIDE 0.02 % INHALATION SOLUTION</t>
        </is>
      </c>
      <c r="E625" s="6" t="inlineStr">
        <is>
          <t>62.5</t>
        </is>
      </c>
      <c r="F625" s="7" t="n">
        <v>125</v>
      </c>
      <c r="G625" s="7" t="n">
        <v>2</v>
      </c>
      <c r="H625" s="7" t="n">
        <v>0</v>
      </c>
      <c r="I625" s="7" t="n">
        <v>-2</v>
      </c>
      <c r="J625" s="8" t="n">
        <v>14</v>
      </c>
      <c r="K625" s="9">
        <f>IFERROR(IF((ROUND((J625/G625)*I625,1))&lt;0,(ROUND((J625/G625)*I625,1)),0),0)</f>
        <v/>
      </c>
    </row>
    <row r="626">
      <c r="A626" s="4" t="n">
        <v>623</v>
      </c>
      <c r="B626" s="5" t="inlineStr">
        <is>
          <t>ALL_PBM</t>
        </is>
      </c>
      <c r="C626" s="5" t="inlineStr">
        <is>
          <t>69097042112</t>
        </is>
      </c>
      <c r="D626" s="5" t="inlineStr">
        <is>
          <t>CELECOXIB 200 MG ORAL CAPSULE</t>
        </is>
      </c>
      <c r="E626" s="6" t="inlineStr">
        <is>
          <t>500.0</t>
        </is>
      </c>
      <c r="F626" s="7" t="n">
        <v>90</v>
      </c>
      <c r="G626" s="7" t="n">
        <v>0.18</v>
      </c>
      <c r="H626" s="7" t="n">
        <v>0</v>
      </c>
      <c r="I626" s="7" t="n">
        <v>-0.18</v>
      </c>
      <c r="J626" s="8" t="n">
        <v>14</v>
      </c>
      <c r="K626" s="9">
        <f>IFERROR(IF((ROUND((J626/G626)*I626,1))&lt;0,(ROUND((J626/G626)*I626,1)),0),0)</f>
        <v/>
      </c>
    </row>
    <row r="627">
      <c r="A627" s="4" t="n">
        <v>624</v>
      </c>
      <c r="B627" s="5" t="inlineStr">
        <is>
          <t>ALL_PBM</t>
        </is>
      </c>
      <c r="C627" s="5" t="inlineStr">
        <is>
          <t>72578010092</t>
        </is>
      </c>
      <c r="D627" s="5" t="inlineStr">
        <is>
          <t>LEVOFLOXACIN 750MG TABLET</t>
        </is>
      </c>
      <c r="E627" s="6" t="inlineStr">
        <is>
          <t>20.0</t>
        </is>
      </c>
      <c r="F627" s="7" t="n">
        <v>14</v>
      </c>
      <c r="G627" s="7" t="n">
        <v>0.7</v>
      </c>
      <c r="H627" s="7" t="n">
        <v>0</v>
      </c>
      <c r="I627" s="7" t="n">
        <v>-0.7</v>
      </c>
      <c r="J627" s="8" t="n">
        <v>14</v>
      </c>
      <c r="K627" s="9">
        <f>IFERROR(IF((ROUND((J627/G627)*I627,1))&lt;0,(ROUND((J627/G627)*I627,1)),0),0)</f>
        <v/>
      </c>
    </row>
    <row r="628">
      <c r="A628" s="4" t="n">
        <v>625</v>
      </c>
      <c r="B628" s="5" t="inlineStr">
        <is>
          <t>ALL_PBM</t>
        </is>
      </c>
      <c r="C628" s="5" t="inlineStr">
        <is>
          <t>65862014636</t>
        </is>
      </c>
      <c r="D628" s="5" t="inlineStr">
        <is>
          <t>SUMATRIPTAN SUCCINATE 25 MG ORAL TABLET</t>
        </is>
      </c>
      <c r="E628" s="6" t="inlineStr">
        <is>
          <t>9.0</t>
        </is>
      </c>
      <c r="F628" s="7" t="n">
        <v>12</v>
      </c>
      <c r="G628" s="7" t="n">
        <v>1.333333333333333</v>
      </c>
      <c r="H628" s="7" t="n">
        <v>0</v>
      </c>
      <c r="I628" s="7" t="n">
        <v>-1.333333333333333</v>
      </c>
      <c r="J628" s="8" t="n">
        <v>14</v>
      </c>
      <c r="K628" s="9">
        <f>IFERROR(IF((ROUND((J628/G628)*I628,1))&lt;0,(ROUND((J628/G628)*I628,1)),0),0)</f>
        <v/>
      </c>
    </row>
    <row r="629">
      <c r="A629" s="4" t="n">
        <v>626</v>
      </c>
      <c r="B629" s="5" t="inlineStr">
        <is>
          <t>ALL_PBM</t>
        </is>
      </c>
      <c r="C629" s="5" t="inlineStr">
        <is>
          <t>67877025145</t>
        </is>
      </c>
      <c r="D629" s="5" t="inlineStr">
        <is>
          <t>TRIAMCINOLONE ACETONIDE 0.1% CREAM</t>
        </is>
      </c>
      <c r="E629" s="6" t="inlineStr">
        <is>
          <t>454.0</t>
        </is>
      </c>
      <c r="F629" s="7" t="n">
        <v>454</v>
      </c>
      <c r="G629" s="7" t="n">
        <v>1</v>
      </c>
      <c r="H629" s="7" t="n">
        <v>0</v>
      </c>
      <c r="I629" s="7" t="n">
        <v>-1</v>
      </c>
      <c r="J629" s="8" t="n">
        <v>14</v>
      </c>
      <c r="K629" s="9">
        <f>IFERROR(IF((ROUND((J629/G629)*I629,1))&lt;0,(ROUND((J629/G629)*I629,1)),0),0)</f>
        <v/>
      </c>
    </row>
    <row r="630">
      <c r="A630" s="4" t="n">
        <v>627</v>
      </c>
      <c r="B630" s="5" t="inlineStr">
        <is>
          <t>ALL_PBM</t>
        </is>
      </c>
      <c r="C630" s="5" t="inlineStr">
        <is>
          <t>45802090096</t>
        </is>
      </c>
      <c r="D630" s="5" t="inlineStr">
        <is>
          <t>CLINDAMYCIN PHOS 1 % EXTERNAL GEL</t>
        </is>
      </c>
      <c r="E630" s="6" t="inlineStr">
        <is>
          <t>60.0</t>
        </is>
      </c>
      <c r="F630" s="7" t="n">
        <v>60</v>
      </c>
      <c r="G630" s="7" t="n">
        <v>1</v>
      </c>
      <c r="H630" s="7" t="n">
        <v>0</v>
      </c>
      <c r="I630" s="7" t="n">
        <v>-1</v>
      </c>
      <c r="J630" s="8" t="n">
        <v>14</v>
      </c>
      <c r="K630" s="9">
        <f>IFERROR(IF((ROUND((J630/G630)*I630,1))&lt;0,(ROUND((J630/G630)*I630,1)),0),0)</f>
        <v/>
      </c>
    </row>
    <row r="631">
      <c r="A631" s="4" t="n">
        <v>628</v>
      </c>
      <c r="B631" s="5" t="inlineStr">
        <is>
          <t>ALL_PBM</t>
        </is>
      </c>
      <c r="C631" s="5" t="inlineStr">
        <is>
          <t>68382008001</t>
        </is>
      </c>
      <c r="D631" s="5" t="inlineStr">
        <is>
          <t>HALOPERIDOL 10MG TABLET</t>
        </is>
      </c>
      <c r="E631" s="6" t="inlineStr">
        <is>
          <t>100.0</t>
        </is>
      </c>
      <c r="F631" s="7" t="n">
        <v>30</v>
      </c>
      <c r="G631" s="7" t="n">
        <v>0.3</v>
      </c>
      <c r="H631" s="7" t="n">
        <v>0</v>
      </c>
      <c r="I631" s="7" t="n">
        <v>-0.3</v>
      </c>
      <c r="J631" s="8" t="n">
        <v>14</v>
      </c>
      <c r="K631" s="9">
        <f>IFERROR(IF((ROUND((J631/G631)*I631,1))&lt;0,(ROUND((J631/G631)*I631,1)),0),0)</f>
        <v/>
      </c>
    </row>
    <row r="632">
      <c r="A632" s="4" t="n">
        <v>629</v>
      </c>
      <c r="B632" s="5" t="inlineStr">
        <is>
          <t>ALL_PBM</t>
        </is>
      </c>
      <c r="C632" s="5" t="inlineStr">
        <is>
          <t>45802000403</t>
        </is>
      </c>
      <c r="D632" s="5" t="inlineStr">
        <is>
          <t xml:space="preserve">HYDROCORTISONE 2.5 % EXTERNAL CREAM </t>
        </is>
      </c>
      <c r="E632" s="6" t="inlineStr">
        <is>
          <t>28.0</t>
        </is>
      </c>
      <c r="F632" s="7" t="n">
        <v>84</v>
      </c>
      <c r="G632" s="7" t="n">
        <v>3</v>
      </c>
      <c r="H632" s="7" t="n">
        <v>0</v>
      </c>
      <c r="I632" s="7" t="n">
        <v>-3</v>
      </c>
      <c r="J632" s="8" t="n">
        <v>14</v>
      </c>
      <c r="K632" s="9">
        <f>IFERROR(IF((ROUND((J632/G632)*I632,1))&lt;0,(ROUND((J632/G632)*I632,1)),0),0)</f>
        <v/>
      </c>
    </row>
    <row r="633">
      <c r="A633" s="4" t="n">
        <v>630</v>
      </c>
      <c r="B633" s="5" t="inlineStr">
        <is>
          <t>ALL_PBM</t>
        </is>
      </c>
      <c r="C633" s="5" t="inlineStr">
        <is>
          <t>70710116801</t>
        </is>
      </c>
      <c r="D633" s="5" t="inlineStr">
        <is>
          <t>ATENOLOL-CHLORTHALIDONE 100-25 MG TABLET</t>
        </is>
      </c>
      <c r="E633" s="6" t="inlineStr">
        <is>
          <t>100.0</t>
        </is>
      </c>
      <c r="F633" s="7" t="n">
        <v>30</v>
      </c>
      <c r="G633" s="7" t="n">
        <v>0.3</v>
      </c>
      <c r="H633" s="7" t="n">
        <v>0</v>
      </c>
      <c r="I633" s="7" t="n">
        <v>-0.3</v>
      </c>
      <c r="J633" s="8" t="n">
        <v>14</v>
      </c>
      <c r="K633" s="9">
        <f>IFERROR(IF((ROUND((J633/G633)*I633,1))&lt;0,(ROUND((J633/G633)*I633,1)),0),0)</f>
        <v/>
      </c>
    </row>
    <row r="634">
      <c r="A634" s="4" t="n">
        <v>631</v>
      </c>
      <c r="B634" s="5" t="inlineStr">
        <is>
          <t>ALL_PBM</t>
        </is>
      </c>
      <c r="C634" s="5" t="inlineStr">
        <is>
          <t>70954020210</t>
        </is>
      </c>
      <c r="D634" s="5" t="inlineStr">
        <is>
          <t xml:space="preserve">DIGOXIN 250MCG TABLET </t>
        </is>
      </c>
      <c r="E634" s="6" t="inlineStr">
        <is>
          <t>100.0</t>
        </is>
      </c>
      <c r="F634" s="7" t="n">
        <v>30</v>
      </c>
      <c r="G634" s="7" t="n">
        <v>0.3</v>
      </c>
      <c r="H634" s="7" t="n">
        <v>0</v>
      </c>
      <c r="I634" s="7" t="n">
        <v>-0.3</v>
      </c>
      <c r="J634" s="8" t="n">
        <v>14</v>
      </c>
      <c r="K634" s="9">
        <f>IFERROR(IF((ROUND((J634/G634)*I634,1))&lt;0,(ROUND((J634/G634)*I634,1)),0),0)</f>
        <v/>
      </c>
    </row>
    <row r="635">
      <c r="A635" s="4" t="n">
        <v>632</v>
      </c>
      <c r="B635" s="5" t="inlineStr">
        <is>
          <t>ALL_PBM</t>
        </is>
      </c>
      <c r="C635" s="5" t="inlineStr">
        <is>
          <t>64980051401</t>
        </is>
      </c>
      <c r="D635" s="5" t="inlineStr">
        <is>
          <t>TIMOLOL MALEATE 0.5% SOLUTION</t>
        </is>
      </c>
      <c r="E635" s="6" t="inlineStr">
        <is>
          <t>10.0</t>
        </is>
      </c>
      <c r="F635" s="7" t="n">
        <v>10</v>
      </c>
      <c r="G635" s="7" t="n">
        <v>1</v>
      </c>
      <c r="H635" s="7" t="n">
        <v>0</v>
      </c>
      <c r="I635" s="7" t="n">
        <v>-1</v>
      </c>
      <c r="J635" s="8" t="n">
        <v>14</v>
      </c>
      <c r="K635" s="9">
        <f>IFERROR(IF((ROUND((J635/G635)*I635,1))&lt;0,(ROUND((J635/G635)*I635,1)),0),0)</f>
        <v/>
      </c>
    </row>
    <row r="636">
      <c r="A636" s="4" t="n">
        <v>633</v>
      </c>
      <c r="B636" s="5" t="inlineStr">
        <is>
          <t>ALL_PBM</t>
        </is>
      </c>
      <c r="C636" s="5" t="inlineStr">
        <is>
          <t>57237004805</t>
        </is>
      </c>
      <c r="D636" s="5" t="inlineStr">
        <is>
          <t>DIVALPROEX 500MG TABLET DELAYED RELEASE</t>
        </is>
      </c>
      <c r="E636" s="6" t="inlineStr">
        <is>
          <t>500.0</t>
        </is>
      </c>
      <c r="F636" s="7" t="n">
        <v>60</v>
      </c>
      <c r="G636" s="7" t="n">
        <v>0.12</v>
      </c>
      <c r="H636" s="7" t="n">
        <v>0</v>
      </c>
      <c r="I636" s="7" t="n">
        <v>-0.12</v>
      </c>
      <c r="J636" s="8" t="n">
        <v>14</v>
      </c>
      <c r="K636" s="9">
        <f>IFERROR(IF((ROUND((J636/G636)*I636,1))&lt;0,(ROUND((J636/G636)*I636,1)),0),0)</f>
        <v/>
      </c>
    </row>
    <row r="637">
      <c r="A637" s="4" t="n">
        <v>634</v>
      </c>
      <c r="B637" s="5" t="inlineStr">
        <is>
          <t>ALL_PBM</t>
        </is>
      </c>
      <c r="C637" s="5" t="inlineStr">
        <is>
          <t>51672130406</t>
        </is>
      </c>
      <c r="D637" s="5" t="inlineStr">
        <is>
          <t>TERCONAZOLE 0.4% CREAM</t>
        </is>
      </c>
      <c r="E637" s="6" t="inlineStr">
        <is>
          <t>45.0</t>
        </is>
      </c>
      <c r="F637" s="7" t="n">
        <v>45</v>
      </c>
      <c r="G637" s="7" t="n">
        <v>1</v>
      </c>
      <c r="H637" s="7" t="n">
        <v>0</v>
      </c>
      <c r="I637" s="7" t="n">
        <v>-1</v>
      </c>
      <c r="J637" s="8" t="n">
        <v>14</v>
      </c>
      <c r="K637" s="9">
        <f>IFERROR(IF((ROUND((J637/G637)*I637,1))&lt;0,(ROUND((J637/G637)*I637,1)),0),0)</f>
        <v/>
      </c>
    </row>
    <row r="638">
      <c r="A638" s="4" t="n">
        <v>635</v>
      </c>
      <c r="B638" s="5" t="inlineStr">
        <is>
          <t>ALL_PBM</t>
        </is>
      </c>
      <c r="C638" s="5" t="inlineStr">
        <is>
          <t>65862067901</t>
        </is>
      </c>
      <c r="D638" s="5" t="inlineStr">
        <is>
          <t>ALPRAZOLAM 2 MG ORAL TABLET</t>
        </is>
      </c>
      <c r="E638" s="6" t="inlineStr">
        <is>
          <t>100.0</t>
        </is>
      </c>
      <c r="F638" s="7" t="n">
        <v>90</v>
      </c>
      <c r="G638" s="7" t="n">
        <v>0.9</v>
      </c>
      <c r="H638" s="7" t="n">
        <v>3</v>
      </c>
      <c r="I638" s="7" t="n">
        <v>2.1</v>
      </c>
      <c r="J638" s="8" t="n">
        <v>14</v>
      </c>
      <c r="K638" s="9">
        <f>IFERROR(IF((ROUND((J638/G638)*I638,1))&lt;0,(ROUND((J638/G638)*I638,1)),0),0)</f>
        <v/>
      </c>
    </row>
    <row r="639">
      <c r="A639" s="4" t="n">
        <v>636</v>
      </c>
      <c r="B639" s="5" t="inlineStr">
        <is>
          <t>ALL_PBM</t>
        </is>
      </c>
      <c r="C639" s="5" t="inlineStr">
        <is>
          <t>67877024601</t>
        </is>
      </c>
      <c r="D639" s="5" t="inlineStr">
        <is>
          <t>QUETIAPINE FUMARATE 200 MG ORAL TABLET</t>
        </is>
      </c>
      <c r="E639" s="6" t="inlineStr">
        <is>
          <t>100.0</t>
        </is>
      </c>
      <c r="F639" s="7" t="n">
        <v>30</v>
      </c>
      <c r="G639" s="7" t="n">
        <v>0.3</v>
      </c>
      <c r="H639" s="7" t="n">
        <v>0</v>
      </c>
      <c r="I639" s="7" t="n">
        <v>-0.3</v>
      </c>
      <c r="J639" s="8" t="n">
        <v>13</v>
      </c>
      <c r="K639" s="9">
        <f>IFERROR(IF((ROUND((J639/G639)*I639,1))&lt;0,(ROUND((J639/G639)*I639,1)),0),0)</f>
        <v/>
      </c>
    </row>
    <row r="640">
      <c r="A640" s="4" t="n">
        <v>637</v>
      </c>
      <c r="B640" s="5" t="inlineStr">
        <is>
          <t>ALL_PBM</t>
        </is>
      </c>
      <c r="C640" s="5" t="inlineStr">
        <is>
          <t>31722077801</t>
        </is>
      </c>
      <c r="D640" s="5" t="inlineStr">
        <is>
          <t>ACYCLOVIR 800 MG TABLET</t>
        </is>
      </c>
      <c r="E640" s="6" t="inlineStr">
        <is>
          <t>100.0</t>
        </is>
      </c>
      <c r="F640" s="7" t="n">
        <v>20</v>
      </c>
      <c r="G640" s="7" t="n">
        <v>0.2</v>
      </c>
      <c r="H640" s="7" t="n">
        <v>0</v>
      </c>
      <c r="I640" s="7" t="n">
        <v>-0.2</v>
      </c>
      <c r="J640" s="8" t="n">
        <v>13</v>
      </c>
      <c r="K640" s="9">
        <f>IFERROR(IF((ROUND((J640/G640)*I640,1))&lt;0,(ROUND((J640/G640)*I640,1)),0),0)</f>
        <v/>
      </c>
    </row>
    <row r="641">
      <c r="A641" s="4" t="n">
        <v>638</v>
      </c>
      <c r="B641" s="5" t="inlineStr">
        <is>
          <t>ALL_PBM</t>
        </is>
      </c>
      <c r="C641" s="5" t="inlineStr">
        <is>
          <t>16571010701</t>
        </is>
      </c>
      <c r="D641" s="5" t="inlineStr">
        <is>
          <t>AMITRIPTYLINE HCL 50 MG ORAL TABLET</t>
        </is>
      </c>
      <c r="E641" s="6" t="inlineStr">
        <is>
          <t>100.0</t>
        </is>
      </c>
      <c r="F641" s="7" t="n">
        <v>60</v>
      </c>
      <c r="G641" s="7" t="n">
        <v>0.6</v>
      </c>
      <c r="H641" s="7" t="n">
        <v>0</v>
      </c>
      <c r="I641" s="7" t="n">
        <v>-0.6</v>
      </c>
      <c r="J641" s="8" t="n">
        <v>13</v>
      </c>
      <c r="K641" s="9">
        <f>IFERROR(IF((ROUND((J641/G641)*I641,1))&lt;0,(ROUND((J641/G641)*I641,1)),0),0)</f>
        <v/>
      </c>
    </row>
    <row r="642">
      <c r="A642" s="4" t="n">
        <v>639</v>
      </c>
      <c r="B642" s="5" t="inlineStr">
        <is>
          <t>ALL_PBM</t>
        </is>
      </c>
      <c r="C642" s="5" t="inlineStr">
        <is>
          <t>69315016401</t>
        </is>
      </c>
      <c r="D642" s="5" t="inlineStr">
        <is>
          <t>HYDROXYUREA 500MG CAPSULE</t>
        </is>
      </c>
      <c r="E642" s="6" t="inlineStr">
        <is>
          <t>100.0</t>
        </is>
      </c>
      <c r="F642" s="7" t="n">
        <v>90</v>
      </c>
      <c r="G642" s="7" t="n">
        <v>0.9</v>
      </c>
      <c r="H642" s="7" t="n">
        <v>0</v>
      </c>
      <c r="I642" s="7" t="n">
        <v>-0.9</v>
      </c>
      <c r="J642" s="8" t="n">
        <v>13</v>
      </c>
      <c r="K642" s="9">
        <f>IFERROR(IF((ROUND((J642/G642)*I642,1))&lt;0,(ROUND((J642/G642)*I642,1)),0),0)</f>
        <v/>
      </c>
    </row>
    <row r="643">
      <c r="A643" s="4" t="n">
        <v>640</v>
      </c>
      <c r="B643" s="5" t="inlineStr">
        <is>
          <t>ALL_PBM</t>
        </is>
      </c>
      <c r="C643" s="5" t="inlineStr">
        <is>
          <t>16729003510</t>
        </is>
      </c>
      <c r="D643" s="5" t="inlineStr">
        <is>
          <t>ANASTROZOLE 1MG TABLET</t>
        </is>
      </c>
      <c r="E643" s="6" t="inlineStr">
        <is>
          <t>30.0</t>
        </is>
      </c>
      <c r="F643" s="7" t="n">
        <v>120</v>
      </c>
      <c r="G643" s="7" t="n">
        <v>4</v>
      </c>
      <c r="H643" s="7" t="n">
        <v>0</v>
      </c>
      <c r="I643" s="7" t="n">
        <v>-4</v>
      </c>
      <c r="J643" s="8" t="n">
        <v>13</v>
      </c>
      <c r="K643" s="9">
        <f>IFERROR(IF((ROUND((J643/G643)*I643,1))&lt;0,(ROUND((J643/G643)*I643,1)),0),0)</f>
        <v/>
      </c>
    </row>
    <row r="644">
      <c r="A644" s="4" t="n">
        <v>641</v>
      </c>
      <c r="B644" s="5" t="inlineStr">
        <is>
          <t>ALL_PBM</t>
        </is>
      </c>
      <c r="C644" s="5" t="inlineStr">
        <is>
          <t>61314012610</t>
        </is>
      </c>
      <c r="D644" s="5" t="inlineStr">
        <is>
          <t>KETOROLAC TROMETHAMINE 0.5 % OPHTHALMIC SOLUTION</t>
        </is>
      </c>
      <c r="E644" s="6" t="inlineStr">
        <is>
          <t>10.0</t>
        </is>
      </c>
      <c r="F644" s="7" t="n">
        <v>10</v>
      </c>
      <c r="G644" s="7" t="n">
        <v>1</v>
      </c>
      <c r="H644" s="7" t="n">
        <v>5</v>
      </c>
      <c r="I644" s="7" t="n">
        <v>4</v>
      </c>
      <c r="J644" s="8" t="n">
        <v>13</v>
      </c>
      <c r="K644" s="9">
        <f>IFERROR(IF((ROUND((J644/G644)*I644,1))&lt;0,(ROUND((J644/G644)*I644,1)),0),0)</f>
        <v/>
      </c>
    </row>
    <row r="645">
      <c r="A645" s="4" t="n">
        <v>642</v>
      </c>
      <c r="B645" s="5" t="inlineStr">
        <is>
          <t>ALL_PBM</t>
        </is>
      </c>
      <c r="C645" s="5" t="inlineStr">
        <is>
          <t>59762004901</t>
        </is>
      </c>
      <c r="D645" s="5" t="inlineStr">
        <is>
          <t>METHYLPREDNISOLONE 8MG TABLET</t>
        </is>
      </c>
      <c r="E645" s="6" t="inlineStr">
        <is>
          <t>25.0</t>
        </is>
      </c>
      <c r="F645" s="7" t="n">
        <v>10</v>
      </c>
      <c r="G645" s="7" t="n">
        <v>0.4</v>
      </c>
      <c r="H645" s="7" t="n">
        <v>0</v>
      </c>
      <c r="I645" s="7" t="n">
        <v>-0.4</v>
      </c>
      <c r="J645" s="8" t="n">
        <v>13</v>
      </c>
      <c r="K645" s="9">
        <f>IFERROR(IF((ROUND((J645/G645)*I645,1))&lt;0,(ROUND((J645/G645)*I645,1)),0),0)</f>
        <v/>
      </c>
    </row>
    <row r="646">
      <c r="A646" s="4" t="n">
        <v>643</v>
      </c>
      <c r="B646" s="5" t="inlineStr">
        <is>
          <t>ALL_PBM</t>
        </is>
      </c>
      <c r="C646" s="5" t="inlineStr">
        <is>
          <t>69097015815</t>
        </is>
      </c>
      <c r="D646" s="5" t="inlineStr">
        <is>
          <t xml:space="preserve">MELOXICAM 7.5MG TAB </t>
        </is>
      </c>
      <c r="E646" s="6" t="inlineStr">
        <is>
          <t>1000.0</t>
        </is>
      </c>
      <c r="F646" s="7" t="n">
        <v>60</v>
      </c>
      <c r="G646" s="7" t="n">
        <v>0.06</v>
      </c>
      <c r="H646" s="7" t="n">
        <v>0</v>
      </c>
      <c r="I646" s="7" t="n">
        <v>-0.06</v>
      </c>
      <c r="J646" s="8" t="n">
        <v>13</v>
      </c>
      <c r="K646" s="9">
        <f>IFERROR(IF((ROUND((J646/G646)*I646,1))&lt;0,(ROUND((J646/G646)*I646,1)),0),0)</f>
        <v/>
      </c>
    </row>
    <row r="647">
      <c r="A647" s="4" t="n">
        <v>644</v>
      </c>
      <c r="B647" s="5" t="inlineStr">
        <is>
          <t>ALL_PBM</t>
        </is>
      </c>
      <c r="C647" s="5" t="inlineStr">
        <is>
          <t>11527075043</t>
        </is>
      </c>
      <c r="D647" s="5" t="inlineStr">
        <is>
          <t>SODIUM FLUORIDE 5000 PPM 1.1 % DENTAL PASTE</t>
        </is>
      </c>
      <c r="E647" s="6" t="inlineStr">
        <is>
          <t>100.0</t>
        </is>
      </c>
      <c r="F647" s="7" t="n">
        <v>100</v>
      </c>
      <c r="G647" s="7" t="n">
        <v>1</v>
      </c>
      <c r="H647" s="7" t="n">
        <v>0</v>
      </c>
      <c r="I647" s="7" t="n">
        <v>-1</v>
      </c>
      <c r="J647" s="8" t="n">
        <v>13</v>
      </c>
      <c r="K647" s="9">
        <f>IFERROR(IF((ROUND((J647/G647)*I647,1))&lt;0,(ROUND((J647/G647)*I647,1)),0),0)</f>
        <v/>
      </c>
    </row>
    <row r="648">
      <c r="A648" s="4" t="n">
        <v>645</v>
      </c>
      <c r="B648" s="5" t="inlineStr">
        <is>
          <t>ALL_PBM</t>
        </is>
      </c>
      <c r="C648" s="5" t="inlineStr">
        <is>
          <t>94030000268</t>
        </is>
      </c>
      <c r="D648" s="5" t="inlineStr">
        <is>
          <t>LANCING DEVICE EMBRACE</t>
        </is>
      </c>
      <c r="E648" s="6" t="inlineStr">
        <is>
          <t>1.0</t>
        </is>
      </c>
      <c r="F648" s="7" t="n">
        <v>1</v>
      </c>
      <c r="G648" s="7" t="n">
        <v>1</v>
      </c>
      <c r="H648" s="7" t="n">
        <v>0</v>
      </c>
      <c r="I648" s="7" t="n">
        <v>-1</v>
      </c>
      <c r="J648" s="8" t="n">
        <v>13</v>
      </c>
      <c r="K648" s="9">
        <f>IFERROR(IF((ROUND((J648/G648)*I648,1))&lt;0,(ROUND((J648/G648)*I648,1)),0),0)</f>
        <v/>
      </c>
    </row>
    <row r="649">
      <c r="A649" s="4" t="n">
        <v>646</v>
      </c>
      <c r="B649" s="5" t="inlineStr">
        <is>
          <t>ALL_PBM</t>
        </is>
      </c>
      <c r="C649" s="5" t="inlineStr">
        <is>
          <t>70756042511</t>
        </is>
      </c>
      <c r="D649" s="5" t="inlineStr">
        <is>
          <t>DOXEPIN HCL 25 MG ORAL CAPSULE</t>
        </is>
      </c>
      <c r="E649" s="6" t="inlineStr">
        <is>
          <t>100.0</t>
        </is>
      </c>
      <c r="F649" s="7" t="n">
        <v>30</v>
      </c>
      <c r="G649" s="7" t="n">
        <v>0.3</v>
      </c>
      <c r="H649" s="7" t="n">
        <v>0</v>
      </c>
      <c r="I649" s="7" t="n">
        <v>-0.3</v>
      </c>
      <c r="J649" s="8" t="n">
        <v>13</v>
      </c>
      <c r="K649" s="9">
        <f>IFERROR(IF((ROUND((J649/G649)*I649,1))&lt;0,(ROUND((J649/G649)*I649,1)),0),0)</f>
        <v/>
      </c>
    </row>
    <row r="650">
      <c r="A650" s="4" t="n">
        <v>647</v>
      </c>
      <c r="B650" s="5" t="inlineStr">
        <is>
          <t>ALL_PBM</t>
        </is>
      </c>
      <c r="C650" s="5" t="inlineStr">
        <is>
          <t>42571023790</t>
        </is>
      </c>
      <c r="D650" s="5" t="inlineStr">
        <is>
          <t>AMLODIPINE-OLMESARTAN 5-40MG TABLET</t>
        </is>
      </c>
      <c r="E650" s="6" t="inlineStr">
        <is>
          <t>90.0</t>
        </is>
      </c>
      <c r="F650" s="7" t="n">
        <v>90</v>
      </c>
      <c r="G650" s="7" t="n">
        <v>1</v>
      </c>
      <c r="H650" s="7" t="n">
        <v>0</v>
      </c>
      <c r="I650" s="7" t="n">
        <v>-1</v>
      </c>
      <c r="J650" s="8" t="n">
        <v>13</v>
      </c>
      <c r="K650" s="9">
        <f>IFERROR(IF((ROUND((J650/G650)*I650,1))&lt;0,(ROUND((J650/G650)*I650,1)),0),0)</f>
        <v/>
      </c>
    </row>
    <row r="651">
      <c r="A651" s="4" t="n">
        <v>648</v>
      </c>
      <c r="B651" s="5" t="inlineStr">
        <is>
          <t>ALL_PBM</t>
        </is>
      </c>
      <c r="C651" s="5" t="inlineStr">
        <is>
          <t>23155070510</t>
        </is>
      </c>
      <c r="D651" s="5" t="inlineStr">
        <is>
          <t>ENALAPRIL 5MG TABLET</t>
        </is>
      </c>
      <c r="E651" s="6" t="inlineStr">
        <is>
          <t>1000.0</t>
        </is>
      </c>
      <c r="F651" s="7" t="n">
        <v>60</v>
      </c>
      <c r="G651" s="7" t="n">
        <v>0.06</v>
      </c>
      <c r="H651" s="7" t="n">
        <v>0</v>
      </c>
      <c r="I651" s="7" t="n">
        <v>-0.06</v>
      </c>
      <c r="J651" s="8" t="n">
        <v>13</v>
      </c>
      <c r="K651" s="9">
        <f>IFERROR(IF((ROUND((J651/G651)*I651,1))&lt;0,(ROUND((J651/G651)*I651,1)),0),0)</f>
        <v/>
      </c>
    </row>
    <row r="652">
      <c r="A652" s="4" t="n">
        <v>649</v>
      </c>
      <c r="B652" s="5" t="inlineStr">
        <is>
          <t>ALL_PBM</t>
        </is>
      </c>
      <c r="C652" s="5" t="inlineStr">
        <is>
          <t>70069008101</t>
        </is>
      </c>
      <c r="D652" s="5" t="inlineStr">
        <is>
          <t>MOXIFLOXACIN HCL 0.5 % OPHTHALMIC SOLUTION</t>
        </is>
      </c>
      <c r="E652" s="6" t="inlineStr">
        <is>
          <t>3.0</t>
        </is>
      </c>
      <c r="F652" s="7" t="n">
        <v>6</v>
      </c>
      <c r="G652" s="7" t="n">
        <v>2</v>
      </c>
      <c r="H652" s="7" t="n">
        <v>0</v>
      </c>
      <c r="I652" s="7" t="n">
        <v>-2</v>
      </c>
      <c r="J652" s="8" t="n">
        <v>13</v>
      </c>
      <c r="K652" s="9">
        <f>IFERROR(IF((ROUND((J652/G652)*I652,1))&lt;0,(ROUND((J652/G652)*I652,1)),0),0)</f>
        <v/>
      </c>
    </row>
    <row r="653">
      <c r="A653" s="4" t="n">
        <v>650</v>
      </c>
      <c r="B653" s="5" t="inlineStr">
        <is>
          <t>ALL_PBM</t>
        </is>
      </c>
      <c r="C653" s="5" t="inlineStr">
        <is>
          <t>00093171301</t>
        </is>
      </c>
      <c r="D653" s="5" t="inlineStr">
        <is>
          <t>WARFARIN SODIUM 2 MG TABLET</t>
        </is>
      </c>
      <c r="E653" s="6" t="inlineStr">
        <is>
          <t>100.0</t>
        </is>
      </c>
      <c r="F653" s="7" t="n">
        <v>30</v>
      </c>
      <c r="G653" s="7" t="n">
        <v>0.3</v>
      </c>
      <c r="H653" s="7" t="n">
        <v>0</v>
      </c>
      <c r="I653" s="7" t="n">
        <v>-0.3</v>
      </c>
      <c r="J653" s="8" t="n">
        <v>13</v>
      </c>
      <c r="K653" s="9">
        <f>IFERROR(IF((ROUND((J653/G653)*I653,1))&lt;0,(ROUND((J653/G653)*I653,1)),0),0)</f>
        <v/>
      </c>
    </row>
    <row r="654">
      <c r="A654" s="4" t="n">
        <v>651</v>
      </c>
      <c r="B654" s="5" t="inlineStr">
        <is>
          <t>ALL_PBM</t>
        </is>
      </c>
      <c r="C654" s="5" t="inlineStr">
        <is>
          <t>00093172001</t>
        </is>
      </c>
      <c r="D654" s="5" t="inlineStr">
        <is>
          <t>WARFARIN SODIUM 10 MG ORAL TABLET</t>
        </is>
      </c>
      <c r="E654" s="6" t="inlineStr">
        <is>
          <t>100.0</t>
        </is>
      </c>
      <c r="F654" s="7" t="n">
        <v>30</v>
      </c>
      <c r="G654" s="7" t="n">
        <v>0.3</v>
      </c>
      <c r="H654" s="7" t="n">
        <v>0</v>
      </c>
      <c r="I654" s="7" t="n">
        <v>-0.3</v>
      </c>
      <c r="J654" s="8" t="n">
        <v>13</v>
      </c>
      <c r="K654" s="9">
        <f>IFERROR(IF((ROUND((J654/G654)*I654,1))&lt;0,(ROUND((J654/G654)*I654,1)),0),0)</f>
        <v/>
      </c>
    </row>
    <row r="655">
      <c r="A655" s="4" t="n">
        <v>652</v>
      </c>
      <c r="B655" s="5" t="inlineStr">
        <is>
          <t>ALL_PBM</t>
        </is>
      </c>
      <c r="C655" s="5" t="inlineStr">
        <is>
          <t>13107015530</t>
        </is>
      </c>
      <c r="D655" s="5" t="inlineStr">
        <is>
          <t xml:space="preserve">PAROXETINE 20MG TABLET </t>
        </is>
      </c>
      <c r="E655" s="6" t="inlineStr">
        <is>
          <t>30.0</t>
        </is>
      </c>
      <c r="F655" s="7" t="n">
        <v>30</v>
      </c>
      <c r="G655" s="7" t="n">
        <v>1</v>
      </c>
      <c r="H655" s="7" t="n">
        <v>0</v>
      </c>
      <c r="I655" s="7" t="n">
        <v>-1</v>
      </c>
      <c r="J655" s="8" t="n">
        <v>12</v>
      </c>
      <c r="K655" s="9">
        <f>IFERROR(IF((ROUND((J655/G655)*I655,1))&lt;0,(ROUND((J655/G655)*I655,1)),0),0)</f>
        <v/>
      </c>
    </row>
    <row r="656">
      <c r="A656" s="4" t="n">
        <v>653</v>
      </c>
      <c r="B656" s="5" t="inlineStr">
        <is>
          <t>ALL_PBM</t>
        </is>
      </c>
      <c r="C656" s="5" t="inlineStr">
        <is>
          <t>55111058601</t>
        </is>
      </c>
      <c r="D656" s="5" t="inlineStr">
        <is>
          <t>AMLODIPINE BENAZEPRIL 10-40MG CAPSULE</t>
        </is>
      </c>
      <c r="E656" s="6" t="inlineStr">
        <is>
          <t>100.0</t>
        </is>
      </c>
      <c r="F656" s="7" t="n">
        <v>90</v>
      </c>
      <c r="G656" s="7" t="n">
        <v>0.9</v>
      </c>
      <c r="H656" s="7" t="n">
        <v>0</v>
      </c>
      <c r="I656" s="7" t="n">
        <v>-0.9</v>
      </c>
      <c r="J656" s="8" t="n">
        <v>12</v>
      </c>
      <c r="K656" s="9">
        <f>IFERROR(IF((ROUND((J656/G656)*I656,1))&lt;0,(ROUND((J656/G656)*I656,1)),0),0)</f>
        <v/>
      </c>
    </row>
    <row r="657">
      <c r="A657" s="4" t="n">
        <v>654</v>
      </c>
      <c r="B657" s="5" t="inlineStr">
        <is>
          <t>ALL_PBM</t>
        </is>
      </c>
      <c r="C657" s="5" t="inlineStr">
        <is>
          <t>45802005911</t>
        </is>
      </c>
      <c r="D657" s="5" t="inlineStr">
        <is>
          <t>NYSTATIN 100000UNIT/GM CREAM</t>
        </is>
      </c>
      <c r="E657" s="6" t="inlineStr">
        <is>
          <t>30.0</t>
        </is>
      </c>
      <c r="F657" s="7" t="n">
        <v>30</v>
      </c>
      <c r="G657" s="7" t="n">
        <v>1</v>
      </c>
      <c r="H657" s="7" t="n">
        <v>0</v>
      </c>
      <c r="I657" s="7" t="n">
        <v>-1</v>
      </c>
      <c r="J657" s="8" t="n">
        <v>12</v>
      </c>
      <c r="K657" s="9">
        <f>IFERROR(IF((ROUND((J657/G657)*I657,1))&lt;0,(ROUND((J657/G657)*I657,1)),0),0)</f>
        <v/>
      </c>
    </row>
    <row r="658">
      <c r="A658" s="4" t="n">
        <v>655</v>
      </c>
      <c r="B658" s="5" t="inlineStr">
        <is>
          <t>ALL_PBM</t>
        </is>
      </c>
      <c r="C658" s="5" t="inlineStr">
        <is>
          <t>00172409760</t>
        </is>
      </c>
      <c r="D658" s="5" t="inlineStr">
        <is>
          <t>BACLOFEN 20MG TABLET</t>
        </is>
      </c>
      <c r="E658" s="6" t="inlineStr">
        <is>
          <t>100.0</t>
        </is>
      </c>
      <c r="F658" s="7" t="n">
        <v>30</v>
      </c>
      <c r="G658" s="7" t="n">
        <v>0.3</v>
      </c>
      <c r="H658" s="7" t="n">
        <v>0</v>
      </c>
      <c r="I658" s="7" t="n">
        <v>-0.3</v>
      </c>
      <c r="J658" s="8" t="n">
        <v>12</v>
      </c>
      <c r="K658" s="9">
        <f>IFERROR(IF((ROUND((J658/G658)*I658,1))&lt;0,(ROUND((J658/G658)*I658,1)),0),0)</f>
        <v/>
      </c>
    </row>
    <row r="659">
      <c r="A659" s="4" t="n">
        <v>656</v>
      </c>
      <c r="B659" s="5" t="inlineStr">
        <is>
          <t>ALL_PBM</t>
        </is>
      </c>
      <c r="C659" s="5" t="inlineStr">
        <is>
          <t>69367061101</t>
        </is>
      </c>
      <c r="D659" s="5" t="inlineStr">
        <is>
          <t>PHENAZOPYRIDINE HCL 100MG TABLET</t>
        </is>
      </c>
      <c r="E659" s="6" t="inlineStr">
        <is>
          <t>100.0</t>
        </is>
      </c>
      <c r="F659" s="7" t="n">
        <v>15</v>
      </c>
      <c r="G659" s="7" t="n">
        <v>0.15</v>
      </c>
      <c r="H659" s="7" t="n">
        <v>0</v>
      </c>
      <c r="I659" s="7" t="n">
        <v>-0.15</v>
      </c>
      <c r="J659" s="8" t="n">
        <v>12</v>
      </c>
      <c r="K659" s="9">
        <f>IFERROR(IF((ROUND((J659/G659)*I659,1))&lt;0,(ROUND((J659/G659)*I659,1)),0),0)</f>
        <v/>
      </c>
    </row>
    <row r="660">
      <c r="A660" s="4" t="n">
        <v>657</v>
      </c>
      <c r="B660" s="5" t="inlineStr">
        <is>
          <t>ALL_PBM</t>
        </is>
      </c>
      <c r="C660" s="5" t="inlineStr">
        <is>
          <t>00713068631</t>
        </is>
      </c>
      <c r="D660" s="5" t="inlineStr">
        <is>
          <t>NYSTATIN 100000UNIT/GM OINTMENT</t>
        </is>
      </c>
      <c r="E660" s="6" t="inlineStr">
        <is>
          <t>30.0</t>
        </is>
      </c>
      <c r="F660" s="7" t="n">
        <v>30</v>
      </c>
      <c r="G660" s="7" t="n">
        <v>1</v>
      </c>
      <c r="H660" s="7" t="n">
        <v>0</v>
      </c>
      <c r="I660" s="7" t="n">
        <v>-1</v>
      </c>
      <c r="J660" s="8" t="n">
        <v>12</v>
      </c>
      <c r="K660" s="9">
        <f>IFERROR(IF((ROUND((J660/G660)*I660,1))&lt;0,(ROUND((J660/G660)*I660,1)),0),0)</f>
        <v/>
      </c>
    </row>
    <row r="661">
      <c r="A661" s="4" t="n">
        <v>658</v>
      </c>
      <c r="B661" s="5" t="inlineStr">
        <is>
          <t>ALL_PBM</t>
        </is>
      </c>
      <c r="C661" s="5" t="inlineStr">
        <is>
          <t>57237004701</t>
        </is>
      </c>
      <c r="D661" s="5" t="inlineStr">
        <is>
          <t>DIVALPROEX SODIUM 250MG TABLET DR</t>
        </is>
      </c>
      <c r="E661" s="6" t="inlineStr">
        <is>
          <t>100.0</t>
        </is>
      </c>
      <c r="F661" s="7" t="n">
        <v>30</v>
      </c>
      <c r="G661" s="7" t="n">
        <v>0.3</v>
      </c>
      <c r="H661" s="7" t="n">
        <v>0</v>
      </c>
      <c r="I661" s="7" t="n">
        <v>-0.3</v>
      </c>
      <c r="J661" s="8" t="n">
        <v>12</v>
      </c>
      <c r="K661" s="9">
        <f>IFERROR(IF((ROUND((J661/G661)*I661,1))&lt;0,(ROUND((J661/G661)*I661,1)),0),0)</f>
        <v/>
      </c>
    </row>
    <row r="662">
      <c r="A662" s="4" t="n">
        <v>659</v>
      </c>
      <c r="B662" s="5" t="inlineStr">
        <is>
          <t>ALL_PBM</t>
        </is>
      </c>
      <c r="C662" s="5" t="inlineStr">
        <is>
          <t>16729017201</t>
        </is>
      </c>
      <c r="D662" s="5" t="inlineStr">
        <is>
          <t xml:space="preserve">AMITRIPTYLINE 25MG TAB </t>
        </is>
      </c>
      <c r="E662" s="6" t="inlineStr">
        <is>
          <t>100.0</t>
        </is>
      </c>
      <c r="F662" s="7" t="n">
        <v>30</v>
      </c>
      <c r="G662" s="7" t="n">
        <v>0.3</v>
      </c>
      <c r="H662" s="7" t="n">
        <v>0</v>
      </c>
      <c r="I662" s="7" t="n">
        <v>-0.3</v>
      </c>
      <c r="J662" s="8" t="n">
        <v>12</v>
      </c>
      <c r="K662" s="9">
        <f>IFERROR(IF((ROUND((J662/G662)*I662,1))&lt;0,(ROUND((J662/G662)*I662,1)),0),0)</f>
        <v/>
      </c>
    </row>
    <row r="663">
      <c r="A663" s="4" t="n">
        <v>660</v>
      </c>
      <c r="B663" s="5" t="inlineStr">
        <is>
          <t>ALL_PBM</t>
        </is>
      </c>
      <c r="C663" s="5" t="inlineStr">
        <is>
          <t>65862058501</t>
        </is>
      </c>
      <c r="D663" s="5" t="inlineStr">
        <is>
          <t>AMLODIPINE-BENAZEPRIL 5-40 MG CAPSULE</t>
        </is>
      </c>
      <c r="E663" s="6" t="inlineStr">
        <is>
          <t>100.0</t>
        </is>
      </c>
      <c r="F663" s="7" t="n">
        <v>90</v>
      </c>
      <c r="G663" s="7" t="n">
        <v>0.9</v>
      </c>
      <c r="H663" s="7" t="n">
        <v>0</v>
      </c>
      <c r="I663" s="7" t="n">
        <v>-0.9</v>
      </c>
      <c r="J663" s="8" t="n">
        <v>12</v>
      </c>
      <c r="K663" s="9">
        <f>IFERROR(IF((ROUND((J663/G663)*I663,1))&lt;0,(ROUND((J663/G663)*I663,1)),0),0)</f>
        <v/>
      </c>
    </row>
    <row r="664">
      <c r="A664" s="4" t="n">
        <v>661</v>
      </c>
      <c r="B664" s="5" t="inlineStr">
        <is>
          <t>ALL_PBM</t>
        </is>
      </c>
      <c r="C664" s="5" t="inlineStr">
        <is>
          <t>33342033315</t>
        </is>
      </c>
      <c r="D664" s="5" t="inlineStr">
        <is>
          <t>TRIAMCINOLONE ACETONIDE 0.1 % EXTERNAL OINTMENT</t>
        </is>
      </c>
      <c r="E664" s="6" t="inlineStr">
        <is>
          <t>15.0</t>
        </is>
      </c>
      <c r="F664" s="7" t="n">
        <v>30</v>
      </c>
      <c r="G664" s="7" t="n">
        <v>2</v>
      </c>
      <c r="H664" s="7" t="n">
        <v>3</v>
      </c>
      <c r="I664" s="7" t="n">
        <v>1</v>
      </c>
      <c r="J664" s="8" t="n">
        <v>12</v>
      </c>
      <c r="K664" s="9">
        <f>IFERROR(IF((ROUND((J664/G664)*I664,1))&lt;0,(ROUND((J664/G664)*I664,1)),0),0)</f>
        <v/>
      </c>
    </row>
    <row r="665">
      <c r="A665" s="4" t="n">
        <v>662</v>
      </c>
      <c r="B665" s="5" t="inlineStr">
        <is>
          <t>ALL_PBM</t>
        </is>
      </c>
      <c r="C665" s="5" t="inlineStr">
        <is>
          <t>57237002801</t>
        </is>
      </c>
      <c r="D665" s="5" t="inlineStr">
        <is>
          <t>AMOXICILLIN 500MG TABLET</t>
        </is>
      </c>
      <c r="E665" s="6" t="inlineStr">
        <is>
          <t>100.0</t>
        </is>
      </c>
      <c r="F665" s="7" t="n">
        <v>21</v>
      </c>
      <c r="G665" s="7" t="n">
        <v>0.21</v>
      </c>
      <c r="H665" s="7" t="n">
        <v>0</v>
      </c>
      <c r="I665" s="7" t="n">
        <v>-0.21</v>
      </c>
      <c r="J665" s="8" t="n">
        <v>12</v>
      </c>
      <c r="K665" s="9">
        <f>IFERROR(IF((ROUND((J665/G665)*I665,1))&lt;0,(ROUND((J665/G665)*I665,1)),0),0)</f>
        <v/>
      </c>
    </row>
    <row r="666">
      <c r="A666" s="4" t="n">
        <v>663</v>
      </c>
      <c r="B666" s="5" t="inlineStr">
        <is>
          <t>ALL_PBM</t>
        </is>
      </c>
      <c r="C666" s="5" t="inlineStr">
        <is>
          <t>53746010901</t>
        </is>
      </c>
      <c r="D666" s="5" t="inlineStr">
        <is>
          <t>HYDROCODONE-ACETAMINOPHEN 5-325 MG ORAL TABLET</t>
        </is>
      </c>
      <c r="E666" s="6" t="inlineStr">
        <is>
          <t>100.0</t>
        </is>
      </c>
      <c r="F666" s="7" t="n">
        <v>32</v>
      </c>
      <c r="G666" s="7" t="n">
        <v>0.32</v>
      </c>
      <c r="H666" s="7" t="n">
        <v>0</v>
      </c>
      <c r="I666" s="7" t="n">
        <v>-0.32</v>
      </c>
      <c r="J666" s="8" t="n">
        <v>12</v>
      </c>
      <c r="K666" s="9">
        <f>IFERROR(IF((ROUND((J666/G666)*I666,1))&lt;0,(ROUND((J666/G666)*I666,1)),0),0)</f>
        <v/>
      </c>
    </row>
    <row r="667">
      <c r="A667" s="4" t="n">
        <v>664</v>
      </c>
      <c r="B667" s="5" t="inlineStr">
        <is>
          <t>ALL_PBM</t>
        </is>
      </c>
      <c r="C667" s="5" t="inlineStr">
        <is>
          <t>45802000910</t>
        </is>
      </c>
      <c r="D667" s="5" t="inlineStr">
        <is>
          <t>FLUOCINOLONE ACETONIDE 0.01 % OTIC OIL</t>
        </is>
      </c>
      <c r="E667" s="6" t="inlineStr">
        <is>
          <t>20.0</t>
        </is>
      </c>
      <c r="F667" s="7" t="n">
        <v>20</v>
      </c>
      <c r="G667" s="7" t="n">
        <v>1</v>
      </c>
      <c r="H667" s="7" t="n">
        <v>2</v>
      </c>
      <c r="I667" s="7" t="n">
        <v>1</v>
      </c>
      <c r="J667" s="8" t="n">
        <v>12</v>
      </c>
      <c r="K667" s="9">
        <f>IFERROR(IF((ROUND((J667/G667)*I667,1))&lt;0,(ROUND((J667/G667)*I667,1)),0),0)</f>
        <v/>
      </c>
    </row>
    <row r="668">
      <c r="A668" s="4" t="n">
        <v>665</v>
      </c>
      <c r="B668" s="5" t="inlineStr">
        <is>
          <t>ALL_PBM</t>
        </is>
      </c>
      <c r="C668" s="5" t="inlineStr">
        <is>
          <t>31722008230</t>
        </is>
      </c>
      <c r="D668" s="5" t="inlineStr">
        <is>
          <t>LURASIDONE HCL 60 MG ORAL TABLET</t>
        </is>
      </c>
      <c r="E668" s="6" t="inlineStr">
        <is>
          <t>30.0</t>
        </is>
      </c>
      <c r="F668" s="7" t="n">
        <v>30</v>
      </c>
      <c r="G668" s="7" t="n">
        <v>1</v>
      </c>
      <c r="H668" s="7" t="n">
        <v>1</v>
      </c>
      <c r="I668" s="7" t="n">
        <v>0</v>
      </c>
      <c r="J668" s="8" t="n">
        <v>12</v>
      </c>
      <c r="K668" s="9">
        <f>IFERROR(IF((ROUND((J668/G668)*I668,1))&lt;0,(ROUND((J668/G668)*I668,1)),0),0)</f>
        <v/>
      </c>
    </row>
    <row r="669">
      <c r="A669" s="4" t="n">
        <v>666</v>
      </c>
      <c r="B669" s="5" t="inlineStr">
        <is>
          <t>ALL_PBM</t>
        </is>
      </c>
      <c r="C669" s="5" t="inlineStr">
        <is>
          <t>68180097303</t>
        </is>
      </c>
      <c r="D669" s="5" t="inlineStr">
        <is>
          <t>LEVOTHYROXINE 150 MCG TABLET</t>
        </is>
      </c>
      <c r="E669" s="6" t="inlineStr">
        <is>
          <t>1000.0</t>
        </is>
      </c>
      <c r="F669" s="7" t="n">
        <v>40</v>
      </c>
      <c r="G669" s="7" t="n">
        <v>0.04</v>
      </c>
      <c r="H669" s="7" t="n">
        <v>0</v>
      </c>
      <c r="I669" s="7" t="n">
        <v>-0.04</v>
      </c>
      <c r="J669" s="8" t="n">
        <v>12</v>
      </c>
      <c r="K669" s="9">
        <f>IFERROR(IF((ROUND((J669/G669)*I669,1))&lt;0,(ROUND((J669/G669)*I669,1)),0),0)</f>
        <v/>
      </c>
    </row>
    <row r="670">
      <c r="A670" s="4" t="n">
        <v>667</v>
      </c>
      <c r="B670" s="5" t="inlineStr">
        <is>
          <t>ALL_PBM</t>
        </is>
      </c>
      <c r="C670" s="5" t="inlineStr">
        <is>
          <t>67877043103</t>
        </is>
      </c>
      <c r="D670" s="5" t="inlineStr">
        <is>
          <t>ARIPIPRAZOLE 5MG TABLET</t>
        </is>
      </c>
      <c r="E670" s="6" t="inlineStr">
        <is>
          <t>30.0</t>
        </is>
      </c>
      <c r="F670" s="7" t="n">
        <v>30</v>
      </c>
      <c r="G670" s="7" t="n">
        <v>1</v>
      </c>
      <c r="H670" s="7" t="n">
        <v>0</v>
      </c>
      <c r="I670" s="7" t="n">
        <v>-1</v>
      </c>
      <c r="J670" s="8" t="n">
        <v>12</v>
      </c>
      <c r="K670" s="9">
        <f>IFERROR(IF((ROUND((J670/G670)*I670,1))&lt;0,(ROUND((J670/G670)*I670,1)),0),0)</f>
        <v/>
      </c>
    </row>
    <row r="671">
      <c r="A671" s="4" t="n">
        <v>668</v>
      </c>
      <c r="B671" s="5" t="inlineStr">
        <is>
          <t>ALL_PBM</t>
        </is>
      </c>
      <c r="C671" s="5" t="inlineStr">
        <is>
          <t>68180051303</t>
        </is>
      </c>
      <c r="D671" s="5" t="inlineStr">
        <is>
          <t>LISINOPRIL 5MG TABLET</t>
        </is>
      </c>
      <c r="E671" s="6" t="inlineStr">
        <is>
          <t>1000.0</t>
        </is>
      </c>
      <c r="F671" s="7" t="n">
        <v>450</v>
      </c>
      <c r="G671" s="7" t="n">
        <v>0.45</v>
      </c>
      <c r="H671" s="7" t="n">
        <v>0</v>
      </c>
      <c r="I671" s="7" t="n">
        <v>-0.45</v>
      </c>
      <c r="J671" s="8" t="n">
        <v>12</v>
      </c>
      <c r="K671" s="9">
        <f>IFERROR(IF((ROUND((J671/G671)*I671,1))&lt;0,(ROUND((J671/G671)*I671,1)),0),0)</f>
        <v/>
      </c>
    </row>
    <row r="672">
      <c r="A672" s="4" t="n">
        <v>669</v>
      </c>
      <c r="B672" s="5" t="inlineStr">
        <is>
          <t>ALL_PBM</t>
        </is>
      </c>
      <c r="C672" s="5" t="inlineStr">
        <is>
          <t>70756002011</t>
        </is>
      </c>
      <c r="D672" s="5" t="inlineStr">
        <is>
          <t>CHLORTHALIDONE 50 MG TABLET</t>
        </is>
      </c>
      <c r="E672" s="6" t="inlineStr">
        <is>
          <t>100.0</t>
        </is>
      </c>
      <c r="F672" s="7" t="n">
        <v>30</v>
      </c>
      <c r="G672" s="7" t="n">
        <v>0.3</v>
      </c>
      <c r="H672" s="7" t="n">
        <v>0</v>
      </c>
      <c r="I672" s="7" t="n">
        <v>-0.3</v>
      </c>
      <c r="J672" s="8" t="n">
        <v>12</v>
      </c>
      <c r="K672" s="9">
        <f>IFERROR(IF((ROUND((J672/G672)*I672,1))&lt;0,(ROUND((J672/G672)*I672,1)),0),0)</f>
        <v/>
      </c>
    </row>
    <row r="673">
      <c r="A673" s="4" t="n">
        <v>670</v>
      </c>
      <c r="B673" s="5" t="inlineStr">
        <is>
          <t>ALL_PBM</t>
        </is>
      </c>
      <c r="C673" s="5" t="inlineStr">
        <is>
          <t>60505014201</t>
        </is>
      </c>
      <c r="D673" s="5" t="inlineStr">
        <is>
          <t xml:space="preserve">GLIPIZIDE 10MG TAB </t>
        </is>
      </c>
      <c r="E673" s="6" t="inlineStr">
        <is>
          <t>1000.0</t>
        </is>
      </c>
      <c r="F673" s="7" t="n">
        <v>360</v>
      </c>
      <c r="G673" s="7" t="n">
        <v>0.36</v>
      </c>
      <c r="H673" s="7" t="n">
        <v>0</v>
      </c>
      <c r="I673" s="7" t="n">
        <v>-0.36</v>
      </c>
      <c r="J673" s="8" t="n">
        <v>12</v>
      </c>
      <c r="K673" s="9">
        <f>IFERROR(IF((ROUND((J673/G673)*I673,1))&lt;0,(ROUND((J673/G673)*I673,1)),0),0)</f>
        <v/>
      </c>
    </row>
    <row r="674">
      <c r="A674" s="4" t="n">
        <v>671</v>
      </c>
      <c r="B674" s="5" t="inlineStr">
        <is>
          <t>ALL_PBM</t>
        </is>
      </c>
      <c r="C674" s="5" t="inlineStr">
        <is>
          <t>68180051202</t>
        </is>
      </c>
      <c r="D674" s="5" t="inlineStr">
        <is>
          <t>LISINOPRIL 2.5MG TABLET</t>
        </is>
      </c>
      <c r="E674" s="6" t="inlineStr">
        <is>
          <t>500.0</t>
        </is>
      </c>
      <c r="F674" s="7" t="n">
        <v>90</v>
      </c>
      <c r="G674" s="7" t="n">
        <v>0.18</v>
      </c>
      <c r="H674" s="7" t="n">
        <v>0</v>
      </c>
      <c r="I674" s="7" t="n">
        <v>-0.18</v>
      </c>
      <c r="J674" s="8" t="n">
        <v>11</v>
      </c>
      <c r="K674" s="9">
        <f>IFERROR(IF((ROUND((J674/G674)*I674,1))&lt;0,(ROUND((J674/G674)*I674,1)),0),0)</f>
        <v/>
      </c>
    </row>
    <row r="675">
      <c r="A675" s="4" t="n">
        <v>672</v>
      </c>
      <c r="B675" s="5" t="inlineStr">
        <is>
          <t>ALL_PBM</t>
        </is>
      </c>
      <c r="C675" s="5" t="inlineStr">
        <is>
          <t>68382007901</t>
        </is>
      </c>
      <c r="D675" s="5" t="inlineStr">
        <is>
          <t xml:space="preserve">HALOPERIDOL 5MG TAB </t>
        </is>
      </c>
      <c r="E675" s="6" t="inlineStr">
        <is>
          <t>100.0</t>
        </is>
      </c>
      <c r="F675" s="7" t="n">
        <v>60</v>
      </c>
      <c r="G675" s="7" t="n">
        <v>0.6</v>
      </c>
      <c r="H675" s="7" t="n">
        <v>0</v>
      </c>
      <c r="I675" s="7" t="n">
        <v>-0.6</v>
      </c>
      <c r="J675" s="8" t="n">
        <v>11</v>
      </c>
      <c r="K675" s="9">
        <f>IFERROR(IF((ROUND((J675/G675)*I675,1))&lt;0,(ROUND((J675/G675)*I675,1)),0),0)</f>
        <v/>
      </c>
    </row>
    <row r="676">
      <c r="A676" s="4" t="n">
        <v>673</v>
      </c>
      <c r="B676" s="5" t="inlineStr">
        <is>
          <t>ALL_PBM</t>
        </is>
      </c>
      <c r="C676" s="5" t="inlineStr">
        <is>
          <t>00168001531</t>
        </is>
      </c>
      <c r="D676" s="5" t="inlineStr">
        <is>
          <t>HYDROCORTISONE 1% CREAM</t>
        </is>
      </c>
      <c r="E676" s="6" t="inlineStr">
        <is>
          <t>28.35</t>
        </is>
      </c>
      <c r="F676" s="7" t="n">
        <v>28.35</v>
      </c>
      <c r="G676" s="7" t="n">
        <v>1</v>
      </c>
      <c r="H676" s="7" t="n">
        <v>0</v>
      </c>
      <c r="I676" s="7" t="n">
        <v>-1</v>
      </c>
      <c r="J676" s="8" t="n">
        <v>11</v>
      </c>
      <c r="K676" s="9">
        <f>IFERROR(IF((ROUND((J676/G676)*I676,1))&lt;0,(ROUND((J676/G676)*I676,1)),0),0)</f>
        <v/>
      </c>
    </row>
    <row r="677">
      <c r="A677" s="4" t="n">
        <v>674</v>
      </c>
      <c r="B677" s="5" t="inlineStr">
        <is>
          <t>ALL_PBM</t>
        </is>
      </c>
      <c r="C677" s="5" t="inlineStr">
        <is>
          <t>68382011214</t>
        </is>
      </c>
      <c r="D677" s="5" t="inlineStr">
        <is>
          <t>RISPERIDONE 0.25MG TABLET</t>
        </is>
      </c>
      <c r="E677" s="6" t="inlineStr">
        <is>
          <t>60.0</t>
        </is>
      </c>
      <c r="F677" s="7" t="n">
        <v>30</v>
      </c>
      <c r="G677" s="7" t="n">
        <v>0.5</v>
      </c>
      <c r="H677" s="7" t="n">
        <v>0</v>
      </c>
      <c r="I677" s="7" t="n">
        <v>-0.5</v>
      </c>
      <c r="J677" s="8" t="n">
        <v>11</v>
      </c>
      <c r="K677" s="9">
        <f>IFERROR(IF((ROUND((J677/G677)*I677,1))&lt;0,(ROUND((J677/G677)*I677,1)),0),0)</f>
        <v/>
      </c>
    </row>
    <row r="678">
      <c r="A678" s="4" t="n">
        <v>675</v>
      </c>
      <c r="B678" s="5" t="inlineStr">
        <is>
          <t>ALL_PBM</t>
        </is>
      </c>
      <c r="C678" s="5" t="inlineStr">
        <is>
          <t>00121087316</t>
        </is>
      </c>
      <c r="D678" s="5" t="inlineStr">
        <is>
          <t>LACTULOSE 10 GM/15ML ORAL SOLUTION</t>
        </is>
      </c>
      <c r="E678" s="6" t="inlineStr">
        <is>
          <t>473.0</t>
        </is>
      </c>
      <c r="F678" s="7" t="n">
        <v>473</v>
      </c>
      <c r="G678" s="7" t="n">
        <v>1</v>
      </c>
      <c r="H678" s="7" t="n">
        <v>0</v>
      </c>
      <c r="I678" s="7" t="n">
        <v>-1</v>
      </c>
      <c r="J678" s="8" t="n">
        <v>11</v>
      </c>
      <c r="K678" s="9">
        <f>IFERROR(IF((ROUND((J678/G678)*I678,1))&lt;0,(ROUND((J678/G678)*I678,1)),0),0)</f>
        <v/>
      </c>
    </row>
    <row r="679">
      <c r="A679" s="4" t="n">
        <v>676</v>
      </c>
      <c r="B679" s="5" t="inlineStr">
        <is>
          <t>ALL_PBM</t>
        </is>
      </c>
      <c r="C679" s="5" t="inlineStr">
        <is>
          <t>70954000530</t>
        </is>
      </c>
      <c r="D679" s="5" t="inlineStr">
        <is>
          <t>OXYBUTYNIN CHLORIDE 5MG TABLET</t>
        </is>
      </c>
      <c r="E679" s="6" t="inlineStr">
        <is>
          <t>1000.0</t>
        </is>
      </c>
      <c r="F679" s="7" t="n">
        <v>30</v>
      </c>
      <c r="G679" s="7" t="n">
        <v>0.03</v>
      </c>
      <c r="H679" s="7" t="n">
        <v>0</v>
      </c>
      <c r="I679" s="7" t="n">
        <v>-0.03</v>
      </c>
      <c r="J679" s="8" t="n">
        <v>11</v>
      </c>
      <c r="K679" s="9">
        <f>IFERROR(IF((ROUND((J679/G679)*I679,1))&lt;0,(ROUND((J679/G679)*I679,1)),0),0)</f>
        <v/>
      </c>
    </row>
    <row r="680">
      <c r="A680" s="4" t="n">
        <v>677</v>
      </c>
      <c r="B680" s="5" t="inlineStr">
        <is>
          <t>ALL_PBM</t>
        </is>
      </c>
      <c r="C680" s="5" t="inlineStr">
        <is>
          <t>64380078306</t>
        </is>
      </c>
      <c r="D680" s="5" t="inlineStr">
        <is>
          <t>PREDNISONE 5MG TABLET</t>
        </is>
      </c>
      <c r="E680" s="6" t="inlineStr">
        <is>
          <t>100.0</t>
        </is>
      </c>
      <c r="F680" s="7" t="n">
        <v>30</v>
      </c>
      <c r="G680" s="7" t="n">
        <v>0.3</v>
      </c>
      <c r="H680" s="7" t="n">
        <v>0</v>
      </c>
      <c r="I680" s="7" t="n">
        <v>-0.3</v>
      </c>
      <c r="J680" s="8" t="n">
        <v>11</v>
      </c>
      <c r="K680" s="9">
        <f>IFERROR(IF((ROUND((J680/G680)*I680,1))&lt;0,(ROUND((J680/G680)*I680,1)),0),0)</f>
        <v/>
      </c>
    </row>
    <row r="681">
      <c r="A681" s="4" t="n">
        <v>678</v>
      </c>
      <c r="B681" s="5" t="inlineStr">
        <is>
          <t>ALL_PBM</t>
        </is>
      </c>
      <c r="C681" s="5" t="inlineStr">
        <is>
          <t>68462018801</t>
        </is>
      </c>
      <c r="D681" s="5" t="inlineStr">
        <is>
          <t>NAPROXEN 250MG TABLET</t>
        </is>
      </c>
      <c r="E681" s="6" t="inlineStr">
        <is>
          <t>100.0</t>
        </is>
      </c>
      <c r="F681" s="7" t="n">
        <v>20</v>
      </c>
      <c r="G681" s="7" t="n">
        <v>0.2</v>
      </c>
      <c r="H681" s="7" t="n">
        <v>0</v>
      </c>
      <c r="I681" s="7" t="n">
        <v>-0.2</v>
      </c>
      <c r="J681" s="8" t="n">
        <v>11</v>
      </c>
      <c r="K681" s="9">
        <f>IFERROR(IF((ROUND((J681/G681)*I681,1))&lt;0,(ROUND((J681/G681)*I681,1)),0),0)</f>
        <v/>
      </c>
    </row>
    <row r="682">
      <c r="A682" s="4" t="n">
        <v>679</v>
      </c>
      <c r="B682" s="5" t="inlineStr">
        <is>
          <t>ALL_PBM</t>
        </is>
      </c>
      <c r="C682" s="5" t="inlineStr">
        <is>
          <t>70954044420</t>
        </is>
      </c>
      <c r="D682" s="5" t="inlineStr">
        <is>
          <t>MISOPROSTOL 200 MCG ORAL TABLET</t>
        </is>
      </c>
      <c r="E682" s="6" t="inlineStr">
        <is>
          <t>100.0</t>
        </is>
      </c>
      <c r="F682" s="7" t="n">
        <v>2</v>
      </c>
      <c r="G682" s="7" t="n">
        <v>0.02</v>
      </c>
      <c r="H682" s="7" t="n">
        <v>0</v>
      </c>
      <c r="I682" s="7" t="n">
        <v>-0.02</v>
      </c>
      <c r="J682" s="8" t="n">
        <v>11</v>
      </c>
      <c r="K682" s="9">
        <f>IFERROR(IF((ROUND((J682/G682)*I682,1))&lt;0,(ROUND((J682/G682)*I682,1)),0),0)</f>
        <v/>
      </c>
    </row>
    <row r="683">
      <c r="A683" s="4" t="n">
        <v>680</v>
      </c>
      <c r="B683" s="5" t="inlineStr">
        <is>
          <t>ALL_PBM</t>
        </is>
      </c>
      <c r="C683" s="5" t="inlineStr">
        <is>
          <t>70010077001</t>
        </is>
      </c>
      <c r="D683" s="5" t="inlineStr">
        <is>
          <t>METHOCARBAMOL 750 MG ORAL TABLET</t>
        </is>
      </c>
      <c r="E683" s="6" t="inlineStr">
        <is>
          <t>100.0</t>
        </is>
      </c>
      <c r="F683" s="7" t="n">
        <v>28</v>
      </c>
      <c r="G683" s="7" t="n">
        <v>0.28</v>
      </c>
      <c r="H683" s="7" t="n">
        <v>0</v>
      </c>
      <c r="I683" s="7" t="n">
        <v>-0.28</v>
      </c>
      <c r="J683" s="8" t="n">
        <v>11</v>
      </c>
      <c r="K683" s="9">
        <f>IFERROR(IF((ROUND((J683/G683)*I683,1))&lt;0,(ROUND((J683/G683)*I683,1)),0),0)</f>
        <v/>
      </c>
    </row>
    <row r="684">
      <c r="A684" s="4" t="n">
        <v>681</v>
      </c>
      <c r="B684" s="5" t="inlineStr">
        <is>
          <t>ALL_PBM</t>
        </is>
      </c>
      <c r="C684" s="5" t="inlineStr">
        <is>
          <t>62756035664</t>
        </is>
      </c>
      <c r="D684" s="5" t="inlineStr">
        <is>
          <t xml:space="preserve">ONDANSETRON ODT 8MG TAB </t>
        </is>
      </c>
      <c r="E684" s="6" t="inlineStr">
        <is>
          <t>30.0</t>
        </is>
      </c>
      <c r="F684" s="7" t="n">
        <v>30</v>
      </c>
      <c r="G684" s="7" t="n">
        <v>1</v>
      </c>
      <c r="H684" s="7" t="n">
        <v>0</v>
      </c>
      <c r="I684" s="7" t="n">
        <v>-1</v>
      </c>
      <c r="J684" s="8" t="n">
        <v>11</v>
      </c>
      <c r="K684" s="9">
        <f>IFERROR(IF((ROUND((J684/G684)*I684,1))&lt;0,(ROUND((J684/G684)*I684,1)),0),0)</f>
        <v/>
      </c>
    </row>
    <row r="685">
      <c r="A685" s="4" t="n">
        <v>682</v>
      </c>
      <c r="B685" s="5" t="inlineStr">
        <is>
          <t>ALL_PBM</t>
        </is>
      </c>
      <c r="C685" s="5" t="inlineStr">
        <is>
          <t>31722013130</t>
        </is>
      </c>
      <c r="D685" s="5" t="inlineStr">
        <is>
          <t xml:space="preserve">DUTASTERIDE 0.5MG CAP </t>
        </is>
      </c>
      <c r="E685" s="6" t="inlineStr">
        <is>
          <t>30.0</t>
        </is>
      </c>
      <c r="F685" s="7" t="n">
        <v>90</v>
      </c>
      <c r="G685" s="7" t="n">
        <v>3</v>
      </c>
      <c r="H685" s="7" t="n">
        <v>0</v>
      </c>
      <c r="I685" s="7" t="n">
        <v>-3</v>
      </c>
      <c r="J685" s="8" t="n">
        <v>11</v>
      </c>
      <c r="K685" s="9">
        <f>IFERROR(IF((ROUND((J685/G685)*I685,1))&lt;0,(ROUND((J685/G685)*I685,1)),0),0)</f>
        <v/>
      </c>
    </row>
    <row r="686">
      <c r="A686" s="4" t="n">
        <v>683</v>
      </c>
      <c r="B686" s="5" t="inlineStr">
        <is>
          <t>ALL_PBM</t>
        </is>
      </c>
      <c r="C686" s="5" t="inlineStr">
        <is>
          <t>43547027611</t>
        </is>
      </c>
      <c r="D686" s="5" t="inlineStr">
        <is>
          <t xml:space="preserve">DONEPEZIL 10MG TAB </t>
        </is>
      </c>
      <c r="E686" s="6" t="inlineStr">
        <is>
          <t>1000.0</t>
        </is>
      </c>
      <c r="F686" s="7" t="n">
        <v>360</v>
      </c>
      <c r="G686" s="7" t="n">
        <v>0.36</v>
      </c>
      <c r="H686" s="7" t="n">
        <v>1</v>
      </c>
      <c r="I686" s="7" t="n">
        <v>0.64</v>
      </c>
      <c r="J686" s="8" t="n">
        <v>11</v>
      </c>
      <c r="K686" s="9">
        <f>IFERROR(IF((ROUND((J686/G686)*I686,1))&lt;0,(ROUND((J686/G686)*I686,1)),0),0)</f>
        <v/>
      </c>
    </row>
    <row r="687">
      <c r="A687" s="4" t="n">
        <v>684</v>
      </c>
      <c r="B687" s="5" t="inlineStr">
        <is>
          <t>ALL_PBM</t>
        </is>
      </c>
      <c r="C687" s="5" t="inlineStr">
        <is>
          <t>65862019399</t>
        </is>
      </c>
      <c r="D687" s="5" t="inlineStr">
        <is>
          <t>FLUOXETINE 20MG CAPSULE</t>
        </is>
      </c>
      <c r="E687" s="6" t="inlineStr">
        <is>
          <t>1000.0</t>
        </is>
      </c>
      <c r="F687" s="7" t="n">
        <v>30</v>
      </c>
      <c r="G687" s="7" t="n">
        <v>0.03</v>
      </c>
      <c r="H687" s="7" t="n">
        <v>0</v>
      </c>
      <c r="I687" s="7" t="n">
        <v>-0.03</v>
      </c>
      <c r="J687" s="8" t="n">
        <v>11</v>
      </c>
      <c r="K687" s="9">
        <f>IFERROR(IF((ROUND((J687/G687)*I687,1))&lt;0,(ROUND((J687/G687)*I687,1)),0),0)</f>
        <v/>
      </c>
    </row>
    <row r="688">
      <c r="A688" s="4" t="n">
        <v>685</v>
      </c>
      <c r="B688" s="5" t="inlineStr">
        <is>
          <t>ALL_PBM</t>
        </is>
      </c>
      <c r="C688" s="5" t="inlineStr">
        <is>
          <t>23155083310</t>
        </is>
      </c>
      <c r="D688" s="5" t="inlineStr">
        <is>
          <t>HYDRALAZINE HCL 25 MG TABLET</t>
        </is>
      </c>
      <c r="E688" s="6" t="inlineStr">
        <is>
          <t>1000.0</t>
        </is>
      </c>
      <c r="F688" s="7" t="n">
        <v>450</v>
      </c>
      <c r="G688" s="7" t="n">
        <v>0.45</v>
      </c>
      <c r="H688" s="7" t="n">
        <v>2</v>
      </c>
      <c r="I688" s="7" t="n">
        <v>1.55</v>
      </c>
      <c r="J688" s="8" t="n">
        <v>11</v>
      </c>
      <c r="K688" s="9">
        <f>IFERROR(IF((ROUND((J688/G688)*I688,1))&lt;0,(ROUND((J688/G688)*I688,1)),0),0)</f>
        <v/>
      </c>
    </row>
    <row r="689">
      <c r="A689" s="4" t="n">
        <v>686</v>
      </c>
      <c r="B689" s="5" t="inlineStr">
        <is>
          <t>ALL_PBM</t>
        </is>
      </c>
      <c r="C689" s="5" t="inlineStr">
        <is>
          <t>43975027810</t>
        </is>
      </c>
      <c r="D689" s="5" t="inlineStr">
        <is>
          <t>AMPHETAMINE-DEXTROAMPHET ER 10 MG ORAL CAPSULE EXTENDED RELEASE 24 HOUR</t>
        </is>
      </c>
      <c r="E689" s="6" t="inlineStr">
        <is>
          <t>100.0</t>
        </is>
      </c>
      <c r="F689" s="7" t="n">
        <v>15</v>
      </c>
      <c r="G689" s="7" t="n">
        <v>0.15</v>
      </c>
      <c r="H689" s="7" t="n">
        <v>0</v>
      </c>
      <c r="I689" s="7" t="n">
        <v>-0.15</v>
      </c>
      <c r="J689" s="8" t="n">
        <v>11</v>
      </c>
      <c r="K689" s="9">
        <f>IFERROR(IF((ROUND((J689/G689)*I689,1))&lt;0,(ROUND((J689/G689)*I689,1)),0),0)</f>
        <v/>
      </c>
    </row>
    <row r="690">
      <c r="A690" s="4" t="n">
        <v>687</v>
      </c>
      <c r="B690" s="5" t="inlineStr">
        <is>
          <t>ALL_PBM</t>
        </is>
      </c>
      <c r="C690" s="5" t="inlineStr">
        <is>
          <t>23155050005</t>
        </is>
      </c>
      <c r="D690" s="5" t="inlineStr">
        <is>
          <t xml:space="preserve">HYDROXYZINE HCL 10MG TAB </t>
        </is>
      </c>
      <c r="E690" s="6" t="inlineStr">
        <is>
          <t>500.0</t>
        </is>
      </c>
      <c r="F690" s="7" t="n">
        <v>30</v>
      </c>
      <c r="G690" s="7" t="n">
        <v>0.06</v>
      </c>
      <c r="H690" s="7" t="n">
        <v>0</v>
      </c>
      <c r="I690" s="7" t="n">
        <v>-0.06</v>
      </c>
      <c r="J690" s="8" t="n">
        <v>11</v>
      </c>
      <c r="K690" s="9">
        <f>IFERROR(IF((ROUND((J690/G690)*I690,1))&lt;0,(ROUND((J690/G690)*I690,1)),0),0)</f>
        <v/>
      </c>
    </row>
    <row r="691">
      <c r="A691" s="4" t="n">
        <v>688</v>
      </c>
      <c r="B691" s="5" t="inlineStr">
        <is>
          <t>ALL_PBM</t>
        </is>
      </c>
      <c r="C691" s="5" t="inlineStr">
        <is>
          <t>31722053612</t>
        </is>
      </c>
      <c r="D691" s="5" t="inlineStr">
        <is>
          <t>LEVETIRACETAM 250 MG TABLET</t>
        </is>
      </c>
      <c r="E691" s="6" t="inlineStr">
        <is>
          <t>120.0</t>
        </is>
      </c>
      <c r="F691" s="7" t="n">
        <v>30</v>
      </c>
      <c r="G691" s="7" t="n">
        <v>0.25</v>
      </c>
      <c r="H691" s="7" t="n">
        <v>0</v>
      </c>
      <c r="I691" s="7" t="n">
        <v>-0.25</v>
      </c>
      <c r="J691" s="8" t="n">
        <v>11</v>
      </c>
      <c r="K691" s="9">
        <f>IFERROR(IF((ROUND((J691/G691)*I691,1))&lt;0,(ROUND((J691/G691)*I691,1)),0),0)</f>
        <v/>
      </c>
    </row>
    <row r="692">
      <c r="A692" s="4" t="n">
        <v>689</v>
      </c>
      <c r="B692" s="5" t="inlineStr">
        <is>
          <t>ALL_PBM</t>
        </is>
      </c>
      <c r="C692" s="5" t="inlineStr">
        <is>
          <t>68382011414</t>
        </is>
      </c>
      <c r="D692" s="5" t="inlineStr">
        <is>
          <t>RISPERIDONE 1MG TABLET</t>
        </is>
      </c>
      <c r="E692" s="6" t="inlineStr">
        <is>
          <t>60.0</t>
        </is>
      </c>
      <c r="F692" s="7" t="n">
        <v>30</v>
      </c>
      <c r="G692" s="7" t="n">
        <v>0.5</v>
      </c>
      <c r="H692" s="7" t="n">
        <v>0</v>
      </c>
      <c r="I692" s="7" t="n">
        <v>-0.5</v>
      </c>
      <c r="J692" s="8" t="n">
        <v>11</v>
      </c>
      <c r="K692" s="9">
        <f>IFERROR(IF((ROUND((J692/G692)*I692,1))&lt;0,(ROUND((J692/G692)*I692,1)),0),0)</f>
        <v/>
      </c>
    </row>
    <row r="693">
      <c r="A693" s="4" t="n">
        <v>690</v>
      </c>
      <c r="B693" s="5" t="inlineStr">
        <is>
          <t>ALL_PBM</t>
        </is>
      </c>
      <c r="C693" s="5" t="inlineStr">
        <is>
          <t>50742026003</t>
        </is>
      </c>
      <c r="D693" s="5" t="inlineStr">
        <is>
          <t>NIFEDIPINE 30MG TABLET ER</t>
        </is>
      </c>
      <c r="E693" s="6" t="inlineStr">
        <is>
          <t>300.0</t>
        </is>
      </c>
      <c r="F693" s="7" t="n">
        <v>120</v>
      </c>
      <c r="G693" s="7" t="n">
        <v>0.4</v>
      </c>
      <c r="H693" s="7" t="n">
        <v>0</v>
      </c>
      <c r="I693" s="7" t="n">
        <v>-0.4</v>
      </c>
      <c r="J693" s="8" t="n">
        <v>10</v>
      </c>
      <c r="K693" s="9">
        <f>IFERROR(IF((ROUND((J693/G693)*I693,1))&lt;0,(ROUND((J693/G693)*I693,1)),0),0)</f>
        <v/>
      </c>
    </row>
    <row r="694">
      <c r="A694" s="4" t="n">
        <v>691</v>
      </c>
      <c r="B694" s="5" t="inlineStr">
        <is>
          <t>ALL_PBM</t>
        </is>
      </c>
      <c r="C694" s="5" t="inlineStr">
        <is>
          <t>70756044011</t>
        </is>
      </c>
      <c r="D694" s="5" t="inlineStr">
        <is>
          <t>PRAZOSIN HCL 5 MG ORAL CAPSULE</t>
        </is>
      </c>
      <c r="E694" s="6" t="inlineStr">
        <is>
          <t>100.0</t>
        </is>
      </c>
      <c r="F694" s="7" t="n">
        <v>30</v>
      </c>
      <c r="G694" s="7" t="n">
        <v>0.3</v>
      </c>
      <c r="H694" s="7" t="n">
        <v>0</v>
      </c>
      <c r="I694" s="7" t="n">
        <v>-0.3</v>
      </c>
      <c r="J694" s="8" t="n">
        <v>10</v>
      </c>
      <c r="K694" s="9">
        <f>IFERROR(IF((ROUND((J694/G694)*I694,1))&lt;0,(ROUND((J694/G694)*I694,1)),0),0)</f>
        <v/>
      </c>
    </row>
    <row r="695">
      <c r="A695" s="4" t="n">
        <v>692</v>
      </c>
      <c r="B695" s="5" t="inlineStr">
        <is>
          <t>ALL_PBM</t>
        </is>
      </c>
      <c r="C695" s="5" t="inlineStr">
        <is>
          <t>23155060601</t>
        </is>
      </c>
      <c r="D695" s="5" t="inlineStr">
        <is>
          <t>GLYCOPYRROLATE 1MG TABLET</t>
        </is>
      </c>
      <c r="E695" s="6" t="inlineStr">
        <is>
          <t>100.0</t>
        </is>
      </c>
      <c r="F695" s="7" t="n">
        <v>60</v>
      </c>
      <c r="G695" s="7" t="n">
        <v>0.6</v>
      </c>
      <c r="H695" s="7" t="n">
        <v>0</v>
      </c>
      <c r="I695" s="7" t="n">
        <v>-0.6</v>
      </c>
      <c r="J695" s="8" t="n">
        <v>10</v>
      </c>
      <c r="K695" s="9">
        <f>IFERROR(IF((ROUND((J695/G695)*I695,1))&lt;0,(ROUND((J695/G695)*I695,1)),0),0)</f>
        <v/>
      </c>
    </row>
    <row r="696">
      <c r="A696" s="4" t="n">
        <v>693</v>
      </c>
      <c r="B696" s="5" t="inlineStr">
        <is>
          <t>ALL_PBM</t>
        </is>
      </c>
      <c r="C696" s="5" t="inlineStr">
        <is>
          <t>42192060716</t>
        </is>
      </c>
      <c r="D696" s="5" t="inlineStr">
        <is>
          <t>PSEUDOEPH-BROMPHEN-DM 30-2-10 MG/5ML ORAL SYRUP</t>
        </is>
      </c>
      <c r="E696" s="6" t="inlineStr">
        <is>
          <t>473.0</t>
        </is>
      </c>
      <c r="F696" s="7" t="n">
        <v>200</v>
      </c>
      <c r="G696" s="7" t="n">
        <v>0.4228329809725159</v>
      </c>
      <c r="H696" s="7" t="n">
        <v>0</v>
      </c>
      <c r="I696" s="7" t="n">
        <v>-0.4228329809725159</v>
      </c>
      <c r="J696" s="8" t="n">
        <v>9</v>
      </c>
      <c r="K696" s="9">
        <f>IFERROR(IF((ROUND((J696/G696)*I696,1))&lt;0,(ROUND((J696/G696)*I696,1)),0),0)</f>
        <v/>
      </c>
    </row>
    <row r="697">
      <c r="A697" s="4" t="n">
        <v>694</v>
      </c>
      <c r="B697" s="5" t="inlineStr">
        <is>
          <t>ALL_PBM</t>
        </is>
      </c>
      <c r="C697" s="5" t="inlineStr">
        <is>
          <t>42806036201</t>
        </is>
      </c>
      <c r="D697" s="5" t="inlineStr">
        <is>
          <t>DOXYCYCLINE HYCLATE 20 MG ORAL TABLET</t>
        </is>
      </c>
      <c r="E697" s="6" t="inlineStr">
        <is>
          <t>100.0</t>
        </is>
      </c>
      <c r="F697" s="7" t="n">
        <v>60</v>
      </c>
      <c r="G697" s="7" t="n">
        <v>0.6</v>
      </c>
      <c r="H697" s="7" t="n">
        <v>0</v>
      </c>
      <c r="I697" s="7" t="n">
        <v>-0.6</v>
      </c>
      <c r="J697" s="8" t="n">
        <v>9</v>
      </c>
      <c r="K697" s="9">
        <f>IFERROR(IF((ROUND((J697/G697)*I697,1))&lt;0,(ROUND((J697/G697)*I697,1)),0),0)</f>
        <v/>
      </c>
    </row>
    <row r="698">
      <c r="A698" s="4" t="n">
        <v>695</v>
      </c>
      <c r="B698" s="5" t="inlineStr">
        <is>
          <t>ALL_PBM</t>
        </is>
      </c>
      <c r="C698" s="5" t="inlineStr">
        <is>
          <t>62332008531</t>
        </is>
      </c>
      <c r="D698" s="5" t="inlineStr">
        <is>
          <t>FENOFIBRATE MICRONIZED 134MG CAPSULE</t>
        </is>
      </c>
      <c r="E698" s="6" t="inlineStr">
        <is>
          <t>100.0</t>
        </is>
      </c>
      <c r="F698" s="7" t="n">
        <v>90</v>
      </c>
      <c r="G698" s="7" t="n">
        <v>0.9</v>
      </c>
      <c r="H698" s="7" t="n">
        <v>3</v>
      </c>
      <c r="I698" s="7" t="n">
        <v>2.1</v>
      </c>
      <c r="J698" s="8" t="n">
        <v>9</v>
      </c>
      <c r="K698" s="9">
        <f>IFERROR(IF((ROUND((J698/G698)*I698,1))&lt;0,(ROUND((J698/G698)*I698,1)),0),0)</f>
        <v/>
      </c>
    </row>
    <row r="699">
      <c r="A699" s="4" t="n">
        <v>696</v>
      </c>
      <c r="B699" s="5" t="inlineStr">
        <is>
          <t>ALL_PBM</t>
        </is>
      </c>
      <c r="C699" s="5" t="inlineStr">
        <is>
          <t>00832011150</t>
        </is>
      </c>
      <c r="D699" s="5" t="inlineStr">
        <is>
          <t>AMANTADINE 100MG TABLET</t>
        </is>
      </c>
      <c r="E699" s="6" t="inlineStr">
        <is>
          <t>500.0</t>
        </is>
      </c>
      <c r="F699" s="7" t="n">
        <v>30</v>
      </c>
      <c r="G699" s="7" t="n">
        <v>0.06</v>
      </c>
      <c r="H699" s="7" t="n">
        <v>0</v>
      </c>
      <c r="I699" s="7" t="n">
        <v>-0.06</v>
      </c>
      <c r="J699" s="8" t="n">
        <v>9</v>
      </c>
      <c r="K699" s="9">
        <f>IFERROR(IF((ROUND((J699/G699)*I699,1))&lt;0,(ROUND((J699/G699)*I699,1)),0),0)</f>
        <v/>
      </c>
    </row>
    <row r="700">
      <c r="A700" s="4" t="n">
        <v>697</v>
      </c>
      <c r="B700" s="5" t="inlineStr">
        <is>
          <t>ALL_PBM</t>
        </is>
      </c>
      <c r="C700" s="5" t="inlineStr">
        <is>
          <t>50111045002</t>
        </is>
      </c>
      <c r="D700" s="5" t="inlineStr">
        <is>
          <t>TRAZODONE 150MG TABLET</t>
        </is>
      </c>
      <c r="E700" s="6" t="inlineStr">
        <is>
          <t>500.0</t>
        </is>
      </c>
      <c r="F700" s="7" t="n">
        <v>90</v>
      </c>
      <c r="G700" s="7" t="n">
        <v>0.18</v>
      </c>
      <c r="H700" s="7" t="n">
        <v>0</v>
      </c>
      <c r="I700" s="7" t="n">
        <v>-0.18</v>
      </c>
      <c r="J700" s="8" t="n">
        <v>9</v>
      </c>
      <c r="K700" s="9">
        <f>IFERROR(IF((ROUND((J700/G700)*I700,1))&lt;0,(ROUND((J700/G700)*I700,1)),0),0)</f>
        <v/>
      </c>
    </row>
    <row r="701">
      <c r="A701" s="4" t="n">
        <v>698</v>
      </c>
      <c r="B701" s="5" t="inlineStr">
        <is>
          <t>ALL_PBM</t>
        </is>
      </c>
      <c r="C701" s="5" t="inlineStr">
        <is>
          <t>68180098202</t>
        </is>
      </c>
      <c r="D701" s="5" t="inlineStr">
        <is>
          <t>LISINOPRIL 30MG TABLET</t>
        </is>
      </c>
      <c r="E701" s="6" t="inlineStr">
        <is>
          <t>500.0</t>
        </is>
      </c>
      <c r="F701" s="7" t="n">
        <v>90</v>
      </c>
      <c r="G701" s="7" t="n">
        <v>0.18</v>
      </c>
      <c r="H701" s="7" t="n">
        <v>0</v>
      </c>
      <c r="I701" s="7" t="n">
        <v>-0.18</v>
      </c>
      <c r="J701" s="8" t="n">
        <v>9</v>
      </c>
      <c r="K701" s="9">
        <f>IFERROR(IF((ROUND((J701/G701)*I701,1))&lt;0,(ROUND((J701/G701)*I701,1)),0),0)</f>
        <v/>
      </c>
    </row>
    <row r="702">
      <c r="A702" s="4" t="n">
        <v>699</v>
      </c>
      <c r="B702" s="5" t="inlineStr">
        <is>
          <t>ALL_PBM</t>
        </is>
      </c>
      <c r="C702" s="5" t="inlineStr">
        <is>
          <t>69238201702</t>
        </is>
      </c>
      <c r="D702" s="5" t="inlineStr">
        <is>
          <t>IPRATROPIUM BROMIDE 0.06 % NASAL SOLUTION</t>
        </is>
      </c>
      <c r="E702" s="6" t="inlineStr">
        <is>
          <t>15.0</t>
        </is>
      </c>
      <c r="F702" s="7" t="n">
        <v>15</v>
      </c>
      <c r="G702" s="7" t="n">
        <v>1</v>
      </c>
      <c r="H702" s="7" t="n">
        <v>0</v>
      </c>
      <c r="I702" s="7" t="n">
        <v>-1</v>
      </c>
      <c r="J702" s="8" t="n">
        <v>9</v>
      </c>
      <c r="K702" s="9">
        <f>IFERROR(IF((ROUND((J702/G702)*I702,1))&lt;0,(ROUND((J702/G702)*I702,1)),0),0)</f>
        <v/>
      </c>
    </row>
    <row r="703">
      <c r="A703" s="4" t="n">
        <v>700</v>
      </c>
      <c r="B703" s="5" t="inlineStr">
        <is>
          <t>ALL_PBM</t>
        </is>
      </c>
      <c r="C703" s="5" t="inlineStr">
        <is>
          <t>23155007001</t>
        </is>
      </c>
      <c r="D703" s="5" t="inlineStr">
        <is>
          <t xml:space="preserve">METHIMAZOLE 5MG TABLE </t>
        </is>
      </c>
      <c r="E703" s="6" t="inlineStr">
        <is>
          <t>100.0</t>
        </is>
      </c>
      <c r="F703" s="7" t="n">
        <v>90</v>
      </c>
      <c r="G703" s="7" t="n">
        <v>0.9</v>
      </c>
      <c r="H703" s="7" t="n">
        <v>2</v>
      </c>
      <c r="I703" s="7" t="n">
        <v>1.1</v>
      </c>
      <c r="J703" s="8" t="n">
        <v>9</v>
      </c>
      <c r="K703" s="9">
        <f>IFERROR(IF((ROUND((J703/G703)*I703,1))&lt;0,(ROUND((J703/G703)*I703,1)),0),0)</f>
        <v/>
      </c>
    </row>
    <row r="704">
      <c r="A704" s="4" t="n">
        <v>701</v>
      </c>
      <c r="B704" s="5" t="inlineStr">
        <is>
          <t>ALL_PBM</t>
        </is>
      </c>
      <c r="C704" s="5" t="inlineStr">
        <is>
          <t>51672126403</t>
        </is>
      </c>
      <c r="D704" s="5" t="inlineStr">
        <is>
          <t>FLUOCINONIDE 0.05 % EXTERNAL OINTMENT</t>
        </is>
      </c>
      <c r="E704" s="6" t="inlineStr">
        <is>
          <t>60.0</t>
        </is>
      </c>
      <c r="F704" s="7" t="n">
        <v>60</v>
      </c>
      <c r="G704" s="7" t="n">
        <v>1</v>
      </c>
      <c r="H704" s="7" t="n">
        <v>0</v>
      </c>
      <c r="I704" s="7" t="n">
        <v>-1</v>
      </c>
      <c r="J704" s="8" t="n">
        <v>9</v>
      </c>
      <c r="K704" s="9">
        <f>IFERROR(IF((ROUND((J704/G704)*I704,1))&lt;0,(ROUND((J704/G704)*I704,1)),0),0)</f>
        <v/>
      </c>
    </row>
    <row r="705">
      <c r="A705" s="4" t="n">
        <v>702</v>
      </c>
      <c r="B705" s="5" t="inlineStr">
        <is>
          <t>ALL_PBM</t>
        </is>
      </c>
      <c r="C705" s="5" t="inlineStr">
        <is>
          <t>62559041701</t>
        </is>
      </c>
      <c r="D705" s="5" t="inlineStr">
        <is>
          <t>BENAZEPRIL-HYDROCHLOROTHIAZIDE 20-25 MG TABLET</t>
        </is>
      </c>
      <c r="E705" s="6" t="inlineStr">
        <is>
          <t>100.0</t>
        </is>
      </c>
      <c r="F705" s="7" t="n">
        <v>30</v>
      </c>
      <c r="G705" s="7" t="n">
        <v>0.3</v>
      </c>
      <c r="H705" s="7" t="n">
        <v>2</v>
      </c>
      <c r="I705" s="7" t="n">
        <v>1.7</v>
      </c>
      <c r="J705" s="8" t="n">
        <v>9</v>
      </c>
      <c r="K705" s="9">
        <f>IFERROR(IF((ROUND((J705/G705)*I705,1))&lt;0,(ROUND((J705/G705)*I705,1)),0),0)</f>
        <v/>
      </c>
    </row>
    <row r="706">
      <c r="A706" s="4" t="n">
        <v>703</v>
      </c>
      <c r="B706" s="5" t="inlineStr">
        <is>
          <t>ALL_PBM</t>
        </is>
      </c>
      <c r="C706" s="5" t="inlineStr">
        <is>
          <t>70010075401</t>
        </is>
      </c>
      <c r="D706" s="5" t="inlineStr">
        <is>
          <t xml:space="preserve">METHOCARBAMOL 500MG TAB </t>
        </is>
      </c>
      <c r="E706" s="6" t="inlineStr">
        <is>
          <t>100.0</t>
        </is>
      </c>
      <c r="F706" s="7" t="n">
        <v>90</v>
      </c>
      <c r="G706" s="7" t="n">
        <v>0.9</v>
      </c>
      <c r="H706" s="7" t="n">
        <v>0</v>
      </c>
      <c r="I706" s="7" t="n">
        <v>-0.9</v>
      </c>
      <c r="J706" s="8" t="n">
        <v>9</v>
      </c>
      <c r="K706" s="9">
        <f>IFERROR(IF((ROUND((J706/G706)*I706,1))&lt;0,(ROUND((J706/G706)*I706,1)),0),0)</f>
        <v/>
      </c>
    </row>
    <row r="707">
      <c r="A707" s="4" t="n">
        <v>704</v>
      </c>
      <c r="B707" s="5" t="inlineStr">
        <is>
          <t>ALL_PBM</t>
        </is>
      </c>
      <c r="C707" s="5" t="inlineStr">
        <is>
          <t>70752013005</t>
        </is>
      </c>
      <c r="D707" s="5" t="inlineStr">
        <is>
          <t>TRIAMCINOLONE ACETONIDE 0.1 % EXTERNAL LOTION</t>
        </is>
      </c>
      <c r="E707" s="6" t="inlineStr">
        <is>
          <t>60.0</t>
        </is>
      </c>
      <c r="F707" s="7" t="n">
        <v>60</v>
      </c>
      <c r="G707" s="7" t="n">
        <v>1</v>
      </c>
      <c r="H707" s="7" t="n">
        <v>0</v>
      </c>
      <c r="I707" s="7" t="n">
        <v>-1</v>
      </c>
      <c r="J707" s="8" t="n">
        <v>8</v>
      </c>
      <c r="K707" s="9">
        <f>IFERROR(IF((ROUND((J707/G707)*I707,1))&lt;0,(ROUND((J707/G707)*I707,1)),0),0)</f>
        <v/>
      </c>
    </row>
    <row r="708">
      <c r="A708" s="4" t="n">
        <v>705</v>
      </c>
      <c r="B708" s="5" t="inlineStr">
        <is>
          <t>ALL_PBM</t>
        </is>
      </c>
      <c r="C708" s="5" t="inlineStr">
        <is>
          <t>00168035730</t>
        </is>
      </c>
      <c r="D708" s="5" t="inlineStr">
        <is>
          <t>LIDOCAINE-PRILOCAINE 2.5-2.5 % EXTERNAL CREAM</t>
        </is>
      </c>
      <c r="E708" s="6" t="inlineStr">
        <is>
          <t>30.0</t>
        </is>
      </c>
      <c r="F708" s="7" t="n">
        <v>30</v>
      </c>
      <c r="G708" s="7" t="n">
        <v>1</v>
      </c>
      <c r="H708" s="7" t="n">
        <v>0</v>
      </c>
      <c r="I708" s="7" t="n">
        <v>-1</v>
      </c>
      <c r="J708" s="8" t="n">
        <v>8</v>
      </c>
      <c r="K708" s="9">
        <f>IFERROR(IF((ROUND((J708/G708)*I708,1))&lt;0,(ROUND((J708/G708)*I708,1)),0),0)</f>
        <v/>
      </c>
    </row>
    <row r="709">
      <c r="A709" s="4" t="n">
        <v>706</v>
      </c>
      <c r="B709" s="5" t="inlineStr">
        <is>
          <t>ALL_PBM</t>
        </is>
      </c>
      <c r="C709" s="5" t="inlineStr">
        <is>
          <t>23155077210</t>
        </is>
      </c>
      <c r="D709" s="5" t="inlineStr">
        <is>
          <t>ENALAPRIL 10MG TABLET</t>
        </is>
      </c>
      <c r="E709" s="6" t="inlineStr">
        <is>
          <t>1000.0</t>
        </is>
      </c>
      <c r="F709" s="7" t="n">
        <v>90</v>
      </c>
      <c r="G709" s="7" t="n">
        <v>0.09</v>
      </c>
      <c r="H709" s="7" t="n">
        <v>0</v>
      </c>
      <c r="I709" s="7" t="n">
        <v>-0.09</v>
      </c>
      <c r="J709" s="8" t="n">
        <v>8</v>
      </c>
      <c r="K709" s="9">
        <f>IFERROR(IF((ROUND((J709/G709)*I709,1))&lt;0,(ROUND((J709/G709)*I709,1)),0),0)</f>
        <v/>
      </c>
    </row>
    <row r="710">
      <c r="A710" s="4" t="n">
        <v>707</v>
      </c>
      <c r="B710" s="5" t="inlineStr">
        <is>
          <t>ALL_PBM</t>
        </is>
      </c>
      <c r="C710" s="5" t="inlineStr">
        <is>
          <t>50742025290</t>
        </is>
      </c>
      <c r="D710" s="5" t="inlineStr">
        <is>
          <t>DILTIAZEM 360MG CAPSULE ER</t>
        </is>
      </c>
      <c r="E710" s="6" t="inlineStr">
        <is>
          <t>90.0</t>
        </is>
      </c>
      <c r="F710" s="7" t="n">
        <v>30</v>
      </c>
      <c r="G710" s="7" t="n">
        <v>0.3333333333333333</v>
      </c>
      <c r="H710" s="7" t="n">
        <v>0</v>
      </c>
      <c r="I710" s="7" t="n">
        <v>-0.3333333333333333</v>
      </c>
      <c r="J710" s="8" t="n">
        <v>8</v>
      </c>
      <c r="K710" s="9">
        <f>IFERROR(IF((ROUND((J710/G710)*I710,1))&lt;0,(ROUND((J710/G710)*I710,1)),0),0)</f>
        <v/>
      </c>
    </row>
    <row r="711">
      <c r="A711" s="4" t="n">
        <v>708</v>
      </c>
      <c r="B711" s="5" t="inlineStr">
        <is>
          <t>ALL_PBM</t>
        </is>
      </c>
      <c r="C711" s="5" t="inlineStr">
        <is>
          <t>23155053006</t>
        </is>
      </c>
      <c r="D711" s="5" t="inlineStr">
        <is>
          <t>TROSPIUM CHLORIDE 20 MG TABLET</t>
        </is>
      </c>
      <c r="E711" s="6" t="inlineStr">
        <is>
          <t>60.0</t>
        </is>
      </c>
      <c r="F711" s="7" t="n">
        <v>20</v>
      </c>
      <c r="G711" s="7" t="n">
        <v>0.3333333333333333</v>
      </c>
      <c r="H711" s="7" t="n">
        <v>0</v>
      </c>
      <c r="I711" s="7" t="n">
        <v>-0.3333333333333333</v>
      </c>
      <c r="J711" s="8" t="n">
        <v>8</v>
      </c>
      <c r="K711" s="9">
        <f>IFERROR(IF((ROUND((J711/G711)*I711,1))&lt;0,(ROUND((J711/G711)*I711,1)),0),0)</f>
        <v/>
      </c>
    </row>
    <row r="712">
      <c r="A712" s="4" t="n">
        <v>709</v>
      </c>
      <c r="B712" s="5" t="inlineStr">
        <is>
          <t>ALL_PBM</t>
        </is>
      </c>
      <c r="C712" s="5" t="inlineStr">
        <is>
          <t>64980032005</t>
        </is>
      </c>
      <c r="D712" s="5" t="inlineStr">
        <is>
          <t>TRIAMCINOLONE ACETONIDE 0.1 % MOUTH/THROAT PASTE</t>
        </is>
      </c>
      <c r="E712" s="6" t="inlineStr">
        <is>
          <t>5.0</t>
        </is>
      </c>
      <c r="F712" s="7" t="n">
        <v>5</v>
      </c>
      <c r="G712" s="7" t="n">
        <v>1</v>
      </c>
      <c r="H712" s="7" t="n">
        <v>0</v>
      </c>
      <c r="I712" s="7" t="n">
        <v>-1</v>
      </c>
      <c r="J712" s="8" t="n">
        <v>8</v>
      </c>
      <c r="K712" s="9">
        <f>IFERROR(IF((ROUND((J712/G712)*I712,1))&lt;0,(ROUND((J712/G712)*I712,1)),0),0)</f>
        <v/>
      </c>
    </row>
    <row r="713">
      <c r="A713" s="4" t="n">
        <v>710</v>
      </c>
      <c r="B713" s="5" t="inlineStr">
        <is>
          <t>ALL_PBM</t>
        </is>
      </c>
      <c r="C713" s="5" t="inlineStr">
        <is>
          <t>69097082312</t>
        </is>
      </c>
      <c r="D713" s="5" t="inlineStr">
        <is>
          <t>CITALOPRAM 20MG TABLET</t>
        </is>
      </c>
      <c r="E713" s="6" t="inlineStr">
        <is>
          <t>500.0</t>
        </is>
      </c>
      <c r="F713" s="7" t="n">
        <v>120</v>
      </c>
      <c r="G713" s="7" t="n">
        <v>0.24</v>
      </c>
      <c r="H713" s="7" t="n">
        <v>0</v>
      </c>
      <c r="I713" s="7" t="n">
        <v>-0.24</v>
      </c>
      <c r="J713" s="8" t="n">
        <v>8</v>
      </c>
      <c r="K713" s="9">
        <f>IFERROR(IF((ROUND((J713/G713)*I713,1))&lt;0,(ROUND((J713/G713)*I713,1)),0),0)</f>
        <v/>
      </c>
    </row>
    <row r="714">
      <c r="A714" s="4" t="n">
        <v>711</v>
      </c>
      <c r="B714" s="5" t="inlineStr">
        <is>
          <t>ALL_PBM</t>
        </is>
      </c>
      <c r="C714" s="5" t="inlineStr">
        <is>
          <t>16729048516</t>
        </is>
      </c>
      <c r="D714" s="5" t="inlineStr">
        <is>
          <t>HYDROXYCHLOROQUINE 200MG TABLET</t>
        </is>
      </c>
      <c r="E714" s="6" t="inlineStr">
        <is>
          <t>500.0</t>
        </is>
      </c>
      <c r="F714" s="7" t="n">
        <v>30</v>
      </c>
      <c r="G714" s="7" t="n">
        <v>0.06</v>
      </c>
      <c r="H714" s="7" t="n">
        <v>0</v>
      </c>
      <c r="I714" s="7" t="n">
        <v>-0.06</v>
      </c>
      <c r="J714" s="8" t="n">
        <v>8</v>
      </c>
      <c r="K714" s="9">
        <f>IFERROR(IF((ROUND((J714/G714)*I714,1))&lt;0,(ROUND((J714/G714)*I714,1)),0),0)</f>
        <v/>
      </c>
    </row>
    <row r="715">
      <c r="A715" s="4" t="n">
        <v>712</v>
      </c>
      <c r="B715" s="5" t="inlineStr">
        <is>
          <t>ALL_PBM</t>
        </is>
      </c>
      <c r="C715" s="5" t="inlineStr">
        <is>
          <t>10702002501</t>
        </is>
      </c>
      <c r="D715" s="5" t="inlineStr">
        <is>
          <t>PHENTERMINE 37.5MG TABLET</t>
        </is>
      </c>
      <c r="E715" s="6" t="inlineStr">
        <is>
          <t>100.0</t>
        </is>
      </c>
      <c r="F715" s="7" t="n">
        <v>30</v>
      </c>
      <c r="G715" s="7" t="n">
        <v>0.3</v>
      </c>
      <c r="H715" s="7" t="n">
        <v>0</v>
      </c>
      <c r="I715" s="7" t="n">
        <v>-0.3</v>
      </c>
      <c r="J715" s="8" t="n">
        <v>7</v>
      </c>
      <c r="K715" s="9">
        <f>IFERROR(IF((ROUND((J715/G715)*I715,1))&lt;0,(ROUND((J715/G715)*I715,1)),0),0)</f>
        <v/>
      </c>
    </row>
    <row r="716">
      <c r="A716" s="4" t="n">
        <v>713</v>
      </c>
      <c r="B716" s="5" t="inlineStr">
        <is>
          <t>ALL_PBM</t>
        </is>
      </c>
      <c r="C716" s="5" t="inlineStr">
        <is>
          <t>69097082212</t>
        </is>
      </c>
      <c r="D716" s="5" t="inlineStr">
        <is>
          <t>CITALOPRAM 10MG TABLET</t>
        </is>
      </c>
      <c r="E716" s="6" t="inlineStr">
        <is>
          <t>500.0</t>
        </is>
      </c>
      <c r="F716" s="7" t="n">
        <v>270</v>
      </c>
      <c r="G716" s="7" t="n">
        <v>0.54</v>
      </c>
      <c r="H716" s="7" t="n">
        <v>0</v>
      </c>
      <c r="I716" s="7" t="n">
        <v>-0.54</v>
      </c>
      <c r="J716" s="8" t="n">
        <v>7</v>
      </c>
      <c r="K716" s="9">
        <f>IFERROR(IF((ROUND((J716/G716)*I716,1))&lt;0,(ROUND((J716/G716)*I716,1)),0),0)</f>
        <v/>
      </c>
    </row>
    <row r="717">
      <c r="A717" s="4" t="n">
        <v>714</v>
      </c>
      <c r="B717" s="5" t="inlineStr">
        <is>
          <t>ALL_PBM</t>
        </is>
      </c>
      <c r="C717" s="5" t="inlineStr">
        <is>
          <t>70010006410</t>
        </is>
      </c>
      <c r="D717" s="5" t="inlineStr">
        <is>
          <t>METFORMIN 850 MG TABLET</t>
        </is>
      </c>
      <c r="E717" s="6" t="inlineStr">
        <is>
          <t>1000.0</t>
        </is>
      </c>
      <c r="F717" s="7" t="n">
        <v>360</v>
      </c>
      <c r="G717" s="7" t="n">
        <v>0.36</v>
      </c>
      <c r="H717" s="7" t="n">
        <v>0</v>
      </c>
      <c r="I717" s="7" t="n">
        <v>-0.36</v>
      </c>
      <c r="J717" s="8" t="n">
        <v>7</v>
      </c>
      <c r="K717" s="9">
        <f>IFERROR(IF((ROUND((J717/G717)*I717,1))&lt;0,(ROUND((J717/G717)*I717,1)),0),0)</f>
        <v/>
      </c>
    </row>
    <row r="718">
      <c r="A718" s="4" t="n">
        <v>715</v>
      </c>
      <c r="B718" s="5" t="inlineStr">
        <is>
          <t>ALL_PBM</t>
        </is>
      </c>
      <c r="C718" s="5" t="inlineStr">
        <is>
          <t>31722055190</t>
        </is>
      </c>
      <c r="D718" s="5" t="inlineStr">
        <is>
          <t>LEVOCETIRIZINE 5MG TABLET</t>
        </is>
      </c>
      <c r="E718" s="6" t="inlineStr">
        <is>
          <t>90.0</t>
        </is>
      </c>
      <c r="F718" s="7" t="n">
        <v>120</v>
      </c>
      <c r="G718" s="7" t="n">
        <v>1.333333333333333</v>
      </c>
      <c r="H718" s="7" t="n">
        <v>0</v>
      </c>
      <c r="I718" s="7" t="n">
        <v>-1.333333333333333</v>
      </c>
      <c r="J718" s="8" t="n">
        <v>7</v>
      </c>
      <c r="K718" s="9">
        <f>IFERROR(IF((ROUND((J718/G718)*I718,1))&lt;0,(ROUND((J718/G718)*I718,1)),0),0)</f>
        <v/>
      </c>
    </row>
    <row r="719">
      <c r="A719" s="4" t="n">
        <v>716</v>
      </c>
      <c r="B719" s="5" t="inlineStr">
        <is>
          <t>ALL_PBM</t>
        </is>
      </c>
      <c r="C719" s="5" t="inlineStr">
        <is>
          <t>23155007101</t>
        </is>
      </c>
      <c r="D719" s="5" t="inlineStr">
        <is>
          <t xml:space="preserve">METHIMAZOLE 10MG TAB </t>
        </is>
      </c>
      <c r="E719" s="6" t="inlineStr">
        <is>
          <t>100.0</t>
        </is>
      </c>
      <c r="F719" s="7" t="n">
        <v>90</v>
      </c>
      <c r="G719" s="7" t="n">
        <v>0.9</v>
      </c>
      <c r="H719" s="7" t="n">
        <v>0</v>
      </c>
      <c r="I719" s="7" t="n">
        <v>-0.9</v>
      </c>
      <c r="J719" s="8" t="n">
        <v>7</v>
      </c>
      <c r="K719" s="9">
        <f>IFERROR(IF((ROUND((J719/G719)*I719,1))&lt;0,(ROUND((J719/G719)*I719,1)),0),0)</f>
        <v/>
      </c>
    </row>
    <row r="720">
      <c r="A720" s="4" t="n">
        <v>717</v>
      </c>
      <c r="B720" s="5" t="inlineStr">
        <is>
          <t>ALL_PBM</t>
        </is>
      </c>
      <c r="C720" s="5" t="inlineStr">
        <is>
          <t>29300015501</t>
        </is>
      </c>
      <c r="D720" s="5" t="inlineStr">
        <is>
          <t>ALFUZOSIN HCL ER 10 MG TABLET</t>
        </is>
      </c>
      <c r="E720" s="6" t="inlineStr">
        <is>
          <t>100.0</t>
        </is>
      </c>
      <c r="F720" s="7" t="n">
        <v>91</v>
      </c>
      <c r="G720" s="7" t="n">
        <v>0.91</v>
      </c>
      <c r="H720" s="7" t="n">
        <v>0</v>
      </c>
      <c r="I720" s="7" t="n">
        <v>-0.91</v>
      </c>
      <c r="J720" s="8" t="n">
        <v>7</v>
      </c>
      <c r="K720" s="9">
        <f>IFERROR(IF((ROUND((J720/G720)*I720,1))&lt;0,(ROUND((J720/G720)*I720,1)),0),0)</f>
        <v/>
      </c>
    </row>
    <row r="721">
      <c r="A721" s="4" t="n">
        <v>718</v>
      </c>
      <c r="B721" s="5" t="inlineStr">
        <is>
          <t>ALL_PBM</t>
        </is>
      </c>
      <c r="C721" s="5" t="inlineStr">
        <is>
          <t>59651015201</t>
        </is>
      </c>
      <c r="D721" s="5" t="inlineStr">
        <is>
          <t>PROGESTERONE 100 MG CAPSULE</t>
        </is>
      </c>
      <c r="E721" s="6" t="inlineStr">
        <is>
          <t>100.0</t>
        </is>
      </c>
      <c r="F721" s="7" t="n">
        <v>30</v>
      </c>
      <c r="G721" s="7" t="n">
        <v>0.3</v>
      </c>
      <c r="H721" s="7" t="n">
        <v>0</v>
      </c>
      <c r="I721" s="7" t="n">
        <v>-0.3</v>
      </c>
      <c r="J721" s="8" t="n">
        <v>7</v>
      </c>
      <c r="K721" s="9">
        <f>IFERROR(IF((ROUND((J721/G721)*I721,1))&lt;0,(ROUND((J721/G721)*I721,1)),0),0)</f>
        <v/>
      </c>
    </row>
    <row r="722">
      <c r="A722" s="4" t="n">
        <v>719</v>
      </c>
      <c r="B722" s="5" t="inlineStr">
        <is>
          <t>ALL_PBM</t>
        </is>
      </c>
      <c r="C722" s="5" t="inlineStr">
        <is>
          <t>68462043790</t>
        </is>
      </c>
      <c r="D722" s="5" t="inlineStr">
        <is>
          <t>OLMESARTAN 20MG TABLET</t>
        </is>
      </c>
      <c r="E722" s="6" t="inlineStr">
        <is>
          <t>90.0</t>
        </is>
      </c>
      <c r="F722" s="7" t="n">
        <v>90</v>
      </c>
      <c r="G722" s="7" t="n">
        <v>1</v>
      </c>
      <c r="H722" s="7" t="n">
        <v>0</v>
      </c>
      <c r="I722" s="7" t="n">
        <v>-1</v>
      </c>
      <c r="J722" s="8" t="n">
        <v>7</v>
      </c>
      <c r="K722" s="9">
        <f>IFERROR(IF((ROUND((J722/G722)*I722,1))&lt;0,(ROUND((J722/G722)*I722,1)),0),0)</f>
        <v/>
      </c>
    </row>
    <row r="723">
      <c r="A723" s="4" t="n">
        <v>720</v>
      </c>
      <c r="B723" s="5" t="inlineStr">
        <is>
          <t>ALL_PBM</t>
        </is>
      </c>
      <c r="C723" s="5" t="inlineStr">
        <is>
          <t>68180045901</t>
        </is>
      </c>
      <c r="D723" s="5" t="inlineStr">
        <is>
          <t>AMLODIPINE-BENAZEPRIL 5-20MG CAPSULE</t>
        </is>
      </c>
      <c r="E723" s="6" t="inlineStr">
        <is>
          <t>100.0</t>
        </is>
      </c>
      <c r="F723" s="7" t="n">
        <v>30</v>
      </c>
      <c r="G723" s="7" t="n">
        <v>0.3</v>
      </c>
      <c r="H723" s="7" t="n">
        <v>0</v>
      </c>
      <c r="I723" s="7" t="n">
        <v>-0.3</v>
      </c>
      <c r="J723" s="8" t="n">
        <v>6</v>
      </c>
      <c r="K723" s="9">
        <f>IFERROR(IF((ROUND((J723/G723)*I723,1))&lt;0,(ROUND((J723/G723)*I723,1)),0),0)</f>
        <v/>
      </c>
    </row>
    <row r="724">
      <c r="A724" s="4" t="n">
        <v>721</v>
      </c>
      <c r="B724" s="5" t="inlineStr">
        <is>
          <t>ALL_PBM</t>
        </is>
      </c>
      <c r="C724" s="5" t="inlineStr">
        <is>
          <t>59651054005</t>
        </is>
      </c>
      <c r="D724" s="5" t="inlineStr">
        <is>
          <t>ISOSORBIDE MONONITRATE ER 60 MG ORAL TABLET EXTENDED RELEASE 24 HOUR</t>
        </is>
      </c>
      <c r="E724" s="6" t="inlineStr">
        <is>
          <t>500.0</t>
        </is>
      </c>
      <c r="F724" s="7" t="n">
        <v>60</v>
      </c>
      <c r="G724" s="7" t="n">
        <v>0.12</v>
      </c>
      <c r="H724" s="7" t="n">
        <v>0</v>
      </c>
      <c r="I724" s="7" t="n">
        <v>-0.12</v>
      </c>
      <c r="J724" s="8" t="n">
        <v>6</v>
      </c>
      <c r="K724" s="9">
        <f>IFERROR(IF((ROUND((J724/G724)*I724,1))&lt;0,(ROUND((J724/G724)*I724,1)),0),0)</f>
        <v/>
      </c>
    </row>
    <row r="725">
      <c r="A725" s="4" t="n">
        <v>722</v>
      </c>
      <c r="B725" s="5" t="inlineStr">
        <is>
          <t>ALL_PBM</t>
        </is>
      </c>
      <c r="C725" s="5" t="inlineStr">
        <is>
          <t>42806035830</t>
        </is>
      </c>
      <c r="D725" s="5" t="inlineStr">
        <is>
          <t>LEUCOVORIN CALCIUM 5 MG ORAL TABLET</t>
        </is>
      </c>
      <c r="E725" s="6" t="inlineStr">
        <is>
          <t>30.0</t>
        </is>
      </c>
      <c r="F725" s="7" t="n">
        <v>24</v>
      </c>
      <c r="G725" s="7" t="n">
        <v>0.8</v>
      </c>
      <c r="H725" s="7" t="n">
        <v>0</v>
      </c>
      <c r="I725" s="7" t="n">
        <v>-0.8</v>
      </c>
      <c r="J725" s="8" t="n">
        <v>6</v>
      </c>
      <c r="K725" s="9">
        <f>IFERROR(IF((ROUND((J725/G725)*I725,1))&lt;0,(ROUND((J725/G725)*I725,1)),0),0)</f>
        <v/>
      </c>
    </row>
    <row r="726">
      <c r="A726" s="4" t="n">
        <v>723</v>
      </c>
      <c r="B726" s="5" t="inlineStr">
        <is>
          <t>ALL_PBM</t>
        </is>
      </c>
      <c r="C726" s="5" t="inlineStr">
        <is>
          <t>70377005512</t>
        </is>
      </c>
      <c r="D726" s="5" t="inlineStr">
        <is>
          <t>ESOMEPRAZOLE 20MG CAPSULE DR</t>
        </is>
      </c>
      <c r="E726" s="6" t="inlineStr">
        <is>
          <t>90.0</t>
        </is>
      </c>
      <c r="F726" s="7" t="n">
        <v>30</v>
      </c>
      <c r="G726" s="7" t="n">
        <v>0.3333333333333333</v>
      </c>
      <c r="H726" s="7" t="n">
        <v>0</v>
      </c>
      <c r="I726" s="7" t="n">
        <v>-0.3333333333333333</v>
      </c>
      <c r="J726" s="8" t="n">
        <v>6</v>
      </c>
      <c r="K726" s="9">
        <f>IFERROR(IF((ROUND((J726/G726)*I726,1))&lt;0,(ROUND((J726/G726)*I726,1)),0),0)</f>
        <v/>
      </c>
    </row>
    <row r="727">
      <c r="A727" s="4" t="n">
        <v>724</v>
      </c>
      <c r="B727" s="5" t="inlineStr">
        <is>
          <t>ALL_PBM</t>
        </is>
      </c>
      <c r="C727" s="5" t="inlineStr">
        <is>
          <t>55111073005</t>
        </is>
      </c>
      <c r="D727" s="5" t="inlineStr">
        <is>
          <t>ALLOPURINOL 300 MG TABLET</t>
        </is>
      </c>
      <c r="E727" s="6" t="inlineStr">
        <is>
          <t>500.0</t>
        </is>
      </c>
      <c r="F727" s="7" t="n">
        <v>90</v>
      </c>
      <c r="G727" s="7" t="n">
        <v>0.18</v>
      </c>
      <c r="H727" s="7" t="n">
        <v>0</v>
      </c>
      <c r="I727" s="7" t="n">
        <v>-0.18</v>
      </c>
      <c r="J727" s="8" t="n">
        <v>6</v>
      </c>
      <c r="K727" s="9">
        <f>IFERROR(IF((ROUND((J727/G727)*I727,1))&lt;0,(ROUND((J727/G727)*I727,1)),0),0)</f>
        <v/>
      </c>
    </row>
    <row r="728">
      <c r="A728" s="4" t="n">
        <v>725</v>
      </c>
      <c r="B728" s="5" t="inlineStr">
        <is>
          <t>ALL_PBM</t>
        </is>
      </c>
      <c r="C728" s="5" t="inlineStr">
        <is>
          <t>72888007301</t>
        </is>
      </c>
      <c r="D728" s="5" t="inlineStr">
        <is>
          <t>DICLOFENAC POTASSIUM 50MG TABLET</t>
        </is>
      </c>
      <c r="E728" s="6" t="inlineStr">
        <is>
          <t>100.0</t>
        </is>
      </c>
      <c r="F728" s="7" t="n">
        <v>30</v>
      </c>
      <c r="G728" s="7" t="n">
        <v>0.3</v>
      </c>
      <c r="H728" s="7" t="n">
        <v>0</v>
      </c>
      <c r="I728" s="7" t="n">
        <v>-0.3</v>
      </c>
      <c r="J728" s="8" t="n">
        <v>6</v>
      </c>
      <c r="K728" s="9">
        <f>IFERROR(IF((ROUND((J728/G728)*I728,1))&lt;0,(ROUND((J728/G728)*I728,1)),0),0)</f>
        <v/>
      </c>
    </row>
    <row r="729">
      <c r="A729" s="4" t="n">
        <v>726</v>
      </c>
      <c r="B729" s="5" t="inlineStr">
        <is>
          <t>ALL_PBM</t>
        </is>
      </c>
      <c r="C729" s="5" t="inlineStr">
        <is>
          <t>13668010410</t>
        </is>
      </c>
      <c r="D729" s="5" t="inlineStr">
        <is>
          <t xml:space="preserve">ISOSORBIDE MONONITRATE ER 30MG TAB </t>
        </is>
      </c>
      <c r="E729" s="6" t="inlineStr">
        <is>
          <t>1000.0</t>
        </is>
      </c>
      <c r="F729" s="7" t="n">
        <v>90</v>
      </c>
      <c r="G729" s="7" t="n">
        <v>0.09</v>
      </c>
      <c r="H729" s="7" t="n">
        <v>0</v>
      </c>
      <c r="I729" s="7" t="n">
        <v>-0.09</v>
      </c>
      <c r="J729" s="8" t="n">
        <v>6</v>
      </c>
      <c r="K729" s="9">
        <f>IFERROR(IF((ROUND((J729/G729)*I729,1))&lt;0,(ROUND((J729/G729)*I729,1)),0),0)</f>
        <v/>
      </c>
    </row>
    <row r="730">
      <c r="A730" s="4" t="n">
        <v>727</v>
      </c>
      <c r="B730" s="5" t="inlineStr">
        <is>
          <t>ALL_PBM</t>
        </is>
      </c>
      <c r="C730" s="5" t="inlineStr">
        <is>
          <t>59746017306</t>
        </is>
      </c>
      <c r="D730" s="5" t="inlineStr">
        <is>
          <t>PREDNISONE 10MG TABLET</t>
        </is>
      </c>
      <c r="E730" s="6" t="inlineStr">
        <is>
          <t>100.0</t>
        </is>
      </c>
      <c r="F730" s="7" t="n">
        <v>41</v>
      </c>
      <c r="G730" s="7" t="n">
        <v>0.41</v>
      </c>
      <c r="H730" s="7" t="n">
        <v>0</v>
      </c>
      <c r="I730" s="7" t="n">
        <v>-0.41</v>
      </c>
      <c r="J730" s="8" t="n">
        <v>6</v>
      </c>
      <c r="K730" s="9">
        <f>IFERROR(IF((ROUND((J730/G730)*I730,1))&lt;0,(ROUND((J730/G730)*I730,1)),0),0)</f>
        <v/>
      </c>
    </row>
    <row r="731">
      <c r="A731" s="4" t="n">
        <v>728</v>
      </c>
      <c r="B731" s="5" t="inlineStr">
        <is>
          <t>ALL_PBM</t>
        </is>
      </c>
      <c r="C731" s="5" t="inlineStr">
        <is>
          <t>68462043630</t>
        </is>
      </c>
      <c r="D731" s="5" t="inlineStr">
        <is>
          <t>OLMESARTAN 5MG TABLET</t>
        </is>
      </c>
      <c r="E731" s="6" t="inlineStr">
        <is>
          <t>30.0</t>
        </is>
      </c>
      <c r="F731" s="7" t="n">
        <v>90</v>
      </c>
      <c r="G731" s="7" t="n">
        <v>3</v>
      </c>
      <c r="H731" s="7" t="n">
        <v>0</v>
      </c>
      <c r="I731" s="7" t="n">
        <v>-3</v>
      </c>
      <c r="J731" s="8" t="n">
        <v>6</v>
      </c>
      <c r="K731" s="9">
        <f>IFERROR(IF((ROUND((J731/G731)*I731,1))&lt;0,(ROUND((J731/G731)*I731,1)),0),0)</f>
        <v/>
      </c>
    </row>
    <row r="732">
      <c r="A732" s="4" t="n">
        <v>729</v>
      </c>
      <c r="B732" s="5" t="inlineStr">
        <is>
          <t>ALL_PBM</t>
        </is>
      </c>
      <c r="C732" s="5" t="inlineStr">
        <is>
          <t>60505010104</t>
        </is>
      </c>
      <c r="D732" s="5" t="inlineStr">
        <is>
          <t>PAROXETINE 40MG TABLET</t>
        </is>
      </c>
      <c r="E732" s="6" t="inlineStr">
        <is>
          <t>1000.0</t>
        </is>
      </c>
      <c r="F732" s="7" t="n">
        <v>90</v>
      </c>
      <c r="G732" s="7" t="n">
        <v>0.09</v>
      </c>
      <c r="H732" s="7" t="n">
        <v>0</v>
      </c>
      <c r="I732" s="7" t="n">
        <v>-0.09</v>
      </c>
      <c r="J732" s="8" t="n">
        <v>6</v>
      </c>
      <c r="K732" s="9">
        <f>IFERROR(IF((ROUND((J732/G732)*I732,1))&lt;0,(ROUND((J732/G732)*I732,1)),0),0)</f>
        <v/>
      </c>
    </row>
    <row r="733">
      <c r="A733" s="4" t="n">
        <v>730</v>
      </c>
      <c r="B733" s="5" t="inlineStr">
        <is>
          <t>ALL_PBM</t>
        </is>
      </c>
      <c r="C733" s="5" t="inlineStr">
        <is>
          <t>55111016730</t>
        </is>
      </c>
      <c r="D733" s="5" t="inlineStr">
        <is>
          <t>OLANZAPINE 15MG TABLET</t>
        </is>
      </c>
      <c r="E733" s="6" t="inlineStr">
        <is>
          <t>30.0</t>
        </is>
      </c>
      <c r="F733" s="7" t="n">
        <v>60</v>
      </c>
      <c r="G733" s="7" t="n">
        <v>2</v>
      </c>
      <c r="H733" s="7" t="n">
        <v>0</v>
      </c>
      <c r="I733" s="7" t="n">
        <v>-2</v>
      </c>
      <c r="J733" s="8" t="n">
        <v>6</v>
      </c>
      <c r="K733" s="9">
        <f>IFERROR(IF((ROUND((J733/G733)*I733,1))&lt;0,(ROUND((J733/G733)*I733,1)),0),0)</f>
        <v/>
      </c>
    </row>
    <row r="734">
      <c r="A734" s="4" t="n">
        <v>731</v>
      </c>
      <c r="B734" s="5" t="inlineStr">
        <is>
          <t>ALL_PBM</t>
        </is>
      </c>
      <c r="C734" s="5" t="inlineStr">
        <is>
          <t>31722053001</t>
        </is>
      </c>
      <c r="D734" s="5" t="inlineStr">
        <is>
          <t>TORSEMIDE 10MG TABLET</t>
        </is>
      </c>
      <c r="E734" s="6" t="inlineStr">
        <is>
          <t>100.0</t>
        </is>
      </c>
      <c r="F734" s="7" t="n">
        <v>60</v>
      </c>
      <c r="G734" s="7" t="n">
        <v>0.6</v>
      </c>
      <c r="H734" s="7" t="n">
        <v>0</v>
      </c>
      <c r="I734" s="7" t="n">
        <v>-0.6</v>
      </c>
      <c r="J734" s="8" t="n">
        <v>6</v>
      </c>
      <c r="K734" s="9">
        <f>IFERROR(IF((ROUND((J734/G734)*I734,1))&lt;0,(ROUND((J734/G734)*I734,1)),0),0)</f>
        <v/>
      </c>
    </row>
    <row r="735">
      <c r="A735" s="4" t="n">
        <v>732</v>
      </c>
      <c r="B735" s="5" t="inlineStr">
        <is>
          <t>ALL_PBM</t>
        </is>
      </c>
      <c r="C735" s="5" t="inlineStr">
        <is>
          <t>16729000301</t>
        </is>
      </c>
      <c r="D735" s="5" t="inlineStr">
        <is>
          <t xml:space="preserve">GLIMEPIRIDE 4MG TAB </t>
        </is>
      </c>
      <c r="E735" s="6" t="inlineStr">
        <is>
          <t>100.0</t>
        </is>
      </c>
      <c r="F735" s="7" t="n">
        <v>90</v>
      </c>
      <c r="G735" s="7" t="n">
        <v>0.9</v>
      </c>
      <c r="H735" s="7" t="n">
        <v>0</v>
      </c>
      <c r="I735" s="7" t="n">
        <v>-0.9</v>
      </c>
      <c r="J735" s="8" t="n">
        <v>6</v>
      </c>
      <c r="K735" s="9">
        <f>IFERROR(IF((ROUND((J735/G735)*I735,1))&lt;0,(ROUND((J735/G735)*I735,1)),0),0)</f>
        <v/>
      </c>
    </row>
    <row r="736">
      <c r="A736" s="4" t="n">
        <v>733</v>
      </c>
      <c r="B736" s="5" t="inlineStr">
        <is>
          <t>ALL_PBM</t>
        </is>
      </c>
      <c r="C736" s="5" t="inlineStr">
        <is>
          <t>68462074635</t>
        </is>
      </c>
      <c r="D736" s="5" t="inlineStr">
        <is>
          <t>ACYCLOVIR 5 % EXTERNAL OINTMENT</t>
        </is>
      </c>
      <c r="E736" s="6" t="inlineStr">
        <is>
          <t>30.0</t>
        </is>
      </c>
      <c r="F736" s="7" t="n">
        <v>30</v>
      </c>
      <c r="G736" s="7" t="n">
        <v>1</v>
      </c>
      <c r="H736" s="7" t="n">
        <v>0</v>
      </c>
      <c r="I736" s="7" t="n">
        <v>-1</v>
      </c>
      <c r="J736" s="8" t="n">
        <v>6</v>
      </c>
      <c r="K736" s="9">
        <f>IFERROR(IF((ROUND((J736/G736)*I736,1))&lt;0,(ROUND((J736/G736)*I736,1)),0),0)</f>
        <v/>
      </c>
    </row>
    <row r="737">
      <c r="A737" s="4" t="n">
        <v>734</v>
      </c>
      <c r="B737" s="5" t="inlineStr">
        <is>
          <t>ALL_PBM</t>
        </is>
      </c>
      <c r="C737" s="5" t="inlineStr">
        <is>
          <t>72888001205</t>
        </is>
      </c>
      <c r="D737" s="5" t="inlineStr">
        <is>
          <t>CYCLOBENZAPRINE 5MG TABLET</t>
        </is>
      </c>
      <c r="E737" s="6" t="inlineStr">
        <is>
          <t>500.0</t>
        </is>
      </c>
      <c r="F737" s="7" t="n">
        <v>247</v>
      </c>
      <c r="G737" s="7" t="n">
        <v>0.494</v>
      </c>
      <c r="H737" s="7" t="n">
        <v>0</v>
      </c>
      <c r="I737" s="7" t="n">
        <v>-0.494</v>
      </c>
      <c r="J737" s="8" t="n">
        <v>5</v>
      </c>
      <c r="K737" s="9">
        <f>IFERROR(IF((ROUND((J737/G737)*I737,1))&lt;0,(ROUND((J737/G737)*I737,1)),0),0)</f>
        <v/>
      </c>
    </row>
    <row r="738">
      <c r="A738" s="4" t="n">
        <v>735</v>
      </c>
      <c r="B738" s="5" t="inlineStr">
        <is>
          <t>ALL_PBM</t>
        </is>
      </c>
      <c r="C738" s="5" t="inlineStr">
        <is>
          <t>68180051902</t>
        </is>
      </c>
      <c r="D738" s="5" t="inlineStr">
        <is>
          <t xml:space="preserve">LISINOPRIL-HCTZ 20-12.5MG TAB </t>
        </is>
      </c>
      <c r="E738" s="6" t="inlineStr">
        <is>
          <t>500.0</t>
        </is>
      </c>
      <c r="F738" s="7" t="n">
        <v>210</v>
      </c>
      <c r="G738" s="7" t="n">
        <v>0.42</v>
      </c>
      <c r="H738" s="7" t="n">
        <v>0</v>
      </c>
      <c r="I738" s="7" t="n">
        <v>-0.42</v>
      </c>
      <c r="J738" s="8" t="n">
        <v>5</v>
      </c>
      <c r="K738" s="9">
        <f>IFERROR(IF((ROUND((J738/G738)*I738,1))&lt;0,(ROUND((J738/G738)*I738,1)),0),0)</f>
        <v/>
      </c>
    </row>
    <row r="739">
      <c r="A739" s="4" t="n">
        <v>736</v>
      </c>
      <c r="B739" s="5" t="inlineStr">
        <is>
          <t>ALL_PBM</t>
        </is>
      </c>
      <c r="C739" s="5" t="inlineStr">
        <is>
          <t>65862016899</t>
        </is>
      </c>
      <c r="D739" s="5" t="inlineStr">
        <is>
          <t>ATENOLOL 25MG TABLET</t>
        </is>
      </c>
      <c r="E739" s="6" t="inlineStr">
        <is>
          <t>1000.0</t>
        </is>
      </c>
      <c r="F739" s="7" t="n">
        <v>180</v>
      </c>
      <c r="G739" s="7" t="n">
        <v>0.18</v>
      </c>
      <c r="H739" s="7" t="n">
        <v>0</v>
      </c>
      <c r="I739" s="7" t="n">
        <v>-0.18</v>
      </c>
      <c r="J739" s="8" t="n">
        <v>5</v>
      </c>
      <c r="K739" s="9">
        <f>IFERROR(IF((ROUND((J739/G739)*I739,1))&lt;0,(ROUND((J739/G739)*I739,1)),0),0)</f>
        <v/>
      </c>
    </row>
    <row r="740">
      <c r="A740" s="4" t="n">
        <v>737</v>
      </c>
      <c r="B740" s="5" t="inlineStr">
        <is>
          <t>ALL_PBM</t>
        </is>
      </c>
      <c r="C740" s="5" t="inlineStr">
        <is>
          <t>61314063006</t>
        </is>
      </c>
      <c r="D740" s="5" t="inlineStr">
        <is>
          <t>NEOMYCIN-POLY-DEX OPTH SUSPENSION (EYE)</t>
        </is>
      </c>
      <c r="E740" s="6" t="inlineStr">
        <is>
          <t>5.0</t>
        </is>
      </c>
      <c r="F740" s="7" t="n">
        <v>5</v>
      </c>
      <c r="G740" s="7" t="n">
        <v>1</v>
      </c>
      <c r="H740" s="7" t="n">
        <v>3</v>
      </c>
      <c r="I740" s="7" t="n">
        <v>2</v>
      </c>
      <c r="J740" s="8" t="n">
        <v>5</v>
      </c>
      <c r="K740" s="9">
        <f>IFERROR(IF((ROUND((J740/G740)*I740,1))&lt;0,(ROUND((J740/G740)*I740,1)),0),0)</f>
        <v/>
      </c>
    </row>
    <row r="741">
      <c r="A741" s="4" t="n">
        <v>738</v>
      </c>
      <c r="B741" s="5" t="inlineStr">
        <is>
          <t>ALL_PBM</t>
        </is>
      </c>
      <c r="C741" s="5" t="inlineStr">
        <is>
          <t>72578000205</t>
        </is>
      </c>
      <c r="D741" s="5" t="inlineStr">
        <is>
          <t>ACYCLOVIR 200MG CAPSULE</t>
        </is>
      </c>
      <c r="E741" s="6" t="inlineStr">
        <is>
          <t>500.0</t>
        </is>
      </c>
      <c r="F741" s="7" t="n">
        <v>90</v>
      </c>
      <c r="G741" s="7" t="n">
        <v>0.18</v>
      </c>
      <c r="H741" s="7" t="n">
        <v>0</v>
      </c>
      <c r="I741" s="7" t="n">
        <v>-0.18</v>
      </c>
      <c r="J741" s="8" t="n">
        <v>5</v>
      </c>
      <c r="K741" s="9">
        <f>IFERROR(IF((ROUND((J741/G741)*I741,1))&lt;0,(ROUND((J741/G741)*I741,1)),0),0)</f>
        <v/>
      </c>
    </row>
    <row r="742">
      <c r="A742" s="4" t="n">
        <v>739</v>
      </c>
      <c r="B742" s="5" t="inlineStr">
        <is>
          <t>ALL_PBM</t>
        </is>
      </c>
      <c r="C742" s="5" t="inlineStr">
        <is>
          <t>13668009690</t>
        </is>
      </c>
      <c r="D742" s="5" t="inlineStr">
        <is>
          <t xml:space="preserve">PANTOPRAZOLE 20MG TAB </t>
        </is>
      </c>
      <c r="E742" s="6" t="inlineStr">
        <is>
          <t>90.0</t>
        </is>
      </c>
      <c r="F742" s="7" t="n">
        <v>90</v>
      </c>
      <c r="G742" s="7" t="n">
        <v>1</v>
      </c>
      <c r="H742" s="7" t="n">
        <v>0</v>
      </c>
      <c r="I742" s="7" t="n">
        <v>-1</v>
      </c>
      <c r="J742" s="8" t="n">
        <v>5</v>
      </c>
      <c r="K742" s="9">
        <f>IFERROR(IF((ROUND((J742/G742)*I742,1))&lt;0,(ROUND((J742/G742)*I742,1)),0),0)</f>
        <v/>
      </c>
    </row>
    <row r="743">
      <c r="A743" s="4" t="n">
        <v>740</v>
      </c>
      <c r="B743" s="5" t="inlineStr">
        <is>
          <t>ALL_PBM</t>
        </is>
      </c>
      <c r="C743" s="5" t="inlineStr">
        <is>
          <t>59651015301</t>
        </is>
      </c>
      <c r="D743" s="5" t="inlineStr">
        <is>
          <t>PROGESTERONE 200 MG ORAL CAPSULE</t>
        </is>
      </c>
      <c r="E743" s="6" t="inlineStr">
        <is>
          <t>100.0</t>
        </is>
      </c>
      <c r="F743" s="7" t="n">
        <v>12</v>
      </c>
      <c r="G743" s="7" t="n">
        <v>0.12</v>
      </c>
      <c r="H743" s="7" t="n">
        <v>0</v>
      </c>
      <c r="I743" s="7" t="n">
        <v>-0.12</v>
      </c>
      <c r="J743" s="8" t="n">
        <v>5</v>
      </c>
      <c r="K743" s="9">
        <f>IFERROR(IF((ROUND((J743/G743)*I743,1))&lt;0,(ROUND((J743/G743)*I743,1)),0),0)</f>
        <v/>
      </c>
    </row>
    <row r="744">
      <c r="A744" s="4" t="n">
        <v>741</v>
      </c>
      <c r="B744" s="5" t="inlineStr">
        <is>
          <t>ALL_PBM</t>
        </is>
      </c>
      <c r="C744" s="5" t="inlineStr">
        <is>
          <t>64980034001</t>
        </is>
      </c>
      <c r="D744" s="5" t="inlineStr">
        <is>
          <t>ALENDRONATE SODIUM 10 MG ORAL TABLET</t>
        </is>
      </c>
      <c r="E744" s="6" t="inlineStr">
        <is>
          <t>100.0</t>
        </is>
      </c>
      <c r="F744" s="7" t="n">
        <v>28</v>
      </c>
      <c r="G744" s="7" t="n">
        <v>0.28</v>
      </c>
      <c r="H744" s="7" t="n">
        <v>0</v>
      </c>
      <c r="I744" s="7" t="n">
        <v>-0.28</v>
      </c>
      <c r="J744" s="8" t="n">
        <v>5</v>
      </c>
      <c r="K744" s="9">
        <f>IFERROR(IF((ROUND((J744/G744)*I744,1))&lt;0,(ROUND((J744/G744)*I744,1)),0),0)</f>
        <v/>
      </c>
    </row>
    <row r="745">
      <c r="A745" s="4" t="n">
        <v>742</v>
      </c>
      <c r="B745" s="5" t="inlineStr">
        <is>
          <t>ALL_PBM</t>
        </is>
      </c>
      <c r="C745" s="5" t="inlineStr">
        <is>
          <t>70436005801</t>
        </is>
      </c>
      <c r="D745" s="5" t="inlineStr">
        <is>
          <t>BUPROPION HCL ER (SR) 100MG TABLET</t>
        </is>
      </c>
      <c r="E745" s="6" t="inlineStr">
        <is>
          <t>100.0</t>
        </is>
      </c>
      <c r="F745" s="7" t="n">
        <v>30</v>
      </c>
      <c r="G745" s="7" t="n">
        <v>0.3</v>
      </c>
      <c r="H745" s="7" t="n">
        <v>0</v>
      </c>
      <c r="I745" s="7" t="n">
        <v>-0.3</v>
      </c>
      <c r="J745" s="8" t="n">
        <v>5</v>
      </c>
      <c r="K745" s="9">
        <f>IFERROR(IF((ROUND((J745/G745)*I745,1))&lt;0,(ROUND((J745/G745)*I745,1)),0),0)</f>
        <v/>
      </c>
    </row>
    <row r="746">
      <c r="A746" s="4" t="n">
        <v>743</v>
      </c>
      <c r="B746" s="5" t="inlineStr">
        <is>
          <t>ALL_PBM</t>
        </is>
      </c>
      <c r="C746" s="5" t="inlineStr">
        <is>
          <t>65862070020</t>
        </is>
      </c>
      <c r="D746" s="5" t="inlineStr">
        <is>
          <t>CEFUROXIME AXETIL 500MG TABLET</t>
        </is>
      </c>
      <c r="E746" s="6" t="inlineStr">
        <is>
          <t>20.0</t>
        </is>
      </c>
      <c r="F746" s="7" t="n">
        <v>17</v>
      </c>
      <c r="G746" s="7" t="n">
        <v>0.85</v>
      </c>
      <c r="H746" s="7" t="n">
        <v>0</v>
      </c>
      <c r="I746" s="7" t="n">
        <v>-0.85</v>
      </c>
      <c r="J746" s="8" t="n">
        <v>5</v>
      </c>
      <c r="K746" s="9">
        <f>IFERROR(IF((ROUND((J746/G746)*I746,1))&lt;0,(ROUND((J746/G746)*I746,1)),0),0)</f>
        <v/>
      </c>
    </row>
    <row r="747">
      <c r="A747" s="4" t="n">
        <v>744</v>
      </c>
      <c r="B747" s="5" t="inlineStr">
        <is>
          <t>ALL_PBM</t>
        </is>
      </c>
      <c r="C747" s="5" t="inlineStr">
        <is>
          <t>68180096803</t>
        </is>
      </c>
      <c r="D747" s="5" t="inlineStr">
        <is>
          <t>LEVOTHYROXINE 88MCG TABLET</t>
        </is>
      </c>
      <c r="E747" s="6" t="inlineStr">
        <is>
          <t>1000.0</t>
        </is>
      </c>
      <c r="F747" s="7" t="n">
        <v>60</v>
      </c>
      <c r="G747" s="7" t="n">
        <v>0.06</v>
      </c>
      <c r="H747" s="7" t="n">
        <v>0</v>
      </c>
      <c r="I747" s="7" t="n">
        <v>-0.06</v>
      </c>
      <c r="J747" s="8" t="n">
        <v>5</v>
      </c>
      <c r="K747" s="9">
        <f>IFERROR(IF((ROUND((J747/G747)*I747,1))&lt;0,(ROUND((J747/G747)*I747,1)),0),0)</f>
        <v/>
      </c>
    </row>
    <row r="748">
      <c r="A748" s="4" t="n">
        <v>745</v>
      </c>
      <c r="B748" s="5" t="inlineStr">
        <is>
          <t>ALL_PBM</t>
        </is>
      </c>
      <c r="C748" s="5" t="inlineStr">
        <is>
          <t>60505265701</t>
        </is>
      </c>
      <c r="D748" s="5" t="inlineStr">
        <is>
          <t>TRIAMTERENE-HCTZ 75-50 MG ORAL TABLET</t>
        </is>
      </c>
      <c r="E748" s="6" t="inlineStr">
        <is>
          <t>100.0</t>
        </is>
      </c>
      <c r="F748" s="7" t="n">
        <v>90</v>
      </c>
      <c r="G748" s="7" t="n">
        <v>0.9</v>
      </c>
      <c r="H748" s="7" t="n">
        <v>0</v>
      </c>
      <c r="I748" s="7" t="n">
        <v>-0.9</v>
      </c>
      <c r="J748" s="8" t="n">
        <v>5</v>
      </c>
      <c r="K748" s="9">
        <f>IFERROR(IF((ROUND((J748/G748)*I748,1))&lt;0,(ROUND((J748/G748)*I748,1)),0),0)</f>
        <v/>
      </c>
    </row>
    <row r="749">
      <c r="A749" s="4" t="n">
        <v>746</v>
      </c>
      <c r="B749" s="5" t="inlineStr">
        <is>
          <t>ALL_PBM</t>
        </is>
      </c>
      <c r="C749" s="5" t="inlineStr">
        <is>
          <t>31722054501</t>
        </is>
      </c>
      <c r="D749" s="5" t="inlineStr">
        <is>
          <t xml:space="preserve">LITHIUM CARBONATE 300MG CAP </t>
        </is>
      </c>
      <c r="E749" s="6" t="inlineStr">
        <is>
          <t>100.0</t>
        </is>
      </c>
      <c r="F749" s="7" t="n">
        <v>120</v>
      </c>
      <c r="G749" s="7" t="n">
        <v>1.2</v>
      </c>
      <c r="H749" s="7" t="n">
        <v>0</v>
      </c>
      <c r="I749" s="7" t="n">
        <v>-1.2</v>
      </c>
      <c r="J749" s="8" t="n">
        <v>5</v>
      </c>
      <c r="K749" s="9">
        <f>IFERROR(IF((ROUND((J749/G749)*I749,1))&lt;0,(ROUND((J749/G749)*I749,1)),0),0)</f>
        <v/>
      </c>
    </row>
    <row r="750">
      <c r="A750" s="4" t="n">
        <v>747</v>
      </c>
      <c r="B750" s="5" t="inlineStr">
        <is>
          <t>ALL_PBM</t>
        </is>
      </c>
      <c r="C750" s="5" t="inlineStr">
        <is>
          <t>23155017805</t>
        </is>
      </c>
      <c r="D750" s="5" t="inlineStr">
        <is>
          <t>ISOSORBIDE MONONITRATE ER 60MG</t>
        </is>
      </c>
      <c r="E750" s="6" t="inlineStr">
        <is>
          <t>500.0</t>
        </is>
      </c>
      <c r="F750" s="7" t="n">
        <v>30</v>
      </c>
      <c r="G750" s="7" t="n">
        <v>0.06</v>
      </c>
      <c r="H750" s="7" t="n">
        <v>0</v>
      </c>
      <c r="I750" s="7" t="n">
        <v>-0.06</v>
      </c>
      <c r="J750" s="8" t="n">
        <v>5</v>
      </c>
      <c r="K750" s="9">
        <f>IFERROR(IF((ROUND((J750/G750)*I750,1))&lt;0,(ROUND((J750/G750)*I750,1)),0),0)</f>
        <v/>
      </c>
    </row>
    <row r="751">
      <c r="A751" s="4" t="n">
        <v>748</v>
      </c>
      <c r="B751" s="5" t="inlineStr">
        <is>
          <t>ALL_PBM</t>
        </is>
      </c>
      <c r="C751" s="5" t="inlineStr">
        <is>
          <t>00093220405</t>
        </is>
      </c>
      <c r="D751" s="5" t="inlineStr">
        <is>
          <t>METOCLOPRAMIDE 5MG TABLET</t>
        </is>
      </c>
      <c r="E751" s="6" t="inlineStr">
        <is>
          <t>500.0</t>
        </is>
      </c>
      <c r="F751" s="7" t="n">
        <v>120</v>
      </c>
      <c r="G751" s="7" t="n">
        <v>0.24</v>
      </c>
      <c r="H751" s="7" t="n">
        <v>0</v>
      </c>
      <c r="I751" s="7" t="n">
        <v>-0.24</v>
      </c>
      <c r="J751" s="8" t="n">
        <v>4</v>
      </c>
      <c r="K751" s="9">
        <f>IFERROR(IF((ROUND((J751/G751)*I751,1))&lt;0,(ROUND((J751/G751)*I751,1)),0),0)</f>
        <v/>
      </c>
    </row>
    <row r="752">
      <c r="A752" s="4" t="n">
        <v>749</v>
      </c>
      <c r="B752" s="5" t="inlineStr">
        <is>
          <t>ALL_PBM</t>
        </is>
      </c>
      <c r="C752" s="5" t="inlineStr">
        <is>
          <t>65862047501</t>
        </is>
      </c>
      <c r="D752" s="5" t="inlineStr">
        <is>
          <t>RAMIPRIL 2.5MG CAPSULE</t>
        </is>
      </c>
      <c r="E752" s="6" t="inlineStr">
        <is>
          <t>100.0</t>
        </is>
      </c>
      <c r="F752" s="7" t="n">
        <v>90</v>
      </c>
      <c r="G752" s="7" t="n">
        <v>0.9</v>
      </c>
      <c r="H752" s="7" t="n">
        <v>0</v>
      </c>
      <c r="I752" s="7" t="n">
        <v>-0.9</v>
      </c>
      <c r="J752" s="8" t="n">
        <v>4</v>
      </c>
      <c r="K752" s="9">
        <f>IFERROR(IF((ROUND((J752/G752)*I752,1))&lt;0,(ROUND((J752/G752)*I752,1)),0),0)</f>
        <v/>
      </c>
    </row>
    <row r="753">
      <c r="A753" s="4" t="n">
        <v>750</v>
      </c>
      <c r="B753" s="5" t="inlineStr">
        <is>
          <t>ALL_PBM</t>
        </is>
      </c>
      <c r="C753" s="5" t="inlineStr">
        <is>
          <t>67877021905</t>
        </is>
      </c>
      <c r="D753" s="5" t="inlineStr">
        <is>
          <t xml:space="preserve">CEPHALEXIN 500MG CAPSULE </t>
        </is>
      </c>
      <c r="E753" s="6" t="inlineStr">
        <is>
          <t>500.0</t>
        </is>
      </c>
      <c r="F753" s="7" t="n">
        <v>54</v>
      </c>
      <c r="G753" s="7" t="n">
        <v>0.108</v>
      </c>
      <c r="H753" s="7" t="n">
        <v>0</v>
      </c>
      <c r="I753" s="7" t="n">
        <v>-0.108</v>
      </c>
      <c r="J753" s="8" t="n">
        <v>4</v>
      </c>
      <c r="K753" s="9">
        <f>IFERROR(IF((ROUND((J753/G753)*I753,1))&lt;0,(ROUND((J753/G753)*I753,1)),0),0)</f>
        <v/>
      </c>
    </row>
    <row r="754">
      <c r="A754" s="4" t="n">
        <v>751</v>
      </c>
      <c r="B754" s="5" t="inlineStr">
        <is>
          <t>ALL_PBM</t>
        </is>
      </c>
      <c r="C754" s="5" t="inlineStr">
        <is>
          <t>24208079535</t>
        </is>
      </c>
      <c r="D754" s="5" t="inlineStr">
        <is>
          <t>NEOMYCIN-POLYMYXIN-DEXAMETH 3.5-10000-0.1 OPHTHALMIC OINTMENT</t>
        </is>
      </c>
      <c r="E754" s="6" t="inlineStr">
        <is>
          <t>3.5</t>
        </is>
      </c>
      <c r="F754" s="7" t="n">
        <v>3.5</v>
      </c>
      <c r="G754" s="7" t="n">
        <v>1</v>
      </c>
      <c r="H754" s="7" t="n">
        <v>0</v>
      </c>
      <c r="I754" s="7" t="n">
        <v>-1</v>
      </c>
      <c r="J754" s="8" t="n">
        <v>4</v>
      </c>
      <c r="K754" s="9">
        <f>IFERROR(IF((ROUND((J754/G754)*I754,1))&lt;0,(ROUND((J754/G754)*I754,1)),0),0)</f>
        <v/>
      </c>
    </row>
    <row r="755">
      <c r="A755" s="4" t="n">
        <v>752</v>
      </c>
      <c r="B755" s="5" t="inlineStr">
        <is>
          <t>ALL_PBM</t>
        </is>
      </c>
      <c r="C755" s="5" t="inlineStr">
        <is>
          <t>13107015430</t>
        </is>
      </c>
      <c r="D755" s="5" t="inlineStr">
        <is>
          <t>PAROXETINE 10MG TABLET</t>
        </is>
      </c>
      <c r="E755" s="6" t="inlineStr">
        <is>
          <t>30.0</t>
        </is>
      </c>
      <c r="F755" s="7" t="n">
        <v>90</v>
      </c>
      <c r="G755" s="7" t="n">
        <v>3</v>
      </c>
      <c r="H755" s="7" t="n">
        <v>0</v>
      </c>
      <c r="I755" s="7" t="n">
        <v>-3</v>
      </c>
      <c r="J755" s="8" t="n">
        <v>4</v>
      </c>
      <c r="K755" s="9">
        <f>IFERROR(IF((ROUND((J755/G755)*I755,1))&lt;0,(ROUND((J755/G755)*I755,1)),0),0)</f>
        <v/>
      </c>
    </row>
    <row r="756">
      <c r="A756" s="4" t="n">
        <v>753</v>
      </c>
      <c r="B756" s="5" t="inlineStr">
        <is>
          <t>ALL_PBM</t>
        </is>
      </c>
      <c r="C756" s="5" t="inlineStr">
        <is>
          <t>68382009205</t>
        </is>
      </c>
      <c r="D756" s="5" t="inlineStr">
        <is>
          <t xml:space="preserve">CARVEDILOL 3.125MG TAB </t>
        </is>
      </c>
      <c r="E756" s="6" t="inlineStr">
        <is>
          <t>500.0</t>
        </is>
      </c>
      <c r="F756" s="7" t="n">
        <v>240</v>
      </c>
      <c r="G756" s="7" t="n">
        <v>0.48</v>
      </c>
      <c r="H756" s="7" t="n">
        <v>0</v>
      </c>
      <c r="I756" s="7" t="n">
        <v>-0.48</v>
      </c>
      <c r="J756" s="8" t="n">
        <v>4</v>
      </c>
      <c r="K756" s="9">
        <f>IFERROR(IF((ROUND((J756/G756)*I756,1))&lt;0,(ROUND((J756/G756)*I756,1)),0),0)</f>
        <v/>
      </c>
    </row>
    <row r="757">
      <c r="A757" s="4" t="n">
        <v>754</v>
      </c>
      <c r="B757" s="5" t="inlineStr">
        <is>
          <t>ALL_PBM</t>
        </is>
      </c>
      <c r="C757" s="5" t="inlineStr">
        <is>
          <t>57237010199</t>
        </is>
      </c>
      <c r="D757" s="5" t="inlineStr">
        <is>
          <t>METOPROLOL TARTRATE 50MG TABLET</t>
        </is>
      </c>
      <c r="E757" s="6" t="inlineStr">
        <is>
          <t>1000.0</t>
        </is>
      </c>
      <c r="F757" s="7" t="n">
        <v>240</v>
      </c>
      <c r="G757" s="7" t="n">
        <v>0.24</v>
      </c>
      <c r="H757" s="7" t="n">
        <v>0</v>
      </c>
      <c r="I757" s="7" t="n">
        <v>-0.24</v>
      </c>
      <c r="J757" s="8" t="n">
        <v>4</v>
      </c>
      <c r="K757" s="9">
        <f>IFERROR(IF((ROUND((J757/G757)*I757,1))&lt;0,(ROUND((J757/G757)*I757,1)),0),0)</f>
        <v/>
      </c>
    </row>
    <row r="758">
      <c r="A758" s="4" t="n">
        <v>755</v>
      </c>
      <c r="B758" s="5" t="inlineStr">
        <is>
          <t>ALL_PBM</t>
        </is>
      </c>
      <c r="C758" s="5" t="inlineStr">
        <is>
          <t>50228014610</t>
        </is>
      </c>
      <c r="D758" s="5" t="inlineStr">
        <is>
          <t>HYDROCHLOROTHIAZIDE 12.5MG CAPSULE</t>
        </is>
      </c>
      <c r="E758" s="6" t="inlineStr">
        <is>
          <t>1000.0</t>
        </is>
      </c>
      <c r="F758" s="7" t="n">
        <v>270</v>
      </c>
      <c r="G758" s="7" t="n">
        <v>0.27</v>
      </c>
      <c r="H758" s="7" t="n">
        <v>0</v>
      </c>
      <c r="I758" s="7" t="n">
        <v>-0.27</v>
      </c>
      <c r="J758" s="8" t="n">
        <v>4</v>
      </c>
      <c r="K758" s="9">
        <f>IFERROR(IF((ROUND((J758/G758)*I758,1))&lt;0,(ROUND((J758/G758)*I758,1)),0),0)</f>
        <v/>
      </c>
    </row>
    <row r="759">
      <c r="A759" s="4" t="n">
        <v>756</v>
      </c>
      <c r="B759" s="5" t="inlineStr">
        <is>
          <t>ALL_PBM</t>
        </is>
      </c>
      <c r="C759" s="5" t="inlineStr">
        <is>
          <t>00781107901</t>
        </is>
      </c>
      <c r="D759" s="5" t="inlineStr">
        <is>
          <t>ALPRAZOLAM 1 MG ORAL TABLET</t>
        </is>
      </c>
      <c r="E759" s="6" t="inlineStr">
        <is>
          <t>100.0</t>
        </is>
      </c>
      <c r="F759" s="7" t="n">
        <v>60</v>
      </c>
      <c r="G759" s="7" t="n">
        <v>0.6</v>
      </c>
      <c r="H759" s="7" t="n">
        <v>0</v>
      </c>
      <c r="I759" s="7" t="n">
        <v>-0.6</v>
      </c>
      <c r="J759" s="8" t="n">
        <v>4</v>
      </c>
      <c r="K759" s="9">
        <f>IFERROR(IF((ROUND((J759/G759)*I759,1))&lt;0,(ROUND((J759/G759)*I759,1)),0),0)</f>
        <v/>
      </c>
    </row>
    <row r="760">
      <c r="A760" s="4" t="n">
        <v>757</v>
      </c>
      <c r="B760" s="5" t="inlineStr">
        <is>
          <t>ALL_PBM</t>
        </is>
      </c>
      <c r="C760" s="5" t="inlineStr">
        <is>
          <t>24689088201</t>
        </is>
      </c>
      <c r="D760" s="5" t="inlineStr">
        <is>
          <t>TERAZOSIN HCL 5 MG ORAL CAPSULE</t>
        </is>
      </c>
      <c r="E760" s="6" t="inlineStr">
        <is>
          <t>100.0</t>
        </is>
      </c>
      <c r="F760" s="7" t="n">
        <v>60</v>
      </c>
      <c r="G760" s="7" t="n">
        <v>0.6</v>
      </c>
      <c r="H760" s="7" t="n">
        <v>0</v>
      </c>
      <c r="I760" s="7" t="n">
        <v>-0.6</v>
      </c>
      <c r="J760" s="8" t="n">
        <v>4</v>
      </c>
      <c r="K760" s="9">
        <f>IFERROR(IF((ROUND((J760/G760)*I760,1))&lt;0,(ROUND((J760/G760)*I760,1)),0),0)</f>
        <v/>
      </c>
    </row>
    <row r="761">
      <c r="A761" s="4" t="n">
        <v>758</v>
      </c>
      <c r="B761" s="5" t="inlineStr">
        <is>
          <t>ALL_PBM</t>
        </is>
      </c>
      <c r="C761" s="5" t="inlineStr">
        <is>
          <t>13107015630</t>
        </is>
      </c>
      <c r="D761" s="5" t="inlineStr">
        <is>
          <t>PAROXETINE 30MG TABLET</t>
        </is>
      </c>
      <c r="E761" s="6" t="inlineStr">
        <is>
          <t>30.0</t>
        </is>
      </c>
      <c r="F761" s="7" t="n">
        <v>30</v>
      </c>
      <c r="G761" s="7" t="n">
        <v>1</v>
      </c>
      <c r="H761" s="7" t="n">
        <v>0</v>
      </c>
      <c r="I761" s="7" t="n">
        <v>-1</v>
      </c>
      <c r="J761" s="8" t="n">
        <v>3</v>
      </c>
      <c r="K761" s="9">
        <f>IFERROR(IF((ROUND((J761/G761)*I761,1))&lt;0,(ROUND((J761/G761)*I761,1)),0),0)</f>
        <v/>
      </c>
    </row>
    <row r="762">
      <c r="A762" s="4" t="n">
        <v>759</v>
      </c>
      <c r="B762" s="5" t="inlineStr">
        <is>
          <t>ALL_PBM</t>
        </is>
      </c>
      <c r="C762" s="5" t="inlineStr">
        <is>
          <t>00093970210</t>
        </is>
      </c>
      <c r="D762" s="5" t="inlineStr">
        <is>
          <t xml:space="preserve">CARBIDOPA-LEVODOPA 25-100 MG TABLET </t>
        </is>
      </c>
      <c r="E762" s="6" t="inlineStr">
        <is>
          <t>1000.0</t>
        </is>
      </c>
      <c r="F762" s="7" t="n">
        <v>90</v>
      </c>
      <c r="G762" s="7" t="n">
        <v>0.09</v>
      </c>
      <c r="H762" s="7" t="n">
        <v>0</v>
      </c>
      <c r="I762" s="7" t="n">
        <v>-0.09</v>
      </c>
      <c r="J762" s="8" t="n">
        <v>3</v>
      </c>
      <c r="K762" s="9">
        <f>IFERROR(IF((ROUND((J762/G762)*I762,1))&lt;0,(ROUND((J762/G762)*I762,1)),0),0)</f>
        <v/>
      </c>
    </row>
    <row r="763">
      <c r="A763" s="4" t="n">
        <v>760</v>
      </c>
      <c r="B763" s="5" t="inlineStr">
        <is>
          <t>ALL_PBM</t>
        </is>
      </c>
      <c r="C763" s="5" t="inlineStr">
        <is>
          <t>23155073601</t>
        </is>
      </c>
      <c r="D763" s="5" t="inlineStr">
        <is>
          <t>TERAZOSIN 2MG CAPSULE</t>
        </is>
      </c>
      <c r="E763" s="6" t="inlineStr">
        <is>
          <t>100.0</t>
        </is>
      </c>
      <c r="F763" s="7" t="n">
        <v>30</v>
      </c>
      <c r="G763" s="7" t="n">
        <v>0.3</v>
      </c>
      <c r="H763" s="7" t="n">
        <v>0</v>
      </c>
      <c r="I763" s="7" t="n">
        <v>-0.3</v>
      </c>
      <c r="J763" s="8" t="n">
        <v>3</v>
      </c>
      <c r="K763" s="9">
        <f>IFERROR(IF((ROUND((J763/G763)*I763,1))&lt;0,(ROUND((J763/G763)*I763,1)),0),0)</f>
        <v/>
      </c>
    </row>
    <row r="764">
      <c r="A764" s="4" t="n">
        <v>761</v>
      </c>
      <c r="B764" s="5" t="inlineStr">
        <is>
          <t>ALL_PBM</t>
        </is>
      </c>
      <c r="C764" s="5" t="inlineStr">
        <is>
          <t>65862018730</t>
        </is>
      </c>
      <c r="D764" s="5" t="inlineStr">
        <is>
          <t xml:space="preserve">ONDANSETRON 4MG TAB </t>
        </is>
      </c>
      <c r="E764" s="6" t="inlineStr">
        <is>
          <t>30.0</t>
        </is>
      </c>
      <c r="F764" s="7" t="n">
        <v>25</v>
      </c>
      <c r="G764" s="7" t="n">
        <v>0.8333333333333334</v>
      </c>
      <c r="H764" s="7" t="n">
        <v>0</v>
      </c>
      <c r="I764" s="7" t="n">
        <v>-0.8333333333333334</v>
      </c>
      <c r="J764" s="8" t="n">
        <v>3</v>
      </c>
      <c r="K764" s="9">
        <f>IFERROR(IF((ROUND((J764/G764)*I764,1))&lt;0,(ROUND((J764/G764)*I764,1)),0),0)</f>
        <v/>
      </c>
    </row>
    <row r="765">
      <c r="A765" s="4" t="n">
        <v>762</v>
      </c>
      <c r="B765" s="5" t="inlineStr">
        <is>
          <t>ALL_PBM</t>
        </is>
      </c>
      <c r="C765" s="5" t="inlineStr">
        <is>
          <t>68462039610</t>
        </is>
      </c>
      <c r="D765" s="5" t="inlineStr">
        <is>
          <t>OMEPRAZOLE 20MG CAPSULE DR</t>
        </is>
      </c>
      <c r="E765" s="6" t="inlineStr">
        <is>
          <t>1000.0</t>
        </is>
      </c>
      <c r="F765" s="7" t="n">
        <v>120</v>
      </c>
      <c r="G765" s="7" t="n">
        <v>0.12</v>
      </c>
      <c r="H765" s="7" t="n">
        <v>2</v>
      </c>
      <c r="I765" s="7" t="n">
        <v>1.88</v>
      </c>
      <c r="J765" s="8" t="n">
        <v>3</v>
      </c>
      <c r="K765" s="9">
        <f>IFERROR(IF((ROUND((J765/G765)*I765,1))&lt;0,(ROUND((J765/G765)*I765,1)),0),0)</f>
        <v/>
      </c>
    </row>
    <row r="766">
      <c r="A766" s="4" t="n">
        <v>763</v>
      </c>
      <c r="B766" s="5" t="inlineStr">
        <is>
          <t>ALL_PBM</t>
        </is>
      </c>
      <c r="C766" s="5" t="inlineStr">
        <is>
          <t>55111016830</t>
        </is>
      </c>
      <c r="D766" s="5" t="inlineStr">
        <is>
          <t>OLANZAPINE 20MG TABLET</t>
        </is>
      </c>
      <c r="E766" s="6" t="inlineStr">
        <is>
          <t>30.0</t>
        </is>
      </c>
      <c r="F766" s="7" t="n">
        <v>30</v>
      </c>
      <c r="G766" s="7" t="n">
        <v>1</v>
      </c>
      <c r="H766" s="7" t="n">
        <v>0</v>
      </c>
      <c r="I766" s="7" t="n">
        <v>-1</v>
      </c>
      <c r="J766" s="8" t="n">
        <v>3</v>
      </c>
      <c r="K766" s="9">
        <f>IFERROR(IF((ROUND((J766/G766)*I766,1))&lt;0,(ROUND((J766/G766)*I766,1)),0),0)</f>
        <v/>
      </c>
    </row>
    <row r="767">
      <c r="A767" s="4" t="n">
        <v>764</v>
      </c>
      <c r="B767" s="5" t="inlineStr">
        <is>
          <t>ALL_PBM</t>
        </is>
      </c>
      <c r="C767" s="5" t="inlineStr">
        <is>
          <t>53489038601</t>
        </is>
      </c>
      <c r="D767" s="5" t="inlineStr">
        <is>
          <t>MINOXIDIL 2.5MG TABLET</t>
        </is>
      </c>
      <c r="E767" s="6" t="inlineStr">
        <is>
          <t>100.0</t>
        </is>
      </c>
      <c r="F767" s="7" t="n">
        <v>30</v>
      </c>
      <c r="G767" s="7" t="n">
        <v>0.3</v>
      </c>
      <c r="H767" s="7" t="n">
        <v>0</v>
      </c>
      <c r="I767" s="7" t="n">
        <v>-0.3</v>
      </c>
      <c r="J767" s="8" t="n">
        <v>3</v>
      </c>
      <c r="K767" s="9">
        <f>IFERROR(IF((ROUND((J767/G767)*I767,1))&lt;0,(ROUND((J767/G767)*I767,1)),0),0)</f>
        <v/>
      </c>
    </row>
    <row r="768">
      <c r="A768" s="4" t="n">
        <v>765</v>
      </c>
      <c r="B768" s="5" t="inlineStr">
        <is>
          <t>ALL_PBM</t>
        </is>
      </c>
      <c r="C768" s="5" t="inlineStr">
        <is>
          <t>70436015542</t>
        </is>
      </c>
      <c r="D768" s="5" t="inlineStr">
        <is>
          <t>PROMETHAZINE-DM 6.25-15 MG/5ML ORAL SYRUP</t>
        </is>
      </c>
      <c r="E768" s="6" t="inlineStr">
        <is>
          <t>473.0</t>
        </is>
      </c>
      <c r="F768" s="7" t="n">
        <v>100</v>
      </c>
      <c r="G768" s="7" t="n">
        <v>0.2114164904862579</v>
      </c>
      <c r="H768" s="7" t="n">
        <v>0</v>
      </c>
      <c r="I768" s="7" t="n">
        <v>-0.2114164904862579</v>
      </c>
      <c r="J768" s="8" t="n">
        <v>3</v>
      </c>
      <c r="K768" s="9">
        <f>IFERROR(IF((ROUND((J768/G768)*I768,1))&lt;0,(ROUND((J768/G768)*I768,1)),0),0)</f>
        <v/>
      </c>
    </row>
    <row r="769">
      <c r="A769" s="4" t="n">
        <v>766</v>
      </c>
      <c r="B769" s="5" t="inlineStr">
        <is>
          <t>ALL_PBM</t>
        </is>
      </c>
      <c r="C769" s="5" t="inlineStr">
        <is>
          <t>13668013510</t>
        </is>
      </c>
      <c r="D769" s="5" t="inlineStr">
        <is>
          <t>ESCITALOPRAM 5MG TABLET</t>
        </is>
      </c>
      <c r="E769" s="6" t="inlineStr">
        <is>
          <t>1000.0</t>
        </is>
      </c>
      <c r="F769" s="7" t="n">
        <v>44</v>
      </c>
      <c r="G769" s="7" t="n">
        <v>0.044</v>
      </c>
      <c r="H769" s="7" t="n">
        <v>0</v>
      </c>
      <c r="I769" s="7" t="n">
        <v>-0.044</v>
      </c>
      <c r="J769" s="8" t="n">
        <v>3</v>
      </c>
      <c r="K769" s="9">
        <f>IFERROR(IF((ROUND((J769/G769)*I769,1))&lt;0,(ROUND((J769/G769)*I769,1)),0),0)</f>
        <v/>
      </c>
    </row>
    <row r="770">
      <c r="A770" s="4" t="n">
        <v>767</v>
      </c>
      <c r="B770" s="5" t="inlineStr">
        <is>
          <t>ALL_PBM</t>
        </is>
      </c>
      <c r="C770" s="5" t="inlineStr">
        <is>
          <t>23155070401</t>
        </is>
      </c>
      <c r="D770" s="5" t="inlineStr">
        <is>
          <t>ENALAPRIL MALEATE 2.5MG TABLET</t>
        </is>
      </c>
      <c r="E770" s="6" t="inlineStr">
        <is>
          <t>100.0</t>
        </is>
      </c>
      <c r="F770" s="7" t="n">
        <v>30</v>
      </c>
      <c r="G770" s="7" t="n">
        <v>0.3</v>
      </c>
      <c r="H770" s="7" t="n">
        <v>2</v>
      </c>
      <c r="I770" s="7" t="n">
        <v>1.7</v>
      </c>
      <c r="J770" s="8" t="n">
        <v>3</v>
      </c>
      <c r="K770" s="9">
        <f>IFERROR(IF((ROUND((J770/G770)*I770,1))&lt;0,(ROUND((J770/G770)*I770,1)),0),0)</f>
        <v/>
      </c>
    </row>
    <row r="771">
      <c r="A771" s="4" t="n">
        <v>768</v>
      </c>
      <c r="B771" s="5" t="inlineStr">
        <is>
          <t>ALL_PBM</t>
        </is>
      </c>
      <c r="C771" s="5" t="inlineStr">
        <is>
          <t>00781809003</t>
        </is>
      </c>
      <c r="D771" s="5" t="inlineStr">
        <is>
          <t>AZITHROMYCIN 500MG TAB</t>
        </is>
      </c>
      <c r="E771" s="6" t="inlineStr">
        <is>
          <t>3.0</t>
        </is>
      </c>
      <c r="F771" s="7" t="n">
        <v>5</v>
      </c>
      <c r="G771" s="7" t="n">
        <v>1.666666666666667</v>
      </c>
      <c r="H771" s="7" t="n">
        <v>0</v>
      </c>
      <c r="I771" s="7" t="n">
        <v>-1.666666666666667</v>
      </c>
      <c r="J771" s="8" t="n">
        <v>3</v>
      </c>
      <c r="K771" s="9">
        <f>IFERROR(IF((ROUND((J771/G771)*I771,1))&lt;0,(ROUND((J771/G771)*I771,1)),0),0)</f>
        <v/>
      </c>
    </row>
    <row r="772">
      <c r="A772" s="4" t="n">
        <v>769</v>
      </c>
      <c r="B772" s="5" t="inlineStr">
        <is>
          <t>ALL_PBM</t>
        </is>
      </c>
      <c r="C772" s="5" t="inlineStr">
        <is>
          <t>68180059102</t>
        </is>
      </c>
      <c r="D772" s="5" t="inlineStr">
        <is>
          <t xml:space="preserve">RAMIPRIL 10MG CAP </t>
        </is>
      </c>
      <c r="E772" s="6" t="inlineStr">
        <is>
          <t>500.0</t>
        </is>
      </c>
      <c r="F772" s="7" t="n">
        <v>90</v>
      </c>
      <c r="G772" s="7" t="n">
        <v>0.18</v>
      </c>
      <c r="H772" s="7" t="n">
        <v>0</v>
      </c>
      <c r="I772" s="7" t="n">
        <v>-0.18</v>
      </c>
      <c r="J772" s="8" t="n">
        <v>3</v>
      </c>
      <c r="K772" s="9">
        <f>IFERROR(IF((ROUND((J772/G772)*I772,1))&lt;0,(ROUND((J772/G772)*I772,1)),0),0)</f>
        <v/>
      </c>
    </row>
    <row r="773">
      <c r="A773" s="4" t="n">
        <v>770</v>
      </c>
      <c r="B773" s="5" t="inlineStr">
        <is>
          <t>ALL_PBM</t>
        </is>
      </c>
      <c r="C773" s="5" t="inlineStr">
        <is>
          <t>65862014736</t>
        </is>
      </c>
      <c r="D773" s="5" t="inlineStr">
        <is>
          <t xml:space="preserve">SUMATRIPTAN SUCCINATE 50MG TAB </t>
        </is>
      </c>
      <c r="E773" s="6" t="inlineStr">
        <is>
          <t>9.0</t>
        </is>
      </c>
      <c r="F773" s="7" t="n">
        <v>9</v>
      </c>
      <c r="G773" s="7" t="n">
        <v>1</v>
      </c>
      <c r="H773" s="7" t="n">
        <v>0</v>
      </c>
      <c r="I773" s="7" t="n">
        <v>-1</v>
      </c>
      <c r="J773" s="8" t="n">
        <v>3</v>
      </c>
      <c r="K773" s="9">
        <f>IFERROR(IF((ROUND((J773/G773)*I773,1))&lt;0,(ROUND((J773/G773)*I773,1)),0),0)</f>
        <v/>
      </c>
    </row>
    <row r="774">
      <c r="A774" s="4" t="n">
        <v>771</v>
      </c>
      <c r="B774" s="5" t="inlineStr">
        <is>
          <t>ALL_PBM</t>
        </is>
      </c>
      <c r="C774" s="5" t="inlineStr">
        <is>
          <t>65862017099</t>
        </is>
      </c>
      <c r="D774" s="5" t="inlineStr">
        <is>
          <t>ATENOLOL 100 MG TABLET</t>
        </is>
      </c>
      <c r="E774" s="6" t="inlineStr">
        <is>
          <t>1000.0</t>
        </is>
      </c>
      <c r="F774" s="7" t="n">
        <v>90</v>
      </c>
      <c r="G774" s="7" t="n">
        <v>0.09</v>
      </c>
      <c r="H774" s="7" t="n">
        <v>0</v>
      </c>
      <c r="I774" s="7" t="n">
        <v>-0.09</v>
      </c>
      <c r="J774" s="8" t="n">
        <v>3</v>
      </c>
      <c r="K774" s="9">
        <f>IFERROR(IF((ROUND((J774/G774)*I774,1))&lt;0,(ROUND((J774/G774)*I774,1)),0),0)</f>
        <v/>
      </c>
    </row>
    <row r="775">
      <c r="A775" s="4" t="n">
        <v>772</v>
      </c>
      <c r="B775" s="5" t="inlineStr">
        <is>
          <t>ALL_PBM</t>
        </is>
      </c>
      <c r="C775" s="5" t="inlineStr">
        <is>
          <t>47335001183</t>
        </is>
      </c>
      <c r="D775" s="5" t="inlineStr">
        <is>
          <t>TADALAFIL 10MG TABLET</t>
        </is>
      </c>
      <c r="E775" s="6" t="inlineStr">
        <is>
          <t>30.0</t>
        </is>
      </c>
      <c r="F775" s="7" t="n">
        <v>6</v>
      </c>
      <c r="G775" s="7" t="n">
        <v>0.2</v>
      </c>
      <c r="H775" s="7" t="n">
        <v>0</v>
      </c>
      <c r="I775" s="7" t="n">
        <v>-0.2</v>
      </c>
      <c r="J775" s="8" t="n">
        <v>3</v>
      </c>
      <c r="K775" s="9">
        <f>IFERROR(IF((ROUND((J775/G775)*I775,1))&lt;0,(ROUND((J775/G775)*I775,1)),0),0)</f>
        <v/>
      </c>
    </row>
    <row r="776">
      <c r="A776" s="4" t="n">
        <v>773</v>
      </c>
      <c r="B776" s="5" t="inlineStr">
        <is>
          <t>ALL_PBM</t>
        </is>
      </c>
      <c r="C776" s="5" t="inlineStr">
        <is>
          <t>67877026218</t>
        </is>
      </c>
      <c r="D776" s="5" t="inlineStr">
        <is>
          <t>RIZATRIPTAN BENZOATE 10MG TABLET</t>
        </is>
      </c>
      <c r="E776" s="6" t="inlineStr">
        <is>
          <t>18.0</t>
        </is>
      </c>
      <c r="F776" s="7" t="n">
        <v>12</v>
      </c>
      <c r="G776" s="7" t="n">
        <v>0.6666666666666666</v>
      </c>
      <c r="H776" s="7" t="n">
        <v>0</v>
      </c>
      <c r="I776" s="7" t="n">
        <v>-0.6666666666666666</v>
      </c>
      <c r="J776" s="8" t="n">
        <v>2</v>
      </c>
      <c r="K776" s="9">
        <f>IFERROR(IF((ROUND((J776/G776)*I776,1))&lt;0,(ROUND((J776/G776)*I776,1)),0),0)</f>
        <v/>
      </c>
    </row>
    <row r="777">
      <c r="A777" s="4" t="n">
        <v>774</v>
      </c>
      <c r="B777" s="5" t="inlineStr">
        <is>
          <t>ALL_PBM</t>
        </is>
      </c>
      <c r="C777" s="5" t="inlineStr">
        <is>
          <t>10135069712</t>
        </is>
      </c>
      <c r="D777" s="5" t="inlineStr">
        <is>
          <t>ALENDRONATE 70MG TABLET</t>
        </is>
      </c>
      <c r="E777" s="6" t="inlineStr">
        <is>
          <t>12.0</t>
        </is>
      </c>
      <c r="F777" s="7" t="n">
        <v>12</v>
      </c>
      <c r="G777" s="7" t="n">
        <v>1</v>
      </c>
      <c r="H777" s="7" t="n">
        <v>0</v>
      </c>
      <c r="I777" s="7" t="n">
        <v>-1</v>
      </c>
      <c r="J777" s="8" t="n">
        <v>2</v>
      </c>
      <c r="K777" s="9">
        <f>IFERROR(IF((ROUND((J777/G777)*I777,1))&lt;0,(ROUND((J777/G777)*I777,1)),0),0)</f>
        <v/>
      </c>
    </row>
    <row r="778">
      <c r="A778" s="4" t="n">
        <v>775</v>
      </c>
      <c r="B778" s="5" t="inlineStr">
        <is>
          <t>ALL_PBM</t>
        </is>
      </c>
      <c r="C778" s="5" t="inlineStr">
        <is>
          <t>00832532411</t>
        </is>
      </c>
      <c r="D778" s="5" t="inlineStr">
        <is>
          <t>POTASSIUM CHLORIDE 10MEQ TABLET ER</t>
        </is>
      </c>
      <c r="E778" s="6" t="inlineStr">
        <is>
          <t>100.0</t>
        </is>
      </c>
      <c r="F778" s="7" t="n">
        <v>30</v>
      </c>
      <c r="G778" s="7" t="n">
        <v>0.3</v>
      </c>
      <c r="H778" s="7" t="n">
        <v>0</v>
      </c>
      <c r="I778" s="7" t="n">
        <v>-0.3</v>
      </c>
      <c r="J778" s="8" t="n">
        <v>2</v>
      </c>
      <c r="K778" s="9">
        <f>IFERROR(IF((ROUND((J778/G778)*I778,1))&lt;0,(ROUND((J778/G778)*I778,1)),0),0)</f>
        <v/>
      </c>
    </row>
    <row r="779">
      <c r="A779" s="4" t="n">
        <v>776</v>
      </c>
      <c r="B779" s="5" t="inlineStr">
        <is>
          <t>ALL_PBM</t>
        </is>
      </c>
      <c r="C779" s="5" t="inlineStr">
        <is>
          <t>00093171601</t>
        </is>
      </c>
      <c r="D779" s="5" t="inlineStr">
        <is>
          <t xml:space="preserve">WARFARIN 4MG TAB </t>
        </is>
      </c>
      <c r="E779" s="6" t="inlineStr">
        <is>
          <t>100.0</t>
        </is>
      </c>
      <c r="F779" s="7" t="n">
        <v>50</v>
      </c>
      <c r="G779" s="7" t="n">
        <v>0.5</v>
      </c>
      <c r="H779" s="7" t="n">
        <v>1</v>
      </c>
      <c r="I779" s="7" t="n">
        <v>0.5</v>
      </c>
      <c r="J779" s="8" t="n">
        <v>2</v>
      </c>
      <c r="K779" s="9">
        <f>IFERROR(IF((ROUND((J779/G779)*I779,1))&lt;0,(ROUND((J779/G779)*I779,1)),0),0)</f>
        <v/>
      </c>
    </row>
    <row r="780">
      <c r="A780" s="4" t="n">
        <v>777</v>
      </c>
      <c r="B780" s="5" t="inlineStr">
        <is>
          <t>ALL_PBM</t>
        </is>
      </c>
      <c r="C780" s="5" t="inlineStr">
        <is>
          <t>43598096830</t>
        </is>
      </c>
      <c r="D780" s="5" t="inlineStr">
        <is>
          <t>ARIPIPRAZOLE 15MG TABLET</t>
        </is>
      </c>
      <c r="E780" s="6" t="inlineStr">
        <is>
          <t>30.0</t>
        </is>
      </c>
      <c r="F780" s="7" t="n">
        <v>30</v>
      </c>
      <c r="G780" s="7" t="n">
        <v>1</v>
      </c>
      <c r="H780" s="7" t="n">
        <v>0</v>
      </c>
      <c r="I780" s="7" t="n">
        <v>-1</v>
      </c>
      <c r="J780" s="8" t="n">
        <v>2</v>
      </c>
      <c r="K780" s="9">
        <f>IFERROR(IF((ROUND((J780/G780)*I780,1))&lt;0,(ROUND((J780/G780)*I780,1)),0),0)</f>
        <v/>
      </c>
    </row>
    <row r="781">
      <c r="A781" s="4" t="n">
        <v>778</v>
      </c>
      <c r="B781" s="5" t="inlineStr">
        <is>
          <t>ALL_PBM</t>
        </is>
      </c>
      <c r="C781" s="5" t="inlineStr">
        <is>
          <t>42571016201</t>
        </is>
      </c>
      <c r="D781" s="5" t="inlineStr">
        <is>
          <t>AMOXICILLIN-CLAVULANATE 875-125MG TABLET</t>
        </is>
      </c>
      <c r="E781" s="6" t="inlineStr">
        <is>
          <t>100.0</t>
        </is>
      </c>
      <c r="F781" s="7" t="n">
        <v>14</v>
      </c>
      <c r="G781" s="7" t="n">
        <v>0.14</v>
      </c>
      <c r="H781" s="7" t="n">
        <v>0</v>
      </c>
      <c r="I781" s="7" t="n">
        <v>-0.14</v>
      </c>
      <c r="J781" s="8" t="n">
        <v>2</v>
      </c>
      <c r="K781" s="9">
        <f>IFERROR(IF((ROUND((J781/G781)*I781,1))&lt;0,(ROUND((J781/G781)*I781,1)),0),0)</f>
        <v/>
      </c>
    </row>
    <row r="782">
      <c r="A782" s="4" t="n">
        <v>779</v>
      </c>
      <c r="B782" s="5" t="inlineStr">
        <is>
          <t>ALL_PBM</t>
        </is>
      </c>
      <c r="C782" s="5" t="inlineStr">
        <is>
          <t>82619012601</t>
        </is>
      </c>
      <c r="D782" s="5" t="inlineStr">
        <is>
          <t>PREGABALIN 150 MG ORAL CAPSULE</t>
        </is>
      </c>
      <c r="E782" s="6" t="inlineStr">
        <is>
          <t>90.0</t>
        </is>
      </c>
      <c r="F782" s="7" t="n">
        <v>60</v>
      </c>
      <c r="G782" s="7" t="n">
        <v>0.6666666666666666</v>
      </c>
      <c r="H782" s="7" t="n">
        <v>0</v>
      </c>
      <c r="I782" s="7" t="n">
        <v>-0.6666666666666666</v>
      </c>
      <c r="J782" s="8" t="n">
        <v>2</v>
      </c>
      <c r="K782" s="9">
        <f>IFERROR(IF((ROUND((J782/G782)*I782,1))&lt;0,(ROUND((J782/G782)*I782,1)),0),0)</f>
        <v/>
      </c>
    </row>
    <row r="783">
      <c r="A783" s="4" t="n">
        <v>780</v>
      </c>
      <c r="B783" s="5" t="inlineStr">
        <is>
          <t>ALL_PBM</t>
        </is>
      </c>
      <c r="C783" s="5" t="inlineStr">
        <is>
          <t>43598016630</t>
        </is>
      </c>
      <c r="D783" s="5" t="inlineStr">
        <is>
          <t>OLANZAPINE 10MG TABLET</t>
        </is>
      </c>
      <c r="E783" s="6" t="inlineStr">
        <is>
          <t>30.0</t>
        </is>
      </c>
      <c r="F783" s="7" t="n">
        <v>30</v>
      </c>
      <c r="G783" s="7" t="n">
        <v>1</v>
      </c>
      <c r="H783" s="7" t="n">
        <v>0</v>
      </c>
      <c r="I783" s="7" t="n">
        <v>-1</v>
      </c>
      <c r="J783" s="8" t="n">
        <v>2</v>
      </c>
      <c r="K783" s="9">
        <f>IFERROR(IF((ROUND((J783/G783)*I783,1))&lt;0,(ROUND((J783/G783)*I783,1)),0),0)</f>
        <v/>
      </c>
    </row>
    <row r="784">
      <c r="A784" s="4" t="n">
        <v>781</v>
      </c>
      <c r="B784" s="5" t="inlineStr">
        <is>
          <t>ALL_PBM</t>
        </is>
      </c>
      <c r="C784" s="5" t="inlineStr">
        <is>
          <t>64980043401</t>
        </is>
      </c>
      <c r="D784" s="5" t="inlineStr">
        <is>
          <t>MIDODRINE 5MG TABLET</t>
        </is>
      </c>
      <c r="E784" s="6" t="inlineStr">
        <is>
          <t>100.0</t>
        </is>
      </c>
      <c r="F784" s="7" t="n">
        <v>12</v>
      </c>
      <c r="G784" s="7" t="n">
        <v>0.12</v>
      </c>
      <c r="H784" s="7" t="n">
        <v>0</v>
      </c>
      <c r="I784" s="7" t="n">
        <v>-0.12</v>
      </c>
      <c r="J784" s="8" t="n">
        <v>2</v>
      </c>
      <c r="K784" s="9">
        <f>IFERROR(IF((ROUND((J784/G784)*I784,1))&lt;0,(ROUND((J784/G784)*I784,1)),0),0)</f>
        <v/>
      </c>
    </row>
    <row r="785">
      <c r="A785" s="4" t="n">
        <v>782</v>
      </c>
      <c r="B785" s="5" t="inlineStr">
        <is>
          <t>ALL_PBM</t>
        </is>
      </c>
      <c r="C785" s="5" t="inlineStr">
        <is>
          <t>00591079410</t>
        </is>
      </c>
      <c r="D785" s="5" t="inlineStr">
        <is>
          <t>DICYCLOMINE HCL 10MG CAP</t>
        </is>
      </c>
      <c r="E785" s="6" t="inlineStr">
        <is>
          <t>1000.0</t>
        </is>
      </c>
      <c r="F785" s="7" t="n">
        <v>30</v>
      </c>
      <c r="G785" s="7" t="n">
        <v>0.03</v>
      </c>
      <c r="H785" s="7" t="n">
        <v>0</v>
      </c>
      <c r="I785" s="7" t="n">
        <v>-0.03</v>
      </c>
      <c r="J785" s="8" t="n">
        <v>2</v>
      </c>
      <c r="K785" s="9">
        <f>IFERROR(IF((ROUND((J785/G785)*I785,1))&lt;0,(ROUND((J785/G785)*I785,1)),0),0)</f>
        <v/>
      </c>
    </row>
    <row r="786">
      <c r="A786" s="4" t="n">
        <v>783</v>
      </c>
      <c r="B786" s="5" t="inlineStr">
        <is>
          <t>ALL_PBM</t>
        </is>
      </c>
      <c r="C786" s="5" t="inlineStr">
        <is>
          <t>65862022801</t>
        </is>
      </c>
      <c r="D786" s="5" t="inlineStr">
        <is>
          <t>LAMOTRIGINE 100MG TABLET</t>
        </is>
      </c>
      <c r="E786" s="6" t="inlineStr">
        <is>
          <t>100.0</t>
        </is>
      </c>
      <c r="F786" s="7" t="n">
        <v>60</v>
      </c>
      <c r="G786" s="7" t="n">
        <v>0.6</v>
      </c>
      <c r="H786" s="7" t="n">
        <v>0</v>
      </c>
      <c r="I786" s="7" t="n">
        <v>-0.6</v>
      </c>
      <c r="J786" s="8" t="n">
        <v>2</v>
      </c>
      <c r="K786" s="9">
        <f>IFERROR(IF((ROUND((J786/G786)*I786,1))&lt;0,(ROUND((J786/G786)*I786,1)),0),0)</f>
        <v/>
      </c>
    </row>
    <row r="787">
      <c r="A787" s="4" t="n">
        <v>784</v>
      </c>
      <c r="B787" s="5" t="inlineStr">
        <is>
          <t>ALL_PBM</t>
        </is>
      </c>
      <c r="C787" s="5" t="inlineStr">
        <is>
          <t>00904637161</t>
        </is>
      </c>
      <c r="D787" s="5" t="inlineStr">
        <is>
          <t>AMLODIPINE BESYLATE 10 MG ORAL TABLET</t>
        </is>
      </c>
      <c r="E787" s="6" t="inlineStr">
        <is>
          <t>100.0</t>
        </is>
      </c>
      <c r="F787" s="7" t="n">
        <v>30</v>
      </c>
      <c r="G787" s="7" t="n">
        <v>0.3</v>
      </c>
      <c r="H787" s="7" t="n">
        <v>0</v>
      </c>
      <c r="I787" s="7" t="n">
        <v>-0.3</v>
      </c>
      <c r="J787" s="8" t="n">
        <v>2</v>
      </c>
      <c r="K787" s="9">
        <f>IFERROR(IF((ROUND((J787/G787)*I787,1))&lt;0,(ROUND((J787/G787)*I787,1)),0),0)</f>
        <v/>
      </c>
    </row>
    <row r="788">
      <c r="A788" s="4" t="n">
        <v>785</v>
      </c>
      <c r="B788" s="5" t="inlineStr">
        <is>
          <t>ALL_PBM</t>
        </is>
      </c>
      <c r="C788" s="5" t="inlineStr">
        <is>
          <t>43547027511</t>
        </is>
      </c>
      <c r="D788" s="5" t="inlineStr">
        <is>
          <t xml:space="preserve">DONEPEZIL 5MG TAB </t>
        </is>
      </c>
      <c r="E788" s="6" t="inlineStr">
        <is>
          <t>1000.0</t>
        </is>
      </c>
      <c r="F788" s="7" t="n">
        <v>120</v>
      </c>
      <c r="G788" s="7" t="n">
        <v>0.12</v>
      </c>
      <c r="H788" s="7" t="n">
        <v>0</v>
      </c>
      <c r="I788" s="7" t="n">
        <v>-0.12</v>
      </c>
      <c r="J788" s="8" t="n">
        <v>2</v>
      </c>
      <c r="K788" s="9">
        <f>IFERROR(IF((ROUND((J788/G788)*I788,1))&lt;0,(ROUND((J788/G788)*I788,1)),0),0)</f>
        <v/>
      </c>
    </row>
    <row r="789">
      <c r="A789" s="4" t="n">
        <v>786</v>
      </c>
      <c r="B789" s="5" t="inlineStr">
        <is>
          <t>ALL_PBM</t>
        </is>
      </c>
      <c r="C789" s="5" t="inlineStr">
        <is>
          <t>69097042207</t>
        </is>
      </c>
      <c r="D789" s="5" t="inlineStr">
        <is>
          <t xml:space="preserve">CELECOXIB 100MG CAP </t>
        </is>
      </c>
      <c r="E789" s="6" t="inlineStr">
        <is>
          <t>100.0</t>
        </is>
      </c>
      <c r="F789" s="7" t="n">
        <v>120</v>
      </c>
      <c r="G789" s="7" t="n">
        <v>1.2</v>
      </c>
      <c r="H789" s="7" t="n">
        <v>0</v>
      </c>
      <c r="I789" s="7" t="n">
        <v>-1.2</v>
      </c>
      <c r="J789" s="8" t="n">
        <v>2</v>
      </c>
      <c r="K789" s="9">
        <f>IFERROR(IF((ROUND((J789/G789)*I789,1))&lt;0,(ROUND((J789/G789)*I789,1)),0),0)</f>
        <v/>
      </c>
    </row>
    <row r="790">
      <c r="A790" s="4" t="n">
        <v>787</v>
      </c>
      <c r="B790" s="5" t="inlineStr">
        <is>
          <t>ALL_PBM</t>
        </is>
      </c>
      <c r="C790" s="5" t="inlineStr">
        <is>
          <t>16729000617</t>
        </is>
      </c>
      <c r="D790" s="5" t="inlineStr">
        <is>
          <t>SIMVASTATIN 40MG TABLET</t>
        </is>
      </c>
      <c r="E790" s="6" t="inlineStr">
        <is>
          <t>1000.0</t>
        </is>
      </c>
      <c r="F790" s="7" t="n">
        <v>30</v>
      </c>
      <c r="G790" s="7" t="n">
        <v>0.03</v>
      </c>
      <c r="H790" s="7" t="n">
        <v>0</v>
      </c>
      <c r="I790" s="7" t="n">
        <v>-0.03</v>
      </c>
      <c r="J790" s="8" t="n">
        <v>2</v>
      </c>
      <c r="K790" s="9">
        <f>IFERROR(IF((ROUND((J790/G790)*I790,1))&lt;0,(ROUND((J790/G790)*I790,1)),0),0)</f>
        <v/>
      </c>
    </row>
    <row r="791">
      <c r="A791" s="4" t="n">
        <v>788</v>
      </c>
      <c r="B791" s="5" t="inlineStr">
        <is>
          <t>ALL_PBM</t>
        </is>
      </c>
      <c r="C791" s="5" t="inlineStr">
        <is>
          <t>68180046801</t>
        </is>
      </c>
      <c r="D791" s="5" t="inlineStr">
        <is>
          <t xml:space="preserve">LOVASTATIN 20MG TAB </t>
        </is>
      </c>
      <c r="E791" s="6" t="inlineStr">
        <is>
          <t>100.0</t>
        </is>
      </c>
      <c r="F791" s="7" t="n">
        <v>90</v>
      </c>
      <c r="G791" s="7" t="n">
        <v>0.9</v>
      </c>
      <c r="H791" s="7" t="n">
        <v>0</v>
      </c>
      <c r="I791" s="7" t="n">
        <v>-0.9</v>
      </c>
      <c r="J791" s="8" t="n">
        <v>2</v>
      </c>
      <c r="K791" s="9">
        <f>IFERROR(IF((ROUND((J791/G791)*I791,1))&lt;0,(ROUND((J791/G791)*I791,1)),0),0)</f>
        <v/>
      </c>
    </row>
    <row r="792">
      <c r="A792" s="4" t="n">
        <v>789</v>
      </c>
      <c r="B792" s="5" t="inlineStr">
        <is>
          <t>ALL_PBM</t>
        </is>
      </c>
      <c r="C792" s="5" t="inlineStr">
        <is>
          <t>13668000705</t>
        </is>
      </c>
      <c r="D792" s="5" t="inlineStr">
        <is>
          <t xml:space="preserve">ZOLPIDEM TARTRATE 5MG TAB </t>
        </is>
      </c>
      <c r="E792" s="6" t="inlineStr">
        <is>
          <t>500.0</t>
        </is>
      </c>
      <c r="F792" s="7" t="n">
        <v>80</v>
      </c>
      <c r="G792" s="7" t="n">
        <v>0.16</v>
      </c>
      <c r="H792" s="7" t="n">
        <v>0</v>
      </c>
      <c r="I792" s="7" t="n">
        <v>-0.16</v>
      </c>
      <c r="J792" s="8" t="n">
        <v>1</v>
      </c>
      <c r="K792" s="9">
        <f>IFERROR(IF((ROUND((J792/G792)*I792,1))&lt;0,(ROUND((J792/G792)*I792,1)),0),0)</f>
        <v/>
      </c>
    </row>
    <row r="793">
      <c r="A793" s="4" t="n">
        <v>790</v>
      </c>
      <c r="B793" s="5" t="inlineStr">
        <is>
          <t>ALL_PBM</t>
        </is>
      </c>
      <c r="C793" s="5" t="inlineStr">
        <is>
          <t>67877024210</t>
        </is>
      </c>
      <c r="D793" s="5" t="inlineStr">
        <is>
          <t>QUETIAPINE FUMARATE 25 MG ORAL TABLET</t>
        </is>
      </c>
      <c r="E793" s="6" t="inlineStr">
        <is>
          <t>1000.0</t>
        </is>
      </c>
      <c r="F793" s="7" t="n">
        <v>90</v>
      </c>
      <c r="G793" s="7" t="n">
        <v>0.09</v>
      </c>
      <c r="H793" s="7" t="n">
        <v>0</v>
      </c>
      <c r="I793" s="7" t="n">
        <v>-0.09</v>
      </c>
      <c r="J793" s="8" t="n">
        <v>1</v>
      </c>
      <c r="K793" s="9">
        <f>IFERROR(IF((ROUND((J793/G793)*I793,1))&lt;0,(ROUND((J793/G793)*I793,1)),0),0)</f>
        <v/>
      </c>
    </row>
    <row r="794">
      <c r="A794" s="4" t="n">
        <v>791</v>
      </c>
      <c r="B794" s="5" t="inlineStr">
        <is>
          <t>ALL_PBM</t>
        </is>
      </c>
      <c r="C794" s="5" t="inlineStr">
        <is>
          <t>51672400101</t>
        </is>
      </c>
      <c r="D794" s="5" t="inlineStr">
        <is>
          <t>NORTRIPTYLINE 10MG CAPSULE</t>
        </is>
      </c>
      <c r="E794" s="6" t="inlineStr">
        <is>
          <t>100.0</t>
        </is>
      </c>
      <c r="F794" s="7" t="n">
        <v>30</v>
      </c>
      <c r="G794" s="7" t="n">
        <v>0.3</v>
      </c>
      <c r="H794" s="7" t="n">
        <v>0</v>
      </c>
      <c r="I794" s="7" t="n">
        <v>-0.3</v>
      </c>
      <c r="J794" s="8" t="n">
        <v>1</v>
      </c>
      <c r="K794" s="9">
        <f>IFERROR(IF((ROUND((J794/G794)*I794,1))&lt;0,(ROUND((J794/G794)*I794,1)),0),0)</f>
        <v/>
      </c>
    </row>
    <row r="795">
      <c r="A795" s="4" t="n">
        <v>792</v>
      </c>
      <c r="B795" s="5" t="inlineStr">
        <is>
          <t>ALL_PBM</t>
        </is>
      </c>
      <c r="C795" s="5" t="inlineStr">
        <is>
          <t>65862018830</t>
        </is>
      </c>
      <c r="D795" s="5" t="inlineStr">
        <is>
          <t xml:space="preserve">ONDANSETRON 8MG TAB </t>
        </is>
      </c>
      <c r="E795" s="6" t="inlineStr">
        <is>
          <t>30.0</t>
        </is>
      </c>
      <c r="F795" s="7" t="n">
        <v>30</v>
      </c>
      <c r="G795" s="7" t="n">
        <v>1</v>
      </c>
      <c r="H795" s="7" t="n">
        <v>0</v>
      </c>
      <c r="I795" s="7" t="n">
        <v>-1</v>
      </c>
      <c r="J795" s="8" t="n">
        <v>1</v>
      </c>
      <c r="K795" s="9">
        <f>IFERROR(IF((ROUND((J795/G795)*I795,1))&lt;0,(ROUND((J795/G795)*I795,1)),0),0)</f>
        <v/>
      </c>
    </row>
    <row r="796">
      <c r="A796" s="4" t="n">
        <v>793</v>
      </c>
      <c r="B796" s="5" t="inlineStr">
        <is>
          <t>ALL_PBM</t>
        </is>
      </c>
      <c r="C796" s="5" t="inlineStr">
        <is>
          <t>51672403001</t>
        </is>
      </c>
      <c r="D796" s="5" t="inlineStr">
        <is>
          <t>WARFARIN SODIUM 3MG TABLET</t>
        </is>
      </c>
      <c r="E796" s="6" t="inlineStr">
        <is>
          <t>100.0</t>
        </is>
      </c>
      <c r="F796" s="7" t="n">
        <v>35</v>
      </c>
      <c r="G796" s="7" t="n">
        <v>0.35</v>
      </c>
      <c r="H796" s="7" t="n">
        <v>0</v>
      </c>
      <c r="I796" s="7" t="n">
        <v>-0.35</v>
      </c>
      <c r="J796" s="8" t="n">
        <v>1</v>
      </c>
      <c r="K796" s="9">
        <f>IFERROR(IF((ROUND((J796/G796)*I796,1))&lt;0,(ROUND((J796/G796)*I796,1)),0),0)</f>
        <v/>
      </c>
    </row>
    <row r="797">
      <c r="A797" s="4" t="n">
        <v>794</v>
      </c>
      <c r="B797" s="5" t="inlineStr">
        <is>
          <t>ALL_PBM</t>
        </is>
      </c>
      <c r="C797" s="5" t="inlineStr">
        <is>
          <t>69097015915</t>
        </is>
      </c>
      <c r="D797" s="5" t="inlineStr">
        <is>
          <t>MELOXICAM 15MG TABLET</t>
        </is>
      </c>
      <c r="E797" s="6" t="inlineStr">
        <is>
          <t>1000.0</t>
        </is>
      </c>
      <c r="F797" s="7" t="n">
        <v>30</v>
      </c>
      <c r="G797" s="7" t="n">
        <v>0.03</v>
      </c>
      <c r="H797" s="7" t="n">
        <v>0</v>
      </c>
      <c r="I797" s="7" t="n">
        <v>-0.03</v>
      </c>
      <c r="J797" s="8" t="n">
        <v>1</v>
      </c>
      <c r="K797" s="9">
        <f>IFERROR(IF((ROUND((J797/G797)*I797,1))&lt;0,(ROUND((J797/G797)*I797,1)),0),0)</f>
        <v/>
      </c>
    </row>
    <row r="798">
      <c r="A798" s="4" t="n">
        <v>795</v>
      </c>
      <c r="B798" s="5" t="inlineStr">
        <is>
          <t>ALL_PBM</t>
        </is>
      </c>
      <c r="C798" s="5" t="inlineStr">
        <is>
          <t>60219234805</t>
        </is>
      </c>
      <c r="D798" s="5" t="inlineStr">
        <is>
          <t>TRAMADOL 50 MG TABLET</t>
        </is>
      </c>
      <c r="E798" s="6" t="inlineStr">
        <is>
          <t>500.0</t>
        </is>
      </c>
      <c r="F798" s="7" t="n">
        <v>40</v>
      </c>
      <c r="G798" s="7" t="n">
        <v>0.08</v>
      </c>
      <c r="H798" s="7" t="n">
        <v>0</v>
      </c>
      <c r="I798" s="7" t="n">
        <v>-0.08</v>
      </c>
      <c r="J798" s="8" t="n">
        <v>1</v>
      </c>
      <c r="K798" s="9">
        <f>IFERROR(IF((ROUND((J798/G798)*I798,1))&lt;0,(ROUND((J798/G798)*I798,1)),0),0)</f>
        <v/>
      </c>
    </row>
    <row r="799">
      <c r="A799" s="4" t="n">
        <v>796</v>
      </c>
      <c r="B799" s="5" t="inlineStr">
        <is>
          <t>ALL_PBM</t>
        </is>
      </c>
      <c r="C799" s="5" t="inlineStr">
        <is>
          <t>55111032005</t>
        </is>
      </c>
      <c r="D799" s="5" t="inlineStr">
        <is>
          <t>GLIMEPIRIDE 1 MG ORAL TABLET</t>
        </is>
      </c>
      <c r="E799" s="6" t="inlineStr">
        <is>
          <t>500.0</t>
        </is>
      </c>
      <c r="F799" s="7" t="n">
        <v>30</v>
      </c>
      <c r="G799" s="7" t="n">
        <v>0.06</v>
      </c>
      <c r="H799" s="7" t="n">
        <v>0</v>
      </c>
      <c r="I799" s="7" t="n">
        <v>-0.06</v>
      </c>
      <c r="J799" s="8" t="n">
        <v>1</v>
      </c>
      <c r="K799" s="9">
        <f>IFERROR(IF((ROUND((J799/G799)*I799,1))&lt;0,(ROUND((J799/G799)*I799,1)),0),0)</f>
        <v/>
      </c>
    </row>
    <row r="800">
      <c r="A800" s="4" t="n">
        <v>797</v>
      </c>
      <c r="B800" s="5" t="inlineStr">
        <is>
          <t>ALL_PBM</t>
        </is>
      </c>
      <c r="C800" s="5" t="inlineStr">
        <is>
          <t>71921016201</t>
        </is>
      </c>
      <c r="D800" s="5" t="inlineStr">
        <is>
          <t>DOXEPIN 10MG CAPSULE</t>
        </is>
      </c>
      <c r="E800" s="6" t="inlineStr">
        <is>
          <t>100.0</t>
        </is>
      </c>
      <c r="F800" s="7" t="n">
        <v>30</v>
      </c>
      <c r="G800" s="7" t="n">
        <v>0.3</v>
      </c>
      <c r="H800" s="7" t="n">
        <v>0</v>
      </c>
      <c r="I800" s="7" t="n">
        <v>-0.3</v>
      </c>
      <c r="J800" s="8" t="n">
        <v>1</v>
      </c>
      <c r="K800" s="9">
        <f>IFERROR(IF((ROUND((J800/G800)*I800,1))&lt;0,(ROUND((J800/G800)*I800,1)),0),0)</f>
        <v/>
      </c>
    </row>
    <row r="801">
      <c r="E801" s="10" t="inlineStr">
        <is>
          <t>TOTAL</t>
        </is>
      </c>
      <c r="F801" s="11">
        <f>SUM(F4:F800)</f>
        <v/>
      </c>
      <c r="G801" s="11">
        <f>SUM(G4:G800)</f>
        <v/>
      </c>
      <c r="H801" s="11">
        <f>SUM(H4:H800)</f>
        <v/>
      </c>
      <c r="I801" s="11">
        <f>SUM(I4:I800)</f>
        <v/>
      </c>
      <c r="J801" s="12">
        <f>SUM(J4:J800)</f>
        <v/>
      </c>
      <c r="K801" s="13">
        <f>SUM(K4:K800)</f>
        <v/>
      </c>
    </row>
    <row r="802">
      <c r="J802" s="14" t="inlineStr">
        <is>
          <t>Audited Drugs Count</t>
        </is>
      </c>
      <c r="K802" s="15">
        <f>COUNTIF(K4:K800,"&lt;0")</f>
        <v/>
      </c>
    </row>
    <row r="803">
      <c r="J803" s="14" t="inlineStr">
        <is>
          <t>Total Audit Exposure</t>
        </is>
      </c>
      <c r="K803" s="16">
        <f>SUMIF(K4:K800,"&lt;0",K4:K800)</f>
        <v/>
      </c>
    </row>
  </sheetData>
  <autoFilter ref="A3:K800"/>
  <mergeCells count="2">
    <mergeCell ref="A2:K2"/>
    <mergeCell ref="A1:K1"/>
  </mergeCells>
  <conditionalFormatting sqref="E4:K80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trial4 — Feb 2026 - Feb 2026 — ARG/HUM</t>
        </is>
      </c>
    </row>
    <row r="2" ht="24" customHeight="1">
      <c r="A2" s="2" t="inlineStr">
        <is>
          <t>Overall ARG/HUM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ARG/HUM</t>
        </is>
      </c>
      <c r="G3" s="3" t="inlineStr">
        <is>
          <t>Packages Billed to ARG/HUM</t>
        </is>
      </c>
      <c r="H3" s="3" t="inlineStr">
        <is>
          <t>Total Qty Purchased</t>
        </is>
      </c>
      <c r="I3" s="3" t="inlineStr">
        <is>
          <t>Qty Difference for ARG/HUM</t>
        </is>
      </c>
      <c r="J3" s="3" t="inlineStr">
        <is>
          <t>Actual $ Paid by ARG/HUM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ARG/HUM</t>
        </is>
      </c>
      <c r="C4" s="5" t="inlineStr">
        <is>
          <t>00006011231</t>
        </is>
      </c>
      <c r="D4" s="5" t="inlineStr">
        <is>
          <t>JANUVIA 50MG TABLET</t>
        </is>
      </c>
      <c r="E4" s="6" t="inlineStr">
        <is>
          <t>30.0</t>
        </is>
      </c>
      <c r="F4" s="7" t="n">
        <v>60</v>
      </c>
      <c r="G4" s="7" t="n">
        <v>2</v>
      </c>
      <c r="H4" s="7" t="n">
        <v>12</v>
      </c>
      <c r="I4" s="7" t="n">
        <v>10</v>
      </c>
      <c r="J4" s="8" t="n">
        <v>235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ARG/HUM</t>
        </is>
      </c>
      <c r="C5" s="5" t="inlineStr">
        <is>
          <t>66993007896</t>
        </is>
      </c>
      <c r="D5" s="5" t="inlineStr">
        <is>
          <t>FLUTICASONE PROPIONATE HFA 44 MCG/ACT INH AEROSOL</t>
        </is>
      </c>
      <c r="E5" s="6" t="inlineStr">
        <is>
          <t>10.6</t>
        </is>
      </c>
      <c r="F5" s="7" t="n">
        <v>10.6</v>
      </c>
      <c r="G5" s="7" t="n">
        <v>1</v>
      </c>
      <c r="H5" s="7" t="n">
        <v>4</v>
      </c>
      <c r="I5" s="7" t="n">
        <v>3</v>
      </c>
      <c r="J5" s="8" t="n">
        <v>118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ARG/HUM</t>
        </is>
      </c>
      <c r="C6" s="5" t="inlineStr">
        <is>
          <t>65702071110</t>
        </is>
      </c>
      <c r="D6" s="5" t="inlineStr">
        <is>
          <t>ACCU-CHEK GUIDE IN VITRO STRIP</t>
        </is>
      </c>
      <c r="E6" s="6" t="inlineStr">
        <is>
          <t>50.0</t>
        </is>
      </c>
      <c r="F6" s="7" t="n">
        <v>200</v>
      </c>
      <c r="G6" s="7" t="n">
        <v>4</v>
      </c>
      <c r="H6" s="7" t="n">
        <v>16</v>
      </c>
      <c r="I6" s="7" t="n">
        <v>12</v>
      </c>
      <c r="J6" s="8" t="n">
        <v>68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ARG/HUM</t>
        </is>
      </c>
      <c r="C7" s="5" t="inlineStr">
        <is>
          <t>68180096301</t>
        </is>
      </c>
      <c r="D7" s="5" t="inlineStr">
        <is>
          <t>ALBUTEROL SULFATE HFA 108 (90 BASE)MCG/ACT AEROSOL</t>
        </is>
      </c>
      <c r="E7" s="6" t="inlineStr">
        <is>
          <t>8.5</t>
        </is>
      </c>
      <c r="F7" s="7" t="n">
        <v>8.5</v>
      </c>
      <c r="G7" s="7" t="n">
        <v>1</v>
      </c>
      <c r="H7" s="7" t="n">
        <v>48</v>
      </c>
      <c r="I7" s="7" t="n">
        <v>47</v>
      </c>
      <c r="J7" s="8" t="n">
        <v>21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ARG/HUM</t>
        </is>
      </c>
      <c r="C8" s="5" t="inlineStr">
        <is>
          <t>00168032346</t>
        </is>
      </c>
      <c r="D8" s="5" t="inlineStr">
        <is>
          <t>METRONIDAZOLE TOPICAL 0.75% CREAM</t>
        </is>
      </c>
      <c r="E8" s="6" t="inlineStr">
        <is>
          <t>45.0</t>
        </is>
      </c>
      <c r="F8" s="7" t="n">
        <v>45</v>
      </c>
      <c r="G8" s="7" t="n">
        <v>1</v>
      </c>
      <c r="H8" s="7" t="n">
        <v>0</v>
      </c>
      <c r="I8" s="7" t="n">
        <v>-1</v>
      </c>
      <c r="J8" s="8" t="n">
        <v>13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ARG/HUM</t>
        </is>
      </c>
      <c r="C9" s="5" t="inlineStr">
        <is>
          <t>68180098202</t>
        </is>
      </c>
      <c r="D9" s="5" t="inlineStr">
        <is>
          <t>LISINOPRIL 30MG TABLET</t>
        </is>
      </c>
      <c r="E9" s="6" t="inlineStr">
        <is>
          <t>500.0</t>
        </is>
      </c>
      <c r="F9" s="7" t="n">
        <v>90</v>
      </c>
      <c r="G9" s="7" t="n">
        <v>0.18</v>
      </c>
      <c r="H9" s="7" t="n">
        <v>0</v>
      </c>
      <c r="I9" s="7" t="n">
        <v>-0.18</v>
      </c>
      <c r="J9" s="8" t="n">
        <v>9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ARG/HUM</t>
        </is>
      </c>
      <c r="C10" s="5" t="inlineStr">
        <is>
          <t>70010078205</t>
        </is>
      </c>
      <c r="D10" s="5" t="inlineStr">
        <is>
          <t>METOPROLOL SUCCINATE ER 100MG TABLET</t>
        </is>
      </c>
      <c r="E10" s="6" t="inlineStr">
        <is>
          <t>500.0</t>
        </is>
      </c>
      <c r="F10" s="7" t="n">
        <v>60</v>
      </c>
      <c r="G10" s="7" t="n">
        <v>0.12</v>
      </c>
      <c r="H10" s="7" t="n">
        <v>2</v>
      </c>
      <c r="I10" s="7" t="n">
        <v>1.88</v>
      </c>
      <c r="J10" s="8" t="n">
        <v>6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ARG/HUM</t>
        </is>
      </c>
      <c r="C11" s="5" t="inlineStr">
        <is>
          <t>70010006599</t>
        </is>
      </c>
      <c r="D11" s="5" t="inlineStr">
        <is>
          <t>METFORMIN 1000MG TABLET</t>
        </is>
      </c>
      <c r="E11" s="6" t="inlineStr">
        <is>
          <t>1000.0</t>
        </is>
      </c>
      <c r="F11" s="7" t="n">
        <v>120</v>
      </c>
      <c r="G11" s="7" t="n">
        <v>0.12</v>
      </c>
      <c r="H11" s="7" t="n">
        <v>3</v>
      </c>
      <c r="I11" s="7" t="n">
        <v>2.88</v>
      </c>
      <c r="J11" s="8" t="n">
        <v>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ARG/HUM</t>
        </is>
      </c>
      <c r="C12" s="5" t="inlineStr">
        <is>
          <t>68382009205</t>
        </is>
      </c>
      <c r="D12" s="5" t="inlineStr">
        <is>
          <t xml:space="preserve">CARVEDILOL 3.125MG TAB </t>
        </is>
      </c>
      <c r="E12" s="6" t="inlineStr">
        <is>
          <t>500.0</t>
        </is>
      </c>
      <c r="F12" s="7" t="n">
        <v>60</v>
      </c>
      <c r="G12" s="7" t="n">
        <v>0.12</v>
      </c>
      <c r="H12" s="7" t="n">
        <v>0</v>
      </c>
      <c r="I12" s="7" t="n">
        <v>-0.12</v>
      </c>
      <c r="J12" s="8" t="n">
        <v>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ARG/HUM</t>
        </is>
      </c>
      <c r="C13" s="5" t="inlineStr">
        <is>
          <t>98302014071</t>
        </is>
      </c>
      <c r="D13" s="5" t="inlineStr">
        <is>
          <t>LANCETS CHOICE [CVS]</t>
        </is>
      </c>
      <c r="E13" s="6" t="inlineStr">
        <is>
          <t>100.0</t>
        </is>
      </c>
      <c r="F13" s="7" t="n">
        <v>200</v>
      </c>
      <c r="G13" s="7" t="n">
        <v>2</v>
      </c>
      <c r="H13" s="7" t="n">
        <v>0</v>
      </c>
      <c r="I13" s="7" t="n">
        <v>-2</v>
      </c>
      <c r="J13" s="8" t="n">
        <v>3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ARG/HUM</t>
        </is>
      </c>
      <c r="C14" s="5" t="inlineStr">
        <is>
          <t>65862001105</t>
        </is>
      </c>
      <c r="D14" s="5" t="inlineStr">
        <is>
          <t>SERTRALINE 25MG TABLET</t>
        </is>
      </c>
      <c r="E14" s="6" t="inlineStr">
        <is>
          <t>500.0</t>
        </is>
      </c>
      <c r="F14" s="7" t="n">
        <v>30</v>
      </c>
      <c r="G14" s="7" t="n">
        <v>0.06</v>
      </c>
      <c r="H14" s="7" t="n">
        <v>0</v>
      </c>
      <c r="I14" s="7" t="n">
        <v>-0.06</v>
      </c>
      <c r="J14" s="8" t="n">
        <v>2</v>
      </c>
      <c r="K14" s="9">
        <f>IFERROR(IF((ROUND((J14/G14)*I14,1))&lt;0,(ROUND((J14/G14)*I14,1)),0),0)</f>
        <v/>
      </c>
    </row>
    <row r="15">
      <c r="E15" s="10" t="inlineStr">
        <is>
          <t>TOTAL</t>
        </is>
      </c>
      <c r="F15" s="11">
        <f>SUM(F4:F14)</f>
        <v/>
      </c>
      <c r="G15" s="11">
        <f>SUM(G4:G14)</f>
        <v/>
      </c>
      <c r="H15" s="11">
        <f>SUM(H4:H14)</f>
        <v/>
      </c>
      <c r="I15" s="11">
        <f>SUM(I4:I14)</f>
        <v/>
      </c>
      <c r="J15" s="12">
        <f>SUM(J4:J14)</f>
        <v/>
      </c>
      <c r="K15" s="13">
        <f>SUM(K4:K14)</f>
        <v/>
      </c>
    </row>
    <row r="16">
      <c r="J16" s="14" t="inlineStr">
        <is>
          <t>Audited Drugs Count</t>
        </is>
      </c>
      <c r="K16" s="15">
        <f>COUNTIF(K4:K14,"&lt;0")</f>
        <v/>
      </c>
    </row>
    <row r="17">
      <c r="J17" s="14" t="inlineStr">
        <is>
          <t>Total Audit Exposure</t>
        </is>
      </c>
      <c r="K17" s="16">
        <f>SUMIF(K4:K14,"&lt;0",K4:K14)</f>
        <v/>
      </c>
    </row>
  </sheetData>
  <autoFilter ref="A3:K14"/>
  <mergeCells count="2">
    <mergeCell ref="A2:K2"/>
    <mergeCell ref="A1:K1"/>
  </mergeCells>
  <conditionalFormatting sqref="E4:K1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54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trial4 — Feb 2026 - Feb 2026 — CVS</t>
        </is>
      </c>
    </row>
    <row r="2" ht="24" customHeight="1">
      <c r="A2" s="2" t="inlineStr">
        <is>
          <t>Overall CVS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CVS</t>
        </is>
      </c>
      <c r="G3" s="3" t="inlineStr">
        <is>
          <t>Packages Billed to CVS</t>
        </is>
      </c>
      <c r="H3" s="3" t="inlineStr">
        <is>
          <t>Total Qty Purchased</t>
        </is>
      </c>
      <c r="I3" s="3" t="inlineStr">
        <is>
          <t>Qty Difference for CVS</t>
        </is>
      </c>
      <c r="J3" s="3" t="inlineStr">
        <is>
          <t>Actual $ Paid by CVS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CVS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66</v>
      </c>
      <c r="G4" s="7" t="n">
        <v>22</v>
      </c>
      <c r="H4" s="7" t="n">
        <v>26</v>
      </c>
      <c r="I4" s="7" t="n">
        <v>4</v>
      </c>
      <c r="J4" s="8" t="n">
        <v>21255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CVS</t>
        </is>
      </c>
      <c r="C5" s="5" t="inlineStr">
        <is>
          <t>00169413013</t>
        </is>
      </c>
      <c r="D5" s="5" t="inlineStr">
        <is>
          <t>OZEMPIC (1 MG/DOSE) 4MG/3ML INJECTION</t>
        </is>
      </c>
      <c r="E5" s="6" t="inlineStr">
        <is>
          <t>3.0</t>
        </is>
      </c>
      <c r="F5" s="7" t="n">
        <v>60</v>
      </c>
      <c r="G5" s="7" t="n">
        <v>20</v>
      </c>
      <c r="H5" s="7" t="n">
        <v>22</v>
      </c>
      <c r="I5" s="7" t="n">
        <v>2</v>
      </c>
      <c r="J5" s="8" t="n">
        <v>19327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CVS</t>
        </is>
      </c>
      <c r="C6" s="5" t="inlineStr">
        <is>
          <t>00023916360</t>
        </is>
      </c>
      <c r="D6" s="5" t="inlineStr">
        <is>
          <t xml:space="preserve">RESTASIS 0.05% EMULSION </t>
        </is>
      </c>
      <c r="E6" s="6" t="inlineStr">
        <is>
          <t>60.0</t>
        </is>
      </c>
      <c r="F6" s="7" t="n">
        <v>1500</v>
      </c>
      <c r="G6" s="7" t="n">
        <v>25</v>
      </c>
      <c r="H6" s="7" t="n">
        <v>32</v>
      </c>
      <c r="I6" s="7" t="n">
        <v>7</v>
      </c>
      <c r="J6" s="8" t="n">
        <v>15138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CVS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26</v>
      </c>
      <c r="G7" s="7" t="n">
        <v>13</v>
      </c>
      <c r="H7" s="7" t="n">
        <v>14</v>
      </c>
      <c r="I7" s="7" t="n">
        <v>1</v>
      </c>
      <c r="J7" s="8" t="n">
        <v>13584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CVS</t>
        </is>
      </c>
      <c r="C8" s="5" t="inlineStr">
        <is>
          <t>24208037705</t>
        </is>
      </c>
      <c r="D8" s="5" t="inlineStr">
        <is>
          <t>MIEBO 1.338 GM/ML OPHTHALMIC SOLUTION</t>
        </is>
      </c>
      <c r="E8" s="6" t="inlineStr">
        <is>
          <t>3.0</t>
        </is>
      </c>
      <c r="F8" s="7" t="n">
        <v>51</v>
      </c>
      <c r="G8" s="7" t="n">
        <v>17</v>
      </c>
      <c r="H8" s="7" t="n">
        <v>20</v>
      </c>
      <c r="I8" s="7" t="n">
        <v>3</v>
      </c>
      <c r="J8" s="8" t="n">
        <v>13001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CVS</t>
        </is>
      </c>
      <c r="C9" s="5" t="inlineStr">
        <is>
          <t>00597015330</t>
        </is>
      </c>
      <c r="D9" s="5" t="inlineStr">
        <is>
          <t xml:space="preserve">JARDIANCE 25MG TAB </t>
        </is>
      </c>
      <c r="E9" s="6" t="inlineStr">
        <is>
          <t>30.0</t>
        </is>
      </c>
      <c r="F9" s="7" t="n">
        <v>1380</v>
      </c>
      <c r="G9" s="7" t="n">
        <v>46</v>
      </c>
      <c r="H9" s="7" t="n">
        <v>63</v>
      </c>
      <c r="I9" s="7" t="n">
        <v>17</v>
      </c>
      <c r="J9" s="8" t="n">
        <v>9784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CVS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1080</v>
      </c>
      <c r="G10" s="7" t="n">
        <v>36</v>
      </c>
      <c r="H10" s="7" t="n">
        <v>44</v>
      </c>
      <c r="I10" s="7" t="n">
        <v>8</v>
      </c>
      <c r="J10" s="8" t="n">
        <v>7501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CVS</t>
        </is>
      </c>
      <c r="C11" s="5" t="inlineStr">
        <is>
          <t>00169477212</t>
        </is>
      </c>
      <c r="D11" s="5" t="inlineStr">
        <is>
          <t>OZEMPIC (2 MG/DOSE) 8 MG/3ML PEN-INJECTOR</t>
        </is>
      </c>
      <c r="E11" s="6" t="inlineStr">
        <is>
          <t>3.0</t>
        </is>
      </c>
      <c r="F11" s="7" t="n">
        <v>21</v>
      </c>
      <c r="G11" s="7" t="n">
        <v>7</v>
      </c>
      <c r="H11" s="7" t="n">
        <v>17</v>
      </c>
      <c r="I11" s="7" t="n">
        <v>10</v>
      </c>
      <c r="J11" s="8" t="n">
        <v>6742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CVS</t>
        </is>
      </c>
      <c r="C12" s="5" t="inlineStr">
        <is>
          <t>00002143380</t>
        </is>
      </c>
      <c r="D12" s="5" t="inlineStr">
        <is>
          <t>TRULICITY 0.75MG/0.5ML INJECTION</t>
        </is>
      </c>
      <c r="E12" s="6" t="inlineStr">
        <is>
          <t>2.0</t>
        </is>
      </c>
      <c r="F12" s="7" t="n">
        <v>12</v>
      </c>
      <c r="G12" s="7" t="n">
        <v>6</v>
      </c>
      <c r="H12" s="7" t="n">
        <v>10</v>
      </c>
      <c r="I12" s="7" t="n">
        <v>4</v>
      </c>
      <c r="J12" s="8" t="n">
        <v>5704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CVS</t>
        </is>
      </c>
      <c r="C13" s="5" t="inlineStr">
        <is>
          <t>00193731150</t>
        </is>
      </c>
      <c r="D13" s="5" t="inlineStr">
        <is>
          <t>CONTOUR NEXT TEST  STRIPS</t>
        </is>
      </c>
      <c r="E13" s="6" t="inlineStr">
        <is>
          <t>50.0</t>
        </is>
      </c>
      <c r="F13" s="7" t="n">
        <v>5300</v>
      </c>
      <c r="G13" s="7" t="n">
        <v>106</v>
      </c>
      <c r="H13" s="7" t="n">
        <v>0</v>
      </c>
      <c r="I13" s="7" t="n">
        <v>-106</v>
      </c>
      <c r="J13" s="8" t="n">
        <v>5280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CVS</t>
        </is>
      </c>
      <c r="C14" s="5" t="inlineStr">
        <is>
          <t>00002147180</t>
        </is>
      </c>
      <c r="D14" s="5" t="inlineStr">
        <is>
          <t>MOUNJARO 10 MG/0.5ML PEN-INJECTOR</t>
        </is>
      </c>
      <c r="E14" s="6" t="inlineStr">
        <is>
          <t>2.0</t>
        </is>
      </c>
      <c r="F14" s="7" t="n">
        <v>10</v>
      </c>
      <c r="G14" s="7" t="n">
        <v>5</v>
      </c>
      <c r="H14" s="7" t="n">
        <v>2</v>
      </c>
      <c r="I14" s="7" t="n">
        <v>-3</v>
      </c>
      <c r="J14" s="8" t="n">
        <v>5225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CVS</t>
        </is>
      </c>
      <c r="C15" s="5" t="inlineStr">
        <is>
          <t>00003089421</t>
        </is>
      </c>
      <c r="D15" s="5" t="inlineStr">
        <is>
          <t xml:space="preserve">ELIQUIS 5MG TAB </t>
        </is>
      </c>
      <c r="E15" s="6" t="inlineStr">
        <is>
          <t>60.0</t>
        </is>
      </c>
      <c r="F15" s="7" t="n">
        <v>1320</v>
      </c>
      <c r="G15" s="7" t="n">
        <v>22</v>
      </c>
      <c r="H15" s="7" t="n">
        <v>39</v>
      </c>
      <c r="I15" s="7" t="n">
        <v>17</v>
      </c>
      <c r="J15" s="8" t="n">
        <v>4927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CVS</t>
        </is>
      </c>
      <c r="C16" s="5" t="inlineStr">
        <is>
          <t>00006057761</t>
        </is>
      </c>
      <c r="D16" s="5" t="inlineStr">
        <is>
          <t>JANUMET 50-1000MG TABLET</t>
        </is>
      </c>
      <c r="E16" s="6" t="inlineStr">
        <is>
          <t>60.0</t>
        </is>
      </c>
      <c r="F16" s="7" t="n">
        <v>960</v>
      </c>
      <c r="G16" s="7" t="n">
        <v>16</v>
      </c>
      <c r="H16" s="7" t="n">
        <v>20</v>
      </c>
      <c r="I16" s="7" t="n">
        <v>4</v>
      </c>
      <c r="J16" s="8" t="n">
        <v>4897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CVS</t>
        </is>
      </c>
      <c r="C17" s="5" t="inlineStr">
        <is>
          <t>00169430330</t>
        </is>
      </c>
      <c r="D17" s="5" t="inlineStr">
        <is>
          <t>RYBELSUS 3MG TABLET</t>
        </is>
      </c>
      <c r="E17" s="6" t="inlineStr">
        <is>
          <t>30.0</t>
        </is>
      </c>
      <c r="F17" s="7" t="n">
        <v>150</v>
      </c>
      <c r="G17" s="7" t="n">
        <v>5</v>
      </c>
      <c r="H17" s="7" t="n">
        <v>0</v>
      </c>
      <c r="I17" s="7" t="n">
        <v>-5</v>
      </c>
      <c r="J17" s="8" t="n">
        <v>4825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CVS</t>
        </is>
      </c>
      <c r="C18" s="5" t="inlineStr">
        <is>
          <t>00002223680</t>
        </is>
      </c>
      <c r="D18" s="5" t="inlineStr">
        <is>
          <t>TRULICITY 3MG/0.5ML INJECTION</t>
        </is>
      </c>
      <c r="E18" s="6" t="inlineStr">
        <is>
          <t>2.0</t>
        </is>
      </c>
      <c r="F18" s="7" t="n">
        <v>10</v>
      </c>
      <c r="G18" s="7" t="n">
        <v>5</v>
      </c>
      <c r="H18" s="7" t="n">
        <v>1</v>
      </c>
      <c r="I18" s="7" t="n">
        <v>-4</v>
      </c>
      <c r="J18" s="8" t="n">
        <v>4743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CVS</t>
        </is>
      </c>
      <c r="C19" s="5" t="inlineStr">
        <is>
          <t>59676080030</t>
        </is>
      </c>
      <c r="D19" s="5" t="inlineStr">
        <is>
          <t>SYMTUZA 800-150-200-10MG TABLET</t>
        </is>
      </c>
      <c r="E19" s="6" t="inlineStr">
        <is>
          <t>30.0</t>
        </is>
      </c>
      <c r="F19" s="7" t="n">
        <v>30</v>
      </c>
      <c r="G19" s="7" t="n">
        <v>1</v>
      </c>
      <c r="H19" s="7" t="n">
        <v>0</v>
      </c>
      <c r="I19" s="7" t="n">
        <v>-1</v>
      </c>
      <c r="J19" s="8" t="n">
        <v>4483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CVS</t>
        </is>
      </c>
      <c r="C20" s="5" t="inlineStr">
        <is>
          <t>00310111030</t>
        </is>
      </c>
      <c r="D20" s="5" t="inlineStr">
        <is>
          <t>LOKELMA 10GM PACK</t>
        </is>
      </c>
      <c r="E20" s="6" t="inlineStr">
        <is>
          <t>30.0</t>
        </is>
      </c>
      <c r="F20" s="7" t="n">
        <v>150</v>
      </c>
      <c r="G20" s="7" t="n">
        <v>5</v>
      </c>
      <c r="H20" s="7" t="n">
        <v>7</v>
      </c>
      <c r="I20" s="7" t="n">
        <v>2</v>
      </c>
      <c r="J20" s="8" t="n">
        <v>4256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CVS</t>
        </is>
      </c>
      <c r="C21" s="5" t="inlineStr">
        <is>
          <t>00002150680</t>
        </is>
      </c>
      <c r="D21" s="5" t="inlineStr">
        <is>
          <t>MOUNJARO 2.5 MG/0.5ML PEN-INJECTOR</t>
        </is>
      </c>
      <c r="E21" s="6" t="inlineStr">
        <is>
          <t>2.0</t>
        </is>
      </c>
      <c r="F21" s="7" t="n">
        <v>8</v>
      </c>
      <c r="G21" s="7" t="n">
        <v>4</v>
      </c>
      <c r="H21" s="7" t="n">
        <v>3</v>
      </c>
      <c r="I21" s="7" t="n">
        <v>-1</v>
      </c>
      <c r="J21" s="8" t="n">
        <v>4238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CVS</t>
        </is>
      </c>
      <c r="C22" s="5" t="inlineStr">
        <is>
          <t>00456120130</t>
        </is>
      </c>
      <c r="D22" s="5" t="inlineStr">
        <is>
          <t>LINZESS 145MCG CAPSULE</t>
        </is>
      </c>
      <c r="E22" s="6" t="inlineStr">
        <is>
          <t>30.0</t>
        </is>
      </c>
      <c r="F22" s="7" t="n">
        <v>480</v>
      </c>
      <c r="G22" s="7" t="n">
        <v>16</v>
      </c>
      <c r="H22" s="7" t="n">
        <v>12</v>
      </c>
      <c r="I22" s="7" t="n">
        <v>-4</v>
      </c>
      <c r="J22" s="8" t="n">
        <v>4237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CVS</t>
        </is>
      </c>
      <c r="C23" s="5" t="inlineStr">
        <is>
          <t>00002148480</t>
        </is>
      </c>
      <c r="D23" s="5" t="inlineStr">
        <is>
          <t>MOUNJARO 7.5 MG/0.5ML PEN-INJECTOR</t>
        </is>
      </c>
      <c r="E23" s="6" t="inlineStr">
        <is>
          <t>2.0</t>
        </is>
      </c>
      <c r="F23" s="7" t="n">
        <v>8</v>
      </c>
      <c r="G23" s="7" t="n">
        <v>4</v>
      </c>
      <c r="H23" s="7" t="n">
        <v>21</v>
      </c>
      <c r="I23" s="7" t="n">
        <v>17</v>
      </c>
      <c r="J23" s="8" t="n">
        <v>4215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CVS</t>
        </is>
      </c>
      <c r="C24" s="5" t="inlineStr">
        <is>
          <t>24208091112</t>
        </is>
      </c>
      <c r="D24" s="5" t="inlineStr">
        <is>
          <t>XIIDRA 5 % OPHTHALMIC SOLUTION</t>
        </is>
      </c>
      <c r="E24" s="6" t="inlineStr">
        <is>
          <t>60.0</t>
        </is>
      </c>
      <c r="F24" s="7" t="n">
        <v>360</v>
      </c>
      <c r="G24" s="7" t="n">
        <v>6</v>
      </c>
      <c r="H24" s="7" t="n">
        <v>24</v>
      </c>
      <c r="I24" s="7" t="n">
        <v>18</v>
      </c>
      <c r="J24" s="8" t="n">
        <v>4181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CVS</t>
        </is>
      </c>
      <c r="C25" s="5" t="inlineStr">
        <is>
          <t>72618300002</t>
        </is>
      </c>
      <c r="D25" s="5" t="inlineStr">
        <is>
          <t>NURTEC 75MG TABLET DISINTEGRATING</t>
        </is>
      </c>
      <c r="E25" s="6" t="inlineStr">
        <is>
          <t>8.0</t>
        </is>
      </c>
      <c r="F25" s="7" t="n">
        <v>32</v>
      </c>
      <c r="G25" s="7" t="n">
        <v>4</v>
      </c>
      <c r="H25" s="7" t="n">
        <v>2</v>
      </c>
      <c r="I25" s="7" t="n">
        <v>-2</v>
      </c>
      <c r="J25" s="8" t="n">
        <v>4093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CVS</t>
        </is>
      </c>
      <c r="C26" s="5" t="inlineStr">
        <is>
          <t>00169431430</t>
        </is>
      </c>
      <c r="D26" s="5" t="inlineStr">
        <is>
          <t>RYBELSUS 14MG TABLET</t>
        </is>
      </c>
      <c r="E26" s="6" t="inlineStr">
        <is>
          <t>30.0</t>
        </is>
      </c>
      <c r="F26" s="7" t="n">
        <v>120</v>
      </c>
      <c r="G26" s="7" t="n">
        <v>4</v>
      </c>
      <c r="H26" s="7" t="n">
        <v>7</v>
      </c>
      <c r="I26" s="7" t="n">
        <v>3</v>
      </c>
      <c r="J26" s="8" t="n">
        <v>3854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CVS</t>
        </is>
      </c>
      <c r="C27" s="5" t="inlineStr">
        <is>
          <t>49702024213</t>
        </is>
      </c>
      <c r="D27" s="5" t="inlineStr">
        <is>
          <t>JULUCA 50-25MG TABLET</t>
        </is>
      </c>
      <c r="E27" s="6" t="inlineStr">
        <is>
          <t>30.0</t>
        </is>
      </c>
      <c r="F27" s="7" t="n">
        <v>30</v>
      </c>
      <c r="G27" s="7" t="n">
        <v>1</v>
      </c>
      <c r="H27" s="7" t="n">
        <v>0</v>
      </c>
      <c r="I27" s="7" t="n">
        <v>-1</v>
      </c>
      <c r="J27" s="8" t="n">
        <v>3598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CVS</t>
        </is>
      </c>
      <c r="C28" s="5" t="inlineStr">
        <is>
          <t>73336007530</t>
        </is>
      </c>
      <c r="D28" s="5" t="inlineStr">
        <is>
          <t>GEMTESA 75MG TABLET</t>
        </is>
      </c>
      <c r="E28" s="6" t="inlineStr">
        <is>
          <t>30.0</t>
        </is>
      </c>
      <c r="F28" s="7" t="n">
        <v>210</v>
      </c>
      <c r="G28" s="7" t="n">
        <v>7</v>
      </c>
      <c r="H28" s="7" t="n">
        <v>10</v>
      </c>
      <c r="I28" s="7" t="n">
        <v>3</v>
      </c>
      <c r="J28" s="8" t="n">
        <v>3368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CVS</t>
        </is>
      </c>
      <c r="C29" s="5" t="inlineStr">
        <is>
          <t>49702024613</t>
        </is>
      </c>
      <c r="D29" s="5" t="inlineStr">
        <is>
          <t>DOVATO 50-300 MG ORAL TABLET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0</v>
      </c>
      <c r="I29" s="7" t="n">
        <v>-1</v>
      </c>
      <c r="J29" s="8" t="n">
        <v>3093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CVS</t>
        </is>
      </c>
      <c r="C30" s="5" t="inlineStr">
        <is>
          <t>00597014030</t>
        </is>
      </c>
      <c r="D30" s="5" t="inlineStr">
        <is>
          <t xml:space="preserve">TRADJENTA 5MG TAB </t>
        </is>
      </c>
      <c r="E30" s="6" t="inlineStr">
        <is>
          <t>30.0</t>
        </is>
      </c>
      <c r="F30" s="7" t="n">
        <v>180</v>
      </c>
      <c r="G30" s="7" t="n">
        <v>6</v>
      </c>
      <c r="H30" s="7" t="n">
        <v>10</v>
      </c>
      <c r="I30" s="7" t="n">
        <v>4</v>
      </c>
      <c r="J30" s="8" t="n">
        <v>2943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CVS</t>
        </is>
      </c>
      <c r="C31" s="5" t="inlineStr">
        <is>
          <t>66993045730</t>
        </is>
      </c>
      <c r="D31" s="5" t="inlineStr">
        <is>
          <t>DAPAGLIFLOZIN PROPANEDIOL 10MG TABLET</t>
        </is>
      </c>
      <c r="E31" s="6" t="inlineStr">
        <is>
          <t>30.0</t>
        </is>
      </c>
      <c r="F31" s="7" t="n">
        <v>480</v>
      </c>
      <c r="G31" s="7" t="n">
        <v>16</v>
      </c>
      <c r="H31" s="7" t="n">
        <v>9</v>
      </c>
      <c r="I31" s="7" t="n">
        <v>-7</v>
      </c>
      <c r="J31" s="8" t="n">
        <v>2900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CVS</t>
        </is>
      </c>
      <c r="C32" s="5" t="inlineStr">
        <is>
          <t>00169430730</t>
        </is>
      </c>
      <c r="D32" s="5" t="inlineStr">
        <is>
          <t>RYBELSUS 7MG TABLET</t>
        </is>
      </c>
      <c r="E32" s="6" t="inlineStr">
        <is>
          <t>30.0</t>
        </is>
      </c>
      <c r="F32" s="7" t="n">
        <v>90</v>
      </c>
      <c r="G32" s="7" t="n">
        <v>3</v>
      </c>
      <c r="H32" s="7" t="n">
        <v>0</v>
      </c>
      <c r="I32" s="7" t="n">
        <v>-3</v>
      </c>
      <c r="J32" s="8" t="n">
        <v>2885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CVS</t>
        </is>
      </c>
      <c r="C33" s="5" t="inlineStr">
        <is>
          <t>00002318280</t>
        </is>
      </c>
      <c r="D33" s="5" t="inlineStr">
        <is>
          <t>TRULICITY 4.5 MG/0.5ML SOLUTION</t>
        </is>
      </c>
      <c r="E33" s="6" t="inlineStr">
        <is>
          <t>2.0</t>
        </is>
      </c>
      <c r="F33" s="7" t="n">
        <v>6</v>
      </c>
      <c r="G33" s="7" t="n">
        <v>3</v>
      </c>
      <c r="H33" s="7" t="n">
        <v>3</v>
      </c>
      <c r="I33" s="7" t="n">
        <v>0</v>
      </c>
      <c r="J33" s="8" t="n">
        <v>2822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CVS</t>
        </is>
      </c>
      <c r="C34" s="5" t="inlineStr">
        <is>
          <t>00173085910</t>
        </is>
      </c>
      <c r="D34" s="5" t="inlineStr">
        <is>
          <t>BREO ELLIPTA 100-25 MCG/ACT INH AEROSOL</t>
        </is>
      </c>
      <c r="E34" s="6" t="inlineStr">
        <is>
          <t>60.0</t>
        </is>
      </c>
      <c r="F34" s="7" t="n">
        <v>420</v>
      </c>
      <c r="G34" s="7" t="n">
        <v>7</v>
      </c>
      <c r="H34" s="7" t="n">
        <v>1</v>
      </c>
      <c r="I34" s="7" t="n">
        <v>-6</v>
      </c>
      <c r="J34" s="8" t="n">
        <v>2674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CVS</t>
        </is>
      </c>
      <c r="C35" s="5" t="inlineStr">
        <is>
          <t>47335050696</t>
        </is>
      </c>
      <c r="D35" s="5" t="inlineStr">
        <is>
          <t>CEQUA 0.09% SOLUTION</t>
        </is>
      </c>
      <c r="E35" s="6" t="inlineStr">
        <is>
          <t>60.0</t>
        </is>
      </c>
      <c r="F35" s="7" t="n">
        <v>240</v>
      </c>
      <c r="G35" s="7" t="n">
        <v>4</v>
      </c>
      <c r="H35" s="7" t="n">
        <v>5</v>
      </c>
      <c r="I35" s="7" t="n">
        <v>1</v>
      </c>
      <c r="J35" s="8" t="n">
        <v>2443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CVS</t>
        </is>
      </c>
      <c r="C36" s="5" t="inlineStr">
        <is>
          <t>00023320508</t>
        </is>
      </c>
      <c r="D36" s="5" t="inlineStr">
        <is>
          <t>LUMIGAN 0.01% SOLUTION</t>
        </is>
      </c>
      <c r="E36" s="6" t="inlineStr">
        <is>
          <t>7.5</t>
        </is>
      </c>
      <c r="F36" s="7" t="n">
        <v>22.5</v>
      </c>
      <c r="G36" s="7" t="n">
        <v>3</v>
      </c>
      <c r="H36" s="7" t="n">
        <v>2</v>
      </c>
      <c r="I36" s="7" t="n">
        <v>-1</v>
      </c>
      <c r="J36" s="8" t="n">
        <v>2301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CVS</t>
        </is>
      </c>
      <c r="C37" s="5" t="inlineStr">
        <is>
          <t>00023649810</t>
        </is>
      </c>
      <c r="D37" s="5" t="inlineStr">
        <is>
          <t>UBRELVY 50 MG ORAL TABLET</t>
        </is>
      </c>
      <c r="E37" s="6" t="inlineStr">
        <is>
          <t>10.0</t>
        </is>
      </c>
      <c r="F37" s="7" t="n">
        <v>20</v>
      </c>
      <c r="G37" s="7" t="n">
        <v>2</v>
      </c>
      <c r="H37" s="7" t="n">
        <v>2</v>
      </c>
      <c r="I37" s="7" t="n">
        <v>0</v>
      </c>
      <c r="J37" s="8" t="n">
        <v>2128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CVS</t>
        </is>
      </c>
      <c r="C38" s="5" t="inlineStr">
        <is>
          <t>00002145780</t>
        </is>
      </c>
      <c r="D38" s="5" t="inlineStr">
        <is>
          <t>MOUNJARO 15 MG/0.5ML PEN-INJECTOR</t>
        </is>
      </c>
      <c r="E38" s="6" t="inlineStr">
        <is>
          <t>2.0</t>
        </is>
      </c>
      <c r="F38" s="7" t="n">
        <v>4</v>
      </c>
      <c r="G38" s="7" t="n">
        <v>2</v>
      </c>
      <c r="H38" s="7" t="n">
        <v>3</v>
      </c>
      <c r="I38" s="7" t="n">
        <v>1</v>
      </c>
      <c r="J38" s="8" t="n">
        <v>2118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CVS</t>
        </is>
      </c>
      <c r="C39" s="5" t="inlineStr">
        <is>
          <t>00002146080</t>
        </is>
      </c>
      <c r="D39" s="5" t="inlineStr">
        <is>
          <t>MOUNJARO 12.5 MG/0.5ML PEN-INJECTOR</t>
        </is>
      </c>
      <c r="E39" s="6" t="inlineStr">
        <is>
          <t>2.0</t>
        </is>
      </c>
      <c r="F39" s="7" t="n">
        <v>4</v>
      </c>
      <c r="G39" s="7" t="n">
        <v>2</v>
      </c>
      <c r="H39" s="7" t="n">
        <v>2</v>
      </c>
      <c r="I39" s="7" t="n">
        <v>0</v>
      </c>
      <c r="J39" s="8" t="n">
        <v>2113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CVS</t>
        </is>
      </c>
      <c r="C40" s="5" t="inlineStr">
        <is>
          <t>00186504031</t>
        </is>
      </c>
      <c r="D40" s="5" t="inlineStr">
        <is>
          <t>NEXIUM 40MG CAPSULE</t>
        </is>
      </c>
      <c r="E40" s="6" t="inlineStr">
        <is>
          <t>30.0</t>
        </is>
      </c>
      <c r="F40" s="7" t="n">
        <v>240</v>
      </c>
      <c r="G40" s="7" t="n">
        <v>8</v>
      </c>
      <c r="H40" s="7" t="n">
        <v>5</v>
      </c>
      <c r="I40" s="7" t="n">
        <v>-3</v>
      </c>
      <c r="J40" s="8" t="n">
        <v>2070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CVS</t>
        </is>
      </c>
      <c r="C41" s="5" t="inlineStr">
        <is>
          <t>50419054001</t>
        </is>
      </c>
      <c r="D41" s="5" t="inlineStr">
        <is>
          <t>KERENDIA 10 MG TABLET</t>
        </is>
      </c>
      <c r="E41" s="6" t="inlineStr">
        <is>
          <t>30.0</t>
        </is>
      </c>
      <c r="F41" s="7" t="n">
        <v>90</v>
      </c>
      <c r="G41" s="7" t="n">
        <v>3</v>
      </c>
      <c r="H41" s="7" t="n">
        <v>10</v>
      </c>
      <c r="I41" s="7" t="n">
        <v>7</v>
      </c>
      <c r="J41" s="8" t="n">
        <v>2009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CVS</t>
        </is>
      </c>
      <c r="C42" s="5" t="inlineStr">
        <is>
          <t>50881000705</t>
        </is>
      </c>
      <c r="D42" s="5" t="inlineStr">
        <is>
          <t>OPZELURA 1.5 % EXTERNAL CREAM</t>
        </is>
      </c>
      <c r="E42" s="6" t="inlineStr">
        <is>
          <t>60.0</t>
        </is>
      </c>
      <c r="F42" s="7" t="n">
        <v>60</v>
      </c>
      <c r="G42" s="7" t="n">
        <v>1</v>
      </c>
      <c r="H42" s="7" t="n">
        <v>0</v>
      </c>
      <c r="I42" s="7" t="n">
        <v>-1</v>
      </c>
      <c r="J42" s="8" t="n">
        <v>2004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CVS</t>
        </is>
      </c>
      <c r="C43" s="5" t="inlineStr">
        <is>
          <t>50484001090</t>
        </is>
      </c>
      <c r="D43" s="5" t="inlineStr">
        <is>
          <t>SANTYL 250 UNIT/GM EXTERNAL OINTMENT</t>
        </is>
      </c>
      <c r="E43" s="6" t="inlineStr">
        <is>
          <t>90.0</t>
        </is>
      </c>
      <c r="F43" s="7" t="n">
        <v>180</v>
      </c>
      <c r="G43" s="7" t="n">
        <v>2</v>
      </c>
      <c r="H43" s="7" t="n">
        <v>1</v>
      </c>
      <c r="I43" s="7" t="n">
        <v>-1</v>
      </c>
      <c r="J43" s="8" t="n">
        <v>1916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CVS</t>
        </is>
      </c>
      <c r="C44" s="5" t="inlineStr">
        <is>
          <t>00088221905</t>
        </is>
      </c>
      <c r="D44" s="5" t="inlineStr">
        <is>
          <t>LANTUS SOLOSTAR 100UNIT/ML INJECTION</t>
        </is>
      </c>
      <c r="E44" s="6" t="inlineStr">
        <is>
          <t>15.0</t>
        </is>
      </c>
      <c r="F44" s="7" t="n">
        <v>327</v>
      </c>
      <c r="G44" s="7" t="n">
        <v>21.8</v>
      </c>
      <c r="H44" s="7" t="n">
        <v>19</v>
      </c>
      <c r="I44" s="7" t="n">
        <v>-2.800000000000001</v>
      </c>
      <c r="J44" s="8" t="n">
        <v>1893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CVS</t>
        </is>
      </c>
      <c r="C45" s="5" t="inlineStr">
        <is>
          <t>00006057561</t>
        </is>
      </c>
      <c r="D45" s="5" t="inlineStr">
        <is>
          <t>JANUMET 50-500 MG ORAL TABLET</t>
        </is>
      </c>
      <c r="E45" s="6" t="inlineStr">
        <is>
          <t>60.0</t>
        </is>
      </c>
      <c r="F45" s="7" t="n">
        <v>360</v>
      </c>
      <c r="G45" s="7" t="n">
        <v>6</v>
      </c>
      <c r="H45" s="7" t="n">
        <v>0</v>
      </c>
      <c r="I45" s="7" t="n">
        <v>-6</v>
      </c>
      <c r="J45" s="8" t="n">
        <v>1824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CVS</t>
        </is>
      </c>
      <c r="C46" s="5" t="inlineStr">
        <is>
          <t>08508300021</t>
        </is>
      </c>
      <c r="D46" s="5" t="inlineStr">
        <is>
          <t>OMNIPOD 5 G6 POD (GEN 5)</t>
        </is>
      </c>
      <c r="E46" s="6" t="inlineStr">
        <is>
          <t>5.0</t>
        </is>
      </c>
      <c r="F46" s="7" t="n">
        <v>30</v>
      </c>
      <c r="G46" s="7" t="n">
        <v>6</v>
      </c>
      <c r="H46" s="7" t="n">
        <v>6</v>
      </c>
      <c r="I46" s="7" t="n">
        <v>0</v>
      </c>
      <c r="J46" s="8" t="n">
        <v>1770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CVS</t>
        </is>
      </c>
      <c r="C47" s="5" t="inlineStr">
        <is>
          <t>00023921115</t>
        </is>
      </c>
      <c r="D47" s="5" t="inlineStr">
        <is>
          <t>COMBIGAN 0.2-0.5% OPTH SOLUTION 15ML</t>
        </is>
      </c>
      <c r="E47" s="6" t="inlineStr">
        <is>
          <t>15.0</t>
        </is>
      </c>
      <c r="F47" s="7" t="n">
        <v>45</v>
      </c>
      <c r="G47" s="7" t="n">
        <v>3</v>
      </c>
      <c r="H47" s="7" t="n">
        <v>0</v>
      </c>
      <c r="I47" s="7" t="n">
        <v>-3</v>
      </c>
      <c r="J47" s="8" t="n">
        <v>1746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CVS</t>
        </is>
      </c>
      <c r="C48" s="5" t="inlineStr">
        <is>
          <t>00469260230</t>
        </is>
      </c>
      <c r="D48" s="5" t="inlineStr">
        <is>
          <t>MYRBETRIQ 50MG TABLET</t>
        </is>
      </c>
      <c r="E48" s="6" t="inlineStr">
        <is>
          <t>30.0</t>
        </is>
      </c>
      <c r="F48" s="7" t="n">
        <v>120</v>
      </c>
      <c r="G48" s="7" t="n">
        <v>4</v>
      </c>
      <c r="H48" s="7" t="n">
        <v>3</v>
      </c>
      <c r="I48" s="7" t="n">
        <v>-1</v>
      </c>
      <c r="J48" s="8" t="n">
        <v>1745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CVS</t>
        </is>
      </c>
      <c r="C49" s="5" t="inlineStr">
        <is>
          <t>00003089321</t>
        </is>
      </c>
      <c r="D49" s="5" t="inlineStr">
        <is>
          <t xml:space="preserve">ELIQUIS 2.5MG TAB </t>
        </is>
      </c>
      <c r="E49" s="6" t="inlineStr">
        <is>
          <t>60.0</t>
        </is>
      </c>
      <c r="F49" s="7" t="n">
        <v>420</v>
      </c>
      <c r="G49" s="7" t="n">
        <v>7</v>
      </c>
      <c r="H49" s="7" t="n">
        <v>20</v>
      </c>
      <c r="I49" s="7" t="n">
        <v>13</v>
      </c>
      <c r="J49" s="8" t="n">
        <v>1730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CVS</t>
        </is>
      </c>
      <c r="C50" s="5" t="inlineStr">
        <is>
          <t>00310626060</t>
        </is>
      </c>
      <c r="D50" s="5" t="inlineStr">
        <is>
          <t>XIGDUO XR 5-1000 MG TABLET ER</t>
        </is>
      </c>
      <c r="E50" s="6" t="inlineStr">
        <is>
          <t>60.0</t>
        </is>
      </c>
      <c r="F50" s="7" t="n">
        <v>180</v>
      </c>
      <c r="G50" s="7" t="n">
        <v>3</v>
      </c>
      <c r="H50" s="7" t="n">
        <v>0</v>
      </c>
      <c r="I50" s="7" t="n">
        <v>-3</v>
      </c>
      <c r="J50" s="8" t="n">
        <v>1682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CVS</t>
        </is>
      </c>
      <c r="C51" s="5" t="inlineStr">
        <is>
          <t>08290320122</t>
        </is>
      </c>
      <c r="D51" s="5" t="inlineStr">
        <is>
          <t>PEN NEEDLES ALL</t>
        </is>
      </c>
      <c r="E51" s="6" t="inlineStr">
        <is>
          <t>100.0</t>
        </is>
      </c>
      <c r="F51" s="7" t="n">
        <v>2800</v>
      </c>
      <c r="G51" s="7" t="n">
        <v>28</v>
      </c>
      <c r="H51" s="7" t="n">
        <v>0</v>
      </c>
      <c r="I51" s="7" t="n">
        <v>-28</v>
      </c>
      <c r="J51" s="8" t="n">
        <v>1662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CVS</t>
        </is>
      </c>
      <c r="C52" s="5" t="inlineStr">
        <is>
          <t>98302014071</t>
        </is>
      </c>
      <c r="D52" s="5" t="inlineStr">
        <is>
          <t>LANCETS CHOICE [CVS]</t>
        </is>
      </c>
      <c r="E52" s="6" t="inlineStr">
        <is>
          <t>100.0</t>
        </is>
      </c>
      <c r="F52" s="7" t="n">
        <v>4500</v>
      </c>
      <c r="G52" s="7" t="n">
        <v>45</v>
      </c>
      <c r="H52" s="7" t="n">
        <v>0</v>
      </c>
      <c r="I52" s="7" t="n">
        <v>-45</v>
      </c>
      <c r="J52" s="8" t="n">
        <v>1607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CVS</t>
        </is>
      </c>
      <c r="C53" s="5" t="inlineStr">
        <is>
          <t>00456120230</t>
        </is>
      </c>
      <c r="D53" s="5" t="inlineStr">
        <is>
          <t xml:space="preserve">LINZESS 290MCG CAP </t>
        </is>
      </c>
      <c r="E53" s="6" t="inlineStr">
        <is>
          <t>30.0</t>
        </is>
      </c>
      <c r="F53" s="7" t="n">
        <v>180</v>
      </c>
      <c r="G53" s="7" t="n">
        <v>6</v>
      </c>
      <c r="H53" s="7" t="n">
        <v>12</v>
      </c>
      <c r="I53" s="7" t="n">
        <v>6</v>
      </c>
      <c r="J53" s="8" t="n">
        <v>1601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CVS</t>
        </is>
      </c>
      <c r="C54" s="5" t="inlineStr">
        <is>
          <t>61958230101</t>
        </is>
      </c>
      <c r="D54" s="5" t="inlineStr">
        <is>
          <t>VEMLIDY 25 MG ORAL TABLET</t>
        </is>
      </c>
      <c r="E54" s="6" t="inlineStr">
        <is>
          <t>30.0</t>
        </is>
      </c>
      <c r="F54" s="7" t="n">
        <v>30</v>
      </c>
      <c r="G54" s="7" t="n">
        <v>1</v>
      </c>
      <c r="H54" s="7" t="n">
        <v>1</v>
      </c>
      <c r="I54" s="7" t="n">
        <v>0</v>
      </c>
      <c r="J54" s="8" t="n">
        <v>1533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CVS</t>
        </is>
      </c>
      <c r="C55" s="5" t="inlineStr">
        <is>
          <t>00006027731</t>
        </is>
      </c>
      <c r="D55" s="5" t="inlineStr">
        <is>
          <t>JANUVIA 100MG TAB</t>
        </is>
      </c>
      <c r="E55" s="6" t="inlineStr">
        <is>
          <t>30.0</t>
        </is>
      </c>
      <c r="F55" s="7" t="n">
        <v>390</v>
      </c>
      <c r="G55" s="7" t="n">
        <v>13</v>
      </c>
      <c r="H55" s="7" t="n">
        <v>24</v>
      </c>
      <c r="I55" s="7" t="n">
        <v>11</v>
      </c>
      <c r="J55" s="8" t="n">
        <v>1513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CVS</t>
        </is>
      </c>
      <c r="C56" s="5" t="inlineStr">
        <is>
          <t>59148003613</t>
        </is>
      </c>
      <c r="D56" s="5" t="inlineStr">
        <is>
          <t>REXULTI 0.5 MG ORAL TABLET</t>
        </is>
      </c>
      <c r="E56" s="6" t="inlineStr">
        <is>
          <t>30.0</t>
        </is>
      </c>
      <c r="F56" s="7" t="n">
        <v>30</v>
      </c>
      <c r="G56" s="7" t="n">
        <v>1</v>
      </c>
      <c r="H56" s="7" t="n">
        <v>1</v>
      </c>
      <c r="I56" s="7" t="n">
        <v>0</v>
      </c>
      <c r="J56" s="8" t="n">
        <v>1475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CVS</t>
        </is>
      </c>
      <c r="C57" s="5" t="inlineStr">
        <is>
          <t>52937000120</t>
        </is>
      </c>
      <c r="D57" s="5" t="inlineStr">
        <is>
          <t>VASCEPA 1GM CAPSULE</t>
        </is>
      </c>
      <c r="E57" s="6" t="inlineStr">
        <is>
          <t>120.0</t>
        </is>
      </c>
      <c r="F57" s="7" t="n">
        <v>480</v>
      </c>
      <c r="G57" s="7" t="n">
        <v>4</v>
      </c>
      <c r="H57" s="7" t="n">
        <v>6</v>
      </c>
      <c r="I57" s="7" t="n">
        <v>2</v>
      </c>
      <c r="J57" s="8" t="n">
        <v>1331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CVS</t>
        </is>
      </c>
      <c r="C58" s="5" t="inlineStr">
        <is>
          <t>00173089310</t>
        </is>
      </c>
      <c r="D58" s="5" t="inlineStr">
        <is>
          <t>TRELEGY ELLIPTA 200-62.5-25 MCG/ACT INHALATION AER</t>
        </is>
      </c>
      <c r="E58" s="6" t="inlineStr">
        <is>
          <t>60.0</t>
        </is>
      </c>
      <c r="F58" s="7" t="n">
        <v>120</v>
      </c>
      <c r="G58" s="7" t="n">
        <v>2</v>
      </c>
      <c r="H58" s="7" t="n">
        <v>0</v>
      </c>
      <c r="I58" s="7" t="n">
        <v>-2</v>
      </c>
      <c r="J58" s="8" t="n">
        <v>1323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CVS</t>
        </is>
      </c>
      <c r="C59" s="5" t="inlineStr">
        <is>
          <t>00173088710</t>
        </is>
      </c>
      <c r="D59" s="5" t="inlineStr">
        <is>
          <t>TRELEGY ELLIPTA 100-62.5-25MCG/INH AEROSOL</t>
        </is>
      </c>
      <c r="E59" s="6" t="inlineStr">
        <is>
          <t>60.0</t>
        </is>
      </c>
      <c r="F59" s="7" t="n">
        <v>120</v>
      </c>
      <c r="G59" s="7" t="n">
        <v>2</v>
      </c>
      <c r="H59" s="7" t="n">
        <v>0</v>
      </c>
      <c r="I59" s="7" t="n">
        <v>-2</v>
      </c>
      <c r="J59" s="8" t="n">
        <v>1323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CVS</t>
        </is>
      </c>
      <c r="C60" s="5" t="inlineStr">
        <is>
          <t>00310461612</t>
        </is>
      </c>
      <c r="D60" s="5" t="inlineStr">
        <is>
          <t>BREZTRI AEROSPHERE 160-9-4.8 MCG/ACT INHALATION AEROSOL</t>
        </is>
      </c>
      <c r="E60" s="6" t="inlineStr">
        <is>
          <t>10.7</t>
        </is>
      </c>
      <c r="F60" s="7" t="n">
        <v>21.4</v>
      </c>
      <c r="G60" s="7" t="n">
        <v>2</v>
      </c>
      <c r="H60" s="7" t="n">
        <v>7</v>
      </c>
      <c r="I60" s="7" t="n">
        <v>5</v>
      </c>
      <c r="J60" s="8" t="n">
        <v>1302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CVS</t>
        </is>
      </c>
      <c r="C61" s="5" t="inlineStr">
        <is>
          <t>00169452414</t>
        </is>
      </c>
      <c r="D61" s="5" t="inlineStr">
        <is>
          <t>WEGOVY 2.4 MG/0.75ML AUTO-INJECTOR</t>
        </is>
      </c>
      <c r="E61" s="6" t="inlineStr">
        <is>
          <t>3.0</t>
        </is>
      </c>
      <c r="F61" s="7" t="n">
        <v>3</v>
      </c>
      <c r="G61" s="7" t="n">
        <v>1</v>
      </c>
      <c r="H61" s="7" t="n">
        <v>1</v>
      </c>
      <c r="I61" s="7" t="n">
        <v>0</v>
      </c>
      <c r="J61" s="8" t="n">
        <v>1279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CVS</t>
        </is>
      </c>
      <c r="C62" s="5" t="inlineStr">
        <is>
          <t>00169451714</t>
        </is>
      </c>
      <c r="D62" s="5" t="inlineStr">
        <is>
          <t>WEGOVY 1.7 MG/0.75ML AUTO-INJECTOR</t>
        </is>
      </c>
      <c r="E62" s="6" t="inlineStr">
        <is>
          <t>3.0</t>
        </is>
      </c>
      <c r="F62" s="7" t="n">
        <v>3</v>
      </c>
      <c r="G62" s="7" t="n">
        <v>1</v>
      </c>
      <c r="H62" s="7" t="n">
        <v>1</v>
      </c>
      <c r="I62" s="7" t="n">
        <v>0</v>
      </c>
      <c r="J62" s="8" t="n">
        <v>1260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CVS</t>
        </is>
      </c>
      <c r="C63" s="5" t="inlineStr">
        <is>
          <t>50458057930</t>
        </is>
      </c>
      <c r="D63" s="5" t="inlineStr">
        <is>
          <t>XARELTO 20MG TAB</t>
        </is>
      </c>
      <c r="E63" s="6" t="inlineStr">
        <is>
          <t>30.0</t>
        </is>
      </c>
      <c r="F63" s="7" t="n">
        <v>180</v>
      </c>
      <c r="G63" s="7" t="n">
        <v>6</v>
      </c>
      <c r="H63" s="7" t="n">
        <v>3</v>
      </c>
      <c r="I63" s="7" t="n">
        <v>-3</v>
      </c>
      <c r="J63" s="8" t="n">
        <v>1233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CVS</t>
        </is>
      </c>
      <c r="C64" s="5" t="inlineStr">
        <is>
          <t>00023530105</t>
        </is>
      </c>
      <c r="D64" s="5" t="inlineStr">
        <is>
          <t>RESTASIS MULTIDOSE 0.05 % OPHTHALMIC EMULSION</t>
        </is>
      </c>
      <c r="E64" s="6" t="inlineStr">
        <is>
          <t>5.5</t>
        </is>
      </c>
      <c r="F64" s="7" t="n">
        <v>11</v>
      </c>
      <c r="G64" s="7" t="n">
        <v>2</v>
      </c>
      <c r="H64" s="7" t="n">
        <v>0</v>
      </c>
      <c r="I64" s="7" t="n">
        <v>-2</v>
      </c>
      <c r="J64" s="8" t="n">
        <v>1223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CVS</t>
        </is>
      </c>
      <c r="C65" s="5" t="inlineStr">
        <is>
          <t>71699020030</t>
        </is>
      </c>
      <c r="D65" s="5" t="inlineStr">
        <is>
          <t>XCOPRI 200 MG ORAL TABLET</t>
        </is>
      </c>
      <c r="E65" s="6" t="inlineStr">
        <is>
          <t>30.0</t>
        </is>
      </c>
      <c r="F65" s="7" t="n">
        <v>30</v>
      </c>
      <c r="G65" s="7" t="n">
        <v>1</v>
      </c>
      <c r="H65" s="7" t="n">
        <v>1</v>
      </c>
      <c r="I65" s="7" t="n">
        <v>0</v>
      </c>
      <c r="J65" s="8" t="n">
        <v>1191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CVS</t>
        </is>
      </c>
      <c r="C66" s="5" t="inlineStr">
        <is>
          <t>08627007701</t>
        </is>
      </c>
      <c r="D66" s="5" t="inlineStr">
        <is>
          <t>DEXCOM G7 SENSOR</t>
        </is>
      </c>
      <c r="E66" s="6" t="inlineStr">
        <is>
          <t>1.0</t>
        </is>
      </c>
      <c r="F66" s="7" t="n">
        <v>9</v>
      </c>
      <c r="G66" s="7" t="n">
        <v>9</v>
      </c>
      <c r="H66" s="7" t="n">
        <v>24</v>
      </c>
      <c r="I66" s="7" t="n">
        <v>15</v>
      </c>
      <c r="J66" s="8" t="n">
        <v>1150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CVS</t>
        </is>
      </c>
      <c r="C67" s="5" t="inlineStr">
        <is>
          <t>74157000660</t>
        </is>
      </c>
      <c r="D67" s="5" t="inlineStr">
        <is>
          <t>AMCINONIDE 0.1 % EXTERNAL CREAM</t>
        </is>
      </c>
      <c r="E67" s="6" t="inlineStr">
        <is>
          <t>60.0</t>
        </is>
      </c>
      <c r="F67" s="7" t="n">
        <v>60</v>
      </c>
      <c r="G67" s="7" t="n">
        <v>1</v>
      </c>
      <c r="H67" s="7" t="n">
        <v>0</v>
      </c>
      <c r="I67" s="7" t="n">
        <v>-1</v>
      </c>
      <c r="J67" s="8" t="n">
        <v>1130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CVS</t>
        </is>
      </c>
      <c r="C68" s="5" t="inlineStr">
        <is>
          <t>00074709630</t>
        </is>
      </c>
      <c r="D68" s="5" t="inlineStr">
        <is>
          <t>QULIPTA 30 MG ORAL TABLET</t>
        </is>
      </c>
      <c r="E68" s="6" t="inlineStr">
        <is>
          <t>30.0</t>
        </is>
      </c>
      <c r="F68" s="7" t="n">
        <v>30</v>
      </c>
      <c r="G68" s="7" t="n">
        <v>1</v>
      </c>
      <c r="H68" s="7" t="n">
        <v>0</v>
      </c>
      <c r="I68" s="7" t="n">
        <v>-1</v>
      </c>
      <c r="J68" s="8" t="n">
        <v>1125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CVS</t>
        </is>
      </c>
      <c r="C69" s="5" t="inlineStr">
        <is>
          <t>72511039302</t>
        </is>
      </c>
      <c r="D69" s="5" t="inlineStr">
        <is>
          <t>REPATHA SURECLICK 140 MG/ML SUBCUTANEOUS SOLUTION AUTO-INJECTOR</t>
        </is>
      </c>
      <c r="E69" s="6" t="inlineStr">
        <is>
          <t>2.0</t>
        </is>
      </c>
      <c r="F69" s="7" t="n">
        <v>4</v>
      </c>
      <c r="G69" s="7" t="n">
        <v>2</v>
      </c>
      <c r="H69" s="7" t="n">
        <v>0</v>
      </c>
      <c r="I69" s="7" t="n">
        <v>-2</v>
      </c>
      <c r="J69" s="8" t="n">
        <v>1085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CVS</t>
        </is>
      </c>
      <c r="C70" s="5" t="inlineStr">
        <is>
          <t>00023320505</t>
        </is>
      </c>
      <c r="D70" s="5" t="inlineStr">
        <is>
          <t>LUMIGAN 0.01 % OPHTHALMIC SOLUTION</t>
        </is>
      </c>
      <c r="E70" s="6" t="inlineStr">
        <is>
          <t>5.0</t>
        </is>
      </c>
      <c r="F70" s="7" t="n">
        <v>10</v>
      </c>
      <c r="G70" s="7" t="n">
        <v>2</v>
      </c>
      <c r="H70" s="7" t="n">
        <v>1</v>
      </c>
      <c r="I70" s="7" t="n">
        <v>-1</v>
      </c>
      <c r="J70" s="8" t="n">
        <v>1020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CVS</t>
        </is>
      </c>
      <c r="C71" s="5" t="inlineStr">
        <is>
          <t>24208050402</t>
        </is>
      </c>
      <c r="D71" s="5" t="inlineStr">
        <is>
          <t>VYZULTA 0.024 % OPHTHALMIC SOLUTION</t>
        </is>
      </c>
      <c r="E71" s="6" t="inlineStr">
        <is>
          <t>2.5</t>
        </is>
      </c>
      <c r="F71" s="7" t="n">
        <v>10</v>
      </c>
      <c r="G71" s="7" t="n">
        <v>4</v>
      </c>
      <c r="H71" s="7" t="n">
        <v>0</v>
      </c>
      <c r="I71" s="7" t="n">
        <v>-4</v>
      </c>
      <c r="J71" s="8" t="n">
        <v>1006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CVS</t>
        </is>
      </c>
      <c r="C72" s="5" t="inlineStr">
        <is>
          <t>70727049725</t>
        </is>
      </c>
      <c r="D72" s="5" t="inlineStr">
        <is>
          <t>RHOPRESSA 0.02 % OPHTHALMIC SOLUTION</t>
        </is>
      </c>
      <c r="E72" s="6" t="inlineStr">
        <is>
          <t>2.5</t>
        </is>
      </c>
      <c r="F72" s="7" t="n">
        <v>7.5</v>
      </c>
      <c r="G72" s="7" t="n">
        <v>3</v>
      </c>
      <c r="H72" s="7" t="n">
        <v>0</v>
      </c>
      <c r="I72" s="7" t="n">
        <v>-3</v>
      </c>
      <c r="J72" s="8" t="n">
        <v>982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CVS</t>
        </is>
      </c>
      <c r="C73" s="5" t="inlineStr">
        <is>
          <t>00597038068</t>
        </is>
      </c>
      <c r="D73" s="5" t="inlineStr">
        <is>
          <t>TRIJARDY XR 10-5-1000 MG ORAL TABLET EXTENDED RELEASE 24 HOUR</t>
        </is>
      </c>
      <c r="E73" s="6" t="inlineStr">
        <is>
          <t>90.0</t>
        </is>
      </c>
      <c r="F73" s="7" t="n">
        <v>90</v>
      </c>
      <c r="G73" s="7" t="n">
        <v>1</v>
      </c>
      <c r="H73" s="7" t="n">
        <v>1</v>
      </c>
      <c r="I73" s="7" t="n">
        <v>0</v>
      </c>
      <c r="J73" s="8" t="n">
        <v>978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CVS</t>
        </is>
      </c>
      <c r="C74" s="5" t="inlineStr">
        <is>
          <t>00002143480</t>
        </is>
      </c>
      <c r="D74" s="5" t="inlineStr">
        <is>
          <t>TRULICITY 1.5MG/0.5ML INJECTION</t>
        </is>
      </c>
      <c r="E74" s="6" t="inlineStr">
        <is>
          <t>2.0</t>
        </is>
      </c>
      <c r="F74" s="7" t="n">
        <v>2</v>
      </c>
      <c r="G74" s="7" t="n">
        <v>1</v>
      </c>
      <c r="H74" s="7" t="n">
        <v>2</v>
      </c>
      <c r="I74" s="7" t="n">
        <v>1</v>
      </c>
      <c r="J74" s="8" t="n">
        <v>945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CVS</t>
        </is>
      </c>
      <c r="C75" s="5" t="inlineStr">
        <is>
          <t>00006008131</t>
        </is>
      </c>
      <c r="D75" s="5" t="inlineStr">
        <is>
          <t>JANUMET XR 100-1000MG TABLET</t>
        </is>
      </c>
      <c r="E75" s="6" t="inlineStr">
        <is>
          <t>30.0</t>
        </is>
      </c>
      <c r="F75" s="7" t="n">
        <v>90</v>
      </c>
      <c r="G75" s="7" t="n">
        <v>3</v>
      </c>
      <c r="H75" s="7" t="n">
        <v>0</v>
      </c>
      <c r="I75" s="7" t="n">
        <v>-3</v>
      </c>
      <c r="J75" s="8" t="n">
        <v>938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CVS</t>
        </is>
      </c>
      <c r="C76" s="5" t="inlineStr">
        <is>
          <t>80610043060</t>
        </is>
      </c>
      <c r="D76" s="5" t="inlineStr">
        <is>
          <t>ZORYVE 0.3 % EXTERNAL FOAM</t>
        </is>
      </c>
      <c r="E76" s="6" t="inlineStr">
        <is>
          <t>60.0</t>
        </is>
      </c>
      <c r="F76" s="7" t="n">
        <v>60</v>
      </c>
      <c r="G76" s="7" t="n">
        <v>1</v>
      </c>
      <c r="H76" s="7" t="n">
        <v>0</v>
      </c>
      <c r="I76" s="7" t="n">
        <v>-1</v>
      </c>
      <c r="J76" s="8" t="n">
        <v>913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CVS</t>
        </is>
      </c>
      <c r="C77" s="5" t="inlineStr">
        <is>
          <t>00310110530</t>
        </is>
      </c>
      <c r="D77" s="5" t="inlineStr">
        <is>
          <t>LOKELMA 5GM PACK</t>
        </is>
      </c>
      <c r="E77" s="6" t="inlineStr">
        <is>
          <t>30.0</t>
        </is>
      </c>
      <c r="F77" s="7" t="n">
        <v>30</v>
      </c>
      <c r="G77" s="7" t="n">
        <v>1</v>
      </c>
      <c r="H77" s="7" t="n">
        <v>4</v>
      </c>
      <c r="I77" s="7" t="n">
        <v>3</v>
      </c>
      <c r="J77" s="8" t="n">
        <v>839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CVS</t>
        </is>
      </c>
      <c r="C78" s="5" t="inlineStr">
        <is>
          <t>00310737220</t>
        </is>
      </c>
      <c r="D78" s="5" t="inlineStr">
        <is>
          <t>BUDESONIDE-FORMOTEROL FUMARATE 80-4.5MCG/ACT AEROSOL</t>
        </is>
      </c>
      <c r="E78" s="6" t="inlineStr">
        <is>
          <t>10.2</t>
        </is>
      </c>
      <c r="F78" s="7" t="n">
        <v>71.39999999999999</v>
      </c>
      <c r="G78" s="7" t="n">
        <v>7</v>
      </c>
      <c r="H78" s="7" t="n">
        <v>6</v>
      </c>
      <c r="I78" s="7" t="n">
        <v>-1</v>
      </c>
      <c r="J78" s="8" t="n">
        <v>804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CVS</t>
        </is>
      </c>
      <c r="C79" s="5" t="inlineStr">
        <is>
          <t>00023921110</t>
        </is>
      </c>
      <c r="D79" s="5" t="inlineStr">
        <is>
          <t>COMBIGAN 0.2-0.5% OPTH SOLUTION 10ML</t>
        </is>
      </c>
      <c r="E79" s="6" t="inlineStr">
        <is>
          <t>10.0</t>
        </is>
      </c>
      <c r="F79" s="7" t="n">
        <v>20</v>
      </c>
      <c r="G79" s="7" t="n">
        <v>2</v>
      </c>
      <c r="H79" s="7" t="n">
        <v>0</v>
      </c>
      <c r="I79" s="7" t="n">
        <v>-2</v>
      </c>
      <c r="J79" s="8" t="n">
        <v>769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CVS</t>
        </is>
      </c>
      <c r="C80" s="5" t="inlineStr">
        <is>
          <t>00310737020</t>
        </is>
      </c>
      <c r="D80" s="5" t="inlineStr">
        <is>
          <t>BUDESONIDE/FORMOTEROL 160 /4.5 MCG (SYMBICORT)</t>
        </is>
      </c>
      <c r="E80" s="6" t="inlineStr">
        <is>
          <t>10.2</t>
        </is>
      </c>
      <c r="F80" s="7" t="n">
        <v>51</v>
      </c>
      <c r="G80" s="7" t="n">
        <v>5</v>
      </c>
      <c r="H80" s="7" t="n">
        <v>9</v>
      </c>
      <c r="I80" s="7" t="n">
        <v>4</v>
      </c>
      <c r="J80" s="8" t="n">
        <v>748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CVS</t>
        </is>
      </c>
      <c r="C81" s="5" t="inlineStr">
        <is>
          <t>00032263601</t>
        </is>
      </c>
      <c r="D81" s="5" t="inlineStr">
        <is>
          <t>CREON 24000-76000 UNIT CAPSULE DR</t>
        </is>
      </c>
      <c r="E81" s="6" t="inlineStr">
        <is>
          <t>100.0</t>
        </is>
      </c>
      <c r="F81" s="7" t="n">
        <v>90</v>
      </c>
      <c r="G81" s="7" t="n">
        <v>0.9</v>
      </c>
      <c r="H81" s="7" t="n">
        <v>3</v>
      </c>
      <c r="I81" s="7" t="n">
        <v>2.1</v>
      </c>
      <c r="J81" s="8" t="n">
        <v>734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CVS</t>
        </is>
      </c>
      <c r="C82" s="5" t="inlineStr">
        <is>
          <t>82667090002</t>
        </is>
      </c>
      <c r="D82" s="5" t="inlineStr">
        <is>
          <t>VEVYE 0.1 % OPHTHALMIC SOLUTION</t>
        </is>
      </c>
      <c r="E82" s="6" t="inlineStr">
        <is>
          <t>2.0</t>
        </is>
      </c>
      <c r="F82" s="7" t="n">
        <v>2</v>
      </c>
      <c r="G82" s="7" t="n">
        <v>1</v>
      </c>
      <c r="H82" s="7" t="n">
        <v>1</v>
      </c>
      <c r="I82" s="7" t="n">
        <v>0</v>
      </c>
      <c r="J82" s="8" t="n">
        <v>732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CVS</t>
        </is>
      </c>
      <c r="C83" s="5" t="inlineStr">
        <is>
          <t>66993045630</t>
        </is>
      </c>
      <c r="D83" s="5" t="inlineStr">
        <is>
          <t>DAPAGLIFLOZIN PROPANEDIOL 5MG TABLET</t>
        </is>
      </c>
      <c r="E83" s="6" t="inlineStr">
        <is>
          <t>30.0</t>
        </is>
      </c>
      <c r="F83" s="7" t="n">
        <v>120</v>
      </c>
      <c r="G83" s="7" t="n">
        <v>4</v>
      </c>
      <c r="H83" s="7" t="n">
        <v>0</v>
      </c>
      <c r="I83" s="7" t="n">
        <v>-4</v>
      </c>
      <c r="J83" s="8" t="n">
        <v>726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CVS</t>
        </is>
      </c>
      <c r="C84" s="5" t="inlineStr">
        <is>
          <t>69557011130</t>
        </is>
      </c>
      <c r="D84" s="5" t="inlineStr">
        <is>
          <t>ZTLIDO 1.8 % EXTERNAL PATCH</t>
        </is>
      </c>
      <c r="E84" s="6" t="inlineStr">
        <is>
          <t>30.0</t>
        </is>
      </c>
      <c r="F84" s="7" t="n">
        <v>60</v>
      </c>
      <c r="G84" s="7" t="n">
        <v>2</v>
      </c>
      <c r="H84" s="7" t="n">
        <v>0</v>
      </c>
      <c r="I84" s="7" t="n">
        <v>-2</v>
      </c>
      <c r="J84" s="8" t="n">
        <v>715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CVS</t>
        </is>
      </c>
      <c r="C85" s="5" t="inlineStr">
        <is>
          <t>00006011231</t>
        </is>
      </c>
      <c r="D85" s="5" t="inlineStr">
        <is>
          <t>JANUVIA 50MG TABLET</t>
        </is>
      </c>
      <c r="E85" s="6" t="inlineStr">
        <is>
          <t>30.0</t>
        </is>
      </c>
      <c r="F85" s="7" t="n">
        <v>180</v>
      </c>
      <c r="G85" s="7" t="n">
        <v>6</v>
      </c>
      <c r="H85" s="7" t="n">
        <v>12</v>
      </c>
      <c r="I85" s="7" t="n">
        <v>6</v>
      </c>
      <c r="J85" s="8" t="n">
        <v>703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CVS</t>
        </is>
      </c>
      <c r="C86" s="5" t="inlineStr">
        <is>
          <t>00002771559</t>
        </is>
      </c>
      <c r="D86" s="5" t="inlineStr">
        <is>
          <t>BASAGLAR KWIKPEN 100UNIT/ML INJECTION</t>
        </is>
      </c>
      <c r="E86" s="6" t="inlineStr">
        <is>
          <t>15.0</t>
        </is>
      </c>
      <c r="F86" s="7" t="n">
        <v>36</v>
      </c>
      <c r="G86" s="7" t="n">
        <v>2.4</v>
      </c>
      <c r="H86" s="7" t="n">
        <v>23</v>
      </c>
      <c r="I86" s="7" t="n">
        <v>20.6</v>
      </c>
      <c r="J86" s="8" t="n">
        <v>702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CVS</t>
        </is>
      </c>
      <c r="C87" s="5" t="inlineStr">
        <is>
          <t>81520010030</t>
        </is>
      </c>
      <c r="D87" s="5" t="inlineStr">
        <is>
          <t>VOQUEZNA 10 MG ORAL TABLET</t>
        </is>
      </c>
      <c r="E87" s="6" t="inlineStr">
        <is>
          <t>30.0</t>
        </is>
      </c>
      <c r="F87" s="7" t="n">
        <v>30</v>
      </c>
      <c r="G87" s="7" t="n">
        <v>1</v>
      </c>
      <c r="H87" s="7" t="n">
        <v>1</v>
      </c>
      <c r="I87" s="7" t="n">
        <v>0</v>
      </c>
      <c r="J87" s="8" t="n">
        <v>669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CVS</t>
        </is>
      </c>
      <c r="C88" s="5" t="inlineStr">
        <is>
          <t>70727052925</t>
        </is>
      </c>
      <c r="D88" s="5" t="inlineStr">
        <is>
          <t>ROCKLATAN 0.02-0.005% SOLUTION</t>
        </is>
      </c>
      <c r="E88" s="6" t="inlineStr">
        <is>
          <t>2.5</t>
        </is>
      </c>
      <c r="F88" s="7" t="n">
        <v>5</v>
      </c>
      <c r="G88" s="7" t="n">
        <v>2</v>
      </c>
      <c r="H88" s="7" t="n">
        <v>4</v>
      </c>
      <c r="I88" s="7" t="n">
        <v>2</v>
      </c>
      <c r="J88" s="8" t="n">
        <v>667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CVS</t>
        </is>
      </c>
      <c r="C89" s="5" t="inlineStr">
        <is>
          <t>00006412102</t>
        </is>
      </c>
      <c r="D89" s="5" t="inlineStr">
        <is>
          <t>GARDASIL 9 INTRAMUSCULAR SUSPENSION PREFILLED SYRINGE</t>
        </is>
      </c>
      <c r="E89" s="6" t="inlineStr">
        <is>
          <t>5.0</t>
        </is>
      </c>
      <c r="F89" s="7" t="n">
        <v>1</v>
      </c>
      <c r="G89" s="7" t="n">
        <v>0.2</v>
      </c>
      <c r="H89" s="7" t="n">
        <v>0</v>
      </c>
      <c r="I89" s="7" t="n">
        <v>-0.2</v>
      </c>
      <c r="J89" s="8" t="n">
        <v>666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CVS</t>
        </is>
      </c>
      <c r="C90" s="5" t="inlineStr">
        <is>
          <t>60505451803</t>
        </is>
      </c>
      <c r="D90" s="5" t="inlineStr">
        <is>
          <t>PAXIL 20 MG ORAL TABLET</t>
        </is>
      </c>
      <c r="E90" s="6" t="inlineStr">
        <is>
          <t>30.0</t>
        </is>
      </c>
      <c r="F90" s="7" t="n">
        <v>60</v>
      </c>
      <c r="G90" s="7" t="n">
        <v>2</v>
      </c>
      <c r="H90" s="7" t="n">
        <v>2</v>
      </c>
      <c r="I90" s="7" t="n">
        <v>0</v>
      </c>
      <c r="J90" s="8" t="n">
        <v>642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CVS</t>
        </is>
      </c>
      <c r="C91" s="5" t="inlineStr">
        <is>
          <t>66993001968</t>
        </is>
      </c>
      <c r="D91" s="5" t="inlineStr">
        <is>
          <t xml:space="preserve">ALBUTEROL HFA 108  MCG/AC (VENTOLIN 18GM) </t>
        </is>
      </c>
      <c r="E91" s="6" t="inlineStr">
        <is>
          <t>18.0</t>
        </is>
      </c>
      <c r="F91" s="7" t="n">
        <v>414</v>
      </c>
      <c r="G91" s="7" t="n">
        <v>23</v>
      </c>
      <c r="H91" s="7" t="n">
        <v>24</v>
      </c>
      <c r="I91" s="7" t="n">
        <v>1</v>
      </c>
      <c r="J91" s="8" t="n">
        <v>632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CVS</t>
        </is>
      </c>
      <c r="C92" s="5" t="inlineStr">
        <is>
          <t>82584000330</t>
        </is>
      </c>
      <c r="D92" s="5" t="inlineStr">
        <is>
          <t>IYUZEH 0.005 % OPHTHALMIC SOLUTION</t>
        </is>
      </c>
      <c r="E92" s="6" t="inlineStr">
        <is>
          <t>30.0</t>
        </is>
      </c>
      <c r="F92" s="7" t="n">
        <v>60</v>
      </c>
      <c r="G92" s="7" t="n">
        <v>2</v>
      </c>
      <c r="H92" s="7" t="n">
        <v>1</v>
      </c>
      <c r="I92" s="7" t="n">
        <v>-1</v>
      </c>
      <c r="J92" s="8" t="n">
        <v>593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CVS</t>
        </is>
      </c>
      <c r="C93" s="5" t="inlineStr">
        <is>
          <t>08508300001</t>
        </is>
      </c>
      <c r="D93" s="5" t="inlineStr">
        <is>
          <t>OMNIPOD 5 G6 INTRO (GEN 5) KIT</t>
        </is>
      </c>
      <c r="E93" s="6" t="inlineStr">
        <is>
          <t>1.0</t>
        </is>
      </c>
      <c r="F93" s="7" t="n">
        <v>1</v>
      </c>
      <c r="G93" s="7" t="n">
        <v>1</v>
      </c>
      <c r="H93" s="7" t="n">
        <v>1</v>
      </c>
      <c r="I93" s="7" t="n">
        <v>0</v>
      </c>
      <c r="J93" s="8" t="n">
        <v>590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CVS</t>
        </is>
      </c>
      <c r="C94" s="5" t="inlineStr">
        <is>
          <t>59137053004</t>
        </is>
      </c>
      <c r="D94" s="5" t="inlineStr">
        <is>
          <t>RASUVO 20MG/0.4ML INJECTION</t>
        </is>
      </c>
      <c r="E94" s="6" t="inlineStr">
        <is>
          <t>1.6</t>
        </is>
      </c>
      <c r="F94" s="7" t="n">
        <v>1.6</v>
      </c>
      <c r="G94" s="7" t="n">
        <v>1</v>
      </c>
      <c r="H94" s="7" t="n">
        <v>1</v>
      </c>
      <c r="I94" s="7" t="n">
        <v>0</v>
      </c>
      <c r="J94" s="8" t="n">
        <v>553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CVS</t>
        </is>
      </c>
      <c r="C95" s="5" t="inlineStr">
        <is>
          <t>68180096301</t>
        </is>
      </c>
      <c r="D95" s="5" t="inlineStr">
        <is>
          <t>ALBUTEROL SULFATE HFA 108 (90 BASE)MCG/ACT AEROSOL</t>
        </is>
      </c>
      <c r="E95" s="6" t="inlineStr">
        <is>
          <t>8.5</t>
        </is>
      </c>
      <c r="F95" s="7" t="n">
        <v>289</v>
      </c>
      <c r="G95" s="7" t="n">
        <v>34</v>
      </c>
      <c r="H95" s="7" t="n">
        <v>48</v>
      </c>
      <c r="I95" s="7" t="n">
        <v>14</v>
      </c>
      <c r="J95" s="8" t="n">
        <v>539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CVS</t>
        </is>
      </c>
      <c r="C96" s="5" t="inlineStr">
        <is>
          <t>00169633910</t>
        </is>
      </c>
      <c r="D96" s="5" t="inlineStr">
        <is>
          <t>NOVOLOG FLEXPEN 100UNIT/ML INJECTION</t>
        </is>
      </c>
      <c r="E96" s="6" t="inlineStr">
        <is>
          <t>15.0</t>
        </is>
      </c>
      <c r="F96" s="7" t="n">
        <v>63</v>
      </c>
      <c r="G96" s="7" t="n">
        <v>4.2</v>
      </c>
      <c r="H96" s="7" t="n">
        <v>0</v>
      </c>
      <c r="I96" s="7" t="n">
        <v>-4.2</v>
      </c>
      <c r="J96" s="8" t="n">
        <v>535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CVS</t>
        </is>
      </c>
      <c r="C97" s="5" t="inlineStr">
        <is>
          <t>00173069600</t>
        </is>
      </c>
      <c r="D97" s="5" t="inlineStr">
        <is>
          <t>ADVAIR DISKUS 250-50MCG/DOSE AEROSOL 60EA</t>
        </is>
      </c>
      <c r="E97" s="6" t="inlineStr">
        <is>
          <t>60.0</t>
        </is>
      </c>
      <c r="F97" s="7" t="n">
        <v>180</v>
      </c>
      <c r="G97" s="7" t="n">
        <v>3</v>
      </c>
      <c r="H97" s="7" t="n">
        <v>3</v>
      </c>
      <c r="I97" s="7" t="n">
        <v>0</v>
      </c>
      <c r="J97" s="8" t="n">
        <v>535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CVS</t>
        </is>
      </c>
      <c r="C98" s="5" t="inlineStr">
        <is>
          <t>64764073030</t>
        </is>
      </c>
      <c r="D98" s="5" t="inlineStr">
        <is>
          <t>TRINTELLIX 10MG TABLET</t>
        </is>
      </c>
      <c r="E98" s="6" t="inlineStr">
        <is>
          <t>30.0</t>
        </is>
      </c>
      <c r="F98" s="7" t="n">
        <v>30</v>
      </c>
      <c r="G98" s="7" t="n">
        <v>1</v>
      </c>
      <c r="H98" s="7" t="n">
        <v>0</v>
      </c>
      <c r="I98" s="7" t="n">
        <v>-1</v>
      </c>
      <c r="J98" s="8" t="n">
        <v>513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CVS</t>
        </is>
      </c>
      <c r="C99" s="5" t="inlineStr">
        <is>
          <t>71571033383</t>
        </is>
      </c>
      <c r="D99" s="5" t="inlineStr">
        <is>
          <t>EYSUVIS 0.25 % OPHTHALMIC SUSPENSION</t>
        </is>
      </c>
      <c r="E99" s="6" t="inlineStr">
        <is>
          <t>8.3</t>
        </is>
      </c>
      <c r="F99" s="7" t="n">
        <v>8.300000000000001</v>
      </c>
      <c r="G99" s="7" t="n">
        <v>1</v>
      </c>
      <c r="H99" s="7" t="n">
        <v>0</v>
      </c>
      <c r="I99" s="7" t="n">
        <v>-1</v>
      </c>
      <c r="J99" s="8" t="n">
        <v>508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CVS</t>
        </is>
      </c>
      <c r="C100" s="5" t="inlineStr">
        <is>
          <t>00002822259</t>
        </is>
      </c>
      <c r="D100" s="5" t="inlineStr">
        <is>
          <t>INSULIN LISPRO 100 UNIT/ML SQ SOLUTION</t>
        </is>
      </c>
      <c r="E100" s="6" t="inlineStr">
        <is>
          <t>15.0</t>
        </is>
      </c>
      <c r="F100" s="7" t="n">
        <v>45</v>
      </c>
      <c r="G100" s="7" t="n">
        <v>3</v>
      </c>
      <c r="H100" s="7" t="n">
        <v>3</v>
      </c>
      <c r="I100" s="7" t="n">
        <v>0</v>
      </c>
      <c r="J100" s="8" t="n">
        <v>481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CVS</t>
        </is>
      </c>
      <c r="C101" s="5" t="inlineStr">
        <is>
          <t>00310908012</t>
        </is>
      </c>
      <c r="D101" s="5" t="inlineStr">
        <is>
          <t>AIRSUPRA 90-80 MCG/ACT INHALATION AEROSOL</t>
        </is>
      </c>
      <c r="E101" s="6" t="inlineStr">
        <is>
          <t>10.7</t>
        </is>
      </c>
      <c r="F101" s="7" t="n">
        <v>10.7</v>
      </c>
      <c r="G101" s="7" t="n">
        <v>1</v>
      </c>
      <c r="H101" s="7" t="n">
        <v>3</v>
      </c>
      <c r="I101" s="7" t="n">
        <v>2</v>
      </c>
      <c r="J101" s="8" t="n">
        <v>474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CVS</t>
        </is>
      </c>
      <c r="C102" s="5" t="inlineStr">
        <is>
          <t>00173086910</t>
        </is>
      </c>
      <c r="D102" s="5" t="inlineStr">
        <is>
          <t>ANORO ELLIPTA 62.5-25MCG/INH AEROSOL 60EA</t>
        </is>
      </c>
      <c r="E102" s="6" t="inlineStr">
        <is>
          <t>60.0</t>
        </is>
      </c>
      <c r="F102" s="7" t="n">
        <v>60</v>
      </c>
      <c r="G102" s="7" t="n">
        <v>1</v>
      </c>
      <c r="H102" s="7" t="n">
        <v>0</v>
      </c>
      <c r="I102" s="7" t="n">
        <v>-1</v>
      </c>
      <c r="J102" s="8" t="n">
        <v>465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CVS</t>
        </is>
      </c>
      <c r="C103" s="5" t="inlineStr">
        <is>
          <t>53885024450</t>
        </is>
      </c>
      <c r="D103" s="5" t="inlineStr">
        <is>
          <t>ONETOUCH ULTRA BLUE  STRIP</t>
        </is>
      </c>
      <c r="E103" s="6" t="inlineStr">
        <is>
          <t>50.0</t>
        </is>
      </c>
      <c r="F103" s="7" t="n">
        <v>300</v>
      </c>
      <c r="G103" s="7" t="n">
        <v>6</v>
      </c>
      <c r="H103" s="7" t="n">
        <v>24</v>
      </c>
      <c r="I103" s="7" t="n">
        <v>18</v>
      </c>
      <c r="J103" s="8" t="n">
        <v>455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CVS</t>
        </is>
      </c>
      <c r="C104" s="5" t="inlineStr">
        <is>
          <t>70710115903</t>
        </is>
      </c>
      <c r="D104" s="5" t="inlineStr">
        <is>
          <t>MIRABEGRON ER 25MG TABLET</t>
        </is>
      </c>
      <c r="E104" s="6" t="inlineStr">
        <is>
          <t>30.0</t>
        </is>
      </c>
      <c r="F104" s="7" t="n">
        <v>60</v>
      </c>
      <c r="G104" s="7" t="n">
        <v>2</v>
      </c>
      <c r="H104" s="7" t="n">
        <v>2</v>
      </c>
      <c r="I104" s="7" t="n">
        <v>0</v>
      </c>
      <c r="J104" s="8" t="n">
        <v>451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CVS</t>
        </is>
      </c>
      <c r="C105" s="5" t="inlineStr">
        <is>
          <t>99073070822</t>
        </is>
      </c>
      <c r="D105" s="5" t="inlineStr">
        <is>
          <t>FREESTYLE LITE TEST  STRIP</t>
        </is>
      </c>
      <c r="E105" s="6" t="inlineStr">
        <is>
          <t>50.0</t>
        </is>
      </c>
      <c r="F105" s="7" t="n">
        <v>300</v>
      </c>
      <c r="G105" s="7" t="n">
        <v>6</v>
      </c>
      <c r="H105" s="7" t="n">
        <v>0</v>
      </c>
      <c r="I105" s="7" t="n">
        <v>-6</v>
      </c>
      <c r="J105" s="8" t="n">
        <v>396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CVS</t>
        </is>
      </c>
      <c r="C106" s="5" t="inlineStr">
        <is>
          <t>00093598627</t>
        </is>
      </c>
      <c r="D106" s="5" t="inlineStr">
        <is>
          <t>EPINEPHRINE 0.3MG/0.3ML INJECTION</t>
        </is>
      </c>
      <c r="E106" s="6" t="inlineStr">
        <is>
          <t>2.0</t>
        </is>
      </c>
      <c r="F106" s="7" t="n">
        <v>2</v>
      </c>
      <c r="G106" s="7" t="n">
        <v>1</v>
      </c>
      <c r="H106" s="7" t="n">
        <v>0</v>
      </c>
      <c r="I106" s="7" t="n">
        <v>-1</v>
      </c>
      <c r="J106" s="8" t="n">
        <v>390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CVS</t>
        </is>
      </c>
      <c r="C107" s="5" t="inlineStr">
        <is>
          <t>72205028160</t>
        </is>
      </c>
      <c r="D107" s="5" t="inlineStr">
        <is>
          <t>SACUBITRIL-VALSARTAN 49-51 MG ORAL TABLET</t>
        </is>
      </c>
      <c r="E107" s="6" t="inlineStr">
        <is>
          <t>60.0</t>
        </is>
      </c>
      <c r="F107" s="7" t="n">
        <v>180</v>
      </c>
      <c r="G107" s="7" t="n">
        <v>3</v>
      </c>
      <c r="H107" s="7" t="n">
        <v>6</v>
      </c>
      <c r="I107" s="7" t="n">
        <v>3</v>
      </c>
      <c r="J107" s="8" t="n">
        <v>364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CVS</t>
        </is>
      </c>
      <c r="C108" s="5" t="inlineStr">
        <is>
          <t>62856040530</t>
        </is>
      </c>
      <c r="D108" s="5" t="inlineStr">
        <is>
          <t>DAYVIGO 5 MG ORAL TABLET</t>
        </is>
      </c>
      <c r="E108" s="6" t="inlineStr">
        <is>
          <t>30.0</t>
        </is>
      </c>
      <c r="F108" s="7" t="n">
        <v>30</v>
      </c>
      <c r="G108" s="7" t="n">
        <v>1</v>
      </c>
      <c r="H108" s="7" t="n">
        <v>1</v>
      </c>
      <c r="I108" s="7" t="n">
        <v>0</v>
      </c>
      <c r="J108" s="8" t="n">
        <v>345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CVS</t>
        </is>
      </c>
      <c r="C109" s="5" t="inlineStr">
        <is>
          <t>00173087310</t>
        </is>
      </c>
      <c r="D109" s="5" t="inlineStr">
        <is>
          <t>INCRUSE ELLIPTA 62.5MCG/INH AEROSOL</t>
        </is>
      </c>
      <c r="E109" s="6" t="inlineStr">
        <is>
          <t>30.0</t>
        </is>
      </c>
      <c r="F109" s="7" t="n">
        <v>30</v>
      </c>
      <c r="G109" s="7" t="n">
        <v>1</v>
      </c>
      <c r="H109" s="7" t="n">
        <v>0</v>
      </c>
      <c r="I109" s="7" t="n">
        <v>-1</v>
      </c>
      <c r="J109" s="8" t="n">
        <v>337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CVS</t>
        </is>
      </c>
      <c r="C110" s="5" t="inlineStr">
        <is>
          <t>43598064418</t>
        </is>
      </c>
      <c r="D110" s="5" t="inlineStr">
        <is>
          <t>SACUBITRIL-VALSARTAN 49-51 MG ORAL TABLET</t>
        </is>
      </c>
      <c r="E110" s="6" t="inlineStr">
        <is>
          <t>180.0</t>
        </is>
      </c>
      <c r="F110" s="7" t="n">
        <v>360</v>
      </c>
      <c r="G110" s="7" t="n">
        <v>2</v>
      </c>
      <c r="H110" s="7" t="n">
        <v>0</v>
      </c>
      <c r="I110" s="7" t="n">
        <v>-2</v>
      </c>
      <c r="J110" s="8" t="n">
        <v>332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CVS</t>
        </is>
      </c>
      <c r="C111" s="5" t="inlineStr">
        <is>
          <t>00597029588</t>
        </is>
      </c>
      <c r="D111" s="5" t="inlineStr">
        <is>
          <t>SYNJARDY XR 25-1000MG TABLET</t>
        </is>
      </c>
      <c r="E111" s="6" t="inlineStr">
        <is>
          <t>30.0</t>
        </is>
      </c>
      <c r="F111" s="7" t="n">
        <v>30</v>
      </c>
      <c r="G111" s="7" t="n">
        <v>1</v>
      </c>
      <c r="H111" s="7" t="n">
        <v>0</v>
      </c>
      <c r="I111" s="7" t="n">
        <v>-1</v>
      </c>
      <c r="J111" s="8" t="n">
        <v>328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CVS</t>
        </is>
      </c>
      <c r="C112" s="5" t="inlineStr">
        <is>
          <t>00169255013</t>
        </is>
      </c>
      <c r="D112" s="5" t="inlineStr">
        <is>
          <t>TRESIBA FLEXTOUCH 200UNIT/ML INJECTION</t>
        </is>
      </c>
      <c r="E112" s="6" t="inlineStr">
        <is>
          <t>9.0</t>
        </is>
      </c>
      <c r="F112" s="7" t="n">
        <v>18</v>
      </c>
      <c r="G112" s="7" t="n">
        <v>2</v>
      </c>
      <c r="H112" s="7" t="n">
        <v>2</v>
      </c>
      <c r="I112" s="7" t="n">
        <v>0</v>
      </c>
      <c r="J112" s="8" t="n">
        <v>318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CVS</t>
        </is>
      </c>
      <c r="C113" s="5" t="inlineStr">
        <is>
          <t>67877049160</t>
        </is>
      </c>
      <c r="D113" s="5" t="inlineStr">
        <is>
          <t>TICAGRELOR 90 MG ORAL TABLET</t>
        </is>
      </c>
      <c r="E113" s="6" t="inlineStr">
        <is>
          <t>60.0</t>
        </is>
      </c>
      <c r="F113" s="7" t="n">
        <v>420</v>
      </c>
      <c r="G113" s="7" t="n">
        <v>7</v>
      </c>
      <c r="H113" s="7" t="n">
        <v>10</v>
      </c>
      <c r="I113" s="7" t="n">
        <v>3</v>
      </c>
      <c r="J113" s="8" t="n">
        <v>316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CVS</t>
        </is>
      </c>
      <c r="C114" s="5" t="inlineStr">
        <is>
          <t>00005200002</t>
        </is>
      </c>
      <c r="D114" s="5" t="inlineStr">
        <is>
          <t>PREVNAR 20 0.5 ML INTRAMUSCULAR SUSPENSION PREFILLED SYRINGE</t>
        </is>
      </c>
      <c r="E114" s="6" t="inlineStr">
        <is>
          <t>0.5</t>
        </is>
      </c>
      <c r="F114" s="7" t="n">
        <v>0.5</v>
      </c>
      <c r="G114" s="7" t="n">
        <v>1</v>
      </c>
      <c r="H114" s="7" t="n">
        <v>0</v>
      </c>
      <c r="I114" s="7" t="n">
        <v>-1</v>
      </c>
      <c r="J114" s="8" t="n">
        <v>313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CVS</t>
        </is>
      </c>
      <c r="C115" s="5" t="inlineStr">
        <is>
          <t>00006008061</t>
        </is>
      </c>
      <c r="D115" s="5" t="inlineStr">
        <is>
          <t>JANUMET XR 50-1000MG TABLET</t>
        </is>
      </c>
      <c r="E115" s="6" t="inlineStr">
        <is>
          <t>60.0</t>
        </is>
      </c>
      <c r="F115" s="7" t="n">
        <v>60</v>
      </c>
      <c r="G115" s="7" t="n">
        <v>1</v>
      </c>
      <c r="H115" s="7" t="n">
        <v>1</v>
      </c>
      <c r="I115" s="7" t="n">
        <v>0</v>
      </c>
      <c r="J115" s="8" t="n">
        <v>309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CVS</t>
        </is>
      </c>
      <c r="C116" s="5" t="inlineStr">
        <is>
          <t>00591352530</t>
        </is>
      </c>
      <c r="D116" s="5" t="inlineStr">
        <is>
          <t xml:space="preserve">LIDOCAINE 5% PATCH </t>
        </is>
      </c>
      <c r="E116" s="6" t="inlineStr">
        <is>
          <t>30.0</t>
        </is>
      </c>
      <c r="F116" s="7" t="n">
        <v>120</v>
      </c>
      <c r="G116" s="7" t="n">
        <v>4</v>
      </c>
      <c r="H116" s="7" t="n">
        <v>0</v>
      </c>
      <c r="I116" s="7" t="n">
        <v>-4</v>
      </c>
      <c r="J116" s="8" t="n">
        <v>304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CVS</t>
        </is>
      </c>
      <c r="C117" s="5" t="inlineStr">
        <is>
          <t>00005200010</t>
        </is>
      </c>
      <c r="D117" s="5" t="inlineStr">
        <is>
          <t>PREVNAR 20 0.5 ML PREFILLED SYRINGE</t>
        </is>
      </c>
      <c r="E117" s="6" t="inlineStr">
        <is>
          <t>5.0</t>
        </is>
      </c>
      <c r="F117" s="7" t="n">
        <v>0.5</v>
      </c>
      <c r="G117" s="7" t="n">
        <v>0.1</v>
      </c>
      <c r="H117" s="7" t="n">
        <v>0</v>
      </c>
      <c r="I117" s="7" t="n">
        <v>-0.1</v>
      </c>
      <c r="J117" s="8" t="n">
        <v>304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CVS</t>
        </is>
      </c>
      <c r="C118" s="5" t="inlineStr">
        <is>
          <t>08627007801</t>
        </is>
      </c>
      <c r="D118" s="5" t="inlineStr">
        <is>
          <t>DEXCOM G7 RECEIVER DEVICE</t>
        </is>
      </c>
      <c r="E118" s="6" t="inlineStr">
        <is>
          <t>1.0</t>
        </is>
      </c>
      <c r="F118" s="7" t="n">
        <v>1</v>
      </c>
      <c r="G118" s="7" t="n">
        <v>1</v>
      </c>
      <c r="H118" s="7" t="n">
        <v>0</v>
      </c>
      <c r="I118" s="7" t="n">
        <v>-1</v>
      </c>
      <c r="J118" s="8" t="n">
        <v>295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CVS</t>
        </is>
      </c>
      <c r="C119" s="5" t="inlineStr">
        <is>
          <t>64764017530</t>
        </is>
      </c>
      <c r="D119" s="5" t="inlineStr">
        <is>
          <t xml:space="preserve">DEXILANT 60MG CAP </t>
        </is>
      </c>
      <c r="E119" s="6" t="inlineStr">
        <is>
          <t>30.0</t>
        </is>
      </c>
      <c r="F119" s="7" t="n">
        <v>30</v>
      </c>
      <c r="G119" s="7" t="n">
        <v>1</v>
      </c>
      <c r="H119" s="7" t="n">
        <v>0</v>
      </c>
      <c r="I119" s="7" t="n">
        <v>-1</v>
      </c>
      <c r="J119" s="8" t="n">
        <v>288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CVS</t>
        </is>
      </c>
      <c r="C120" s="5" t="inlineStr">
        <is>
          <t>72205028060</t>
        </is>
      </c>
      <c r="D120" s="5" t="inlineStr">
        <is>
          <t>SACUBITRIL-VALSARTAN 24-26 MG ORAL TABLET</t>
        </is>
      </c>
      <c r="E120" s="6" t="inlineStr">
        <is>
          <t>60.0</t>
        </is>
      </c>
      <c r="F120" s="7" t="n">
        <v>540</v>
      </c>
      <c r="G120" s="7" t="n">
        <v>9</v>
      </c>
      <c r="H120" s="7" t="n">
        <v>0</v>
      </c>
      <c r="I120" s="7" t="n">
        <v>-9</v>
      </c>
      <c r="J120" s="8" t="n">
        <v>285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CVS</t>
        </is>
      </c>
      <c r="C121" s="5" t="inlineStr">
        <is>
          <t>69238173306</t>
        </is>
      </c>
      <c r="D121" s="5" t="inlineStr">
        <is>
          <t>DOXEPIN HCL 5 % EXTERNAL CREAM</t>
        </is>
      </c>
      <c r="E121" s="6" t="inlineStr">
        <is>
          <t>45.0</t>
        </is>
      </c>
      <c r="F121" s="7" t="n">
        <v>45</v>
      </c>
      <c r="G121" s="7" t="n">
        <v>1</v>
      </c>
      <c r="H121" s="7" t="n">
        <v>1</v>
      </c>
      <c r="I121" s="7" t="n">
        <v>0</v>
      </c>
      <c r="J121" s="8" t="n">
        <v>271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CVS</t>
        </is>
      </c>
      <c r="C122" s="5" t="inlineStr">
        <is>
          <t>00456120330</t>
        </is>
      </c>
      <c r="D122" s="5" t="inlineStr">
        <is>
          <t>LINZESS 72 MCG ORAL CAPSULE</t>
        </is>
      </c>
      <c r="E122" s="6" t="inlineStr">
        <is>
          <t>30.0</t>
        </is>
      </c>
      <c r="F122" s="7" t="n">
        <v>30</v>
      </c>
      <c r="G122" s="7" t="n">
        <v>1</v>
      </c>
      <c r="H122" s="7" t="n">
        <v>0</v>
      </c>
      <c r="I122" s="7" t="n">
        <v>-1</v>
      </c>
      <c r="J122" s="8" t="n">
        <v>263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CVS</t>
        </is>
      </c>
      <c r="C123" s="5" t="inlineStr">
        <is>
          <t>72495040128</t>
        </is>
      </c>
      <c r="D123" s="5" t="inlineStr">
        <is>
          <t>INTRAROSA 6.5 MG VAGINAL INSERT</t>
        </is>
      </c>
      <c r="E123" s="6" t="inlineStr">
        <is>
          <t>28.0</t>
        </is>
      </c>
      <c r="F123" s="7" t="n">
        <v>28</v>
      </c>
      <c r="G123" s="7" t="n">
        <v>1</v>
      </c>
      <c r="H123" s="7" t="n">
        <v>1</v>
      </c>
      <c r="I123" s="7" t="n">
        <v>0</v>
      </c>
      <c r="J123" s="8" t="n">
        <v>263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CVS</t>
        </is>
      </c>
      <c r="C124" s="5" t="inlineStr">
        <is>
          <t>51672130100</t>
        </is>
      </c>
      <c r="D124" s="5" t="inlineStr">
        <is>
          <t>AMMONIUM LACTATE 12 % EXTERNAL CREAM</t>
        </is>
      </c>
      <c r="E124" s="6" t="inlineStr">
        <is>
          <t>385.0</t>
        </is>
      </c>
      <c r="F124" s="7" t="n">
        <v>3850</v>
      </c>
      <c r="G124" s="7" t="n">
        <v>10</v>
      </c>
      <c r="H124" s="7" t="n">
        <v>0</v>
      </c>
      <c r="I124" s="7" t="n">
        <v>-10</v>
      </c>
      <c r="J124" s="8" t="n">
        <v>240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CVS</t>
        </is>
      </c>
      <c r="C125" s="5" t="inlineStr">
        <is>
          <t>00480268806</t>
        </is>
      </c>
      <c r="D125" s="5" t="inlineStr">
        <is>
          <t>TICAGRELOR 60 MG ORAL TABLET</t>
        </is>
      </c>
      <c r="E125" s="6" t="inlineStr">
        <is>
          <t>60.0</t>
        </is>
      </c>
      <c r="F125" s="7" t="n">
        <v>60</v>
      </c>
      <c r="G125" s="7" t="n">
        <v>1</v>
      </c>
      <c r="H125" s="7" t="n">
        <v>0</v>
      </c>
      <c r="I125" s="7" t="n">
        <v>-1</v>
      </c>
      <c r="J125" s="8" t="n">
        <v>238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CVS</t>
        </is>
      </c>
      <c r="C126" s="5" t="inlineStr">
        <is>
          <t>51672125903</t>
        </is>
      </c>
      <c r="D126" s="5" t="inlineStr">
        <is>
          <t>CLOBETASOL PROPIONATE 0.05% OINTMENT</t>
        </is>
      </c>
      <c r="E126" s="6" t="inlineStr">
        <is>
          <t>60.0</t>
        </is>
      </c>
      <c r="F126" s="7" t="n">
        <v>120</v>
      </c>
      <c r="G126" s="7" t="n">
        <v>2</v>
      </c>
      <c r="H126" s="7" t="n">
        <v>0</v>
      </c>
      <c r="I126" s="7" t="n">
        <v>-2</v>
      </c>
      <c r="J126" s="8" t="n">
        <v>237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CVS</t>
        </is>
      </c>
      <c r="C127" s="5" t="inlineStr">
        <is>
          <t>00168041630</t>
        </is>
      </c>
      <c r="D127" s="5" t="inlineStr">
        <is>
          <t>TACROLIMUS 0.1 % OINTMENT</t>
        </is>
      </c>
      <c r="E127" s="6" t="inlineStr">
        <is>
          <t>30.0</t>
        </is>
      </c>
      <c r="F127" s="7" t="n">
        <v>60</v>
      </c>
      <c r="G127" s="7" t="n">
        <v>2</v>
      </c>
      <c r="H127" s="7" t="n">
        <v>0</v>
      </c>
      <c r="I127" s="7" t="n">
        <v>-2</v>
      </c>
      <c r="J127" s="8" t="n">
        <v>234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CVS</t>
        </is>
      </c>
      <c r="C128" s="5" t="inlineStr">
        <is>
          <t>59467067901</t>
        </is>
      </c>
      <c r="D128" s="5" t="inlineStr">
        <is>
          <t>KLOXXADO 8 MG/0.1ML NASAL LIQUID</t>
        </is>
      </c>
      <c r="E128" s="6" t="inlineStr">
        <is>
          <t>2.0</t>
        </is>
      </c>
      <c r="F128" s="7" t="n">
        <v>4</v>
      </c>
      <c r="G128" s="7" t="n">
        <v>2</v>
      </c>
      <c r="H128" s="7" t="n">
        <v>3</v>
      </c>
      <c r="I128" s="7" t="n">
        <v>1</v>
      </c>
      <c r="J128" s="8" t="n">
        <v>229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CVS</t>
        </is>
      </c>
      <c r="C129" s="5" t="inlineStr">
        <is>
          <t>33342032186</t>
        </is>
      </c>
      <c r="D129" s="5" t="inlineStr">
        <is>
          <t>CLOBETASOL PROPIONATE 0.05 % SOLUTION</t>
        </is>
      </c>
      <c r="E129" s="6" t="inlineStr">
        <is>
          <t>50.0</t>
        </is>
      </c>
      <c r="F129" s="7" t="n">
        <v>250</v>
      </c>
      <c r="G129" s="7" t="n">
        <v>5</v>
      </c>
      <c r="H129" s="7" t="n">
        <v>0</v>
      </c>
      <c r="I129" s="7" t="n">
        <v>-5</v>
      </c>
      <c r="J129" s="8" t="n">
        <v>221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CVS</t>
        </is>
      </c>
      <c r="C130" s="5" t="inlineStr">
        <is>
          <t>66993008096</t>
        </is>
      </c>
      <c r="D130" s="5" t="inlineStr">
        <is>
          <t>FLUTICASONE PROPIONATE HFA 220 MCG/ACT INHALATION AEROSOL</t>
        </is>
      </c>
      <c r="E130" s="6" t="inlineStr">
        <is>
          <t>12.0</t>
        </is>
      </c>
      <c r="F130" s="7" t="n">
        <v>12</v>
      </c>
      <c r="G130" s="7" t="n">
        <v>1</v>
      </c>
      <c r="H130" s="7" t="n">
        <v>0</v>
      </c>
      <c r="I130" s="7" t="n">
        <v>-1</v>
      </c>
      <c r="J130" s="8" t="n">
        <v>218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CVS</t>
        </is>
      </c>
      <c r="C131" s="5" t="inlineStr">
        <is>
          <t>00169750111</t>
        </is>
      </c>
      <c r="D131" s="5" t="inlineStr">
        <is>
          <t>NOVOLOG 100UNIT/ML SOLUTION</t>
        </is>
      </c>
      <c r="E131" s="6" t="inlineStr">
        <is>
          <t>10.0</t>
        </is>
      </c>
      <c r="F131" s="7" t="n">
        <v>30</v>
      </c>
      <c r="G131" s="7" t="n">
        <v>3</v>
      </c>
      <c r="H131" s="7" t="n">
        <v>3</v>
      </c>
      <c r="I131" s="7" t="n">
        <v>0</v>
      </c>
      <c r="J131" s="8" t="n">
        <v>206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CVS</t>
        </is>
      </c>
      <c r="C132" s="5" t="inlineStr">
        <is>
          <t>61314063710</t>
        </is>
      </c>
      <c r="D132" s="5" t="inlineStr">
        <is>
          <t>PREDNISOLONE ACETATE 1% SUSPENSION</t>
        </is>
      </c>
      <c r="E132" s="6" t="inlineStr">
        <is>
          <t>10.0</t>
        </is>
      </c>
      <c r="F132" s="7" t="n">
        <v>50</v>
      </c>
      <c r="G132" s="7" t="n">
        <v>5</v>
      </c>
      <c r="H132" s="7" t="n">
        <v>8</v>
      </c>
      <c r="I132" s="7" t="n">
        <v>3</v>
      </c>
      <c r="J132" s="8" t="n">
        <v>195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CVS</t>
        </is>
      </c>
      <c r="C133" s="5" t="inlineStr">
        <is>
          <t>70700026894</t>
        </is>
      </c>
      <c r="D133" s="5" t="inlineStr">
        <is>
          <t>FOSFOMYCIN TROMETHAMINE 3 GM ORAL PACKET</t>
        </is>
      </c>
      <c r="E133" s="6" t="inlineStr">
        <is>
          <t>1.0</t>
        </is>
      </c>
      <c r="F133" s="7" t="n">
        <v>9</v>
      </c>
      <c r="G133" s="7" t="n">
        <v>9</v>
      </c>
      <c r="H133" s="7" t="n">
        <v>3</v>
      </c>
      <c r="I133" s="7" t="n">
        <v>-6</v>
      </c>
      <c r="J133" s="8" t="n">
        <v>183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CVS</t>
        </is>
      </c>
      <c r="C134" s="5" t="inlineStr">
        <is>
          <t>00054032756</t>
        </is>
      </c>
      <c r="D134" s="5" t="inlineStr">
        <is>
          <t>FLUTICASONE-SALMETEROL 250-50 MCG/ACT INH AEROSOL</t>
        </is>
      </c>
      <c r="E134" s="6" t="inlineStr">
        <is>
          <t>60.0</t>
        </is>
      </c>
      <c r="F134" s="7" t="n">
        <v>240</v>
      </c>
      <c r="G134" s="7" t="n">
        <v>4</v>
      </c>
      <c r="H134" s="7" t="n">
        <v>7</v>
      </c>
      <c r="I134" s="7" t="n">
        <v>3</v>
      </c>
      <c r="J134" s="8" t="n">
        <v>181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CVS</t>
        </is>
      </c>
      <c r="C135" s="5" t="inlineStr">
        <is>
          <t>52817080030</t>
        </is>
      </c>
      <c r="D135" s="5" t="inlineStr">
        <is>
          <t xml:space="preserve">CLOTRIMAZOLE 1 % SOLUTION </t>
        </is>
      </c>
      <c r="E135" s="6" t="inlineStr">
        <is>
          <t>30.0</t>
        </is>
      </c>
      <c r="F135" s="7" t="n">
        <v>240</v>
      </c>
      <c r="G135" s="7" t="n">
        <v>8</v>
      </c>
      <c r="H135" s="7" t="n">
        <v>0</v>
      </c>
      <c r="I135" s="7" t="n">
        <v>-8</v>
      </c>
      <c r="J135" s="8" t="n">
        <v>180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CVS</t>
        </is>
      </c>
      <c r="C136" s="5" t="inlineStr">
        <is>
          <t>66993007896</t>
        </is>
      </c>
      <c r="D136" s="5" t="inlineStr">
        <is>
          <t>FLUTICASONE PROPIONATE HFA 44 MCG/ACT INH AEROSOL</t>
        </is>
      </c>
      <c r="E136" s="6" t="inlineStr">
        <is>
          <t>10.6</t>
        </is>
      </c>
      <c r="F136" s="7" t="n">
        <v>10.6</v>
      </c>
      <c r="G136" s="7" t="n">
        <v>1</v>
      </c>
      <c r="H136" s="7" t="n">
        <v>4</v>
      </c>
      <c r="I136" s="7" t="n">
        <v>3</v>
      </c>
      <c r="J136" s="8" t="n">
        <v>152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CVS</t>
        </is>
      </c>
      <c r="C137" s="5" t="inlineStr">
        <is>
          <t>69918030130</t>
        </is>
      </c>
      <c r="D137" s="5" t="inlineStr">
        <is>
          <t>TRANEXAMIC ACID 650MG TABLET</t>
        </is>
      </c>
      <c r="E137" s="6" t="inlineStr">
        <is>
          <t>30.0</t>
        </is>
      </c>
      <c r="F137" s="7" t="n">
        <v>120</v>
      </c>
      <c r="G137" s="7" t="n">
        <v>4</v>
      </c>
      <c r="H137" s="7" t="n">
        <v>0</v>
      </c>
      <c r="I137" s="7" t="n">
        <v>-4</v>
      </c>
      <c r="J137" s="8" t="n">
        <v>150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CVS</t>
        </is>
      </c>
      <c r="C138" s="5" t="inlineStr">
        <is>
          <t>00074434190</t>
        </is>
      </c>
      <c r="D138" s="5" t="inlineStr">
        <is>
          <t>SYNTHROID 25 MCG ORAL TABLET</t>
        </is>
      </c>
      <c r="E138" s="6" t="inlineStr">
        <is>
          <t>90.0</t>
        </is>
      </c>
      <c r="F138" s="7" t="n">
        <v>90</v>
      </c>
      <c r="G138" s="7" t="n">
        <v>1</v>
      </c>
      <c r="H138" s="7" t="n">
        <v>1</v>
      </c>
      <c r="I138" s="7" t="n">
        <v>0</v>
      </c>
      <c r="J138" s="8" t="n">
        <v>146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CVS</t>
        </is>
      </c>
      <c r="C139" s="5" t="inlineStr">
        <is>
          <t>00093598527</t>
        </is>
      </c>
      <c r="D139" s="5" t="inlineStr">
        <is>
          <t>EPINEPHRINE (JR) 0.15MG/0.3ML</t>
        </is>
      </c>
      <c r="E139" s="6" t="inlineStr">
        <is>
          <t>2.0</t>
        </is>
      </c>
      <c r="F139" s="7" t="n">
        <v>2</v>
      </c>
      <c r="G139" s="7" t="n">
        <v>1</v>
      </c>
      <c r="H139" s="7" t="n">
        <v>0</v>
      </c>
      <c r="I139" s="7" t="n">
        <v>-1</v>
      </c>
      <c r="J139" s="8" t="n">
        <v>144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CVS</t>
        </is>
      </c>
      <c r="C140" s="5" t="inlineStr">
        <is>
          <t>66993000210</t>
        </is>
      </c>
      <c r="D140" s="5" t="inlineStr">
        <is>
          <t>ESTRADIOL 0.1 MG/GM VAGINAL CREAM</t>
        </is>
      </c>
      <c r="E140" s="6" t="inlineStr">
        <is>
          <t>42.5</t>
        </is>
      </c>
      <c r="F140" s="7" t="n">
        <v>212.5</v>
      </c>
      <c r="G140" s="7" t="n">
        <v>5</v>
      </c>
      <c r="H140" s="7" t="n">
        <v>5</v>
      </c>
      <c r="I140" s="7" t="n">
        <v>0</v>
      </c>
      <c r="J140" s="8" t="n">
        <v>141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CVS</t>
        </is>
      </c>
      <c r="C141" s="5" t="inlineStr">
        <is>
          <t>00074455290</t>
        </is>
      </c>
      <c r="D141" s="5" t="inlineStr">
        <is>
          <t>SYNTHROID 50MCG TABLET</t>
        </is>
      </c>
      <c r="E141" s="6" t="inlineStr">
        <is>
          <t>90.0</t>
        </is>
      </c>
      <c r="F141" s="7" t="n">
        <v>90</v>
      </c>
      <c r="G141" s="7" t="n">
        <v>1</v>
      </c>
      <c r="H141" s="7" t="n">
        <v>1</v>
      </c>
      <c r="I141" s="7" t="n">
        <v>0</v>
      </c>
      <c r="J141" s="8" t="n">
        <v>141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CVS</t>
        </is>
      </c>
      <c r="C142" s="5" t="inlineStr">
        <is>
          <t>61314063715</t>
        </is>
      </c>
      <c r="D142" s="5" t="inlineStr">
        <is>
          <t>PREDNISOLONE ACETATE 1% SUSPENSION</t>
        </is>
      </c>
      <c r="E142" s="6" t="inlineStr">
        <is>
          <t>15.0</t>
        </is>
      </c>
      <c r="F142" s="7" t="n">
        <v>30</v>
      </c>
      <c r="G142" s="7" t="n">
        <v>2</v>
      </c>
      <c r="H142" s="7" t="n">
        <v>0</v>
      </c>
      <c r="I142" s="7" t="n">
        <v>-2</v>
      </c>
      <c r="J142" s="8" t="n">
        <v>140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CVS</t>
        </is>
      </c>
      <c r="C143" s="5" t="inlineStr">
        <is>
          <t>60505434806</t>
        </is>
      </c>
      <c r="D143" s="5" t="inlineStr">
        <is>
          <t>DABIGATRAN ETEXILATE MESYLATE 150 MG ORAL CAPSULE</t>
        </is>
      </c>
      <c r="E143" s="6" t="inlineStr">
        <is>
          <t>60.0</t>
        </is>
      </c>
      <c r="F143" s="7" t="n">
        <v>180</v>
      </c>
      <c r="G143" s="7" t="n">
        <v>3</v>
      </c>
      <c r="H143" s="7" t="n">
        <v>0</v>
      </c>
      <c r="I143" s="7" t="n">
        <v>-3</v>
      </c>
      <c r="J143" s="8" t="n">
        <v>138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CVS</t>
        </is>
      </c>
      <c r="C144" s="5" t="inlineStr">
        <is>
          <t>60505082901</t>
        </is>
      </c>
      <c r="D144" s="5" t="inlineStr">
        <is>
          <t>FLUTICASONE 50MCG (NASAL) SUSPENSION</t>
        </is>
      </c>
      <c r="E144" s="6" t="inlineStr">
        <is>
          <t>16.0</t>
        </is>
      </c>
      <c r="F144" s="7" t="n">
        <v>432</v>
      </c>
      <c r="G144" s="7" t="n">
        <v>27</v>
      </c>
      <c r="H144" s="7" t="n">
        <v>24</v>
      </c>
      <c r="I144" s="7" t="n">
        <v>-3</v>
      </c>
      <c r="J144" s="8" t="n">
        <v>132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CVS</t>
        </is>
      </c>
      <c r="C145" s="5" t="inlineStr">
        <is>
          <t>43598032675</t>
        </is>
      </c>
      <c r="D145" s="5" t="inlineStr">
        <is>
          <t>CIPROFLOXACIN-DEXA 0.3-0.1% OTIC SUSP (EAR)</t>
        </is>
      </c>
      <c r="E145" s="6" t="inlineStr">
        <is>
          <t>7.5</t>
        </is>
      </c>
      <c r="F145" s="7" t="n">
        <v>15</v>
      </c>
      <c r="G145" s="7" t="n">
        <v>2</v>
      </c>
      <c r="H145" s="7" t="n">
        <v>3</v>
      </c>
      <c r="I145" s="7" t="n">
        <v>1</v>
      </c>
      <c r="J145" s="8" t="n">
        <v>126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CVS</t>
        </is>
      </c>
      <c r="C146" s="5" t="inlineStr">
        <is>
          <t>70377007813</t>
        </is>
      </c>
      <c r="D146" s="5" t="inlineStr">
        <is>
          <t>ATORVASTATIN 20MG TABLET</t>
        </is>
      </c>
      <c r="E146" s="6" t="inlineStr">
        <is>
          <t>1000.0</t>
        </is>
      </c>
      <c r="F146" s="7" t="n">
        <v>2160</v>
      </c>
      <c r="G146" s="7" t="n">
        <v>2.16</v>
      </c>
      <c r="H146" s="7" t="n">
        <v>1</v>
      </c>
      <c r="I146" s="7" t="n">
        <v>-1.16</v>
      </c>
      <c r="J146" s="8" t="n">
        <v>124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CVS</t>
        </is>
      </c>
      <c r="C147" s="5" t="inlineStr">
        <is>
          <t>68462039710</t>
        </is>
      </c>
      <c r="D147" s="5" t="inlineStr">
        <is>
          <t>OMEPRAZOLE 40MG CAPSULE DR</t>
        </is>
      </c>
      <c r="E147" s="6" t="inlineStr">
        <is>
          <t>1000.0</t>
        </is>
      </c>
      <c r="F147" s="7" t="n">
        <v>1904</v>
      </c>
      <c r="G147" s="7" t="n">
        <v>1.904</v>
      </c>
      <c r="H147" s="7" t="n">
        <v>1</v>
      </c>
      <c r="I147" s="7" t="n">
        <v>-0.9039999999999999</v>
      </c>
      <c r="J147" s="8" t="n">
        <v>123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CVS</t>
        </is>
      </c>
      <c r="C148" s="5" t="inlineStr">
        <is>
          <t>68382064016</t>
        </is>
      </c>
      <c r="D148" s="5" t="inlineStr">
        <is>
          <t>DUTASTERIDE-TAMSULOSIN HCL 0.5-0.4 MG ORAL CAPSULE</t>
        </is>
      </c>
      <c r="E148" s="6" t="inlineStr">
        <is>
          <t>90.0</t>
        </is>
      </c>
      <c r="F148" s="7" t="n">
        <v>90</v>
      </c>
      <c r="G148" s="7" t="n">
        <v>1</v>
      </c>
      <c r="H148" s="7" t="n">
        <v>2</v>
      </c>
      <c r="I148" s="7" t="n">
        <v>1</v>
      </c>
      <c r="J148" s="8" t="n">
        <v>121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CVS</t>
        </is>
      </c>
      <c r="C149" s="5" t="inlineStr">
        <is>
          <t>71921019033</t>
        </is>
      </c>
      <c r="D149" s="5" t="inlineStr">
        <is>
          <t>EXEMESTANE 25MG TABLET</t>
        </is>
      </c>
      <c r="E149" s="6" t="inlineStr">
        <is>
          <t>30.0</t>
        </is>
      </c>
      <c r="F149" s="7" t="n">
        <v>150</v>
      </c>
      <c r="G149" s="7" t="n">
        <v>5</v>
      </c>
      <c r="H149" s="7" t="n">
        <v>3</v>
      </c>
      <c r="I149" s="7" t="n">
        <v>-2</v>
      </c>
      <c r="J149" s="8" t="n">
        <v>115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CVS</t>
        </is>
      </c>
      <c r="C150" s="5" t="inlineStr">
        <is>
          <t>67877049005</t>
        </is>
      </c>
      <c r="D150" s="5" t="inlineStr">
        <is>
          <t>EZETIMIBE 10MG TABLET</t>
        </is>
      </c>
      <c r="E150" s="6" t="inlineStr">
        <is>
          <t>500.0</t>
        </is>
      </c>
      <c r="F150" s="7" t="n">
        <v>750</v>
      </c>
      <c r="G150" s="7" t="n">
        <v>1.5</v>
      </c>
      <c r="H150" s="7" t="n">
        <v>3</v>
      </c>
      <c r="I150" s="7" t="n">
        <v>1.5</v>
      </c>
      <c r="J150" s="8" t="n">
        <v>114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CVS</t>
        </is>
      </c>
      <c r="C151" s="5" t="inlineStr">
        <is>
          <t>73317666604</t>
        </is>
      </c>
      <c r="D151" s="5" t="inlineStr">
        <is>
          <t>PEN NEEDLE 31G X 4 MM QUICK TOUCH INSULIN</t>
        </is>
      </c>
      <c r="E151" s="6" t="inlineStr">
        <is>
          <t>100.0</t>
        </is>
      </c>
      <c r="F151" s="7" t="n">
        <v>100</v>
      </c>
      <c r="G151" s="7" t="n">
        <v>1</v>
      </c>
      <c r="H151" s="7" t="n">
        <v>0</v>
      </c>
      <c r="I151" s="7" t="n">
        <v>-1</v>
      </c>
      <c r="J151" s="8" t="n">
        <v>112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CVS</t>
        </is>
      </c>
      <c r="C152" s="5" t="inlineStr">
        <is>
          <t>98302000104</t>
        </is>
      </c>
      <c r="D152" s="5" t="inlineStr">
        <is>
          <t>LANCETS PHARMACIST CHOICE</t>
        </is>
      </c>
      <c r="E152" s="6" t="inlineStr">
        <is>
          <t>100.0</t>
        </is>
      </c>
      <c r="F152" s="7" t="n">
        <v>300</v>
      </c>
      <c r="G152" s="7" t="n">
        <v>3</v>
      </c>
      <c r="H152" s="7" t="n">
        <v>0</v>
      </c>
      <c r="I152" s="7" t="n">
        <v>-3</v>
      </c>
      <c r="J152" s="8" t="n">
        <v>111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CVS</t>
        </is>
      </c>
      <c r="C153" s="5" t="inlineStr">
        <is>
          <t>00093365740</t>
        </is>
      </c>
      <c r="D153" s="5" t="inlineStr">
        <is>
          <t>BUPRENORPHINE 10 MCG/HR TRANSDERMAL PATCH WEEKLY</t>
        </is>
      </c>
      <c r="E153" s="6" t="inlineStr">
        <is>
          <t>4.0</t>
        </is>
      </c>
      <c r="F153" s="7" t="n">
        <v>4</v>
      </c>
      <c r="G153" s="7" t="n">
        <v>1</v>
      </c>
      <c r="H153" s="7" t="n">
        <v>1</v>
      </c>
      <c r="I153" s="7" t="n">
        <v>0</v>
      </c>
      <c r="J153" s="8" t="n">
        <v>110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CVS</t>
        </is>
      </c>
      <c r="C154" s="5" t="inlineStr">
        <is>
          <t>65862059805</t>
        </is>
      </c>
      <c r="D154" s="5" t="inlineStr">
        <is>
          <t>TAMSULOSIN 0.4MG CAPSULE</t>
        </is>
      </c>
      <c r="E154" s="6" t="inlineStr">
        <is>
          <t>500.0</t>
        </is>
      </c>
      <c r="F154" s="7" t="n">
        <v>1380</v>
      </c>
      <c r="G154" s="7" t="n">
        <v>2.76</v>
      </c>
      <c r="H154" s="7" t="n">
        <v>0</v>
      </c>
      <c r="I154" s="7" t="n">
        <v>-2.76</v>
      </c>
      <c r="J154" s="8" t="n">
        <v>109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CVS</t>
        </is>
      </c>
      <c r="C155" s="5" t="inlineStr">
        <is>
          <t>51672140709</t>
        </is>
      </c>
      <c r="D155" s="5" t="inlineStr">
        <is>
          <t>TRETINOIN 0.025 % EXTERNAL CREAM</t>
        </is>
      </c>
      <c r="E155" s="6" t="inlineStr">
        <is>
          <t>45.0</t>
        </is>
      </c>
      <c r="F155" s="7" t="n">
        <v>45</v>
      </c>
      <c r="G155" s="7" t="n">
        <v>1</v>
      </c>
      <c r="H155" s="7" t="n">
        <v>0</v>
      </c>
      <c r="I155" s="7" t="n">
        <v>-1</v>
      </c>
      <c r="J155" s="8" t="n">
        <v>108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CVS</t>
        </is>
      </c>
      <c r="C156" s="5" t="inlineStr">
        <is>
          <t>65162003416</t>
        </is>
      </c>
      <c r="D156" s="5" t="inlineStr">
        <is>
          <t>OMEGA-3-ACID ETHYL ESTERS 1 GM ORAL CAPSULE</t>
        </is>
      </c>
      <c r="E156" s="6" t="inlineStr">
        <is>
          <t>120.0</t>
        </is>
      </c>
      <c r="F156" s="7" t="n">
        <v>750</v>
      </c>
      <c r="G156" s="7" t="n">
        <v>6.25</v>
      </c>
      <c r="H156" s="7" t="n">
        <v>0</v>
      </c>
      <c r="I156" s="7" t="n">
        <v>-6.25</v>
      </c>
      <c r="J156" s="8" t="n">
        <v>106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CVS</t>
        </is>
      </c>
      <c r="C157" s="5" t="inlineStr">
        <is>
          <t>70377008013</t>
        </is>
      </c>
      <c r="D157" s="5" t="inlineStr">
        <is>
          <t>ATORVASTATIN 80MG  TABLET</t>
        </is>
      </c>
      <c r="E157" s="6" t="inlineStr">
        <is>
          <t>1000.0</t>
        </is>
      </c>
      <c r="F157" s="7" t="n">
        <v>1440</v>
      </c>
      <c r="G157" s="7" t="n">
        <v>1.44</v>
      </c>
      <c r="H157" s="7" t="n">
        <v>0</v>
      </c>
      <c r="I157" s="7" t="n">
        <v>-1.44</v>
      </c>
      <c r="J157" s="8" t="n">
        <v>102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CVS</t>
        </is>
      </c>
      <c r="C158" s="5" t="inlineStr">
        <is>
          <t>00832601910</t>
        </is>
      </c>
      <c r="D158" s="5" t="inlineStr">
        <is>
          <t>CHLORPROMAZINE HCL 50 MG ORAL TABLET</t>
        </is>
      </c>
      <c r="E158" s="6" t="inlineStr">
        <is>
          <t>1000.0</t>
        </is>
      </c>
      <c r="F158" s="7" t="n">
        <v>270</v>
      </c>
      <c r="G158" s="7" t="n">
        <v>0.27</v>
      </c>
      <c r="H158" s="7" t="n">
        <v>0</v>
      </c>
      <c r="I158" s="7" t="n">
        <v>-0.27</v>
      </c>
      <c r="J158" s="8" t="n">
        <v>100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CVS</t>
        </is>
      </c>
      <c r="C159" s="5" t="inlineStr">
        <is>
          <t>59762033302</t>
        </is>
      </c>
      <c r="D159" s="5" t="inlineStr">
        <is>
          <t>LATANOPROST 0.005 % OPHTHALMIC SOLUTION</t>
        </is>
      </c>
      <c r="E159" s="6" t="inlineStr">
        <is>
          <t>2.5</t>
        </is>
      </c>
      <c r="F159" s="7" t="n">
        <v>102.5</v>
      </c>
      <c r="G159" s="7" t="n">
        <v>41</v>
      </c>
      <c r="H159" s="7" t="n">
        <v>44</v>
      </c>
      <c r="I159" s="7" t="n">
        <v>3</v>
      </c>
      <c r="J159" s="8" t="n">
        <v>98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CVS</t>
        </is>
      </c>
      <c r="C160" s="5" t="inlineStr">
        <is>
          <t>31722062921</t>
        </is>
      </c>
      <c r="D160" s="5" t="inlineStr">
        <is>
          <t>ATOVAQUONE 750 MG/5ML ORAL SUSPENSION</t>
        </is>
      </c>
      <c r="E160" s="6" t="inlineStr">
        <is>
          <t>210.0</t>
        </is>
      </c>
      <c r="F160" s="7" t="n">
        <v>210</v>
      </c>
      <c r="G160" s="7" t="n">
        <v>1</v>
      </c>
      <c r="H160" s="7" t="n">
        <v>3</v>
      </c>
      <c r="I160" s="7" t="n">
        <v>2</v>
      </c>
      <c r="J160" s="8" t="n">
        <v>98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CVS</t>
        </is>
      </c>
      <c r="C161" s="5" t="inlineStr">
        <is>
          <t>00168025846</t>
        </is>
      </c>
      <c r="D161" s="5" t="inlineStr">
        <is>
          <t>CLOTRIMAZOLE-BETAMETHASONE 1-0.05 % EXTERNAL CREAM</t>
        </is>
      </c>
      <c r="E161" s="6" t="inlineStr">
        <is>
          <t>45.0</t>
        </is>
      </c>
      <c r="F161" s="7" t="n">
        <v>315</v>
      </c>
      <c r="G161" s="7" t="n">
        <v>7</v>
      </c>
      <c r="H161" s="7" t="n">
        <v>6</v>
      </c>
      <c r="I161" s="7" t="n">
        <v>-1</v>
      </c>
      <c r="J161" s="8" t="n">
        <v>98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CVS</t>
        </is>
      </c>
      <c r="C162" s="5" t="inlineStr">
        <is>
          <t>51672130104</t>
        </is>
      </c>
      <c r="D162" s="5" t="inlineStr">
        <is>
          <t>AMMONIUM LACTATE 12 % EXTERNAL CREAM</t>
        </is>
      </c>
      <c r="E162" s="6" t="inlineStr">
        <is>
          <t>280.0</t>
        </is>
      </c>
      <c r="F162" s="7" t="n">
        <v>1680</v>
      </c>
      <c r="G162" s="7" t="n">
        <v>6</v>
      </c>
      <c r="H162" s="7" t="n">
        <v>8</v>
      </c>
      <c r="I162" s="7" t="n">
        <v>2</v>
      </c>
      <c r="J162" s="8" t="n">
        <v>95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CVS</t>
        </is>
      </c>
      <c r="C163" s="5" t="inlineStr">
        <is>
          <t>64380072507</t>
        </is>
      </c>
      <c r="D163" s="5" t="inlineStr">
        <is>
          <t>MYCOPHENOLATE MOFETIL 500MG TABLET</t>
        </is>
      </c>
      <c r="E163" s="6" t="inlineStr">
        <is>
          <t>500.0</t>
        </is>
      </c>
      <c r="F163" s="7" t="n">
        <v>180</v>
      </c>
      <c r="G163" s="7" t="n">
        <v>0.36</v>
      </c>
      <c r="H163" s="7" t="n">
        <v>0</v>
      </c>
      <c r="I163" s="7" t="n">
        <v>-0.36</v>
      </c>
      <c r="J163" s="8" t="n">
        <v>93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CVS</t>
        </is>
      </c>
      <c r="C164" s="5" t="inlineStr">
        <is>
          <t>00832046530</t>
        </is>
      </c>
      <c r="D164" s="5" t="inlineStr">
        <is>
          <t>NYSTATIN 100000UNIT/GM POWDER</t>
        </is>
      </c>
      <c r="E164" s="6" t="inlineStr">
        <is>
          <t>30.0</t>
        </is>
      </c>
      <c r="F164" s="7" t="n">
        <v>120</v>
      </c>
      <c r="G164" s="7" t="n">
        <v>4</v>
      </c>
      <c r="H164" s="7" t="n">
        <v>0</v>
      </c>
      <c r="I164" s="7" t="n">
        <v>-4</v>
      </c>
      <c r="J164" s="8" t="n">
        <v>93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CVS</t>
        </is>
      </c>
      <c r="C165" s="5" t="inlineStr">
        <is>
          <t>00169183411</t>
        </is>
      </c>
      <c r="D165" s="5" t="inlineStr">
        <is>
          <t>NOVOLIN N 100UNIT/ML SUSPENSION</t>
        </is>
      </c>
      <c r="E165" s="6" t="inlineStr">
        <is>
          <t>10.0</t>
        </is>
      </c>
      <c r="F165" s="7" t="n">
        <v>20</v>
      </c>
      <c r="G165" s="7" t="n">
        <v>2</v>
      </c>
      <c r="H165" s="7" t="n">
        <v>2</v>
      </c>
      <c r="I165" s="7" t="n">
        <v>0</v>
      </c>
      <c r="J165" s="8" t="n">
        <v>92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CVS</t>
        </is>
      </c>
      <c r="C166" s="5" t="inlineStr">
        <is>
          <t>68382052960</t>
        </is>
      </c>
      <c r="D166" s="5" t="inlineStr">
        <is>
          <t>CHOLESTYRAMINE LIGHT 4GM PACK</t>
        </is>
      </c>
      <c r="E166" s="6" t="inlineStr">
        <is>
          <t>60.0</t>
        </is>
      </c>
      <c r="F166" s="7" t="n">
        <v>60</v>
      </c>
      <c r="G166" s="7" t="n">
        <v>1</v>
      </c>
      <c r="H166" s="7" t="n">
        <v>1</v>
      </c>
      <c r="I166" s="7" t="n">
        <v>0</v>
      </c>
      <c r="J166" s="8" t="n">
        <v>89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CVS</t>
        </is>
      </c>
      <c r="C167" s="5" t="inlineStr">
        <is>
          <t>61314063705</t>
        </is>
      </c>
      <c r="D167" s="5" t="inlineStr">
        <is>
          <t>PREDNISOLONE ACETATE 1% SUSPENSION</t>
        </is>
      </c>
      <c r="E167" s="6" t="inlineStr">
        <is>
          <t>5.0</t>
        </is>
      </c>
      <c r="F167" s="7" t="n">
        <v>20</v>
      </c>
      <c r="G167" s="7" t="n">
        <v>4</v>
      </c>
      <c r="H167" s="7" t="n">
        <v>0</v>
      </c>
      <c r="I167" s="7" t="n">
        <v>-4</v>
      </c>
      <c r="J167" s="8" t="n">
        <v>87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CVS</t>
        </is>
      </c>
      <c r="C168" s="5" t="inlineStr">
        <is>
          <t>83257001532</t>
        </is>
      </c>
      <c r="D168" s="5" t="inlineStr">
        <is>
          <t>INSULIN GLARGINE 100 UNIT/ML YFGN</t>
        </is>
      </c>
      <c r="E168" s="6" t="inlineStr">
        <is>
          <t>15.0</t>
        </is>
      </c>
      <c r="F168" s="7" t="n">
        <v>15</v>
      </c>
      <c r="G168" s="7" t="n">
        <v>1</v>
      </c>
      <c r="H168" s="7" t="n">
        <v>1</v>
      </c>
      <c r="I168" s="7" t="n">
        <v>0</v>
      </c>
      <c r="J168" s="8" t="n">
        <v>86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CVS</t>
        </is>
      </c>
      <c r="C169" s="5" t="inlineStr">
        <is>
          <t>60505083001</t>
        </is>
      </c>
      <c r="D169" s="5" t="inlineStr">
        <is>
          <t>MOMETASONE FUROATE 50MCG/ACT SUSPENSION</t>
        </is>
      </c>
      <c r="E169" s="6" t="inlineStr">
        <is>
          <t>17.0</t>
        </is>
      </c>
      <c r="F169" s="7" t="n">
        <v>17</v>
      </c>
      <c r="G169" s="7" t="n">
        <v>1</v>
      </c>
      <c r="H169" s="7" t="n">
        <v>0</v>
      </c>
      <c r="I169" s="7" t="n">
        <v>-1</v>
      </c>
      <c r="J169" s="8" t="n">
        <v>84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CVS</t>
        </is>
      </c>
      <c r="C170" s="5" t="inlineStr">
        <is>
          <t>65862056099</t>
        </is>
      </c>
      <c r="D170" s="5" t="inlineStr">
        <is>
          <t xml:space="preserve">PANTOPRAZOLE 40MG TAB </t>
        </is>
      </c>
      <c r="E170" s="6" t="inlineStr">
        <is>
          <t>1000.0</t>
        </is>
      </c>
      <c r="F170" s="7" t="n">
        <v>1155</v>
      </c>
      <c r="G170" s="7" t="n">
        <v>1.155</v>
      </c>
      <c r="H170" s="7" t="n">
        <v>2</v>
      </c>
      <c r="I170" s="7" t="n">
        <v>0.845</v>
      </c>
      <c r="J170" s="8" t="n">
        <v>83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CVS</t>
        </is>
      </c>
      <c r="C171" s="5" t="inlineStr">
        <is>
          <t>73070010315</t>
        </is>
      </c>
      <c r="D171" s="5" t="inlineStr">
        <is>
          <t>INSULIN ASPART FLEXPEN 100 UNIT/ML SUBCUTANEOUS SOLUTION PEN-INJECTOR</t>
        </is>
      </c>
      <c r="E171" s="6" t="inlineStr">
        <is>
          <t>15.0</t>
        </is>
      </c>
      <c r="F171" s="7" t="n">
        <v>18</v>
      </c>
      <c r="G171" s="7" t="n">
        <v>1.2</v>
      </c>
      <c r="H171" s="7" t="n">
        <v>0</v>
      </c>
      <c r="I171" s="7" t="n">
        <v>-1.2</v>
      </c>
      <c r="J171" s="8" t="n">
        <v>80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CVS</t>
        </is>
      </c>
      <c r="C172" s="5" t="inlineStr">
        <is>
          <t>42571013725</t>
        </is>
      </c>
      <c r="D172" s="5" t="inlineStr">
        <is>
          <t>KETOROLAC 0.5 % OPHTHALMIC SOLUTION</t>
        </is>
      </c>
      <c r="E172" s="6" t="inlineStr">
        <is>
          <t>5.0</t>
        </is>
      </c>
      <c r="F172" s="7" t="n">
        <v>35</v>
      </c>
      <c r="G172" s="7" t="n">
        <v>7</v>
      </c>
      <c r="H172" s="7" t="n">
        <v>0</v>
      </c>
      <c r="I172" s="7" t="n">
        <v>-7</v>
      </c>
      <c r="J172" s="8" t="n">
        <v>79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CVS</t>
        </is>
      </c>
      <c r="C173" s="5" t="inlineStr">
        <is>
          <t>65702071110</t>
        </is>
      </c>
      <c r="D173" s="5" t="inlineStr">
        <is>
          <t>ACCU-CHEK GUIDE IN VITRO STRIP</t>
        </is>
      </c>
      <c r="E173" s="6" t="inlineStr">
        <is>
          <t>50.0</t>
        </is>
      </c>
      <c r="F173" s="7" t="n">
        <v>200</v>
      </c>
      <c r="G173" s="7" t="n">
        <v>4</v>
      </c>
      <c r="H173" s="7" t="n">
        <v>16</v>
      </c>
      <c r="I173" s="7" t="n">
        <v>12</v>
      </c>
      <c r="J173" s="8" t="n">
        <v>78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CVS</t>
        </is>
      </c>
      <c r="C174" s="5" t="inlineStr">
        <is>
          <t>00054032656</t>
        </is>
      </c>
      <c r="D174" s="5" t="inlineStr">
        <is>
          <t>FLUTICASONE-SALMETEROL 100-50 MCG/ACT INH AEROSOL</t>
        </is>
      </c>
      <c r="E174" s="6" t="inlineStr">
        <is>
          <t>60.0</t>
        </is>
      </c>
      <c r="F174" s="7" t="n">
        <v>120</v>
      </c>
      <c r="G174" s="7" t="n">
        <v>2</v>
      </c>
      <c r="H174" s="7" t="n">
        <v>0</v>
      </c>
      <c r="I174" s="7" t="n">
        <v>-2</v>
      </c>
      <c r="J174" s="8" t="n">
        <v>76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CVS</t>
        </is>
      </c>
      <c r="C175" s="5" t="inlineStr">
        <is>
          <t>60219174903</t>
        </is>
      </c>
      <c r="D175" s="5" t="inlineStr">
        <is>
          <t>ATROPINE SULFATE 1 % OPHTHALMIC SOLUTION</t>
        </is>
      </c>
      <c r="E175" s="6" t="inlineStr">
        <is>
          <t>5.0</t>
        </is>
      </c>
      <c r="F175" s="7" t="n">
        <v>15</v>
      </c>
      <c r="G175" s="7" t="n">
        <v>3</v>
      </c>
      <c r="H175" s="7" t="n">
        <v>3</v>
      </c>
      <c r="I175" s="7" t="n">
        <v>0</v>
      </c>
      <c r="J175" s="8" t="n">
        <v>73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CVS</t>
        </is>
      </c>
      <c r="C176" s="5" t="inlineStr">
        <is>
          <t>68462043890</t>
        </is>
      </c>
      <c r="D176" s="5" t="inlineStr">
        <is>
          <t>OLMESARTAN 40MG TABLET</t>
        </is>
      </c>
      <c r="E176" s="6" t="inlineStr">
        <is>
          <t>90.0</t>
        </is>
      </c>
      <c r="F176" s="7" t="n">
        <v>180</v>
      </c>
      <c r="G176" s="7" t="n">
        <v>2</v>
      </c>
      <c r="H176" s="7" t="n">
        <v>4</v>
      </c>
      <c r="I176" s="7" t="n">
        <v>2</v>
      </c>
      <c r="J176" s="8" t="n">
        <v>72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CVS</t>
        </is>
      </c>
      <c r="C177" s="5" t="inlineStr">
        <is>
          <t>08222440006</t>
        </is>
      </c>
      <c r="D177" s="5" t="inlineStr">
        <is>
          <t>ALCOHOL PADS ULTICARE</t>
        </is>
      </c>
      <c r="E177" s="6" t="inlineStr">
        <is>
          <t>100.0</t>
        </is>
      </c>
      <c r="F177" s="7" t="n">
        <v>1400</v>
      </c>
      <c r="G177" s="7" t="n">
        <v>14</v>
      </c>
      <c r="H177" s="7" t="n">
        <v>0</v>
      </c>
      <c r="I177" s="7" t="n">
        <v>-14</v>
      </c>
      <c r="J177" s="8" t="n">
        <v>71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CVS</t>
        </is>
      </c>
      <c r="C178" s="5" t="inlineStr">
        <is>
          <t>68382064006</t>
        </is>
      </c>
      <c r="D178" s="5" t="inlineStr">
        <is>
          <t>DUTASTERIDE-TAMSULOSIN HCL 0.5-0.4 MG ORAL CAPSULE</t>
        </is>
      </c>
      <c r="E178" s="6" t="inlineStr">
        <is>
          <t>30.0</t>
        </is>
      </c>
      <c r="F178" s="7" t="n">
        <v>30</v>
      </c>
      <c r="G178" s="7" t="n">
        <v>1</v>
      </c>
      <c r="H178" s="7" t="n">
        <v>1</v>
      </c>
      <c r="I178" s="7" t="n">
        <v>0</v>
      </c>
      <c r="J178" s="8" t="n">
        <v>70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CVS</t>
        </is>
      </c>
      <c r="C179" s="5" t="inlineStr">
        <is>
          <t>72266014201</t>
        </is>
      </c>
      <c r="D179" s="5" t="inlineStr">
        <is>
          <t>BROMFENAC SODIUM (ONCE-DAILY) 0.09% SOLUTION</t>
        </is>
      </c>
      <c r="E179" s="6" t="inlineStr">
        <is>
          <t>1.7</t>
        </is>
      </c>
      <c r="F179" s="7" t="n">
        <v>1.7</v>
      </c>
      <c r="G179" s="7" t="n">
        <v>1</v>
      </c>
      <c r="H179" s="7" t="n">
        <v>0</v>
      </c>
      <c r="I179" s="7" t="n">
        <v>-1</v>
      </c>
      <c r="J179" s="8" t="n">
        <v>69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CVS</t>
        </is>
      </c>
      <c r="C180" s="5" t="inlineStr">
        <is>
          <t>67877072592</t>
        </is>
      </c>
      <c r="D180" s="5" t="inlineStr">
        <is>
          <t>NA SULFATE-K SULFATE-MG SULF 17.5-3.13-1.6 GM/177ML ORAL SOLUTION</t>
        </is>
      </c>
      <c r="E180" s="6" t="inlineStr">
        <is>
          <t>354.0</t>
        </is>
      </c>
      <c r="F180" s="7" t="n">
        <v>708</v>
      </c>
      <c r="G180" s="7" t="n">
        <v>2</v>
      </c>
      <c r="H180" s="7" t="n">
        <v>3</v>
      </c>
      <c r="I180" s="7" t="n">
        <v>1</v>
      </c>
      <c r="J180" s="8" t="n">
        <v>69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CVS</t>
        </is>
      </c>
      <c r="C181" s="5" t="inlineStr">
        <is>
          <t>70377007913</t>
        </is>
      </c>
      <c r="D181" s="5" t="inlineStr">
        <is>
          <t>ATORVASTATIN 40MG TABLET</t>
        </is>
      </c>
      <c r="E181" s="6" t="inlineStr">
        <is>
          <t>1000.0</t>
        </is>
      </c>
      <c r="F181" s="7" t="n">
        <v>1770</v>
      </c>
      <c r="G181" s="7" t="n">
        <v>1.77</v>
      </c>
      <c r="H181" s="7" t="n">
        <v>4</v>
      </c>
      <c r="I181" s="7" t="n">
        <v>2.23</v>
      </c>
      <c r="J181" s="8" t="n">
        <v>68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CVS</t>
        </is>
      </c>
      <c r="C182" s="5" t="inlineStr">
        <is>
          <t>68180096703</t>
        </is>
      </c>
      <c r="D182" s="5" t="inlineStr">
        <is>
          <t>LEVOTHYROXINE 75MCG TABLET</t>
        </is>
      </c>
      <c r="E182" s="6" t="inlineStr">
        <is>
          <t>1000.0</t>
        </is>
      </c>
      <c r="F182" s="7" t="n">
        <v>330</v>
      </c>
      <c r="G182" s="7" t="n">
        <v>0.33</v>
      </c>
      <c r="H182" s="7" t="n">
        <v>0</v>
      </c>
      <c r="I182" s="7" t="n">
        <v>-0.33</v>
      </c>
      <c r="J182" s="8" t="n">
        <v>68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CVS</t>
        </is>
      </c>
      <c r="C183" s="5" t="inlineStr">
        <is>
          <t>45802059701</t>
        </is>
      </c>
      <c r="D183" s="5" t="inlineStr">
        <is>
          <t>CLINDAMYCIN PHOS-BENZOYL PEROX 1.2-2.5 % EXTERNAL GEL</t>
        </is>
      </c>
      <c r="E183" s="6" t="inlineStr">
        <is>
          <t>50.0</t>
        </is>
      </c>
      <c r="F183" s="7" t="n">
        <v>100</v>
      </c>
      <c r="G183" s="7" t="n">
        <v>2</v>
      </c>
      <c r="H183" s="7" t="n">
        <v>2</v>
      </c>
      <c r="I183" s="7" t="n">
        <v>0</v>
      </c>
      <c r="J183" s="8" t="n">
        <v>68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CVS</t>
        </is>
      </c>
      <c r="C184" s="5" t="inlineStr">
        <is>
          <t>70377000913</t>
        </is>
      </c>
      <c r="D184" s="5" t="inlineStr">
        <is>
          <t>ROSUVASTATIN 40MG TABLET</t>
        </is>
      </c>
      <c r="E184" s="6" t="inlineStr">
        <is>
          <t>500.0</t>
        </is>
      </c>
      <c r="F184" s="7" t="n">
        <v>690</v>
      </c>
      <c r="G184" s="7" t="n">
        <v>1.38</v>
      </c>
      <c r="H184" s="7" t="n">
        <v>0</v>
      </c>
      <c r="I184" s="7" t="n">
        <v>-1.38</v>
      </c>
      <c r="J184" s="8" t="n">
        <v>63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CVS</t>
        </is>
      </c>
      <c r="C185" s="5" t="inlineStr">
        <is>
          <t>00093681673</t>
        </is>
      </c>
      <c r="D185" s="5" t="inlineStr">
        <is>
          <t>BUDESONIDE 0.5MG/2ML INHALATION SUSPENSION</t>
        </is>
      </c>
      <c r="E185" s="6" t="inlineStr">
        <is>
          <t>60.0</t>
        </is>
      </c>
      <c r="F185" s="7" t="n">
        <v>240</v>
      </c>
      <c r="G185" s="7" t="n">
        <v>4</v>
      </c>
      <c r="H185" s="7" t="n">
        <v>0</v>
      </c>
      <c r="I185" s="7" t="n">
        <v>-4</v>
      </c>
      <c r="J185" s="8" t="n">
        <v>62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CVS</t>
        </is>
      </c>
      <c r="C186" s="5" t="inlineStr">
        <is>
          <t>70756001112</t>
        </is>
      </c>
      <c r="D186" s="5" t="inlineStr">
        <is>
          <t>CHLORTHALIDONE 25MG TABLET</t>
        </is>
      </c>
      <c r="E186" s="6" t="inlineStr">
        <is>
          <t>1000.0</t>
        </is>
      </c>
      <c r="F186" s="7" t="n">
        <v>420</v>
      </c>
      <c r="G186" s="7" t="n">
        <v>0.42</v>
      </c>
      <c r="H186" s="7" t="n">
        <v>0</v>
      </c>
      <c r="I186" s="7" t="n">
        <v>-0.42</v>
      </c>
      <c r="J186" s="8" t="n">
        <v>61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CVS</t>
        </is>
      </c>
      <c r="C187" s="5" t="inlineStr">
        <is>
          <t>47781023005</t>
        </is>
      </c>
      <c r="D187" s="5" t="inlineStr">
        <is>
          <t>OXYCODONE-APAP 10-325MG TABLET</t>
        </is>
      </c>
      <c r="E187" s="6" t="inlineStr">
        <is>
          <t>500.0</t>
        </is>
      </c>
      <c r="F187" s="7" t="n">
        <v>685</v>
      </c>
      <c r="G187" s="7" t="n">
        <v>1.37</v>
      </c>
      <c r="H187" s="7" t="n">
        <v>4</v>
      </c>
      <c r="I187" s="7" t="n">
        <v>2.63</v>
      </c>
      <c r="J187" s="8" t="n">
        <v>61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CVS</t>
        </is>
      </c>
      <c r="C188" s="5" t="inlineStr">
        <is>
          <t>70069065201</t>
        </is>
      </c>
      <c r="D188" s="5" t="inlineStr">
        <is>
          <t>BRIMONIDINE TARTRATE-TIMOLOL 0.2-0.5 % OPHTHALMIC SOLUTION</t>
        </is>
      </c>
      <c r="E188" s="6" t="inlineStr">
        <is>
          <t>10.0</t>
        </is>
      </c>
      <c r="F188" s="7" t="n">
        <v>10</v>
      </c>
      <c r="G188" s="7" t="n">
        <v>1</v>
      </c>
      <c r="H188" s="7" t="n">
        <v>0</v>
      </c>
      <c r="I188" s="7" t="n">
        <v>-1</v>
      </c>
      <c r="J188" s="8" t="n">
        <v>61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CVS</t>
        </is>
      </c>
      <c r="C189" s="5" t="inlineStr">
        <is>
          <t>59651078205</t>
        </is>
      </c>
      <c r="D189" s="5" t="inlineStr">
        <is>
          <t>GLIPIZIDE ER 10MG TABLET</t>
        </is>
      </c>
      <c r="E189" s="6" t="inlineStr">
        <is>
          <t>500.0</t>
        </is>
      </c>
      <c r="F189" s="7" t="n">
        <v>540</v>
      </c>
      <c r="G189" s="7" t="n">
        <v>1.08</v>
      </c>
      <c r="H189" s="7" t="n">
        <v>2</v>
      </c>
      <c r="I189" s="7" t="n">
        <v>0.9199999999999999</v>
      </c>
      <c r="J189" s="8" t="n">
        <v>61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CVS</t>
        </is>
      </c>
      <c r="C190" s="5" t="inlineStr">
        <is>
          <t>62332004390</t>
        </is>
      </c>
      <c r="D190" s="5" t="inlineStr">
        <is>
          <t>IRBESARTAN 300MG TABLET</t>
        </is>
      </c>
      <c r="E190" s="6" t="inlineStr">
        <is>
          <t>90.0</t>
        </is>
      </c>
      <c r="F190" s="7" t="n">
        <v>180</v>
      </c>
      <c r="G190" s="7" t="n">
        <v>2</v>
      </c>
      <c r="H190" s="7" t="n">
        <v>0</v>
      </c>
      <c r="I190" s="7" t="n">
        <v>-2</v>
      </c>
      <c r="J190" s="8" t="n">
        <v>60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CVS</t>
        </is>
      </c>
      <c r="C191" s="5" t="inlineStr">
        <is>
          <t>65862020399</t>
        </is>
      </c>
      <c r="D191" s="5" t="inlineStr">
        <is>
          <t>LOSARTAN 100MG TABLET</t>
        </is>
      </c>
      <c r="E191" s="6" t="inlineStr">
        <is>
          <t>1000.0</t>
        </is>
      </c>
      <c r="F191" s="7" t="n">
        <v>750</v>
      </c>
      <c r="G191" s="7" t="n">
        <v>0.75</v>
      </c>
      <c r="H191" s="7" t="n">
        <v>0</v>
      </c>
      <c r="I191" s="7" t="n">
        <v>-0.75</v>
      </c>
      <c r="J191" s="8" t="n">
        <v>60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CVS</t>
        </is>
      </c>
      <c r="C192" s="5" t="inlineStr">
        <is>
          <t>51672127304</t>
        </is>
      </c>
      <c r="D192" s="5" t="inlineStr">
        <is>
          <t>FLUOCINONIDE 0.05% EXTERNAL SOLUTION</t>
        </is>
      </c>
      <c r="E192" s="6" t="inlineStr">
        <is>
          <t>60.0</t>
        </is>
      </c>
      <c r="F192" s="7" t="n">
        <v>120</v>
      </c>
      <c r="G192" s="7" t="n">
        <v>2</v>
      </c>
      <c r="H192" s="7" t="n">
        <v>3</v>
      </c>
      <c r="I192" s="7" t="n">
        <v>1</v>
      </c>
      <c r="J192" s="8" t="n">
        <v>59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CVS</t>
        </is>
      </c>
      <c r="C193" s="5" t="inlineStr">
        <is>
          <t>00074518290</t>
        </is>
      </c>
      <c r="D193" s="5" t="inlineStr">
        <is>
          <t xml:space="preserve">SYNTHROID 75MCG TABLET </t>
        </is>
      </c>
      <c r="E193" s="6" t="inlineStr">
        <is>
          <t>90.0</t>
        </is>
      </c>
      <c r="F193" s="7" t="n">
        <v>90</v>
      </c>
      <c r="G193" s="7" t="n">
        <v>1</v>
      </c>
      <c r="H193" s="7" t="n">
        <v>1</v>
      </c>
      <c r="I193" s="7" t="n">
        <v>0</v>
      </c>
      <c r="J193" s="8" t="n">
        <v>57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CVS</t>
        </is>
      </c>
      <c r="C194" s="5" t="inlineStr">
        <is>
          <t>72578015001</t>
        </is>
      </c>
      <c r="D194" s="5" t="inlineStr">
        <is>
          <t>ACETAZOLAMIDE 250 MG ORAL TABLET</t>
        </is>
      </c>
      <c r="E194" s="6" t="inlineStr">
        <is>
          <t>100.0</t>
        </is>
      </c>
      <c r="F194" s="7" t="n">
        <v>180</v>
      </c>
      <c r="G194" s="7" t="n">
        <v>1.8</v>
      </c>
      <c r="H194" s="7" t="n">
        <v>0</v>
      </c>
      <c r="I194" s="7" t="n">
        <v>-1.8</v>
      </c>
      <c r="J194" s="8" t="n">
        <v>56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CVS</t>
        </is>
      </c>
      <c r="C195" s="5" t="inlineStr">
        <is>
          <t>59762330403</t>
        </is>
      </c>
      <c r="D195" s="5" t="inlineStr">
        <is>
          <t>NITROGLYCERIN 0.4 MG SUBLINGUAL TAB 25X4</t>
        </is>
      </c>
      <c r="E195" s="6" t="inlineStr">
        <is>
          <t>100.0</t>
        </is>
      </c>
      <c r="F195" s="7" t="n">
        <v>125</v>
      </c>
      <c r="G195" s="7" t="n">
        <v>1.25</v>
      </c>
      <c r="H195" s="7" t="n">
        <v>0</v>
      </c>
      <c r="I195" s="7" t="n">
        <v>-1.25</v>
      </c>
      <c r="J195" s="8" t="n">
        <v>56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CVS</t>
        </is>
      </c>
      <c r="C196" s="5" t="inlineStr">
        <is>
          <t>68180097103</t>
        </is>
      </c>
      <c r="D196" s="5" t="inlineStr">
        <is>
          <t>LEVOTHYROXINE 125MCG TABLET</t>
        </is>
      </c>
      <c r="E196" s="6" t="inlineStr">
        <is>
          <t>1000.0</t>
        </is>
      </c>
      <c r="F196" s="7" t="n">
        <v>210</v>
      </c>
      <c r="G196" s="7" t="n">
        <v>0.21</v>
      </c>
      <c r="H196" s="7" t="n">
        <v>0</v>
      </c>
      <c r="I196" s="7" t="n">
        <v>-0.21</v>
      </c>
      <c r="J196" s="8" t="n">
        <v>54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CVS</t>
        </is>
      </c>
      <c r="C197" s="5" t="inlineStr">
        <is>
          <t>51672131802</t>
        </is>
      </c>
      <c r="D197" s="5" t="inlineStr">
        <is>
          <t xml:space="preserve">CICLOPIROX 0.77% CREAM </t>
        </is>
      </c>
      <c r="E197" s="6" t="inlineStr">
        <is>
          <t>30.0</t>
        </is>
      </c>
      <c r="F197" s="7" t="n">
        <v>120</v>
      </c>
      <c r="G197" s="7" t="n">
        <v>4</v>
      </c>
      <c r="H197" s="7" t="n">
        <v>0</v>
      </c>
      <c r="I197" s="7" t="n">
        <v>-4</v>
      </c>
      <c r="J197" s="8" t="n">
        <v>54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CVS</t>
        </is>
      </c>
      <c r="C198" s="5" t="inlineStr">
        <is>
          <t>00536120207</t>
        </is>
      </c>
      <c r="D198" s="5" t="inlineStr">
        <is>
          <t>LIDOCAINE PAIN RELIEF 4 % EXTERNAL PATCH</t>
        </is>
      </c>
      <c r="E198" s="6" t="inlineStr">
        <is>
          <t>30.0</t>
        </is>
      </c>
      <c r="F198" s="7" t="n">
        <v>90</v>
      </c>
      <c r="G198" s="7" t="n">
        <v>3</v>
      </c>
      <c r="H198" s="7" t="n">
        <v>21</v>
      </c>
      <c r="I198" s="7" t="n">
        <v>18</v>
      </c>
      <c r="J198" s="8" t="n">
        <v>54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CVS</t>
        </is>
      </c>
      <c r="C199" s="5" t="inlineStr">
        <is>
          <t>52937000340</t>
        </is>
      </c>
      <c r="D199" s="5" t="inlineStr">
        <is>
          <t>VASCEPA 0.5 GM ORAL CAPSULE</t>
        </is>
      </c>
      <c r="E199" s="6" t="inlineStr">
        <is>
          <t>240.0</t>
        </is>
      </c>
      <c r="F199" s="7" t="n">
        <v>60</v>
      </c>
      <c r="G199" s="7" t="n">
        <v>0.25</v>
      </c>
      <c r="H199" s="7" t="n">
        <v>0</v>
      </c>
      <c r="I199" s="7" t="n">
        <v>-0.25</v>
      </c>
      <c r="J199" s="8" t="n">
        <v>54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CVS</t>
        </is>
      </c>
      <c r="C200" s="5" t="inlineStr">
        <is>
          <t>70954066210</t>
        </is>
      </c>
      <c r="D200" s="5" t="inlineStr">
        <is>
          <t>KETOCONAZOLE 2 % EXTERNAL SHAMPOO</t>
        </is>
      </c>
      <c r="E200" s="6" t="inlineStr">
        <is>
          <t>120.0</t>
        </is>
      </c>
      <c r="F200" s="7" t="n">
        <v>1200</v>
      </c>
      <c r="G200" s="7" t="n">
        <v>10</v>
      </c>
      <c r="H200" s="7" t="n">
        <v>6</v>
      </c>
      <c r="I200" s="7" t="n">
        <v>-4</v>
      </c>
      <c r="J200" s="8" t="n">
        <v>54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CVS</t>
        </is>
      </c>
      <c r="C201" s="5" t="inlineStr">
        <is>
          <t>00555904558</t>
        </is>
      </c>
      <c r="D201" s="5" t="inlineStr">
        <is>
          <t>AVIANE 0.1-20MG TABLET</t>
        </is>
      </c>
      <c r="E201" s="6" t="inlineStr">
        <is>
          <t>28.0</t>
        </is>
      </c>
      <c r="F201" s="7" t="n">
        <v>168</v>
      </c>
      <c r="G201" s="7" t="n">
        <v>6</v>
      </c>
      <c r="H201" s="7" t="n">
        <v>0</v>
      </c>
      <c r="I201" s="7" t="n">
        <v>-6</v>
      </c>
      <c r="J201" s="8" t="n">
        <v>54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CVS</t>
        </is>
      </c>
      <c r="C202" s="5" t="inlineStr">
        <is>
          <t>76204010030</t>
        </is>
      </c>
      <c r="D202" s="5" t="inlineStr">
        <is>
          <t>IPRATROPIUM BROMIDE 0.02 % INHALATION SOLUTION</t>
        </is>
      </c>
      <c r="E202" s="6" t="inlineStr">
        <is>
          <t>75.0</t>
        </is>
      </c>
      <c r="F202" s="7" t="n">
        <v>300</v>
      </c>
      <c r="G202" s="7" t="n">
        <v>4</v>
      </c>
      <c r="H202" s="7" t="n">
        <v>0</v>
      </c>
      <c r="I202" s="7" t="n">
        <v>-4</v>
      </c>
      <c r="J202" s="8" t="n">
        <v>52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CVS</t>
        </is>
      </c>
      <c r="C203" s="5" t="inlineStr">
        <is>
          <t>16571065710</t>
        </is>
      </c>
      <c r="D203" s="5" t="inlineStr">
        <is>
          <t xml:space="preserve">CEVIMELINE 30MG CAP </t>
        </is>
      </c>
      <c r="E203" s="6" t="inlineStr">
        <is>
          <t>100.0</t>
        </is>
      </c>
      <c r="F203" s="7" t="n">
        <v>90</v>
      </c>
      <c r="G203" s="7" t="n">
        <v>0.9</v>
      </c>
      <c r="H203" s="7" t="n">
        <v>0</v>
      </c>
      <c r="I203" s="7" t="n">
        <v>-0.9</v>
      </c>
      <c r="J203" s="8" t="n">
        <v>52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CVS</t>
        </is>
      </c>
      <c r="C204" s="5" t="inlineStr">
        <is>
          <t>68180096903</t>
        </is>
      </c>
      <c r="D204" s="5" t="inlineStr">
        <is>
          <t>LEVOTHYROXINE 100MCG TABLET</t>
        </is>
      </c>
      <c r="E204" s="6" t="inlineStr">
        <is>
          <t>1000.0</t>
        </is>
      </c>
      <c r="F204" s="7" t="n">
        <v>210</v>
      </c>
      <c r="G204" s="7" t="n">
        <v>0.21</v>
      </c>
      <c r="H204" s="7" t="n">
        <v>0</v>
      </c>
      <c r="I204" s="7" t="n">
        <v>-0.21</v>
      </c>
      <c r="J204" s="8" t="n">
        <v>51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CVS</t>
        </is>
      </c>
      <c r="C205" s="5" t="inlineStr">
        <is>
          <t>29300022010</t>
        </is>
      </c>
      <c r="D205" s="5" t="inlineStr">
        <is>
          <t xml:space="preserve">MONTELUKAST 10MG TAB </t>
        </is>
      </c>
      <c r="E205" s="6" t="inlineStr">
        <is>
          <t>1000.0</t>
        </is>
      </c>
      <c r="F205" s="7" t="n">
        <v>570</v>
      </c>
      <c r="G205" s="7" t="n">
        <v>0.57</v>
      </c>
      <c r="H205" s="7" t="n">
        <v>0</v>
      </c>
      <c r="I205" s="7" t="n">
        <v>-0.57</v>
      </c>
      <c r="J205" s="8" t="n">
        <v>51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CVS</t>
        </is>
      </c>
      <c r="C206" s="5" t="inlineStr">
        <is>
          <t>00074706890</t>
        </is>
      </c>
      <c r="D206" s="5" t="inlineStr">
        <is>
          <t>SYNTHROID 125 MCG ORAL TABLET</t>
        </is>
      </c>
      <c r="E206" s="6" t="inlineStr">
        <is>
          <t>90.0</t>
        </is>
      </c>
      <c r="F206" s="7" t="n">
        <v>30</v>
      </c>
      <c r="G206" s="7" t="n">
        <v>0.3333333333333333</v>
      </c>
      <c r="H206" s="7" t="n">
        <v>1</v>
      </c>
      <c r="I206" s="7" t="n">
        <v>0.6666666666666667</v>
      </c>
      <c r="J206" s="8" t="n">
        <v>50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CVS</t>
        </is>
      </c>
      <c r="C207" s="5" t="inlineStr">
        <is>
          <t>43386009019</t>
        </is>
      </c>
      <c r="D207" s="5" t="inlineStr">
        <is>
          <t xml:space="preserve">GAVILYTE G SOLUTION </t>
        </is>
      </c>
      <c r="E207" s="6" t="inlineStr">
        <is>
          <t>4000.0</t>
        </is>
      </c>
      <c r="F207" s="7" t="n">
        <v>20000</v>
      </c>
      <c r="G207" s="7" t="n">
        <v>5</v>
      </c>
      <c r="H207" s="7" t="n">
        <v>6</v>
      </c>
      <c r="I207" s="7" t="n">
        <v>1</v>
      </c>
      <c r="J207" s="8" t="n">
        <v>49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CVS</t>
        </is>
      </c>
      <c r="C208" s="5" t="inlineStr">
        <is>
          <t>68462028132</t>
        </is>
      </c>
      <c r="D208" s="5" t="inlineStr">
        <is>
          <t>BRIMONIDINE TARTRATE-TIMOLOL 0.2-0.5 % OPHTHALMIC SOLUTION</t>
        </is>
      </c>
      <c r="E208" s="6" t="inlineStr">
        <is>
          <t>10.0</t>
        </is>
      </c>
      <c r="F208" s="7" t="n">
        <v>10</v>
      </c>
      <c r="G208" s="7" t="n">
        <v>1</v>
      </c>
      <c r="H208" s="7" t="n">
        <v>0</v>
      </c>
      <c r="I208" s="7" t="n">
        <v>-1</v>
      </c>
      <c r="J208" s="8" t="n">
        <v>49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CVS</t>
        </is>
      </c>
      <c r="C209" s="5" t="inlineStr">
        <is>
          <t>45802057884</t>
        </is>
      </c>
      <c r="D209" s="5" t="inlineStr">
        <is>
          <t>NALOXONE HCL 4 MG/0.1ML NASAL LIQUID</t>
        </is>
      </c>
      <c r="E209" s="6" t="inlineStr">
        <is>
          <t>2.0</t>
        </is>
      </c>
      <c r="F209" s="7" t="n">
        <v>2</v>
      </c>
      <c r="G209" s="7" t="n">
        <v>1</v>
      </c>
      <c r="H209" s="7" t="n">
        <v>0</v>
      </c>
      <c r="I209" s="7" t="n">
        <v>-1</v>
      </c>
      <c r="J209" s="8" t="n">
        <v>49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CVS</t>
        </is>
      </c>
      <c r="C210" s="5" t="inlineStr">
        <is>
          <t>69097022416</t>
        </is>
      </c>
      <c r="D210" s="5" t="inlineStr">
        <is>
          <t xml:space="preserve">ALENDRONATE 70MG TAB </t>
        </is>
      </c>
      <c r="E210" s="6" t="inlineStr">
        <is>
          <t>4.0</t>
        </is>
      </c>
      <c r="F210" s="7" t="n">
        <v>84</v>
      </c>
      <c r="G210" s="7" t="n">
        <v>21</v>
      </c>
      <c r="H210" s="7" t="n">
        <v>10</v>
      </c>
      <c r="I210" s="7" t="n">
        <v>-11</v>
      </c>
      <c r="J210" s="8" t="n">
        <v>48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CVS</t>
        </is>
      </c>
      <c r="C211" s="5" t="inlineStr">
        <is>
          <t>00115521116</t>
        </is>
      </c>
      <c r="D211" s="5" t="inlineStr">
        <is>
          <t>COLESTIPOL HCL 1 GM ORAL TABLET</t>
        </is>
      </c>
      <c r="E211" s="6" t="inlineStr">
        <is>
          <t>120.0</t>
        </is>
      </c>
      <c r="F211" s="7" t="n">
        <v>90</v>
      </c>
      <c r="G211" s="7" t="n">
        <v>0.75</v>
      </c>
      <c r="H211" s="7" t="n">
        <v>1</v>
      </c>
      <c r="I211" s="7" t="n">
        <v>0.25</v>
      </c>
      <c r="J211" s="8" t="n">
        <v>47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CVS</t>
        </is>
      </c>
      <c r="C212" s="5" t="inlineStr">
        <is>
          <t>70010006599</t>
        </is>
      </c>
      <c r="D212" s="5" t="inlineStr">
        <is>
          <t>METFORMIN 1000MG TABLET</t>
        </is>
      </c>
      <c r="E212" s="6" t="inlineStr">
        <is>
          <t>1000.0</t>
        </is>
      </c>
      <c r="F212" s="7" t="n">
        <v>2130</v>
      </c>
      <c r="G212" s="7" t="n">
        <v>2.13</v>
      </c>
      <c r="H212" s="7" t="n">
        <v>3</v>
      </c>
      <c r="I212" s="7" t="n">
        <v>0.8700000000000001</v>
      </c>
      <c r="J212" s="8" t="n">
        <v>46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CVS</t>
        </is>
      </c>
      <c r="C213" s="5" t="inlineStr">
        <is>
          <t>68180037603</t>
        </is>
      </c>
      <c r="D213" s="5" t="inlineStr">
        <is>
          <t>LOSARTAN POTASSIUM 25MG TABLET</t>
        </is>
      </c>
      <c r="E213" s="6" t="inlineStr">
        <is>
          <t>1000.0</t>
        </is>
      </c>
      <c r="F213" s="7" t="n">
        <v>840</v>
      </c>
      <c r="G213" s="7" t="n">
        <v>0.84</v>
      </c>
      <c r="H213" s="7" t="n">
        <v>0</v>
      </c>
      <c r="I213" s="7" t="n">
        <v>-0.84</v>
      </c>
      <c r="J213" s="8" t="n">
        <v>46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CVS</t>
        </is>
      </c>
      <c r="C214" s="5" t="inlineStr">
        <is>
          <t>50742011808</t>
        </is>
      </c>
      <c r="D214" s="5" t="inlineStr">
        <is>
          <t>CABERGOLINE 0.5MG TABLET</t>
        </is>
      </c>
      <c r="E214" s="6" t="inlineStr">
        <is>
          <t>8.0</t>
        </is>
      </c>
      <c r="F214" s="7" t="n">
        <v>24</v>
      </c>
      <c r="G214" s="7" t="n">
        <v>3</v>
      </c>
      <c r="H214" s="7" t="n">
        <v>0</v>
      </c>
      <c r="I214" s="7" t="n">
        <v>-3</v>
      </c>
      <c r="J214" s="8" t="n">
        <v>46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CVS</t>
        </is>
      </c>
      <c r="C215" s="5" t="inlineStr">
        <is>
          <t>65162067684</t>
        </is>
      </c>
      <c r="D215" s="5" t="inlineStr">
        <is>
          <t>AZELASTINE HCL 137 MCG/SPRAY NASAL SOLUTION</t>
        </is>
      </c>
      <c r="E215" s="6" t="inlineStr">
        <is>
          <t>30.0</t>
        </is>
      </c>
      <c r="F215" s="7" t="n">
        <v>120</v>
      </c>
      <c r="G215" s="7" t="n">
        <v>4</v>
      </c>
      <c r="H215" s="7" t="n">
        <v>0</v>
      </c>
      <c r="I215" s="7" t="n">
        <v>-4</v>
      </c>
      <c r="J215" s="8" t="n">
        <v>45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CVS</t>
        </is>
      </c>
      <c r="C216" s="5" t="inlineStr">
        <is>
          <t>70377007713</t>
        </is>
      </c>
      <c r="D216" s="5" t="inlineStr">
        <is>
          <t>ATORVASTATIN 10MG TABLET</t>
        </is>
      </c>
      <c r="E216" s="6" t="inlineStr">
        <is>
          <t>1000.0</t>
        </is>
      </c>
      <c r="F216" s="7" t="n">
        <v>1080</v>
      </c>
      <c r="G216" s="7" t="n">
        <v>1.08</v>
      </c>
      <c r="H216" s="7" t="n">
        <v>0</v>
      </c>
      <c r="I216" s="7" t="n">
        <v>-1.08</v>
      </c>
      <c r="J216" s="8" t="n">
        <v>45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CVS</t>
        </is>
      </c>
      <c r="C217" s="5" t="inlineStr">
        <is>
          <t>00193755301</t>
        </is>
      </c>
      <c r="D217" s="5" t="inlineStr">
        <is>
          <t>CONTOUR NEXT EZ W/DEVICE KIT</t>
        </is>
      </c>
      <c r="E217" s="6" t="inlineStr">
        <is>
          <t>1.0</t>
        </is>
      </c>
      <c r="F217" s="7" t="n">
        <v>4</v>
      </c>
      <c r="G217" s="7" t="n">
        <v>4</v>
      </c>
      <c r="H217" s="7" t="n">
        <v>12</v>
      </c>
      <c r="I217" s="7" t="n">
        <v>8</v>
      </c>
      <c r="J217" s="8" t="n">
        <v>45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CVS</t>
        </is>
      </c>
      <c r="C218" s="5" t="inlineStr">
        <is>
          <t>51672130009</t>
        </is>
      </c>
      <c r="D218" s="5" t="inlineStr">
        <is>
          <t>AMMONIUM LACTATE 12 % EXTERNAL LOTION</t>
        </is>
      </c>
      <c r="E218" s="6" t="inlineStr">
        <is>
          <t>400.0</t>
        </is>
      </c>
      <c r="F218" s="7" t="n">
        <v>1600</v>
      </c>
      <c r="G218" s="7" t="n">
        <v>4</v>
      </c>
      <c r="H218" s="7" t="n">
        <v>0</v>
      </c>
      <c r="I218" s="7" t="n">
        <v>-4</v>
      </c>
      <c r="J218" s="8" t="n">
        <v>44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CVS</t>
        </is>
      </c>
      <c r="C219" s="5" t="inlineStr">
        <is>
          <t>68462026310</t>
        </is>
      </c>
      <c r="D219" s="5" t="inlineStr">
        <is>
          <t>ROSUVASTATIN 20MG TABLET</t>
        </is>
      </c>
      <c r="E219" s="6" t="inlineStr">
        <is>
          <t>1000.0</t>
        </is>
      </c>
      <c r="F219" s="7" t="n">
        <v>630</v>
      </c>
      <c r="G219" s="7" t="n">
        <v>0.63</v>
      </c>
      <c r="H219" s="7" t="n">
        <v>2</v>
      </c>
      <c r="I219" s="7" t="n">
        <v>1.37</v>
      </c>
      <c r="J219" s="8" t="n">
        <v>43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CVS</t>
        </is>
      </c>
      <c r="C220" s="5" t="inlineStr">
        <is>
          <t>70436005404</t>
        </is>
      </c>
      <c r="D220" s="5" t="inlineStr">
        <is>
          <t>MEMANTINE HCL ER 7 MG ORAL CAPSULE EXTENDED RELEASE 24 HOUR</t>
        </is>
      </c>
      <c r="E220" s="6" t="inlineStr">
        <is>
          <t>30.0</t>
        </is>
      </c>
      <c r="F220" s="7" t="n">
        <v>90</v>
      </c>
      <c r="G220" s="7" t="n">
        <v>3</v>
      </c>
      <c r="H220" s="7" t="n">
        <v>4</v>
      </c>
      <c r="I220" s="7" t="n">
        <v>1</v>
      </c>
      <c r="J220" s="8" t="n">
        <v>42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CVS</t>
        </is>
      </c>
      <c r="C221" s="5" t="inlineStr">
        <is>
          <t>69367036005</t>
        </is>
      </c>
      <c r="D221" s="5" t="inlineStr">
        <is>
          <t>ROSUVASTATIN 10 MG ORAL TABLET</t>
        </is>
      </c>
      <c r="E221" s="6" t="inlineStr">
        <is>
          <t>500.0</t>
        </is>
      </c>
      <c r="F221" s="7" t="n">
        <v>210</v>
      </c>
      <c r="G221" s="7" t="n">
        <v>0.42</v>
      </c>
      <c r="H221" s="7" t="n">
        <v>0</v>
      </c>
      <c r="I221" s="7" t="n">
        <v>-0.42</v>
      </c>
      <c r="J221" s="8" t="n">
        <v>42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CVS</t>
        </is>
      </c>
      <c r="C222" s="5" t="inlineStr">
        <is>
          <t>70010078305</t>
        </is>
      </c>
      <c r="D222" s="5" t="inlineStr">
        <is>
          <t>METOPROLOL SUCCINATE ER 200MG TABLET</t>
        </is>
      </c>
      <c r="E222" s="6" t="inlineStr">
        <is>
          <t>500.0</t>
        </is>
      </c>
      <c r="F222" s="7" t="n">
        <v>150</v>
      </c>
      <c r="G222" s="7" t="n">
        <v>0.3</v>
      </c>
      <c r="H222" s="7" t="n">
        <v>0</v>
      </c>
      <c r="I222" s="7" t="n">
        <v>-0.3</v>
      </c>
      <c r="J222" s="8" t="n">
        <v>42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CVS</t>
        </is>
      </c>
      <c r="C223" s="5" t="inlineStr">
        <is>
          <t>45802046653</t>
        </is>
      </c>
      <c r="D223" s="5" t="inlineStr">
        <is>
          <t xml:space="preserve">ECONAZOLE NITRATE 1% CREAM </t>
        </is>
      </c>
      <c r="E223" s="6" t="inlineStr">
        <is>
          <t>85.0</t>
        </is>
      </c>
      <c r="F223" s="7" t="n">
        <v>85</v>
      </c>
      <c r="G223" s="7" t="n">
        <v>1</v>
      </c>
      <c r="H223" s="7" t="n">
        <v>0</v>
      </c>
      <c r="I223" s="7" t="n">
        <v>-1</v>
      </c>
      <c r="J223" s="8" t="n">
        <v>41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CVS</t>
        </is>
      </c>
      <c r="C224" s="5" t="inlineStr">
        <is>
          <t>69097012715</t>
        </is>
      </c>
      <c r="D224" s="5" t="inlineStr">
        <is>
          <t xml:space="preserve">AMLODIPINE 5MG TABLET </t>
        </is>
      </c>
      <c r="E224" s="6" t="inlineStr">
        <is>
          <t>1000.0</t>
        </is>
      </c>
      <c r="F224" s="7" t="n">
        <v>1800</v>
      </c>
      <c r="G224" s="7" t="n">
        <v>1.8</v>
      </c>
      <c r="H224" s="7" t="n">
        <v>0</v>
      </c>
      <c r="I224" s="7" t="n">
        <v>-1.8</v>
      </c>
      <c r="J224" s="8" t="n">
        <v>41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CVS</t>
        </is>
      </c>
      <c r="C225" s="5" t="inlineStr">
        <is>
          <t>00168009960</t>
        </is>
      </c>
      <c r="D225" s="5" t="inlineStr">
        <is>
          <t>KETOCONAZOLE 2% CREAM</t>
        </is>
      </c>
      <c r="E225" s="6" t="inlineStr">
        <is>
          <t>60.0</t>
        </is>
      </c>
      <c r="F225" s="7" t="n">
        <v>60</v>
      </c>
      <c r="G225" s="7" t="n">
        <v>1</v>
      </c>
      <c r="H225" s="7" t="n">
        <v>0</v>
      </c>
      <c r="I225" s="7" t="n">
        <v>-1</v>
      </c>
      <c r="J225" s="8" t="n">
        <v>40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CVS</t>
        </is>
      </c>
      <c r="C226" s="5" t="inlineStr">
        <is>
          <t>65162099708</t>
        </is>
      </c>
      <c r="D226" s="5" t="inlineStr">
        <is>
          <t>DOTTI 0.1 MG/24HR TRANSDERMAL PATCH TWICE WEEKLY</t>
        </is>
      </c>
      <c r="E226" s="6" t="inlineStr">
        <is>
          <t>8.0</t>
        </is>
      </c>
      <c r="F226" s="7" t="n">
        <v>8</v>
      </c>
      <c r="G226" s="7" t="n">
        <v>1</v>
      </c>
      <c r="H226" s="7" t="n">
        <v>0</v>
      </c>
      <c r="I226" s="7" t="n">
        <v>-1</v>
      </c>
      <c r="J226" s="8" t="n">
        <v>40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CVS</t>
        </is>
      </c>
      <c r="C227" s="5" t="inlineStr">
        <is>
          <t>69097015912</t>
        </is>
      </c>
      <c r="D227" s="5" t="inlineStr">
        <is>
          <t xml:space="preserve">MELOXICAM 15MG TAB </t>
        </is>
      </c>
      <c r="E227" s="6" t="inlineStr">
        <is>
          <t>500.0</t>
        </is>
      </c>
      <c r="F227" s="7" t="n">
        <v>384</v>
      </c>
      <c r="G227" s="7" t="n">
        <v>0.768</v>
      </c>
      <c r="H227" s="7" t="n">
        <v>0</v>
      </c>
      <c r="I227" s="7" t="n">
        <v>-0.768</v>
      </c>
      <c r="J227" s="8" t="n">
        <v>40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CVS</t>
        </is>
      </c>
      <c r="C228" s="5" t="inlineStr">
        <is>
          <t>50111091703</t>
        </is>
      </c>
      <c r="D228" s="5" t="inlineStr">
        <is>
          <t>TORSEMIDE 20MG TABLET</t>
        </is>
      </c>
      <c r="E228" s="6" t="inlineStr">
        <is>
          <t>1000.0</t>
        </is>
      </c>
      <c r="F228" s="7" t="n">
        <v>330</v>
      </c>
      <c r="G228" s="7" t="n">
        <v>0.33</v>
      </c>
      <c r="H228" s="7" t="n">
        <v>0</v>
      </c>
      <c r="I228" s="7" t="n">
        <v>-0.33</v>
      </c>
      <c r="J228" s="8" t="n">
        <v>40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CVS</t>
        </is>
      </c>
      <c r="C229" s="5" t="inlineStr">
        <is>
          <t>69097012815</t>
        </is>
      </c>
      <c r="D229" s="5" t="inlineStr">
        <is>
          <t>AMLODIPINE 10MG TABLET</t>
        </is>
      </c>
      <c r="E229" s="6" t="inlineStr">
        <is>
          <t>1000.0</t>
        </is>
      </c>
      <c r="F229" s="7" t="n">
        <v>1980</v>
      </c>
      <c r="G229" s="7" t="n">
        <v>1.98</v>
      </c>
      <c r="H229" s="7" t="n">
        <v>0</v>
      </c>
      <c r="I229" s="7" t="n">
        <v>-1.98</v>
      </c>
      <c r="J229" s="8" t="n">
        <v>38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CVS</t>
        </is>
      </c>
      <c r="C230" s="5" t="inlineStr">
        <is>
          <t>64980051505</t>
        </is>
      </c>
      <c r="D230" s="5" t="inlineStr">
        <is>
          <t xml:space="preserve">OFLOXACIN 0.3% SOL (EYE) </t>
        </is>
      </c>
      <c r="E230" s="6" t="inlineStr">
        <is>
          <t>5.0</t>
        </is>
      </c>
      <c r="F230" s="7" t="n">
        <v>10</v>
      </c>
      <c r="G230" s="7" t="n">
        <v>2</v>
      </c>
      <c r="H230" s="7" t="n">
        <v>0</v>
      </c>
      <c r="I230" s="7" t="n">
        <v>-2</v>
      </c>
      <c r="J230" s="8" t="n">
        <v>38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CVS</t>
        </is>
      </c>
      <c r="C231" s="5" t="inlineStr">
        <is>
          <t>33342028007</t>
        </is>
      </c>
      <c r="D231" s="5" t="inlineStr">
        <is>
          <t>AMLODIPINE BESYLATE-VALSARTAN 10-160 MG ORAL TABLET</t>
        </is>
      </c>
      <c r="E231" s="6" t="inlineStr">
        <is>
          <t>30.0</t>
        </is>
      </c>
      <c r="F231" s="7" t="n">
        <v>120</v>
      </c>
      <c r="G231" s="7" t="n">
        <v>4</v>
      </c>
      <c r="H231" s="7" t="n">
        <v>6</v>
      </c>
      <c r="I231" s="7" t="n">
        <v>2</v>
      </c>
      <c r="J231" s="8" t="n">
        <v>37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CVS</t>
        </is>
      </c>
      <c r="C232" s="5" t="inlineStr">
        <is>
          <t>00904650106</t>
        </is>
      </c>
      <c r="D232" s="5" t="inlineStr">
        <is>
          <t>FLUCONAZOLE 200 MG ORAL TABLET</t>
        </is>
      </c>
      <c r="E232" s="6" t="inlineStr">
        <is>
          <t>50.0</t>
        </is>
      </c>
      <c r="F232" s="7" t="n">
        <v>74</v>
      </c>
      <c r="G232" s="7" t="n">
        <v>1.48</v>
      </c>
      <c r="H232" s="7" t="n">
        <v>0</v>
      </c>
      <c r="I232" s="7" t="n">
        <v>-1.48</v>
      </c>
      <c r="J232" s="8" t="n">
        <v>37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CVS</t>
        </is>
      </c>
      <c r="C233" s="5" t="inlineStr">
        <is>
          <t>65862020299</t>
        </is>
      </c>
      <c r="D233" s="5" t="inlineStr">
        <is>
          <t>LOSARTAN 50MG TABLET</t>
        </is>
      </c>
      <c r="E233" s="6" t="inlineStr">
        <is>
          <t>1000.0</t>
        </is>
      </c>
      <c r="F233" s="7" t="n">
        <v>750</v>
      </c>
      <c r="G233" s="7" t="n">
        <v>0.75</v>
      </c>
      <c r="H233" s="7" t="n">
        <v>0</v>
      </c>
      <c r="I233" s="7" t="n">
        <v>-0.75</v>
      </c>
      <c r="J233" s="8" t="n">
        <v>36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CVS</t>
        </is>
      </c>
      <c r="C234" s="5" t="inlineStr">
        <is>
          <t>69315030660</t>
        </is>
      </c>
      <c r="D234" s="5" t="inlineStr">
        <is>
          <t>NYSTATIN 100000 UNIT/GM EXTERNAL POWDER</t>
        </is>
      </c>
      <c r="E234" s="6" t="inlineStr">
        <is>
          <t>60.0</t>
        </is>
      </c>
      <c r="F234" s="7" t="n">
        <v>60</v>
      </c>
      <c r="G234" s="7" t="n">
        <v>1</v>
      </c>
      <c r="H234" s="7" t="n">
        <v>0</v>
      </c>
      <c r="I234" s="7" t="n">
        <v>-1</v>
      </c>
      <c r="J234" s="8" t="n">
        <v>36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CVS</t>
        </is>
      </c>
      <c r="C235" s="5" t="inlineStr">
        <is>
          <t>67877015905</t>
        </is>
      </c>
      <c r="D235" s="5" t="inlineStr">
        <is>
          <t xml:space="preserve">METFORMIN ER 500MG TABLET </t>
        </is>
      </c>
      <c r="E235" s="6" t="inlineStr">
        <is>
          <t>500.0</t>
        </is>
      </c>
      <c r="F235" s="7" t="n">
        <v>240</v>
      </c>
      <c r="G235" s="7" t="n">
        <v>0.48</v>
      </c>
      <c r="H235" s="7" t="n">
        <v>0</v>
      </c>
      <c r="I235" s="7" t="n">
        <v>-0.48</v>
      </c>
      <c r="J235" s="8" t="n">
        <v>36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CVS</t>
        </is>
      </c>
      <c r="C236" s="5" t="inlineStr">
        <is>
          <t>00781712254</t>
        </is>
      </c>
      <c r="D236" s="5" t="inlineStr">
        <is>
          <t>ESTRADIOL 0.0375 MG/24HR TRANSDERMAL PATCH WEEKLY</t>
        </is>
      </c>
      <c r="E236" s="6" t="inlineStr">
        <is>
          <t>4.0</t>
        </is>
      </c>
      <c r="F236" s="7" t="n">
        <v>4</v>
      </c>
      <c r="G236" s="7" t="n">
        <v>1</v>
      </c>
      <c r="H236" s="7" t="n">
        <v>2</v>
      </c>
      <c r="I236" s="7" t="n">
        <v>1</v>
      </c>
      <c r="J236" s="8" t="n">
        <v>36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CVS</t>
        </is>
      </c>
      <c r="C237" s="5" t="inlineStr">
        <is>
          <t>67877022305</t>
        </is>
      </c>
      <c r="D237" s="5" t="inlineStr">
        <is>
          <t>GABAPENTIN 300 MG CAPSULE</t>
        </is>
      </c>
      <c r="E237" s="6" t="inlineStr">
        <is>
          <t>500.0</t>
        </is>
      </c>
      <c r="F237" s="7" t="n">
        <v>1440</v>
      </c>
      <c r="G237" s="7" t="n">
        <v>2.88</v>
      </c>
      <c r="H237" s="7" t="n">
        <v>0</v>
      </c>
      <c r="I237" s="7" t="n">
        <v>-2.88</v>
      </c>
      <c r="J237" s="8" t="n">
        <v>36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CVS</t>
        </is>
      </c>
      <c r="C238" s="5" t="inlineStr">
        <is>
          <t>50742026103</t>
        </is>
      </c>
      <c r="D238" s="5" t="inlineStr">
        <is>
          <t>NIFEDIPINE 60MG TABLET ER</t>
        </is>
      </c>
      <c r="E238" s="6" t="inlineStr">
        <is>
          <t>300.0</t>
        </is>
      </c>
      <c r="F238" s="7" t="n">
        <v>180</v>
      </c>
      <c r="G238" s="7" t="n">
        <v>0.6</v>
      </c>
      <c r="H238" s="7" t="n">
        <v>0</v>
      </c>
      <c r="I238" s="7" t="n">
        <v>-0.6</v>
      </c>
      <c r="J238" s="8" t="n">
        <v>36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CVS</t>
        </is>
      </c>
      <c r="C239" s="5" t="inlineStr">
        <is>
          <t>61442019205</t>
        </is>
      </c>
      <c r="D239" s="5" t="inlineStr">
        <is>
          <t>MEMANTINE 5MG TABLET</t>
        </is>
      </c>
      <c r="E239" s="6" t="inlineStr">
        <is>
          <t>500.0</t>
        </is>
      </c>
      <c r="F239" s="7" t="n">
        <v>270</v>
      </c>
      <c r="G239" s="7" t="n">
        <v>0.54</v>
      </c>
      <c r="H239" s="7" t="n">
        <v>0</v>
      </c>
      <c r="I239" s="7" t="n">
        <v>-0.54</v>
      </c>
      <c r="J239" s="8" t="n">
        <v>35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CVS</t>
        </is>
      </c>
      <c r="C240" s="5" t="inlineStr">
        <is>
          <t>69315030805</t>
        </is>
      </c>
      <c r="D240" s="5" t="inlineStr">
        <is>
          <t>CIPROFLOXACIN HCL 0.3 % OPHTHALMIC SOLUTION</t>
        </is>
      </c>
      <c r="E240" s="6" t="inlineStr">
        <is>
          <t>5.0</t>
        </is>
      </c>
      <c r="F240" s="7" t="n">
        <v>25</v>
      </c>
      <c r="G240" s="7" t="n">
        <v>5</v>
      </c>
      <c r="H240" s="7" t="n">
        <v>8</v>
      </c>
      <c r="I240" s="7" t="n">
        <v>3</v>
      </c>
      <c r="J240" s="8" t="n">
        <v>35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CVS</t>
        </is>
      </c>
      <c r="C241" s="5" t="inlineStr">
        <is>
          <t>47781023001</t>
        </is>
      </c>
      <c r="D241" s="5" t="inlineStr">
        <is>
          <t>OXYCODONE-ACETAMINOPHEN 10-325MG TABLET</t>
        </is>
      </c>
      <c r="E241" s="6" t="inlineStr">
        <is>
          <t>100.0</t>
        </is>
      </c>
      <c r="F241" s="7" t="n">
        <v>330</v>
      </c>
      <c r="G241" s="7" t="n">
        <v>3.3</v>
      </c>
      <c r="H241" s="7" t="n">
        <v>8</v>
      </c>
      <c r="I241" s="7" t="n">
        <v>4.7</v>
      </c>
      <c r="J241" s="8" t="n">
        <v>34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CVS</t>
        </is>
      </c>
      <c r="C242" s="5" t="inlineStr">
        <is>
          <t>45802040049</t>
        </is>
      </c>
      <c r="D242" s="5" t="inlineStr">
        <is>
          <t>CICLOPIROX 0.77 % EXTERNAL SUSPENSION</t>
        </is>
      </c>
      <c r="E242" s="6" t="inlineStr">
        <is>
          <t>30.0</t>
        </is>
      </c>
      <c r="F242" s="7" t="n">
        <v>30</v>
      </c>
      <c r="G242" s="7" t="n">
        <v>1</v>
      </c>
      <c r="H242" s="7" t="n">
        <v>0</v>
      </c>
      <c r="I242" s="7" t="n">
        <v>-1</v>
      </c>
      <c r="J242" s="8" t="n">
        <v>33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CVS</t>
        </is>
      </c>
      <c r="C243" s="5" t="inlineStr">
        <is>
          <t>76204080025</t>
        </is>
      </c>
      <c r="D243" s="5" t="inlineStr">
        <is>
          <t>LEVALBUTEROL HCL 0.63 MG/3ML INHALATION NEBULIZATION SOLUTION</t>
        </is>
      </c>
      <c r="E243" s="6" t="inlineStr">
        <is>
          <t>75.0</t>
        </is>
      </c>
      <c r="F243" s="7" t="n">
        <v>225</v>
      </c>
      <c r="G243" s="7" t="n">
        <v>3</v>
      </c>
      <c r="H243" s="7" t="n">
        <v>0</v>
      </c>
      <c r="I243" s="7" t="n">
        <v>-3</v>
      </c>
      <c r="J243" s="8" t="n">
        <v>32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CVS</t>
        </is>
      </c>
      <c r="C244" s="5" t="inlineStr">
        <is>
          <t>65862078190</t>
        </is>
      </c>
      <c r="D244" s="5" t="inlineStr">
        <is>
          <t>OLMESARTAN-HCTZ 40-25 MG TABLET</t>
        </is>
      </c>
      <c r="E244" s="6" t="inlineStr">
        <is>
          <t>90.0</t>
        </is>
      </c>
      <c r="F244" s="7" t="n">
        <v>90</v>
      </c>
      <c r="G244" s="7" t="n">
        <v>1</v>
      </c>
      <c r="H244" s="7" t="n">
        <v>0</v>
      </c>
      <c r="I244" s="7" t="n">
        <v>-1</v>
      </c>
      <c r="J244" s="8" t="n">
        <v>31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CVS</t>
        </is>
      </c>
      <c r="C245" s="5" t="inlineStr">
        <is>
          <t>50924097110</t>
        </is>
      </c>
      <c r="D245" s="5" t="inlineStr">
        <is>
          <t>ACCU-CHEK SOFTCLIX LANCETS</t>
        </is>
      </c>
      <c r="E245" s="6" t="inlineStr">
        <is>
          <t>100.0</t>
        </is>
      </c>
      <c r="F245" s="7" t="n">
        <v>300</v>
      </c>
      <c r="G245" s="7" t="n">
        <v>3</v>
      </c>
      <c r="H245" s="7" t="n">
        <v>0</v>
      </c>
      <c r="I245" s="7" t="n">
        <v>-3</v>
      </c>
      <c r="J245" s="8" t="n">
        <v>31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CVS</t>
        </is>
      </c>
      <c r="C246" s="5" t="inlineStr">
        <is>
          <t>70010078005</t>
        </is>
      </c>
      <c r="D246" s="5" t="inlineStr">
        <is>
          <t>METOPROLOL SUCCINATE ER 25MG TABLET</t>
        </is>
      </c>
      <c r="E246" s="6" t="inlineStr">
        <is>
          <t>500.0</t>
        </is>
      </c>
      <c r="F246" s="7" t="n">
        <v>660</v>
      </c>
      <c r="G246" s="7" t="n">
        <v>1.32</v>
      </c>
      <c r="H246" s="7" t="n">
        <v>4</v>
      </c>
      <c r="I246" s="7" t="n">
        <v>2.68</v>
      </c>
      <c r="J246" s="8" t="n">
        <v>31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CVS</t>
        </is>
      </c>
      <c r="C247" s="5" t="inlineStr">
        <is>
          <t>72888003600</t>
        </is>
      </c>
      <c r="D247" s="5" t="inlineStr">
        <is>
          <t>CARVEDILOL 12.5MG TABLET</t>
        </is>
      </c>
      <c r="E247" s="6" t="inlineStr">
        <is>
          <t>1000.0</t>
        </is>
      </c>
      <c r="F247" s="7" t="n">
        <v>420</v>
      </c>
      <c r="G247" s="7" t="n">
        <v>0.42</v>
      </c>
      <c r="H247" s="7" t="n">
        <v>0</v>
      </c>
      <c r="I247" s="7" t="n">
        <v>-0.42</v>
      </c>
      <c r="J247" s="8" t="n">
        <v>31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CVS</t>
        </is>
      </c>
      <c r="C248" s="5" t="inlineStr">
        <is>
          <t>21922003601</t>
        </is>
      </c>
      <c r="D248" s="5" t="inlineStr">
        <is>
          <t>CLINDAMYCIN PHOSPHATE 1 % EXTERNAL LOTION</t>
        </is>
      </c>
      <c r="E248" s="6" t="inlineStr">
        <is>
          <t>60.0</t>
        </is>
      </c>
      <c r="F248" s="7" t="n">
        <v>180</v>
      </c>
      <c r="G248" s="7" t="n">
        <v>3</v>
      </c>
      <c r="H248" s="7" t="n">
        <v>3</v>
      </c>
      <c r="I248" s="7" t="n">
        <v>0</v>
      </c>
      <c r="J248" s="8" t="n">
        <v>31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CVS</t>
        </is>
      </c>
      <c r="C249" s="5" t="inlineStr">
        <is>
          <t>00591292754</t>
        </is>
      </c>
      <c r="D249" s="5" t="inlineStr">
        <is>
          <t>LEVALBUTEROL TARTRATE 45 MCG/ACT INHALATION AEROSOL</t>
        </is>
      </c>
      <c r="E249" s="6" t="inlineStr">
        <is>
          <t>15.0</t>
        </is>
      </c>
      <c r="F249" s="7" t="n">
        <v>15</v>
      </c>
      <c r="G249" s="7" t="n">
        <v>1</v>
      </c>
      <c r="H249" s="7" t="n">
        <v>2</v>
      </c>
      <c r="I249" s="7" t="n">
        <v>1</v>
      </c>
      <c r="J249" s="8" t="n">
        <v>31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CVS</t>
        </is>
      </c>
      <c r="C250" s="5" t="inlineStr">
        <is>
          <t>68180096503</t>
        </is>
      </c>
      <c r="D250" s="5" t="inlineStr">
        <is>
          <t>LEVOTHYROXINE 25MCG TABLET</t>
        </is>
      </c>
      <c r="E250" s="6" t="inlineStr">
        <is>
          <t>1000.0</t>
        </is>
      </c>
      <c r="F250" s="7" t="n">
        <v>210</v>
      </c>
      <c r="G250" s="7" t="n">
        <v>0.21</v>
      </c>
      <c r="H250" s="7" t="n">
        <v>0</v>
      </c>
      <c r="I250" s="7" t="n">
        <v>-0.21</v>
      </c>
      <c r="J250" s="8" t="n">
        <v>31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CVS</t>
        </is>
      </c>
      <c r="C251" s="5" t="inlineStr">
        <is>
          <t>55111073130</t>
        </is>
      </c>
      <c r="D251" s="5" t="inlineStr">
        <is>
          <t>VALSARTAN 40MG TABLET</t>
        </is>
      </c>
      <c r="E251" s="6" t="inlineStr">
        <is>
          <t>30.0</t>
        </is>
      </c>
      <c r="F251" s="7" t="n">
        <v>90</v>
      </c>
      <c r="G251" s="7" t="n">
        <v>3</v>
      </c>
      <c r="H251" s="7" t="n">
        <v>0</v>
      </c>
      <c r="I251" s="7" t="n">
        <v>-3</v>
      </c>
      <c r="J251" s="8" t="n">
        <v>30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CVS</t>
        </is>
      </c>
      <c r="C252" s="5" t="inlineStr">
        <is>
          <t>65862078201</t>
        </is>
      </c>
      <c r="D252" s="5" t="inlineStr">
        <is>
          <t>METHENAMINE HIPPURATE 1GM TABLET</t>
        </is>
      </c>
      <c r="E252" s="6" t="inlineStr">
        <is>
          <t>100.0</t>
        </is>
      </c>
      <c r="F252" s="7" t="n">
        <v>120</v>
      </c>
      <c r="G252" s="7" t="n">
        <v>1.2</v>
      </c>
      <c r="H252" s="7" t="n">
        <v>0</v>
      </c>
      <c r="I252" s="7" t="n">
        <v>-1.2</v>
      </c>
      <c r="J252" s="8" t="n">
        <v>30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CVS</t>
        </is>
      </c>
      <c r="C253" s="5" t="inlineStr">
        <is>
          <t>70010078205</t>
        </is>
      </c>
      <c r="D253" s="5" t="inlineStr">
        <is>
          <t>METOPROLOL SUCCINATE ER 100MG TABLET</t>
        </is>
      </c>
      <c r="E253" s="6" t="inlineStr">
        <is>
          <t>500.0</t>
        </is>
      </c>
      <c r="F253" s="7" t="n">
        <v>180</v>
      </c>
      <c r="G253" s="7" t="n">
        <v>0.36</v>
      </c>
      <c r="H253" s="7" t="n">
        <v>2</v>
      </c>
      <c r="I253" s="7" t="n">
        <v>1.64</v>
      </c>
      <c r="J253" s="8" t="n">
        <v>30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CVS</t>
        </is>
      </c>
      <c r="C254" s="5" t="inlineStr">
        <is>
          <t>00378581577</t>
        </is>
      </c>
      <c r="D254" s="5" t="inlineStr">
        <is>
          <t>VALSARTAN 320MG TABLET</t>
        </is>
      </c>
      <c r="E254" s="6" t="inlineStr">
        <is>
          <t>90.0</t>
        </is>
      </c>
      <c r="F254" s="7" t="n">
        <v>90</v>
      </c>
      <c r="G254" s="7" t="n">
        <v>1</v>
      </c>
      <c r="H254" s="7" t="n">
        <v>0</v>
      </c>
      <c r="I254" s="7" t="n">
        <v>-1</v>
      </c>
      <c r="J254" s="8" t="n">
        <v>30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CVS</t>
        </is>
      </c>
      <c r="C255" s="5" t="inlineStr">
        <is>
          <t>68462038730</t>
        </is>
      </c>
      <c r="D255" s="5" t="inlineStr">
        <is>
          <t>SOLIFENACIN SUCCINATE 10MG TABLET</t>
        </is>
      </c>
      <c r="E255" s="6" t="inlineStr">
        <is>
          <t>30.0</t>
        </is>
      </c>
      <c r="F255" s="7" t="n">
        <v>60</v>
      </c>
      <c r="G255" s="7" t="n">
        <v>2</v>
      </c>
      <c r="H255" s="7" t="n">
        <v>0</v>
      </c>
      <c r="I255" s="7" t="n">
        <v>-2</v>
      </c>
      <c r="J255" s="8" t="n">
        <v>30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CVS</t>
        </is>
      </c>
      <c r="C256" s="5" t="inlineStr">
        <is>
          <t>68382045219</t>
        </is>
      </c>
      <c r="D256" s="5" t="inlineStr">
        <is>
          <t>MESALAMINE ER 0.375GCAPSULE</t>
        </is>
      </c>
      <c r="E256" s="6" t="inlineStr">
        <is>
          <t>120.0</t>
        </is>
      </c>
      <c r="F256" s="7" t="n">
        <v>120</v>
      </c>
      <c r="G256" s="7" t="n">
        <v>1</v>
      </c>
      <c r="H256" s="7" t="n">
        <v>1</v>
      </c>
      <c r="I256" s="7" t="n">
        <v>0</v>
      </c>
      <c r="J256" s="8" t="n">
        <v>29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CVS</t>
        </is>
      </c>
      <c r="C257" s="5" t="inlineStr">
        <is>
          <t>00378172493</t>
        </is>
      </c>
      <c r="D257" s="5" t="inlineStr">
        <is>
          <t>AMLODIPINE VALSARTAN 10-320MG TABLET</t>
        </is>
      </c>
      <c r="E257" s="6" t="inlineStr">
        <is>
          <t>30.0</t>
        </is>
      </c>
      <c r="F257" s="7" t="n">
        <v>90</v>
      </c>
      <c r="G257" s="7" t="n">
        <v>3</v>
      </c>
      <c r="H257" s="7" t="n">
        <v>0</v>
      </c>
      <c r="I257" s="7" t="n">
        <v>-3</v>
      </c>
      <c r="J257" s="8" t="n">
        <v>29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CVS</t>
        </is>
      </c>
      <c r="C258" s="5" t="inlineStr">
        <is>
          <t>45963067696</t>
        </is>
      </c>
      <c r="D258" s="5" t="inlineStr">
        <is>
          <t>METOPROLOL SUCCINATE 50MG TABLET ER</t>
        </is>
      </c>
      <c r="E258" s="6" t="inlineStr">
        <is>
          <t>1000.0</t>
        </is>
      </c>
      <c r="F258" s="7" t="n">
        <v>510</v>
      </c>
      <c r="G258" s="7" t="n">
        <v>0.51</v>
      </c>
      <c r="H258" s="7" t="n">
        <v>0</v>
      </c>
      <c r="I258" s="7" t="n">
        <v>-0.51</v>
      </c>
      <c r="J258" s="8" t="n">
        <v>28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CVS</t>
        </is>
      </c>
      <c r="C259" s="5" t="inlineStr">
        <is>
          <t>68382077501</t>
        </is>
      </c>
      <c r="D259" s="5" t="inlineStr">
        <is>
          <t xml:space="preserve">METHOTREXATE 2.5MG TAB </t>
        </is>
      </c>
      <c r="E259" s="6" t="inlineStr">
        <is>
          <t>100.0</t>
        </is>
      </c>
      <c r="F259" s="7" t="n">
        <v>56</v>
      </c>
      <c r="G259" s="7" t="n">
        <v>0.5600000000000001</v>
      </c>
      <c r="H259" s="7" t="n">
        <v>0</v>
      </c>
      <c r="I259" s="7" t="n">
        <v>-0.5600000000000001</v>
      </c>
      <c r="J259" s="8" t="n">
        <v>28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CVS</t>
        </is>
      </c>
      <c r="C260" s="5" t="inlineStr">
        <is>
          <t>00536589553</t>
        </is>
      </c>
      <c r="D260" s="5" t="inlineStr">
        <is>
          <t>NICOTINE 14 MG/24HR TRANSDERMAL PATCH 24 HOUR</t>
        </is>
      </c>
      <c r="E260" s="6" t="inlineStr">
        <is>
          <t>7.0</t>
        </is>
      </c>
      <c r="F260" s="7" t="n">
        <v>28</v>
      </c>
      <c r="G260" s="7" t="n">
        <v>4</v>
      </c>
      <c r="H260" s="7" t="n">
        <v>6</v>
      </c>
      <c r="I260" s="7" t="n">
        <v>2</v>
      </c>
      <c r="J260" s="8" t="n">
        <v>27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CVS</t>
        </is>
      </c>
      <c r="C261" s="5" t="inlineStr">
        <is>
          <t>00781711954</t>
        </is>
      </c>
      <c r="D261" s="5" t="inlineStr">
        <is>
          <t>ESTRADIOL 0.025 MG/24HR TRANSDERMAL PATCH WEEKLY</t>
        </is>
      </c>
      <c r="E261" s="6" t="inlineStr">
        <is>
          <t>4.0</t>
        </is>
      </c>
      <c r="F261" s="7" t="n">
        <v>4</v>
      </c>
      <c r="G261" s="7" t="n">
        <v>1</v>
      </c>
      <c r="H261" s="7" t="n">
        <v>0</v>
      </c>
      <c r="I261" s="7" t="n">
        <v>-1</v>
      </c>
      <c r="J261" s="8" t="n">
        <v>27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CVS</t>
        </is>
      </c>
      <c r="C262" s="5" t="inlineStr">
        <is>
          <t>00093681655</t>
        </is>
      </c>
      <c r="D262" s="5" t="inlineStr">
        <is>
          <t>BUDESONIDE 0.5 MG/2ML INHALATION SUSPENSION</t>
        </is>
      </c>
      <c r="E262" s="6" t="inlineStr">
        <is>
          <t>60.0</t>
        </is>
      </c>
      <c r="F262" s="7" t="n">
        <v>120</v>
      </c>
      <c r="G262" s="7" t="n">
        <v>2</v>
      </c>
      <c r="H262" s="7" t="n">
        <v>0</v>
      </c>
      <c r="I262" s="7" t="n">
        <v>-2</v>
      </c>
      <c r="J262" s="8" t="n">
        <v>26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CVS</t>
        </is>
      </c>
      <c r="C263" s="5" t="inlineStr">
        <is>
          <t>68180096603</t>
        </is>
      </c>
      <c r="D263" s="5" t="inlineStr">
        <is>
          <t>LEVOTHYROXINE 50MCG TABLET</t>
        </is>
      </c>
      <c r="E263" s="6" t="inlineStr">
        <is>
          <t>1000.0</t>
        </is>
      </c>
      <c r="F263" s="7" t="n">
        <v>150</v>
      </c>
      <c r="G263" s="7" t="n">
        <v>0.15</v>
      </c>
      <c r="H263" s="7" t="n">
        <v>0</v>
      </c>
      <c r="I263" s="7" t="n">
        <v>-0.15</v>
      </c>
      <c r="J263" s="8" t="n">
        <v>26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CVS</t>
        </is>
      </c>
      <c r="C264" s="5" t="inlineStr">
        <is>
          <t>68180097003</t>
        </is>
      </c>
      <c r="D264" s="5" t="inlineStr">
        <is>
          <t>LEVOTHYROXINE 112MCG TABLET</t>
        </is>
      </c>
      <c r="E264" s="6" t="inlineStr">
        <is>
          <t>1000.0</t>
        </is>
      </c>
      <c r="F264" s="7" t="n">
        <v>90</v>
      </c>
      <c r="G264" s="7" t="n">
        <v>0.09</v>
      </c>
      <c r="H264" s="7" t="n">
        <v>0</v>
      </c>
      <c r="I264" s="7" t="n">
        <v>-0.09</v>
      </c>
      <c r="J264" s="8" t="n">
        <v>26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CVS</t>
        </is>
      </c>
      <c r="C265" s="5" t="inlineStr">
        <is>
          <t>00574220545</t>
        </is>
      </c>
      <c r="D265" s="5" t="inlineStr">
        <is>
          <t>TRETINOIN 0.05% CREAM</t>
        </is>
      </c>
      <c r="E265" s="6" t="inlineStr">
        <is>
          <t>45.0</t>
        </is>
      </c>
      <c r="F265" s="7" t="n">
        <v>45</v>
      </c>
      <c r="G265" s="7" t="n">
        <v>1</v>
      </c>
      <c r="H265" s="7" t="n">
        <v>0</v>
      </c>
      <c r="I265" s="7" t="n">
        <v>-1</v>
      </c>
      <c r="J265" s="8" t="n">
        <v>25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CVS</t>
        </is>
      </c>
      <c r="C266" s="5" t="inlineStr">
        <is>
          <t>43547042409</t>
        </is>
      </c>
      <c r="D266" s="5" t="inlineStr">
        <is>
          <t>LOSARTAN-HCTZ 100-25MG TABLET</t>
        </is>
      </c>
      <c r="E266" s="6" t="inlineStr">
        <is>
          <t>90.0</t>
        </is>
      </c>
      <c r="F266" s="7" t="n">
        <v>420</v>
      </c>
      <c r="G266" s="7" t="n">
        <v>4.666666666666667</v>
      </c>
      <c r="H266" s="7" t="n">
        <v>1</v>
      </c>
      <c r="I266" s="7" t="n">
        <v>-3.666666666666667</v>
      </c>
      <c r="J266" s="8" t="n">
        <v>25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CVS</t>
        </is>
      </c>
      <c r="C267" s="5" t="inlineStr">
        <is>
          <t>51672130005</t>
        </is>
      </c>
      <c r="D267" s="5" t="inlineStr">
        <is>
          <t>AMMONIUM LACTATE 12 % EXTERNAL LOTION</t>
        </is>
      </c>
      <c r="E267" s="6" t="inlineStr">
        <is>
          <t>225.0</t>
        </is>
      </c>
      <c r="F267" s="7" t="n">
        <v>850</v>
      </c>
      <c r="G267" s="7" t="n">
        <v>3.777777777777778</v>
      </c>
      <c r="H267" s="7" t="n">
        <v>0</v>
      </c>
      <c r="I267" s="7" t="n">
        <v>-3.777777777777778</v>
      </c>
      <c r="J267" s="8" t="n">
        <v>25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CVS</t>
        </is>
      </c>
      <c r="C268" s="5" t="inlineStr">
        <is>
          <t>61314014310</t>
        </is>
      </c>
      <c r="D268" s="5" t="inlineStr">
        <is>
          <t>BRIMONIDINE TARTRATE 0.2% SOLUTION</t>
        </is>
      </c>
      <c r="E268" s="6" t="inlineStr">
        <is>
          <t>10.0</t>
        </is>
      </c>
      <c r="F268" s="7" t="n">
        <v>20</v>
      </c>
      <c r="G268" s="7" t="n">
        <v>2</v>
      </c>
      <c r="H268" s="7" t="n">
        <v>0</v>
      </c>
      <c r="I268" s="7" t="n">
        <v>-2</v>
      </c>
      <c r="J268" s="8" t="n">
        <v>24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CVS</t>
        </is>
      </c>
      <c r="C269" s="5" t="inlineStr">
        <is>
          <t>70756005212</t>
        </is>
      </c>
      <c r="D269" s="5" t="inlineStr">
        <is>
          <t>FAMOTIDINE 40MG TABLET</t>
        </is>
      </c>
      <c r="E269" s="6" t="inlineStr">
        <is>
          <t>1000.0</t>
        </is>
      </c>
      <c r="F269" s="7" t="n">
        <v>900</v>
      </c>
      <c r="G269" s="7" t="n">
        <v>0.9</v>
      </c>
      <c r="H269" s="7" t="n">
        <v>0</v>
      </c>
      <c r="I269" s="7" t="n">
        <v>-0.9</v>
      </c>
      <c r="J269" s="8" t="n">
        <v>23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CVS</t>
        </is>
      </c>
      <c r="C270" s="5" t="inlineStr">
        <is>
          <t>69097017353</t>
        </is>
      </c>
      <c r="D270" s="5" t="inlineStr">
        <is>
          <t>IPRATROPIUM-ALBUTEROL 0.5-2.5 (3)MG/3ML SOLUTION</t>
        </is>
      </c>
      <c r="E270" s="6" t="inlineStr">
        <is>
          <t>90.0</t>
        </is>
      </c>
      <c r="F270" s="7" t="n">
        <v>540</v>
      </c>
      <c r="G270" s="7" t="n">
        <v>6</v>
      </c>
      <c r="H270" s="7" t="n">
        <v>0</v>
      </c>
      <c r="I270" s="7" t="n">
        <v>-6</v>
      </c>
      <c r="J270" s="8" t="n">
        <v>23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CVS</t>
        </is>
      </c>
      <c r="C271" s="5" t="inlineStr">
        <is>
          <t>70436005704</t>
        </is>
      </c>
      <c r="D271" s="5" t="inlineStr">
        <is>
          <t>MEMANTINE 28MG CAPSULE ER</t>
        </is>
      </c>
      <c r="E271" s="6" t="inlineStr">
        <is>
          <t>30.0</t>
        </is>
      </c>
      <c r="F271" s="7" t="n">
        <v>30</v>
      </c>
      <c r="G271" s="7" t="n">
        <v>1</v>
      </c>
      <c r="H271" s="7" t="n">
        <v>0</v>
      </c>
      <c r="I271" s="7" t="n">
        <v>-1</v>
      </c>
      <c r="J271" s="8" t="n">
        <v>23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CVS</t>
        </is>
      </c>
      <c r="C272" s="5" t="inlineStr">
        <is>
          <t>57237015901</t>
        </is>
      </c>
      <c r="D272" s="5" t="inlineStr">
        <is>
          <t>REPAGLINIDE 2MG TABLET</t>
        </is>
      </c>
      <c r="E272" s="6" t="inlineStr">
        <is>
          <t>100.0</t>
        </is>
      </c>
      <c r="F272" s="7" t="n">
        <v>270</v>
      </c>
      <c r="G272" s="7" t="n">
        <v>2.7</v>
      </c>
      <c r="H272" s="7" t="n">
        <v>0</v>
      </c>
      <c r="I272" s="7" t="n">
        <v>-2.7</v>
      </c>
      <c r="J272" s="8" t="n">
        <v>23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CVS</t>
        </is>
      </c>
      <c r="C273" s="5" t="inlineStr">
        <is>
          <t>00093736810</t>
        </is>
      </c>
      <c r="D273" s="5" t="inlineStr">
        <is>
          <t>LOSARTAN HCTZ 100-25MG TABLET</t>
        </is>
      </c>
      <c r="E273" s="6" t="inlineStr">
        <is>
          <t>1000.0</t>
        </is>
      </c>
      <c r="F273" s="7" t="n">
        <v>270</v>
      </c>
      <c r="G273" s="7" t="n">
        <v>0.27</v>
      </c>
      <c r="H273" s="7" t="n">
        <v>0</v>
      </c>
      <c r="I273" s="7" t="n">
        <v>-0.27</v>
      </c>
      <c r="J273" s="8" t="n">
        <v>23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CVS</t>
        </is>
      </c>
      <c r="C274" s="5" t="inlineStr">
        <is>
          <t>72205000130</t>
        </is>
      </c>
      <c r="D274" s="5" t="inlineStr">
        <is>
          <t>MOXIFLOXACIN HCL 400 MG ORAL TABLET</t>
        </is>
      </c>
      <c r="E274" s="6" t="inlineStr">
        <is>
          <t>30.0</t>
        </is>
      </c>
      <c r="F274" s="7" t="n">
        <v>7</v>
      </c>
      <c r="G274" s="7" t="n">
        <v>0.2333333333333333</v>
      </c>
      <c r="H274" s="7" t="n">
        <v>0</v>
      </c>
      <c r="I274" s="7" t="n">
        <v>-0.2333333333333333</v>
      </c>
      <c r="J274" s="8" t="n">
        <v>23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CVS</t>
        </is>
      </c>
      <c r="C275" s="5" t="inlineStr">
        <is>
          <t>00378581377</t>
        </is>
      </c>
      <c r="D275" s="5" t="inlineStr">
        <is>
          <t>VALSARTAN 80MG TABLET</t>
        </is>
      </c>
      <c r="E275" s="6" t="inlineStr">
        <is>
          <t>90.0</t>
        </is>
      </c>
      <c r="F275" s="7" t="n">
        <v>90</v>
      </c>
      <c r="G275" s="7" t="n">
        <v>1</v>
      </c>
      <c r="H275" s="7" t="n">
        <v>0</v>
      </c>
      <c r="I275" s="7" t="n">
        <v>-1</v>
      </c>
      <c r="J275" s="8" t="n">
        <v>23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CVS</t>
        </is>
      </c>
      <c r="C276" s="5" t="inlineStr">
        <is>
          <t>42571034201</t>
        </is>
      </c>
      <c r="D276" s="5" t="inlineStr">
        <is>
          <t>CLOMIPRAMINE HCL 25 MG ORAL CAPSULE</t>
        </is>
      </c>
      <c r="E276" s="6" t="inlineStr">
        <is>
          <t>100.0</t>
        </is>
      </c>
      <c r="F276" s="7" t="n">
        <v>30</v>
      </c>
      <c r="G276" s="7" t="n">
        <v>0.3</v>
      </c>
      <c r="H276" s="7" t="n">
        <v>1</v>
      </c>
      <c r="I276" s="7" t="n">
        <v>0.7</v>
      </c>
      <c r="J276" s="8" t="n">
        <v>23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CVS</t>
        </is>
      </c>
      <c r="C277" s="5" t="inlineStr">
        <is>
          <t>31722004990</t>
        </is>
      </c>
      <c r="D277" s="5" t="inlineStr">
        <is>
          <t>EPLERENONE 25 MG ORAL TABLET</t>
        </is>
      </c>
      <c r="E277" s="6" t="inlineStr">
        <is>
          <t>90.0</t>
        </is>
      </c>
      <c r="F277" s="7" t="n">
        <v>90</v>
      </c>
      <c r="G277" s="7" t="n">
        <v>1</v>
      </c>
      <c r="H277" s="7" t="n">
        <v>0</v>
      </c>
      <c r="I277" s="7" t="n">
        <v>-1</v>
      </c>
      <c r="J277" s="8" t="n">
        <v>23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CVS</t>
        </is>
      </c>
      <c r="C278" s="5" t="inlineStr">
        <is>
          <t>64980028001</t>
        </is>
      </c>
      <c r="D278" s="5" t="inlineStr">
        <is>
          <t>GLIPIZIDE ER 5 MG TABLET</t>
        </is>
      </c>
      <c r="E278" s="6" t="inlineStr">
        <is>
          <t>100.0</t>
        </is>
      </c>
      <c r="F278" s="7" t="n">
        <v>300</v>
      </c>
      <c r="G278" s="7" t="n">
        <v>3</v>
      </c>
      <c r="H278" s="7" t="n">
        <v>0</v>
      </c>
      <c r="I278" s="7" t="n">
        <v>-3</v>
      </c>
      <c r="J278" s="8" t="n">
        <v>22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CVS</t>
        </is>
      </c>
      <c r="C279" s="5" t="inlineStr">
        <is>
          <t>57237004390</t>
        </is>
      </c>
      <c r="D279" s="5" t="inlineStr">
        <is>
          <t>VALACYCLOVIR 1GM TABLET</t>
        </is>
      </c>
      <c r="E279" s="6" t="inlineStr">
        <is>
          <t>90.0</t>
        </is>
      </c>
      <c r="F279" s="7" t="n">
        <v>104</v>
      </c>
      <c r="G279" s="7" t="n">
        <v>1.155555555555555</v>
      </c>
      <c r="H279" s="7" t="n">
        <v>0</v>
      </c>
      <c r="I279" s="7" t="n">
        <v>-1.155555555555555</v>
      </c>
      <c r="J279" s="8" t="n">
        <v>22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CVS</t>
        </is>
      </c>
      <c r="C280" s="5" t="inlineStr">
        <is>
          <t>68180059206</t>
        </is>
      </c>
      <c r="D280" s="5" t="inlineStr">
        <is>
          <t>DESVENLAFAXINE SUCCINATE ER 50MG TABLET</t>
        </is>
      </c>
      <c r="E280" s="6" t="inlineStr">
        <is>
          <t>30.0</t>
        </is>
      </c>
      <c r="F280" s="7" t="n">
        <v>90</v>
      </c>
      <c r="G280" s="7" t="n">
        <v>3</v>
      </c>
      <c r="H280" s="7" t="n">
        <v>3</v>
      </c>
      <c r="I280" s="7" t="n">
        <v>0</v>
      </c>
      <c r="J280" s="8" t="n">
        <v>22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CVS</t>
        </is>
      </c>
      <c r="C281" s="5" t="inlineStr">
        <is>
          <t>00168034720</t>
        </is>
      </c>
      <c r="D281" s="5" t="inlineStr">
        <is>
          <t>TERCONAZOLE 0.8 % VAGINAL CREAM</t>
        </is>
      </c>
      <c r="E281" s="6" t="inlineStr">
        <is>
          <t>20.0</t>
        </is>
      </c>
      <c r="F281" s="7" t="n">
        <v>20</v>
      </c>
      <c r="G281" s="7" t="n">
        <v>1</v>
      </c>
      <c r="H281" s="7" t="n">
        <v>3</v>
      </c>
      <c r="I281" s="7" t="n">
        <v>2</v>
      </c>
      <c r="J281" s="8" t="n">
        <v>22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CVS</t>
        </is>
      </c>
      <c r="C282" s="5" t="inlineStr">
        <is>
          <t>71930005012</t>
        </is>
      </c>
      <c r="D282" s="5" t="inlineStr">
        <is>
          <t>POTASSIUM CITRATE 15MEQ TABLET EXTENDED RELEASE</t>
        </is>
      </c>
      <c r="E282" s="6" t="inlineStr">
        <is>
          <t>100.0</t>
        </is>
      </c>
      <c r="F282" s="7" t="n">
        <v>120</v>
      </c>
      <c r="G282" s="7" t="n">
        <v>1.2</v>
      </c>
      <c r="H282" s="7" t="n">
        <v>0</v>
      </c>
      <c r="I282" s="7" t="n">
        <v>-1.2</v>
      </c>
      <c r="J282" s="8" t="n">
        <v>22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CVS</t>
        </is>
      </c>
      <c r="C283" s="5" t="inlineStr">
        <is>
          <t>60505279500</t>
        </is>
      </c>
      <c r="D283" s="5" t="inlineStr">
        <is>
          <t xml:space="preserve">IBANDRONATE 150MG TAB </t>
        </is>
      </c>
      <c r="E283" s="6" t="inlineStr">
        <is>
          <t>1.0</t>
        </is>
      </c>
      <c r="F283" s="7" t="n">
        <v>3</v>
      </c>
      <c r="G283" s="7" t="n">
        <v>3</v>
      </c>
      <c r="H283" s="7" t="n">
        <v>0</v>
      </c>
      <c r="I283" s="7" t="n">
        <v>-3</v>
      </c>
      <c r="J283" s="8" t="n">
        <v>22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CVS</t>
        </is>
      </c>
      <c r="C284" s="5" t="inlineStr">
        <is>
          <t>42385095330</t>
        </is>
      </c>
      <c r="D284" s="5" t="inlineStr">
        <is>
          <t>EMTRICITABINE-TENOFOVIR DF 200-300MG TABLET</t>
        </is>
      </c>
      <c r="E284" s="6" t="inlineStr">
        <is>
          <t>30.0</t>
        </is>
      </c>
      <c r="F284" s="7" t="n">
        <v>30</v>
      </c>
      <c r="G284" s="7" t="n">
        <v>1</v>
      </c>
      <c r="H284" s="7" t="n">
        <v>3</v>
      </c>
      <c r="I284" s="7" t="n">
        <v>2</v>
      </c>
      <c r="J284" s="8" t="n">
        <v>21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CVS</t>
        </is>
      </c>
      <c r="C285" s="5" t="inlineStr">
        <is>
          <t>51672127506</t>
        </is>
      </c>
      <c r="D285" s="5" t="inlineStr">
        <is>
          <t xml:space="preserve">CLOTRIMAZOLE 1% CREAM </t>
        </is>
      </c>
      <c r="E285" s="6" t="inlineStr">
        <is>
          <t>45.0</t>
        </is>
      </c>
      <c r="F285" s="7" t="n">
        <v>135</v>
      </c>
      <c r="G285" s="7" t="n">
        <v>3</v>
      </c>
      <c r="H285" s="7" t="n">
        <v>0</v>
      </c>
      <c r="I285" s="7" t="n">
        <v>-3</v>
      </c>
      <c r="J285" s="8" t="n">
        <v>21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CVS</t>
        </is>
      </c>
      <c r="C286" s="5" t="inlineStr">
        <is>
          <t>68382066010</t>
        </is>
      </c>
      <c r="D286" s="5" t="inlineStr">
        <is>
          <t>SPIRONOLACTONE 25MG TABLET</t>
        </is>
      </c>
      <c r="E286" s="6" t="inlineStr">
        <is>
          <t>1000.0</t>
        </is>
      </c>
      <c r="F286" s="7" t="n">
        <v>510</v>
      </c>
      <c r="G286" s="7" t="n">
        <v>0.51</v>
      </c>
      <c r="H286" s="7" t="n">
        <v>0</v>
      </c>
      <c r="I286" s="7" t="n">
        <v>-0.51</v>
      </c>
      <c r="J286" s="8" t="n">
        <v>20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CVS</t>
        </is>
      </c>
      <c r="C287" s="5" t="inlineStr">
        <is>
          <t>23155077310</t>
        </is>
      </c>
      <c r="D287" s="5" t="inlineStr">
        <is>
          <t>ENALAPRIL 20MG TABLET</t>
        </is>
      </c>
      <c r="E287" s="6" t="inlineStr">
        <is>
          <t>1000.0</t>
        </is>
      </c>
      <c r="F287" s="7" t="n">
        <v>180</v>
      </c>
      <c r="G287" s="7" t="n">
        <v>0.18</v>
      </c>
      <c r="H287" s="7" t="n">
        <v>0</v>
      </c>
      <c r="I287" s="7" t="n">
        <v>-0.18</v>
      </c>
      <c r="J287" s="8" t="n">
        <v>20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CVS</t>
        </is>
      </c>
      <c r="C288" s="5" t="inlineStr">
        <is>
          <t>67877022405</t>
        </is>
      </c>
      <c r="D288" s="5" t="inlineStr">
        <is>
          <t xml:space="preserve">GABAPENTIN 400MG CAP </t>
        </is>
      </c>
      <c r="E288" s="6" t="inlineStr">
        <is>
          <t>500.0</t>
        </is>
      </c>
      <c r="F288" s="7" t="n">
        <v>510</v>
      </c>
      <c r="G288" s="7" t="n">
        <v>1.02</v>
      </c>
      <c r="H288" s="7" t="n">
        <v>0</v>
      </c>
      <c r="I288" s="7" t="n">
        <v>-1.02</v>
      </c>
      <c r="J288" s="8" t="n">
        <v>20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CVS</t>
        </is>
      </c>
      <c r="C289" s="5" t="inlineStr">
        <is>
          <t>00713032637</t>
        </is>
      </c>
      <c r="D289" s="5" t="inlineStr">
        <is>
          <t>BETAMETHASONE VALERATE 0.1% CREAM</t>
        </is>
      </c>
      <c r="E289" s="6" t="inlineStr">
        <is>
          <t>45.0</t>
        </is>
      </c>
      <c r="F289" s="7" t="n">
        <v>45</v>
      </c>
      <c r="G289" s="7" t="n">
        <v>1</v>
      </c>
      <c r="H289" s="7" t="n">
        <v>5</v>
      </c>
      <c r="I289" s="7" t="n">
        <v>4</v>
      </c>
      <c r="J289" s="8" t="n">
        <v>20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CVS</t>
        </is>
      </c>
      <c r="C290" s="5" t="inlineStr">
        <is>
          <t>50742050504</t>
        </is>
      </c>
      <c r="D290" s="5" t="inlineStr">
        <is>
          <t>SCOPOLAMINE 1 MG/3DAYS TRANSDERMAL PATCH 72 HOUR</t>
        </is>
      </c>
      <c r="E290" s="6" t="inlineStr">
        <is>
          <t>4.0</t>
        </is>
      </c>
      <c r="F290" s="7" t="n">
        <v>4</v>
      </c>
      <c r="G290" s="7" t="n">
        <v>1</v>
      </c>
      <c r="H290" s="7" t="n">
        <v>4</v>
      </c>
      <c r="I290" s="7" t="n">
        <v>3</v>
      </c>
      <c r="J290" s="8" t="n">
        <v>20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CVS</t>
        </is>
      </c>
      <c r="C291" s="5" t="inlineStr">
        <is>
          <t>00555902658</t>
        </is>
      </c>
      <c r="D291" s="5" t="inlineStr">
        <is>
          <t>JUNEL FE 1/20 1-20MG TABLET</t>
        </is>
      </c>
      <c r="E291" s="6" t="inlineStr">
        <is>
          <t>28.0</t>
        </is>
      </c>
      <c r="F291" s="7" t="n">
        <v>112</v>
      </c>
      <c r="G291" s="7" t="n">
        <v>4</v>
      </c>
      <c r="H291" s="7" t="n">
        <v>3</v>
      </c>
      <c r="I291" s="7" t="n">
        <v>-1</v>
      </c>
      <c r="J291" s="8" t="n">
        <v>20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CVS</t>
        </is>
      </c>
      <c r="C292" s="5" t="inlineStr">
        <is>
          <t>67877041401</t>
        </is>
      </c>
      <c r="D292" s="5" t="inlineStr">
        <is>
          <t>METFORMIN HCL ER 750 MG TABLET</t>
        </is>
      </c>
      <c r="E292" s="6" t="inlineStr">
        <is>
          <t>100.0</t>
        </is>
      </c>
      <c r="F292" s="7" t="n">
        <v>90</v>
      </c>
      <c r="G292" s="7" t="n">
        <v>0.9</v>
      </c>
      <c r="H292" s="7" t="n">
        <v>3</v>
      </c>
      <c r="I292" s="7" t="n">
        <v>2.1</v>
      </c>
      <c r="J292" s="8" t="n">
        <v>19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CVS</t>
        </is>
      </c>
      <c r="C293" s="5" t="inlineStr">
        <is>
          <t>55150027701</t>
        </is>
      </c>
      <c r="D293" s="5" t="inlineStr">
        <is>
          <t>TESTOSTERONE CYPIONATE 200 MG/ML INTRAMUSCULAR SOLUTION</t>
        </is>
      </c>
      <c r="E293" s="6" t="inlineStr">
        <is>
          <t>1.0</t>
        </is>
      </c>
      <c r="F293" s="7" t="n">
        <v>2</v>
      </c>
      <c r="G293" s="7" t="n">
        <v>2</v>
      </c>
      <c r="H293" s="7" t="n">
        <v>2</v>
      </c>
      <c r="I293" s="7" t="n">
        <v>0</v>
      </c>
      <c r="J293" s="8" t="n">
        <v>19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CVS</t>
        </is>
      </c>
      <c r="C294" s="5" t="inlineStr">
        <is>
          <t>00713063437</t>
        </is>
      </c>
      <c r="D294" s="5" t="inlineStr">
        <is>
          <t>MOMETASONE FUROATE 0.1 % EXTERNAL CREAM</t>
        </is>
      </c>
      <c r="E294" s="6" t="inlineStr">
        <is>
          <t>45.0</t>
        </is>
      </c>
      <c r="F294" s="7" t="n">
        <v>45</v>
      </c>
      <c r="G294" s="7" t="n">
        <v>1</v>
      </c>
      <c r="H294" s="7" t="n">
        <v>0</v>
      </c>
      <c r="I294" s="7" t="n">
        <v>-1</v>
      </c>
      <c r="J294" s="8" t="n">
        <v>19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CVS</t>
        </is>
      </c>
      <c r="C295" s="5" t="inlineStr">
        <is>
          <t>08484081028</t>
        </is>
      </c>
      <c r="D295" s="5" t="inlineStr">
        <is>
          <t>LANCETS PRODIGY</t>
        </is>
      </c>
      <c r="E295" s="6" t="inlineStr">
        <is>
          <t>100.0</t>
        </is>
      </c>
      <c r="F295" s="7" t="n">
        <v>200</v>
      </c>
      <c r="G295" s="7" t="n">
        <v>2</v>
      </c>
      <c r="H295" s="7" t="n">
        <v>0</v>
      </c>
      <c r="I295" s="7" t="n">
        <v>-2</v>
      </c>
      <c r="J295" s="8" t="n">
        <v>19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CVS</t>
        </is>
      </c>
      <c r="C296" s="5" t="inlineStr">
        <is>
          <t>31722066860</t>
        </is>
      </c>
      <c r="D296" s="5" t="inlineStr">
        <is>
          <t>RANOLAZINE ER 500 MG ORAL TABLET EXTENDED RELEASE 12 HOUR</t>
        </is>
      </c>
      <c r="E296" s="6" t="inlineStr">
        <is>
          <t>60.0</t>
        </is>
      </c>
      <c r="F296" s="7" t="n">
        <v>180</v>
      </c>
      <c r="G296" s="7" t="n">
        <v>3</v>
      </c>
      <c r="H296" s="7" t="n">
        <v>5</v>
      </c>
      <c r="I296" s="7" t="n">
        <v>2</v>
      </c>
      <c r="J296" s="8" t="n">
        <v>18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CVS</t>
        </is>
      </c>
      <c r="C297" s="5" t="inlineStr">
        <is>
          <t>57237021905</t>
        </is>
      </c>
      <c r="D297" s="5" t="inlineStr">
        <is>
          <t>PIOGLITAZONE 15MG TABLET</t>
        </is>
      </c>
      <c r="E297" s="6" t="inlineStr">
        <is>
          <t>500.0</t>
        </is>
      </c>
      <c r="F297" s="7" t="n">
        <v>240</v>
      </c>
      <c r="G297" s="7" t="n">
        <v>0.48</v>
      </c>
      <c r="H297" s="7" t="n">
        <v>0</v>
      </c>
      <c r="I297" s="7" t="n">
        <v>-0.48</v>
      </c>
      <c r="J297" s="8" t="n">
        <v>18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CVS</t>
        </is>
      </c>
      <c r="C298" s="5" t="inlineStr">
        <is>
          <t>69097007212</t>
        </is>
      </c>
      <c r="D298" s="5" t="inlineStr">
        <is>
          <t>BUPROPION HCL ER (XL) 300MG TABLET</t>
        </is>
      </c>
      <c r="E298" s="6" t="inlineStr">
        <is>
          <t>500.0</t>
        </is>
      </c>
      <c r="F298" s="7" t="n">
        <v>120</v>
      </c>
      <c r="G298" s="7" t="n">
        <v>0.24</v>
      </c>
      <c r="H298" s="7" t="n">
        <v>0</v>
      </c>
      <c r="I298" s="7" t="n">
        <v>-0.24</v>
      </c>
      <c r="J298" s="8" t="n">
        <v>18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CVS</t>
        </is>
      </c>
      <c r="C299" s="5" t="inlineStr">
        <is>
          <t>61314014305</t>
        </is>
      </c>
      <c r="D299" s="5" t="inlineStr">
        <is>
          <t>BRIMONIDINE TARTRATE 0.2% SOLUTION</t>
        </is>
      </c>
      <c r="E299" s="6" t="inlineStr">
        <is>
          <t>5.0</t>
        </is>
      </c>
      <c r="F299" s="7" t="n">
        <v>20</v>
      </c>
      <c r="G299" s="7" t="n">
        <v>4</v>
      </c>
      <c r="H299" s="7" t="n">
        <v>0</v>
      </c>
      <c r="I299" s="7" t="n">
        <v>-4</v>
      </c>
      <c r="J299" s="8" t="n">
        <v>18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CVS</t>
        </is>
      </c>
      <c r="C300" s="5" t="inlineStr">
        <is>
          <t>68462029201</t>
        </is>
      </c>
      <c r="D300" s="5" t="inlineStr">
        <is>
          <t>VERAPAMIL ER 120MG TABLET</t>
        </is>
      </c>
      <c r="E300" s="6" t="inlineStr">
        <is>
          <t>100.0</t>
        </is>
      </c>
      <c r="F300" s="7" t="n">
        <v>120</v>
      </c>
      <c r="G300" s="7" t="n">
        <v>1.2</v>
      </c>
      <c r="H300" s="7" t="n">
        <v>0</v>
      </c>
      <c r="I300" s="7" t="n">
        <v>-1.2</v>
      </c>
      <c r="J300" s="8" t="n">
        <v>18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CVS</t>
        </is>
      </c>
      <c r="C301" s="5" t="inlineStr">
        <is>
          <t>23155083501</t>
        </is>
      </c>
      <c r="D301" s="5" t="inlineStr">
        <is>
          <t>HYDRALAZINE HCL 100MG TABLET</t>
        </is>
      </c>
      <c r="E301" s="6" t="inlineStr">
        <is>
          <t>100.0</t>
        </is>
      </c>
      <c r="F301" s="7" t="n">
        <v>540</v>
      </c>
      <c r="G301" s="7" t="n">
        <v>5.4</v>
      </c>
      <c r="H301" s="7" t="n">
        <v>3</v>
      </c>
      <c r="I301" s="7" t="n">
        <v>-2.4</v>
      </c>
      <c r="J301" s="8" t="n">
        <v>17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CVS</t>
        </is>
      </c>
      <c r="C302" s="5" t="inlineStr">
        <is>
          <t>00713068231</t>
        </is>
      </c>
      <c r="D302" s="5" t="inlineStr">
        <is>
          <t>GENTAMICIN SULFATE 0.1 % EXTERNAL OINTMENT</t>
        </is>
      </c>
      <c r="E302" s="6" t="inlineStr">
        <is>
          <t>30.0</t>
        </is>
      </c>
      <c r="F302" s="7" t="n">
        <v>30</v>
      </c>
      <c r="G302" s="7" t="n">
        <v>1</v>
      </c>
      <c r="H302" s="7" t="n">
        <v>0</v>
      </c>
      <c r="I302" s="7" t="n">
        <v>-1</v>
      </c>
      <c r="J302" s="8" t="n">
        <v>17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CVS</t>
        </is>
      </c>
      <c r="C303" s="5" t="inlineStr">
        <is>
          <t>42571023530</t>
        </is>
      </c>
      <c r="D303" s="5" t="inlineStr">
        <is>
          <t>AMLODIPINE-OLMESARTAN 5-20MG TABLET</t>
        </is>
      </c>
      <c r="E303" s="6" t="inlineStr">
        <is>
          <t>30.0</t>
        </is>
      </c>
      <c r="F303" s="7" t="n">
        <v>120</v>
      </c>
      <c r="G303" s="7" t="n">
        <v>4</v>
      </c>
      <c r="H303" s="7" t="n">
        <v>0</v>
      </c>
      <c r="I303" s="7" t="n">
        <v>-4</v>
      </c>
      <c r="J303" s="8" t="n">
        <v>17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CVS</t>
        </is>
      </c>
      <c r="C304" s="5" t="inlineStr">
        <is>
          <t>13107003105</t>
        </is>
      </c>
      <c r="D304" s="5" t="inlineStr">
        <is>
          <t>MIRTAZAPINE 15MG TABLET</t>
        </is>
      </c>
      <c r="E304" s="6" t="inlineStr">
        <is>
          <t>500.0</t>
        </is>
      </c>
      <c r="F304" s="7" t="n">
        <v>240</v>
      </c>
      <c r="G304" s="7" t="n">
        <v>0.48</v>
      </c>
      <c r="H304" s="7" t="n">
        <v>0</v>
      </c>
      <c r="I304" s="7" t="n">
        <v>-0.48</v>
      </c>
      <c r="J304" s="8" t="n">
        <v>17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CVS</t>
        </is>
      </c>
      <c r="C305" s="5" t="inlineStr">
        <is>
          <t>00603516632</t>
        </is>
      </c>
      <c r="D305" s="5" t="inlineStr">
        <is>
          <t>PHENOBARBITAL 32.4 MG TABLET</t>
        </is>
      </c>
      <c r="E305" s="6" t="inlineStr">
        <is>
          <t>1000.0</t>
        </is>
      </c>
      <c r="F305" s="7" t="n">
        <v>60</v>
      </c>
      <c r="G305" s="7" t="n">
        <v>0.06</v>
      </c>
      <c r="H305" s="7" t="n">
        <v>0</v>
      </c>
      <c r="I305" s="7" t="n">
        <v>-0.06</v>
      </c>
      <c r="J305" s="8" t="n">
        <v>17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CVS</t>
        </is>
      </c>
      <c r="C306" s="5" t="inlineStr">
        <is>
          <t>00054350049</t>
        </is>
      </c>
      <c r="D306" s="5" t="inlineStr">
        <is>
          <t>LIDOCAINE VISCOUS 2 % ORAL SOLUTION</t>
        </is>
      </c>
      <c r="E306" s="6" t="inlineStr">
        <is>
          <t>100.0</t>
        </is>
      </c>
      <c r="F306" s="7" t="n">
        <v>400</v>
      </c>
      <c r="G306" s="7" t="n">
        <v>4</v>
      </c>
      <c r="H306" s="7" t="n">
        <v>3</v>
      </c>
      <c r="I306" s="7" t="n">
        <v>-1</v>
      </c>
      <c r="J306" s="8" t="n">
        <v>17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CVS</t>
        </is>
      </c>
      <c r="C307" s="5" t="inlineStr">
        <is>
          <t>00093720210</t>
        </is>
      </c>
      <c r="D307" s="5" t="inlineStr">
        <is>
          <t>PRAVASTATIN 40MG TABLET</t>
        </is>
      </c>
      <c r="E307" s="6" t="inlineStr">
        <is>
          <t>1000.0</t>
        </is>
      </c>
      <c r="F307" s="7" t="n">
        <v>180</v>
      </c>
      <c r="G307" s="7" t="n">
        <v>0.18</v>
      </c>
      <c r="H307" s="7" t="n">
        <v>0</v>
      </c>
      <c r="I307" s="7" t="n">
        <v>-0.18</v>
      </c>
      <c r="J307" s="8" t="n">
        <v>17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CVS</t>
        </is>
      </c>
      <c r="C308" s="5" t="inlineStr">
        <is>
          <t>00378210005</t>
        </is>
      </c>
      <c r="D308" s="5" t="inlineStr">
        <is>
          <t xml:space="preserve">LOPERAMIDE 2MG CAP </t>
        </is>
      </c>
      <c r="E308" s="6" t="inlineStr">
        <is>
          <t>500.0</t>
        </is>
      </c>
      <c r="F308" s="7" t="n">
        <v>54</v>
      </c>
      <c r="G308" s="7" t="n">
        <v>0.108</v>
      </c>
      <c r="H308" s="7" t="n">
        <v>0</v>
      </c>
      <c r="I308" s="7" t="n">
        <v>-0.108</v>
      </c>
      <c r="J308" s="8" t="n">
        <v>17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CVS</t>
        </is>
      </c>
      <c r="C309" s="5" t="inlineStr">
        <is>
          <t>62332064531</t>
        </is>
      </c>
      <c r="D309" s="5" t="inlineStr">
        <is>
          <t>DOXEPIN HCL 50 MG ORAL CAPSULE</t>
        </is>
      </c>
      <c r="E309" s="6" t="inlineStr">
        <is>
          <t>100.0</t>
        </is>
      </c>
      <c r="F309" s="7" t="n">
        <v>90</v>
      </c>
      <c r="G309" s="7" t="n">
        <v>0.9</v>
      </c>
      <c r="H309" s="7" t="n">
        <v>0</v>
      </c>
      <c r="I309" s="7" t="n">
        <v>-0.9</v>
      </c>
      <c r="J309" s="8" t="n">
        <v>16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CVS</t>
        </is>
      </c>
      <c r="C310" s="5" t="inlineStr">
        <is>
          <t>70010006310</t>
        </is>
      </c>
      <c r="D310" s="5" t="inlineStr">
        <is>
          <t>METFORMIN HCL 500 MG TABLET</t>
        </is>
      </c>
      <c r="E310" s="6" t="inlineStr">
        <is>
          <t>1000.0</t>
        </is>
      </c>
      <c r="F310" s="7" t="n">
        <v>1440</v>
      </c>
      <c r="G310" s="7" t="n">
        <v>1.44</v>
      </c>
      <c r="H310" s="7" t="n">
        <v>2</v>
      </c>
      <c r="I310" s="7" t="n">
        <v>0.5600000000000001</v>
      </c>
      <c r="J310" s="8" t="n">
        <v>16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CVS</t>
        </is>
      </c>
      <c r="C311" s="5" t="inlineStr">
        <is>
          <t>24208048610</t>
        </is>
      </c>
      <c r="D311" s="5" t="inlineStr">
        <is>
          <t xml:space="preserve">DORZOLAMID-TIMOLO 22.3-6.8MG/ML (EYE) </t>
        </is>
      </c>
      <c r="E311" s="6" t="inlineStr">
        <is>
          <t>10.0</t>
        </is>
      </c>
      <c r="F311" s="7" t="n">
        <v>30</v>
      </c>
      <c r="G311" s="7" t="n">
        <v>3</v>
      </c>
      <c r="H311" s="7" t="n">
        <v>0</v>
      </c>
      <c r="I311" s="7" t="n">
        <v>-3</v>
      </c>
      <c r="J311" s="8" t="n">
        <v>16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CVS</t>
        </is>
      </c>
      <c r="C312" s="5" t="inlineStr">
        <is>
          <t>00378632377</t>
        </is>
      </c>
      <c r="D312" s="5" t="inlineStr">
        <is>
          <t>VALSARTAN-HCTZ 160-25MG TABLET</t>
        </is>
      </c>
      <c r="E312" s="6" t="inlineStr">
        <is>
          <t>90.0</t>
        </is>
      </c>
      <c r="F312" s="7" t="n">
        <v>90</v>
      </c>
      <c r="G312" s="7" t="n">
        <v>1</v>
      </c>
      <c r="H312" s="7" t="n">
        <v>2</v>
      </c>
      <c r="I312" s="7" t="n">
        <v>1</v>
      </c>
      <c r="J312" s="8" t="n">
        <v>16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CVS</t>
        </is>
      </c>
      <c r="C313" s="5" t="inlineStr">
        <is>
          <t>47781001301</t>
        </is>
      </c>
      <c r="D313" s="5" t="inlineStr">
        <is>
          <t>HYOSCYAMINE SULFATE 0.125MG TABLET</t>
        </is>
      </c>
      <c r="E313" s="6" t="inlineStr">
        <is>
          <t>100.0</t>
        </is>
      </c>
      <c r="F313" s="7" t="n">
        <v>40</v>
      </c>
      <c r="G313" s="7" t="n">
        <v>0.4</v>
      </c>
      <c r="H313" s="7" t="n">
        <v>0</v>
      </c>
      <c r="I313" s="7" t="n">
        <v>-0.4</v>
      </c>
      <c r="J313" s="8" t="n">
        <v>16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CVS</t>
        </is>
      </c>
      <c r="C314" s="5" t="inlineStr">
        <is>
          <t>00536110301</t>
        </is>
      </c>
      <c r="D314" s="5" t="inlineStr">
        <is>
          <t>ALCOHOL PREP 70 % PAD CVS</t>
        </is>
      </c>
      <c r="E314" s="6" t="inlineStr">
        <is>
          <t>100.0</t>
        </is>
      </c>
      <c r="F314" s="7" t="n">
        <v>1100</v>
      </c>
      <c r="G314" s="7" t="n">
        <v>11</v>
      </c>
      <c r="H314" s="7" t="n">
        <v>0</v>
      </c>
      <c r="I314" s="7" t="n">
        <v>-11</v>
      </c>
      <c r="J314" s="8" t="n">
        <v>16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CVS</t>
        </is>
      </c>
      <c r="C315" s="5" t="inlineStr">
        <is>
          <t>00185005501</t>
        </is>
      </c>
      <c r="D315" s="5" t="inlineStr">
        <is>
          <t>METOLAZONE 5 MG TABLET</t>
        </is>
      </c>
      <c r="E315" s="6" t="inlineStr">
        <is>
          <t>100.0</t>
        </is>
      </c>
      <c r="F315" s="7" t="n">
        <v>30</v>
      </c>
      <c r="G315" s="7" t="n">
        <v>0.3</v>
      </c>
      <c r="H315" s="7" t="n">
        <v>0</v>
      </c>
      <c r="I315" s="7" t="n">
        <v>-0.3</v>
      </c>
      <c r="J315" s="8" t="n">
        <v>16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CVS</t>
        </is>
      </c>
      <c r="C316" s="5" t="inlineStr">
        <is>
          <t>33342033380</t>
        </is>
      </c>
      <c r="D316" s="5" t="inlineStr">
        <is>
          <t>TRIAMCINOLONE ACETONIDE 0.1 % EXTERNAL OINTMENT</t>
        </is>
      </c>
      <c r="E316" s="6" t="inlineStr">
        <is>
          <t>80.0</t>
        </is>
      </c>
      <c r="F316" s="7" t="n">
        <v>240</v>
      </c>
      <c r="G316" s="7" t="n">
        <v>3</v>
      </c>
      <c r="H316" s="7" t="n">
        <v>8</v>
      </c>
      <c r="I316" s="7" t="n">
        <v>5</v>
      </c>
      <c r="J316" s="8" t="n">
        <v>15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CVS</t>
        </is>
      </c>
      <c r="C317" s="5" t="inlineStr">
        <is>
          <t>70756040411</t>
        </is>
      </c>
      <c r="D317" s="5" t="inlineStr">
        <is>
          <t>NITROFURANTOIN MONOHYD MACRO 100 MG ORAL CAPSULE</t>
        </is>
      </c>
      <c r="E317" s="6" t="inlineStr">
        <is>
          <t>100.0</t>
        </is>
      </c>
      <c r="F317" s="7" t="n">
        <v>48</v>
      </c>
      <c r="G317" s="7" t="n">
        <v>0.48</v>
      </c>
      <c r="H317" s="7" t="n">
        <v>2</v>
      </c>
      <c r="I317" s="7" t="n">
        <v>1.52</v>
      </c>
      <c r="J317" s="8" t="n">
        <v>15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CVS</t>
        </is>
      </c>
      <c r="C318" s="5" t="inlineStr">
        <is>
          <t>65862052205</t>
        </is>
      </c>
      <c r="D318" s="5" t="inlineStr">
        <is>
          <t>NAPROXEN 500MG TABLET</t>
        </is>
      </c>
      <c r="E318" s="6" t="inlineStr">
        <is>
          <t>500.0</t>
        </is>
      </c>
      <c r="F318" s="7" t="n">
        <v>270</v>
      </c>
      <c r="G318" s="7" t="n">
        <v>0.54</v>
      </c>
      <c r="H318" s="7" t="n">
        <v>0</v>
      </c>
      <c r="I318" s="7" t="n">
        <v>-0.54</v>
      </c>
      <c r="J318" s="8" t="n">
        <v>15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CVS</t>
        </is>
      </c>
      <c r="C319" s="5" t="inlineStr">
        <is>
          <t>61314022705</t>
        </is>
      </c>
      <c r="D319" s="5" t="inlineStr">
        <is>
          <t>TIMOLOL MALEATE 0.5% SOLUTION</t>
        </is>
      </c>
      <c r="E319" s="6" t="inlineStr">
        <is>
          <t>5.0</t>
        </is>
      </c>
      <c r="F319" s="7" t="n">
        <v>10</v>
      </c>
      <c r="G319" s="7" t="n">
        <v>2</v>
      </c>
      <c r="H319" s="7" t="n">
        <v>6</v>
      </c>
      <c r="I319" s="7" t="n">
        <v>4</v>
      </c>
      <c r="J319" s="8" t="n">
        <v>15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CVS</t>
        </is>
      </c>
      <c r="C320" s="5" t="inlineStr">
        <is>
          <t>59651002988</t>
        </is>
      </c>
      <c r="D320" s="5" t="inlineStr">
        <is>
          <t>LO-ZUMANDIMINE 3-0.02 MG ORAL TABLET</t>
        </is>
      </c>
      <c r="E320" s="6" t="inlineStr">
        <is>
          <t>84.0</t>
        </is>
      </c>
      <c r="F320" s="7" t="n">
        <v>84</v>
      </c>
      <c r="G320" s="7" t="n">
        <v>1</v>
      </c>
      <c r="H320" s="7" t="n">
        <v>0</v>
      </c>
      <c r="I320" s="7" t="n">
        <v>-1</v>
      </c>
      <c r="J320" s="8" t="n">
        <v>15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CVS</t>
        </is>
      </c>
      <c r="C321" s="5" t="inlineStr">
        <is>
          <t>33342005144</t>
        </is>
      </c>
      <c r="D321" s="5" t="inlineStr">
        <is>
          <t>LOSARTANHCTZ 100-12.5 MG TABLET</t>
        </is>
      </c>
      <c r="E321" s="6" t="inlineStr">
        <is>
          <t>1000.0</t>
        </is>
      </c>
      <c r="F321" s="7" t="n">
        <v>180</v>
      </c>
      <c r="G321" s="7" t="n">
        <v>0.18</v>
      </c>
      <c r="H321" s="7" t="n">
        <v>0</v>
      </c>
      <c r="I321" s="7" t="n">
        <v>-0.18</v>
      </c>
      <c r="J321" s="8" t="n">
        <v>15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CVS</t>
        </is>
      </c>
      <c r="C322" s="5" t="inlineStr">
        <is>
          <t>45802040109</t>
        </is>
      </c>
      <c r="D322" s="5" t="inlineStr">
        <is>
          <t>CICLOPIROX 1 % EXTERNAL SHAMPOO</t>
        </is>
      </c>
      <c r="E322" s="6" t="inlineStr">
        <is>
          <t>120.0</t>
        </is>
      </c>
      <c r="F322" s="7" t="n">
        <v>120</v>
      </c>
      <c r="G322" s="7" t="n">
        <v>1</v>
      </c>
      <c r="H322" s="7" t="n">
        <v>0</v>
      </c>
      <c r="I322" s="7" t="n">
        <v>-1</v>
      </c>
      <c r="J322" s="8" t="n">
        <v>15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CVS</t>
        </is>
      </c>
      <c r="C323" s="5" t="inlineStr">
        <is>
          <t>61314001910</t>
        </is>
      </c>
      <c r="D323" s="5" t="inlineStr">
        <is>
          <t>DORZOLAMIDE HCL 2% SOLUTION</t>
        </is>
      </c>
      <c r="E323" s="6" t="inlineStr">
        <is>
          <t>10.0</t>
        </is>
      </c>
      <c r="F323" s="7" t="n">
        <v>30</v>
      </c>
      <c r="G323" s="7" t="n">
        <v>3</v>
      </c>
      <c r="H323" s="7" t="n">
        <v>0</v>
      </c>
      <c r="I323" s="7" t="n">
        <v>-3</v>
      </c>
      <c r="J323" s="8" t="n">
        <v>15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CVS</t>
        </is>
      </c>
      <c r="C324" s="5" t="inlineStr">
        <is>
          <t>62559051001</t>
        </is>
      </c>
      <c r="D324" s="5" t="inlineStr">
        <is>
          <t>INDAPAMIDE 1.25MG TABLET</t>
        </is>
      </c>
      <c r="E324" s="6" t="inlineStr">
        <is>
          <t>100.0</t>
        </is>
      </c>
      <c r="F324" s="7" t="n">
        <v>120</v>
      </c>
      <c r="G324" s="7" t="n">
        <v>1.2</v>
      </c>
      <c r="H324" s="7" t="n">
        <v>0</v>
      </c>
      <c r="I324" s="7" t="n">
        <v>-1.2</v>
      </c>
      <c r="J324" s="8" t="n">
        <v>15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CVS</t>
        </is>
      </c>
      <c r="C325" s="5" t="inlineStr">
        <is>
          <t>68382009305</t>
        </is>
      </c>
      <c r="D325" s="5" t="inlineStr">
        <is>
          <t xml:space="preserve">CARVEDILOL 6.25MG TAB </t>
        </is>
      </c>
      <c r="E325" s="6" t="inlineStr">
        <is>
          <t>500.0</t>
        </is>
      </c>
      <c r="F325" s="7" t="n">
        <v>1260</v>
      </c>
      <c r="G325" s="7" t="n">
        <v>2.52</v>
      </c>
      <c r="H325" s="7" t="n">
        <v>0</v>
      </c>
      <c r="I325" s="7" t="n">
        <v>-2.52</v>
      </c>
      <c r="J325" s="8" t="n">
        <v>15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CVS</t>
        </is>
      </c>
      <c r="C326" s="5" t="inlineStr">
        <is>
          <t>00168008031</t>
        </is>
      </c>
      <c r="D326" s="5" t="inlineStr">
        <is>
          <t>HYDROCORTISONE 2.5% CREAM</t>
        </is>
      </c>
      <c r="E326" s="6" t="inlineStr">
        <is>
          <t>30.0</t>
        </is>
      </c>
      <c r="F326" s="7" t="n">
        <v>180</v>
      </c>
      <c r="G326" s="7" t="n">
        <v>6</v>
      </c>
      <c r="H326" s="7" t="n">
        <v>7</v>
      </c>
      <c r="I326" s="7" t="n">
        <v>1</v>
      </c>
      <c r="J326" s="8" t="n">
        <v>15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CVS</t>
        </is>
      </c>
      <c r="C327" s="5" t="inlineStr">
        <is>
          <t>64980051401</t>
        </is>
      </c>
      <c r="D327" s="5" t="inlineStr">
        <is>
          <t>TIMOLOL MALEATE 0.5% SOLUTION</t>
        </is>
      </c>
      <c r="E327" s="6" t="inlineStr">
        <is>
          <t>10.0</t>
        </is>
      </c>
      <c r="F327" s="7" t="n">
        <v>10</v>
      </c>
      <c r="G327" s="7" t="n">
        <v>1</v>
      </c>
      <c r="H327" s="7" t="n">
        <v>0</v>
      </c>
      <c r="I327" s="7" t="n">
        <v>-1</v>
      </c>
      <c r="J327" s="8" t="n">
        <v>14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CVS</t>
        </is>
      </c>
      <c r="C328" s="5" t="inlineStr">
        <is>
          <t>69238207807</t>
        </is>
      </c>
      <c r="D328" s="5" t="inlineStr">
        <is>
          <t>PROPRANOLOL HCL 20 MG ORAL TABLET</t>
        </is>
      </c>
      <c r="E328" s="6" t="inlineStr">
        <is>
          <t>1000.0</t>
        </is>
      </c>
      <c r="F328" s="7" t="n">
        <v>450</v>
      </c>
      <c r="G328" s="7" t="n">
        <v>0.45</v>
      </c>
      <c r="H328" s="7" t="n">
        <v>0</v>
      </c>
      <c r="I328" s="7" t="n">
        <v>-0.45</v>
      </c>
      <c r="J328" s="8" t="n">
        <v>14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CVS</t>
        </is>
      </c>
      <c r="C329" s="5" t="inlineStr">
        <is>
          <t>67877025145</t>
        </is>
      </c>
      <c r="D329" s="5" t="inlineStr">
        <is>
          <t>TRIAMCINOLONE ACETONIDE 0.1% CREAM</t>
        </is>
      </c>
      <c r="E329" s="6" t="inlineStr">
        <is>
          <t>454.0</t>
        </is>
      </c>
      <c r="F329" s="7" t="n">
        <v>454</v>
      </c>
      <c r="G329" s="7" t="n">
        <v>1</v>
      </c>
      <c r="H329" s="7" t="n">
        <v>0</v>
      </c>
      <c r="I329" s="7" t="n">
        <v>-1</v>
      </c>
      <c r="J329" s="8" t="n">
        <v>14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CVS</t>
        </is>
      </c>
      <c r="C330" s="5" t="inlineStr">
        <is>
          <t>00378050501</t>
        </is>
      </c>
      <c r="D330" s="5" t="inlineStr">
        <is>
          <t>BISOPROLOL-HCTZ 10-6.25MG TABLET</t>
        </is>
      </c>
      <c r="E330" s="6" t="inlineStr">
        <is>
          <t>100.0</t>
        </is>
      </c>
      <c r="F330" s="7" t="n">
        <v>120</v>
      </c>
      <c r="G330" s="7" t="n">
        <v>1.2</v>
      </c>
      <c r="H330" s="7" t="n">
        <v>0</v>
      </c>
      <c r="I330" s="7" t="n">
        <v>-1.2</v>
      </c>
      <c r="J330" s="8" t="n">
        <v>14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CVS</t>
        </is>
      </c>
      <c r="C331" s="5" t="inlineStr">
        <is>
          <t>45802000403</t>
        </is>
      </c>
      <c r="D331" s="5" t="inlineStr">
        <is>
          <t xml:space="preserve">HYDROCORTISONE 2.5 % EXTERNAL CREAM </t>
        </is>
      </c>
      <c r="E331" s="6" t="inlineStr">
        <is>
          <t>28.0</t>
        </is>
      </c>
      <c r="F331" s="7" t="n">
        <v>84</v>
      </c>
      <c r="G331" s="7" t="n">
        <v>3</v>
      </c>
      <c r="H331" s="7" t="n">
        <v>0</v>
      </c>
      <c r="I331" s="7" t="n">
        <v>-3</v>
      </c>
      <c r="J331" s="8" t="n">
        <v>14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CVS</t>
        </is>
      </c>
      <c r="C332" s="5" t="inlineStr">
        <is>
          <t>69367039505</t>
        </is>
      </c>
      <c r="D332" s="5" t="inlineStr">
        <is>
          <t>IBUPROFEN 600 MG TABLET</t>
        </is>
      </c>
      <c r="E332" s="6" t="inlineStr">
        <is>
          <t>500.0</t>
        </is>
      </c>
      <c r="F332" s="7" t="n">
        <v>751</v>
      </c>
      <c r="G332" s="7" t="n">
        <v>1.502</v>
      </c>
      <c r="H332" s="7" t="n">
        <v>2</v>
      </c>
      <c r="I332" s="7" t="n">
        <v>0.498</v>
      </c>
      <c r="J332" s="8" t="n">
        <v>14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CVS</t>
        </is>
      </c>
      <c r="C333" s="5" t="inlineStr">
        <is>
          <t>68180051802</t>
        </is>
      </c>
      <c r="D333" s="5" t="inlineStr">
        <is>
          <t xml:space="preserve">LISINOPRIL-HCTZ 10-12.5MG TAB </t>
        </is>
      </c>
      <c r="E333" s="6" t="inlineStr">
        <is>
          <t>500.0</t>
        </is>
      </c>
      <c r="F333" s="7" t="n">
        <v>180</v>
      </c>
      <c r="G333" s="7" t="n">
        <v>0.36</v>
      </c>
      <c r="H333" s="7" t="n">
        <v>2</v>
      </c>
      <c r="I333" s="7" t="n">
        <v>1.64</v>
      </c>
      <c r="J333" s="8" t="n">
        <v>14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CVS</t>
        </is>
      </c>
      <c r="C334" s="5" t="inlineStr">
        <is>
          <t>43598097710</t>
        </is>
      </c>
      <c r="D334" s="5" t="inlineStr">
        <is>
          <t>DICLOFENAC SODIUM 1 % EXT GEL **NYM</t>
        </is>
      </c>
      <c r="E334" s="6" t="inlineStr">
        <is>
          <t>100.0</t>
        </is>
      </c>
      <c r="F334" s="7" t="n">
        <v>300</v>
      </c>
      <c r="G334" s="7" t="n">
        <v>3</v>
      </c>
      <c r="H334" s="7" t="n">
        <v>48</v>
      </c>
      <c r="I334" s="7" t="n">
        <v>45</v>
      </c>
      <c r="J334" s="8" t="n">
        <v>14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CVS</t>
        </is>
      </c>
      <c r="C335" s="5" t="inlineStr">
        <is>
          <t>51672130406</t>
        </is>
      </c>
      <c r="D335" s="5" t="inlineStr">
        <is>
          <t>TERCONAZOLE 0.4% CREAM</t>
        </is>
      </c>
      <c r="E335" s="6" t="inlineStr">
        <is>
          <t>45.0</t>
        </is>
      </c>
      <c r="F335" s="7" t="n">
        <v>45</v>
      </c>
      <c r="G335" s="7" t="n">
        <v>1</v>
      </c>
      <c r="H335" s="7" t="n">
        <v>0</v>
      </c>
      <c r="I335" s="7" t="n">
        <v>-1</v>
      </c>
      <c r="J335" s="8" t="n">
        <v>13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CVS</t>
        </is>
      </c>
      <c r="C336" s="5" t="inlineStr">
        <is>
          <t>67877084210</t>
        </is>
      </c>
      <c r="D336" s="5" t="inlineStr">
        <is>
          <t>FAMOTIDINE 20MG TABLET</t>
        </is>
      </c>
      <c r="E336" s="6" t="inlineStr">
        <is>
          <t>1000.0</t>
        </is>
      </c>
      <c r="F336" s="7" t="n">
        <v>1138</v>
      </c>
      <c r="G336" s="7" t="n">
        <v>1.138</v>
      </c>
      <c r="H336" s="7" t="n">
        <v>0</v>
      </c>
      <c r="I336" s="7" t="n">
        <v>-1.138</v>
      </c>
      <c r="J336" s="8" t="n">
        <v>13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CVS</t>
        </is>
      </c>
      <c r="C337" s="5" t="inlineStr">
        <is>
          <t>65862052405</t>
        </is>
      </c>
      <c r="D337" s="5" t="inlineStr">
        <is>
          <t>GABAPENTIN 800 MG TABLET</t>
        </is>
      </c>
      <c r="E337" s="6" t="inlineStr">
        <is>
          <t>500.0</t>
        </is>
      </c>
      <c r="F337" s="7" t="n">
        <v>450</v>
      </c>
      <c r="G337" s="7" t="n">
        <v>0.9</v>
      </c>
      <c r="H337" s="7" t="n">
        <v>2</v>
      </c>
      <c r="I337" s="7" t="n">
        <v>1.1</v>
      </c>
      <c r="J337" s="8" t="n">
        <v>13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CVS</t>
        </is>
      </c>
      <c r="C338" s="5" t="inlineStr">
        <is>
          <t>00378705752</t>
        </is>
      </c>
      <c r="D338" s="5" t="inlineStr">
        <is>
          <t>ALBUTEROL SULFATE 0.63 MG/3ML INHALATION NEBULIZATION SOLUTION</t>
        </is>
      </c>
      <c r="E338" s="6" t="inlineStr">
        <is>
          <t>75.0</t>
        </is>
      </c>
      <c r="F338" s="7" t="n">
        <v>150</v>
      </c>
      <c r="G338" s="7" t="n">
        <v>2</v>
      </c>
      <c r="H338" s="7" t="n">
        <v>0</v>
      </c>
      <c r="I338" s="7" t="n">
        <v>-2</v>
      </c>
      <c r="J338" s="8" t="n">
        <v>13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CVS</t>
        </is>
      </c>
      <c r="C339" s="5" t="inlineStr">
        <is>
          <t>70752013812</t>
        </is>
      </c>
      <c r="D339" s="5" t="inlineStr">
        <is>
          <t>PROMETHAZINE HCL 6.25 MG/5ML ORAL SOLUTION</t>
        </is>
      </c>
      <c r="E339" s="6" t="inlineStr">
        <is>
          <t>473.0</t>
        </is>
      </c>
      <c r="F339" s="7" t="n">
        <v>560</v>
      </c>
      <c r="G339" s="7" t="n">
        <v>1.183932346723044</v>
      </c>
      <c r="H339" s="7" t="n">
        <v>0</v>
      </c>
      <c r="I339" s="7" t="n">
        <v>-1.183932346723044</v>
      </c>
      <c r="J339" s="8" t="n">
        <v>13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CVS</t>
        </is>
      </c>
      <c r="C340" s="5" t="inlineStr">
        <is>
          <t>94030000268</t>
        </is>
      </c>
      <c r="D340" s="5" t="inlineStr">
        <is>
          <t>LANCING DEVICE EMBRACE</t>
        </is>
      </c>
      <c r="E340" s="6" t="inlineStr">
        <is>
          <t>1.0</t>
        </is>
      </c>
      <c r="F340" s="7" t="n">
        <v>1</v>
      </c>
      <c r="G340" s="7" t="n">
        <v>1</v>
      </c>
      <c r="H340" s="7" t="n">
        <v>0</v>
      </c>
      <c r="I340" s="7" t="n">
        <v>-1</v>
      </c>
      <c r="J340" s="8" t="n">
        <v>13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CVS</t>
        </is>
      </c>
      <c r="C341" s="5" t="inlineStr">
        <is>
          <t>16729003510</t>
        </is>
      </c>
      <c r="D341" s="5" t="inlineStr">
        <is>
          <t>ANASTROZOLE 1MG TABLET</t>
        </is>
      </c>
      <c r="E341" s="6" t="inlineStr">
        <is>
          <t>30.0</t>
        </is>
      </c>
      <c r="F341" s="7" t="n">
        <v>120</v>
      </c>
      <c r="G341" s="7" t="n">
        <v>4</v>
      </c>
      <c r="H341" s="7" t="n">
        <v>0</v>
      </c>
      <c r="I341" s="7" t="n">
        <v>-4</v>
      </c>
      <c r="J341" s="8" t="n">
        <v>13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CVS</t>
        </is>
      </c>
      <c r="C342" s="5" t="inlineStr">
        <is>
          <t>69315016401</t>
        </is>
      </c>
      <c r="D342" s="5" t="inlineStr">
        <is>
          <t>HYDROXYUREA 500MG CAPSULE</t>
        </is>
      </c>
      <c r="E342" s="6" t="inlineStr">
        <is>
          <t>100.0</t>
        </is>
      </c>
      <c r="F342" s="7" t="n">
        <v>90</v>
      </c>
      <c r="G342" s="7" t="n">
        <v>0.9</v>
      </c>
      <c r="H342" s="7" t="n">
        <v>0</v>
      </c>
      <c r="I342" s="7" t="n">
        <v>-0.9</v>
      </c>
      <c r="J342" s="8" t="n">
        <v>13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CVS</t>
        </is>
      </c>
      <c r="C343" s="5" t="inlineStr">
        <is>
          <t>72888003700</t>
        </is>
      </c>
      <c r="D343" s="5" t="inlineStr">
        <is>
          <t xml:space="preserve">CARVEDILOL 25 MG TABLET </t>
        </is>
      </c>
      <c r="E343" s="6" t="inlineStr">
        <is>
          <t>1000.0</t>
        </is>
      </c>
      <c r="F343" s="7" t="n">
        <v>600</v>
      </c>
      <c r="G343" s="7" t="n">
        <v>0.6</v>
      </c>
      <c r="H343" s="7" t="n">
        <v>0</v>
      </c>
      <c r="I343" s="7" t="n">
        <v>-0.6</v>
      </c>
      <c r="J343" s="8" t="n">
        <v>13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CVS</t>
        </is>
      </c>
      <c r="C344" s="5" t="inlineStr">
        <is>
          <t>43598012105</t>
        </is>
      </c>
      <c r="D344" s="5" t="inlineStr">
        <is>
          <t>CLOPIDOGREL BISULFATE 75 MG ORAL TABLET</t>
        </is>
      </c>
      <c r="E344" s="6" t="inlineStr">
        <is>
          <t>500.0</t>
        </is>
      </c>
      <c r="F344" s="7" t="n">
        <v>584</v>
      </c>
      <c r="G344" s="7" t="n">
        <v>1.168</v>
      </c>
      <c r="H344" s="7" t="n">
        <v>0</v>
      </c>
      <c r="I344" s="7" t="n">
        <v>-1.168</v>
      </c>
      <c r="J344" s="8" t="n">
        <v>13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CVS</t>
        </is>
      </c>
      <c r="C345" s="5" t="inlineStr">
        <is>
          <t>42571023790</t>
        </is>
      </c>
      <c r="D345" s="5" t="inlineStr">
        <is>
          <t>AMLODIPINE-OLMESARTAN 5-40MG TABLET</t>
        </is>
      </c>
      <c r="E345" s="6" t="inlineStr">
        <is>
          <t>90.0</t>
        </is>
      </c>
      <c r="F345" s="7" t="n">
        <v>90</v>
      </c>
      <c r="G345" s="7" t="n">
        <v>1</v>
      </c>
      <c r="H345" s="7" t="n">
        <v>0</v>
      </c>
      <c r="I345" s="7" t="n">
        <v>-1</v>
      </c>
      <c r="J345" s="8" t="n">
        <v>13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CVS</t>
        </is>
      </c>
      <c r="C346" s="5" t="inlineStr">
        <is>
          <t>51672131201</t>
        </is>
      </c>
      <c r="D346" s="5" t="inlineStr">
        <is>
          <t>MUPIROCIN 2 % EXTERNAL OINTMENT</t>
        </is>
      </c>
      <c r="E346" s="6" t="inlineStr">
        <is>
          <t>15.0</t>
        </is>
      </c>
      <c r="F346" s="7" t="n">
        <v>45</v>
      </c>
      <c r="G346" s="7" t="n">
        <v>3</v>
      </c>
      <c r="H346" s="7" t="n">
        <v>3</v>
      </c>
      <c r="I346" s="7" t="n">
        <v>0</v>
      </c>
      <c r="J346" s="8" t="n">
        <v>13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CVS</t>
        </is>
      </c>
      <c r="C347" s="5" t="inlineStr">
        <is>
          <t>00713068631</t>
        </is>
      </c>
      <c r="D347" s="5" t="inlineStr">
        <is>
          <t>NYSTATIN 100000UNIT/GM OINTMENT</t>
        </is>
      </c>
      <c r="E347" s="6" t="inlineStr">
        <is>
          <t>30.0</t>
        </is>
      </c>
      <c r="F347" s="7" t="n">
        <v>30</v>
      </c>
      <c r="G347" s="7" t="n">
        <v>1</v>
      </c>
      <c r="H347" s="7" t="n">
        <v>0</v>
      </c>
      <c r="I347" s="7" t="n">
        <v>-1</v>
      </c>
      <c r="J347" s="8" t="n">
        <v>12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CVS</t>
        </is>
      </c>
      <c r="C348" s="5" t="inlineStr">
        <is>
          <t>68180047201</t>
        </is>
      </c>
      <c r="D348" s="5" t="inlineStr">
        <is>
          <t>AMLODIPINE-BENAZEPRIL 10-20MG CAPSULE</t>
        </is>
      </c>
      <c r="E348" s="6" t="inlineStr">
        <is>
          <t>100.0</t>
        </is>
      </c>
      <c r="F348" s="7" t="n">
        <v>90</v>
      </c>
      <c r="G348" s="7" t="n">
        <v>0.9</v>
      </c>
      <c r="H348" s="7" t="n">
        <v>0</v>
      </c>
      <c r="I348" s="7" t="n">
        <v>-0.9</v>
      </c>
      <c r="J348" s="8" t="n">
        <v>12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CVS</t>
        </is>
      </c>
      <c r="C349" s="5" t="inlineStr">
        <is>
          <t>65862058501</t>
        </is>
      </c>
      <c r="D349" s="5" t="inlineStr">
        <is>
          <t>AMLODIPINE-BENAZEPRIL 5-40 MG CAPSULE</t>
        </is>
      </c>
      <c r="E349" s="6" t="inlineStr">
        <is>
          <t>100.0</t>
        </is>
      </c>
      <c r="F349" s="7" t="n">
        <v>90</v>
      </c>
      <c r="G349" s="7" t="n">
        <v>0.9</v>
      </c>
      <c r="H349" s="7" t="n">
        <v>0</v>
      </c>
      <c r="I349" s="7" t="n">
        <v>-0.9</v>
      </c>
      <c r="J349" s="8" t="n">
        <v>12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CVS</t>
        </is>
      </c>
      <c r="C350" s="5" t="inlineStr">
        <is>
          <t>55111058601</t>
        </is>
      </c>
      <c r="D350" s="5" t="inlineStr">
        <is>
          <t>AMLODIPINE BENAZEPRIL 10-40MG CAPSULE</t>
        </is>
      </c>
      <c r="E350" s="6" t="inlineStr">
        <is>
          <t>100.0</t>
        </is>
      </c>
      <c r="F350" s="7" t="n">
        <v>90</v>
      </c>
      <c r="G350" s="7" t="n">
        <v>0.9</v>
      </c>
      <c r="H350" s="7" t="n">
        <v>0</v>
      </c>
      <c r="I350" s="7" t="n">
        <v>-0.9</v>
      </c>
      <c r="J350" s="8" t="n">
        <v>12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CVS</t>
        </is>
      </c>
      <c r="C351" s="5" t="inlineStr">
        <is>
          <t>57237022105</t>
        </is>
      </c>
      <c r="D351" s="5" t="inlineStr">
        <is>
          <t>PIOGLITAZONE 45MG TABLET</t>
        </is>
      </c>
      <c r="E351" s="6" t="inlineStr">
        <is>
          <t>500.0</t>
        </is>
      </c>
      <c r="F351" s="7" t="n">
        <v>90</v>
      </c>
      <c r="G351" s="7" t="n">
        <v>0.18</v>
      </c>
      <c r="H351" s="7" t="n">
        <v>0</v>
      </c>
      <c r="I351" s="7" t="n">
        <v>-0.18</v>
      </c>
      <c r="J351" s="8" t="n">
        <v>12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CVS</t>
        </is>
      </c>
      <c r="C352" s="5" t="inlineStr">
        <is>
          <t>73473030370</t>
        </is>
      </c>
      <c r="D352" s="5" t="inlineStr">
        <is>
          <t>METRONIDAZOLE 0.75% VAGINAL GEL</t>
        </is>
      </c>
      <c r="E352" s="6" t="inlineStr">
        <is>
          <t>70.0</t>
        </is>
      </c>
      <c r="F352" s="7" t="n">
        <v>70</v>
      </c>
      <c r="G352" s="7" t="n">
        <v>1</v>
      </c>
      <c r="H352" s="7" t="n">
        <v>0</v>
      </c>
      <c r="I352" s="7" t="n">
        <v>-1</v>
      </c>
      <c r="J352" s="8" t="n">
        <v>12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CVS</t>
        </is>
      </c>
      <c r="C353" s="5" t="inlineStr">
        <is>
          <t>70710116701</t>
        </is>
      </c>
      <c r="D353" s="5" t="inlineStr">
        <is>
          <t>ATENOLOL-CHLORTHALIDONE 50-25MG TABLET</t>
        </is>
      </c>
      <c r="E353" s="6" t="inlineStr">
        <is>
          <t>100.0</t>
        </is>
      </c>
      <c r="F353" s="7" t="n">
        <v>120</v>
      </c>
      <c r="G353" s="7" t="n">
        <v>1.2</v>
      </c>
      <c r="H353" s="7" t="n">
        <v>3</v>
      </c>
      <c r="I353" s="7" t="n">
        <v>1.8</v>
      </c>
      <c r="J353" s="8" t="n">
        <v>12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CVS</t>
        </is>
      </c>
      <c r="C354" s="5" t="inlineStr">
        <is>
          <t>68382007901</t>
        </is>
      </c>
      <c r="D354" s="5" t="inlineStr">
        <is>
          <t xml:space="preserve">HALOPERIDOL 5MG TAB </t>
        </is>
      </c>
      <c r="E354" s="6" t="inlineStr">
        <is>
          <t>100.0</t>
        </is>
      </c>
      <c r="F354" s="7" t="n">
        <v>60</v>
      </c>
      <c r="G354" s="7" t="n">
        <v>0.6</v>
      </c>
      <c r="H354" s="7" t="n">
        <v>0</v>
      </c>
      <c r="I354" s="7" t="n">
        <v>-0.6</v>
      </c>
      <c r="J354" s="8" t="n">
        <v>11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CVS</t>
        </is>
      </c>
      <c r="C355" s="5" t="inlineStr">
        <is>
          <t>70377000613</t>
        </is>
      </c>
      <c r="D355" s="5" t="inlineStr">
        <is>
          <t>ROSUVASTATIN 5MG TABLET</t>
        </is>
      </c>
      <c r="E355" s="6" t="inlineStr">
        <is>
          <t>500.0</t>
        </is>
      </c>
      <c r="F355" s="7" t="n">
        <v>240</v>
      </c>
      <c r="G355" s="7" t="n">
        <v>0.48</v>
      </c>
      <c r="H355" s="7" t="n">
        <v>0</v>
      </c>
      <c r="I355" s="7" t="n">
        <v>-0.48</v>
      </c>
      <c r="J355" s="8" t="n">
        <v>11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CVS</t>
        </is>
      </c>
      <c r="C356" s="5" t="inlineStr">
        <is>
          <t>21922002107</t>
        </is>
      </c>
      <c r="D356" s="5" t="inlineStr">
        <is>
          <t>PERMETHRIN 5 % EXTERNAL CREAM</t>
        </is>
      </c>
      <c r="E356" s="6" t="inlineStr">
        <is>
          <t>60.0</t>
        </is>
      </c>
      <c r="F356" s="7" t="n">
        <v>60</v>
      </c>
      <c r="G356" s="7" t="n">
        <v>1</v>
      </c>
      <c r="H356" s="7" t="n">
        <v>0</v>
      </c>
      <c r="I356" s="7" t="n">
        <v>-1</v>
      </c>
      <c r="J356" s="8" t="n">
        <v>11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CVS</t>
        </is>
      </c>
      <c r="C357" s="5" t="inlineStr">
        <is>
          <t>68180087673</t>
        </is>
      </c>
      <c r="D357" s="5" t="inlineStr">
        <is>
          <t xml:space="preserve">NORETHINDRONE 0.35MG TABLET </t>
        </is>
      </c>
      <c r="E357" s="6" t="inlineStr">
        <is>
          <t>84.0</t>
        </is>
      </c>
      <c r="F357" s="7" t="n">
        <v>28</v>
      </c>
      <c r="G357" s="7" t="n">
        <v>0.3333333333333333</v>
      </c>
      <c r="H357" s="7" t="n">
        <v>2</v>
      </c>
      <c r="I357" s="7" t="n">
        <v>1.666666666666667</v>
      </c>
      <c r="J357" s="8" t="n">
        <v>10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CVS</t>
        </is>
      </c>
      <c r="C358" s="5" t="inlineStr">
        <is>
          <t>00781286810</t>
        </is>
      </c>
      <c r="D358" s="5" t="inlineStr">
        <is>
          <t>OMEPRAZOLE 20MG CAPSULE DR</t>
        </is>
      </c>
      <c r="E358" s="6" t="inlineStr">
        <is>
          <t>1000.0</t>
        </is>
      </c>
      <c r="F358" s="7" t="n">
        <v>1140</v>
      </c>
      <c r="G358" s="7" t="n">
        <v>1.14</v>
      </c>
      <c r="H358" s="7" t="n">
        <v>0</v>
      </c>
      <c r="I358" s="7" t="n">
        <v>-1.14</v>
      </c>
      <c r="J358" s="8" t="n">
        <v>10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CVS</t>
        </is>
      </c>
      <c r="C359" s="5" t="inlineStr">
        <is>
          <t>16729009016</t>
        </is>
      </c>
      <c r="D359" s="5" t="inlineStr">
        <is>
          <t xml:space="preserve">FINASTERIDE 5MG TAB </t>
        </is>
      </c>
      <c r="E359" s="6" t="inlineStr">
        <is>
          <t>500.0</t>
        </is>
      </c>
      <c r="F359" s="7" t="n">
        <v>330</v>
      </c>
      <c r="G359" s="7" t="n">
        <v>0.66</v>
      </c>
      <c r="H359" s="7" t="n">
        <v>0</v>
      </c>
      <c r="I359" s="7" t="n">
        <v>-0.66</v>
      </c>
      <c r="J359" s="8" t="n">
        <v>10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CVS</t>
        </is>
      </c>
      <c r="C360" s="5" t="inlineStr">
        <is>
          <t>10702005601</t>
        </is>
      </c>
      <c r="D360" s="5" t="inlineStr">
        <is>
          <t>OXYCODONE HCL 10 MG ORAL TABLET</t>
        </is>
      </c>
      <c r="E360" s="6" t="inlineStr">
        <is>
          <t>100.0</t>
        </is>
      </c>
      <c r="F360" s="7" t="n">
        <v>120</v>
      </c>
      <c r="G360" s="7" t="n">
        <v>1.2</v>
      </c>
      <c r="H360" s="7" t="n">
        <v>6</v>
      </c>
      <c r="I360" s="7" t="n">
        <v>4.8</v>
      </c>
      <c r="J360" s="8" t="n">
        <v>10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CVS</t>
        </is>
      </c>
      <c r="C361" s="5" t="inlineStr">
        <is>
          <t>69315030810</t>
        </is>
      </c>
      <c r="D361" s="5" t="inlineStr">
        <is>
          <t>CIPROFLOXACIN HCL 0.3 % OPHTHALMIC SOLUTION</t>
        </is>
      </c>
      <c r="E361" s="6" t="inlineStr">
        <is>
          <t>10.0</t>
        </is>
      </c>
      <c r="F361" s="7" t="n">
        <v>10</v>
      </c>
      <c r="G361" s="7" t="n">
        <v>1</v>
      </c>
      <c r="H361" s="7" t="n">
        <v>3</v>
      </c>
      <c r="I361" s="7" t="n">
        <v>2</v>
      </c>
      <c r="J361" s="8" t="n">
        <v>10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CVS</t>
        </is>
      </c>
      <c r="C362" s="5" t="inlineStr">
        <is>
          <t>00378910293</t>
        </is>
      </c>
      <c r="D362" s="5" t="inlineStr">
        <is>
          <t>NITROGLYCERIN 0.1 MG/HR TRANSDERMAL PATCH 24 HOUR</t>
        </is>
      </c>
      <c r="E362" s="6" t="inlineStr">
        <is>
          <t>30.0</t>
        </is>
      </c>
      <c r="F362" s="7" t="n">
        <v>30</v>
      </c>
      <c r="G362" s="7" t="n">
        <v>1</v>
      </c>
      <c r="H362" s="7" t="n">
        <v>1</v>
      </c>
      <c r="I362" s="7" t="n">
        <v>0</v>
      </c>
      <c r="J362" s="8" t="n">
        <v>10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CVS</t>
        </is>
      </c>
      <c r="C363" s="5" t="inlineStr">
        <is>
          <t>70069008101</t>
        </is>
      </c>
      <c r="D363" s="5" t="inlineStr">
        <is>
          <t>MOXIFLOXACIN HCL 0.5 % OPHTHALMIC SOLUTION</t>
        </is>
      </c>
      <c r="E363" s="6" t="inlineStr">
        <is>
          <t>3.0</t>
        </is>
      </c>
      <c r="F363" s="7" t="n">
        <v>6</v>
      </c>
      <c r="G363" s="7" t="n">
        <v>2</v>
      </c>
      <c r="H363" s="7" t="n">
        <v>0</v>
      </c>
      <c r="I363" s="7" t="n">
        <v>-2</v>
      </c>
      <c r="J363" s="8" t="n">
        <v>10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CVS</t>
        </is>
      </c>
      <c r="C364" s="5" t="inlineStr">
        <is>
          <t>42192071506</t>
        </is>
      </c>
      <c r="D364" s="5" t="inlineStr">
        <is>
          <t>CICLOPIROX 8 % EXTERNAL SOLUTION</t>
        </is>
      </c>
      <c r="E364" s="6" t="inlineStr">
        <is>
          <t>6.6</t>
        </is>
      </c>
      <c r="F364" s="7" t="n">
        <v>6.6</v>
      </c>
      <c r="G364" s="7" t="n">
        <v>1</v>
      </c>
      <c r="H364" s="7" t="n">
        <v>8</v>
      </c>
      <c r="I364" s="7" t="n">
        <v>7</v>
      </c>
      <c r="J364" s="8" t="n">
        <v>10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CVS</t>
        </is>
      </c>
      <c r="C365" s="5" t="inlineStr">
        <is>
          <t>45802005911</t>
        </is>
      </c>
      <c r="D365" s="5" t="inlineStr">
        <is>
          <t>NYSTATIN 100000UNIT/GM CREAM</t>
        </is>
      </c>
      <c r="E365" s="6" t="inlineStr">
        <is>
          <t>30.0</t>
        </is>
      </c>
      <c r="F365" s="7" t="n">
        <v>30</v>
      </c>
      <c r="G365" s="7" t="n">
        <v>1</v>
      </c>
      <c r="H365" s="7" t="n">
        <v>0</v>
      </c>
      <c r="I365" s="7" t="n">
        <v>-1</v>
      </c>
      <c r="J365" s="8" t="n">
        <v>10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CVS</t>
        </is>
      </c>
      <c r="C366" s="5" t="inlineStr">
        <is>
          <t>67877043405</t>
        </is>
      </c>
      <c r="D366" s="5" t="inlineStr">
        <is>
          <t>ARIPIPRAZOLE 20 MG ORAL TABLET</t>
        </is>
      </c>
      <c r="E366" s="6" t="inlineStr">
        <is>
          <t>500.0</t>
        </is>
      </c>
      <c r="F366" s="7" t="n">
        <v>30</v>
      </c>
      <c r="G366" s="7" t="n">
        <v>0.06</v>
      </c>
      <c r="H366" s="7" t="n">
        <v>0</v>
      </c>
      <c r="I366" s="7" t="n">
        <v>-0.06</v>
      </c>
      <c r="J366" s="8" t="n">
        <v>9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CVS</t>
        </is>
      </c>
      <c r="C367" s="5" t="inlineStr">
        <is>
          <t>43547027611</t>
        </is>
      </c>
      <c r="D367" s="5" t="inlineStr">
        <is>
          <t xml:space="preserve">DONEPEZIL 10MG TAB </t>
        </is>
      </c>
      <c r="E367" s="6" t="inlineStr">
        <is>
          <t>1000.0</t>
        </is>
      </c>
      <c r="F367" s="7" t="n">
        <v>360</v>
      </c>
      <c r="G367" s="7" t="n">
        <v>0.36</v>
      </c>
      <c r="H367" s="7" t="n">
        <v>1</v>
      </c>
      <c r="I367" s="7" t="n">
        <v>0.64</v>
      </c>
      <c r="J367" s="8" t="n">
        <v>9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CVS</t>
        </is>
      </c>
      <c r="C368" s="5" t="inlineStr">
        <is>
          <t>00536105227</t>
        </is>
      </c>
      <c r="D368" s="5" t="inlineStr">
        <is>
          <t>POLYETHYLENE GLYCOL 3350 17GM/SCOOP POWDER</t>
        </is>
      </c>
      <c r="E368" s="6" t="inlineStr">
        <is>
          <t>510.0</t>
        </is>
      </c>
      <c r="F368" s="7" t="n">
        <v>1020</v>
      </c>
      <c r="G368" s="7" t="n">
        <v>2</v>
      </c>
      <c r="H368" s="7" t="n">
        <v>20</v>
      </c>
      <c r="I368" s="7" t="n">
        <v>18</v>
      </c>
      <c r="J368" s="8" t="n">
        <v>9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CVS</t>
        </is>
      </c>
      <c r="C369" s="5" t="inlineStr">
        <is>
          <t>42192060716</t>
        </is>
      </c>
      <c r="D369" s="5" t="inlineStr">
        <is>
          <t>PSEUDOEPH-BROMPHEN-DM 30-2-10 MG/5ML ORAL SYRUP</t>
        </is>
      </c>
      <c r="E369" s="6" t="inlineStr">
        <is>
          <t>473.0</t>
        </is>
      </c>
      <c r="F369" s="7" t="n">
        <v>200</v>
      </c>
      <c r="G369" s="7" t="n">
        <v>0.4228329809725159</v>
      </c>
      <c r="H369" s="7" t="n">
        <v>0</v>
      </c>
      <c r="I369" s="7" t="n">
        <v>-0.4228329809725159</v>
      </c>
      <c r="J369" s="8" t="n">
        <v>9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CVS</t>
        </is>
      </c>
      <c r="C370" s="5" t="inlineStr">
        <is>
          <t>00093745601</t>
        </is>
      </c>
      <c r="D370" s="5" t="inlineStr">
        <is>
          <t>GLIPIZIDE-METFORMIN 2.5-500MG TABLET</t>
        </is>
      </c>
      <c r="E370" s="6" t="inlineStr">
        <is>
          <t>100.0</t>
        </is>
      </c>
      <c r="F370" s="7" t="n">
        <v>60</v>
      </c>
      <c r="G370" s="7" t="n">
        <v>0.6</v>
      </c>
      <c r="H370" s="7" t="n">
        <v>0</v>
      </c>
      <c r="I370" s="7" t="n">
        <v>-0.6</v>
      </c>
      <c r="J370" s="8" t="n">
        <v>9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CVS</t>
        </is>
      </c>
      <c r="C371" s="5" t="inlineStr">
        <is>
          <t>00832011150</t>
        </is>
      </c>
      <c r="D371" s="5" t="inlineStr">
        <is>
          <t>AMANTADINE 100MG TABLET</t>
        </is>
      </c>
      <c r="E371" s="6" t="inlineStr">
        <is>
          <t>500.0</t>
        </is>
      </c>
      <c r="F371" s="7" t="n">
        <v>30</v>
      </c>
      <c r="G371" s="7" t="n">
        <v>0.06</v>
      </c>
      <c r="H371" s="7" t="n">
        <v>0</v>
      </c>
      <c r="I371" s="7" t="n">
        <v>-0.06</v>
      </c>
      <c r="J371" s="8" t="n">
        <v>9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CVS</t>
        </is>
      </c>
      <c r="C372" s="5" t="inlineStr">
        <is>
          <t>00378797052</t>
        </is>
      </c>
      <c r="D372" s="5" t="inlineStr">
        <is>
          <t>IPRATROPIUM BROMIDE 0.02 % INHALATION SOLUTION</t>
        </is>
      </c>
      <c r="E372" s="6" t="inlineStr">
        <is>
          <t>62.5</t>
        </is>
      </c>
      <c r="F372" s="7" t="n">
        <v>125</v>
      </c>
      <c r="G372" s="7" t="n">
        <v>2</v>
      </c>
      <c r="H372" s="7" t="n">
        <v>0</v>
      </c>
      <c r="I372" s="7" t="n">
        <v>-2</v>
      </c>
      <c r="J372" s="8" t="n">
        <v>9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CVS</t>
        </is>
      </c>
      <c r="C373" s="5" t="inlineStr">
        <is>
          <t>50111045002</t>
        </is>
      </c>
      <c r="D373" s="5" t="inlineStr">
        <is>
          <t>TRAZODONE 150MG TABLET</t>
        </is>
      </c>
      <c r="E373" s="6" t="inlineStr">
        <is>
          <t>500.0</t>
        </is>
      </c>
      <c r="F373" s="7" t="n">
        <v>90</v>
      </c>
      <c r="G373" s="7" t="n">
        <v>0.18</v>
      </c>
      <c r="H373" s="7" t="n">
        <v>0</v>
      </c>
      <c r="I373" s="7" t="n">
        <v>-0.18</v>
      </c>
      <c r="J373" s="8" t="n">
        <v>9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CVS</t>
        </is>
      </c>
      <c r="C374" s="5" t="inlineStr">
        <is>
          <t>51672126403</t>
        </is>
      </c>
      <c r="D374" s="5" t="inlineStr">
        <is>
          <t>FLUOCINONIDE 0.05 % EXTERNAL OINTMENT</t>
        </is>
      </c>
      <c r="E374" s="6" t="inlineStr">
        <is>
          <t>60.0</t>
        </is>
      </c>
      <c r="F374" s="7" t="n">
        <v>60</v>
      </c>
      <c r="G374" s="7" t="n">
        <v>1</v>
      </c>
      <c r="H374" s="7" t="n">
        <v>0</v>
      </c>
      <c r="I374" s="7" t="n">
        <v>-1</v>
      </c>
      <c r="J374" s="8" t="n">
        <v>9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CVS</t>
        </is>
      </c>
      <c r="C375" s="5" t="inlineStr">
        <is>
          <t>62332008531</t>
        </is>
      </c>
      <c r="D375" s="5" t="inlineStr">
        <is>
          <t>FENOFIBRATE MICRONIZED 134MG CAPSULE</t>
        </is>
      </c>
      <c r="E375" s="6" t="inlineStr">
        <is>
          <t>100.0</t>
        </is>
      </c>
      <c r="F375" s="7" t="n">
        <v>90</v>
      </c>
      <c r="G375" s="7" t="n">
        <v>0.9</v>
      </c>
      <c r="H375" s="7" t="n">
        <v>3</v>
      </c>
      <c r="I375" s="7" t="n">
        <v>2.1</v>
      </c>
      <c r="J375" s="8" t="n">
        <v>9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CVS</t>
        </is>
      </c>
      <c r="C376" s="5" t="inlineStr">
        <is>
          <t>70377004812</t>
        </is>
      </c>
      <c r="D376" s="5" t="inlineStr">
        <is>
          <t>PRAVASTATIN 80MG TABLET</t>
        </is>
      </c>
      <c r="E376" s="6" t="inlineStr">
        <is>
          <t>90.0</t>
        </is>
      </c>
      <c r="F376" s="7" t="n">
        <v>30</v>
      </c>
      <c r="G376" s="7" t="n">
        <v>0.3333333333333333</v>
      </c>
      <c r="H376" s="7" t="n">
        <v>0</v>
      </c>
      <c r="I376" s="7" t="n">
        <v>-0.3333333333333333</v>
      </c>
      <c r="J376" s="8" t="n">
        <v>9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CVS</t>
        </is>
      </c>
      <c r="C377" s="5" t="inlineStr">
        <is>
          <t>57237022005</t>
        </is>
      </c>
      <c r="D377" s="5" t="inlineStr">
        <is>
          <t>PIOGLITAZONE 30MG TABLET</t>
        </is>
      </c>
      <c r="E377" s="6" t="inlineStr">
        <is>
          <t>500.0</t>
        </is>
      </c>
      <c r="F377" s="7" t="n">
        <v>180</v>
      </c>
      <c r="G377" s="7" t="n">
        <v>0.36</v>
      </c>
      <c r="H377" s="7" t="n">
        <v>1</v>
      </c>
      <c r="I377" s="7" t="n">
        <v>0.64</v>
      </c>
      <c r="J377" s="8" t="n">
        <v>9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CVS</t>
        </is>
      </c>
      <c r="C378" s="5" t="inlineStr">
        <is>
          <t>31722013130</t>
        </is>
      </c>
      <c r="D378" s="5" t="inlineStr">
        <is>
          <t xml:space="preserve">DUTASTERIDE 0.5MG CAP </t>
        </is>
      </c>
      <c r="E378" s="6" t="inlineStr">
        <is>
          <t>30.0</t>
        </is>
      </c>
      <c r="F378" s="7" t="n">
        <v>90</v>
      </c>
      <c r="G378" s="7" t="n">
        <v>3</v>
      </c>
      <c r="H378" s="7" t="n">
        <v>0</v>
      </c>
      <c r="I378" s="7" t="n">
        <v>-3</v>
      </c>
      <c r="J378" s="8" t="n">
        <v>9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CVS</t>
        </is>
      </c>
      <c r="C379" s="5" t="inlineStr">
        <is>
          <t>00121087316</t>
        </is>
      </c>
      <c r="D379" s="5" t="inlineStr">
        <is>
          <t>LACTULOSE 10 GM/15ML ORAL SOLUTION</t>
        </is>
      </c>
      <c r="E379" s="6" t="inlineStr">
        <is>
          <t>473.0</t>
        </is>
      </c>
      <c r="F379" s="7" t="n">
        <v>473</v>
      </c>
      <c r="G379" s="7" t="n">
        <v>1</v>
      </c>
      <c r="H379" s="7" t="n">
        <v>0</v>
      </c>
      <c r="I379" s="7" t="n">
        <v>-1</v>
      </c>
      <c r="J379" s="8" t="n">
        <v>9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CVS</t>
        </is>
      </c>
      <c r="C380" s="5" t="inlineStr">
        <is>
          <t>00904731427</t>
        </is>
      </c>
      <c r="D380" s="5" t="inlineStr">
        <is>
          <t>ACETAMINOPHEN ER 650MG TABLET ER</t>
        </is>
      </c>
      <c r="E380" s="6" t="inlineStr">
        <is>
          <t>400.0</t>
        </is>
      </c>
      <c r="F380" s="7" t="n">
        <v>180</v>
      </c>
      <c r="G380" s="7" t="n">
        <v>0.45</v>
      </c>
      <c r="H380" s="7" t="n">
        <v>2</v>
      </c>
      <c r="I380" s="7" t="n">
        <v>1.55</v>
      </c>
      <c r="J380" s="8" t="n">
        <v>9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CVS</t>
        </is>
      </c>
      <c r="C381" s="5" t="inlineStr">
        <is>
          <t>50742025290</t>
        </is>
      </c>
      <c r="D381" s="5" t="inlineStr">
        <is>
          <t>DILTIAZEM 360MG CAPSULE ER</t>
        </is>
      </c>
      <c r="E381" s="6" t="inlineStr">
        <is>
          <t>90.0</t>
        </is>
      </c>
      <c r="F381" s="7" t="n">
        <v>30</v>
      </c>
      <c r="G381" s="7" t="n">
        <v>0.3333333333333333</v>
      </c>
      <c r="H381" s="7" t="n">
        <v>0</v>
      </c>
      <c r="I381" s="7" t="n">
        <v>-0.3333333333333333</v>
      </c>
      <c r="J381" s="8" t="n">
        <v>8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CVS</t>
        </is>
      </c>
      <c r="C382" s="5" t="inlineStr">
        <is>
          <t>69097082312</t>
        </is>
      </c>
      <c r="D382" s="5" t="inlineStr">
        <is>
          <t>CITALOPRAM 20MG TABLET</t>
        </is>
      </c>
      <c r="E382" s="6" t="inlineStr">
        <is>
          <t>500.0</t>
        </is>
      </c>
      <c r="F382" s="7" t="n">
        <v>120</v>
      </c>
      <c r="G382" s="7" t="n">
        <v>0.24</v>
      </c>
      <c r="H382" s="7" t="n">
        <v>0</v>
      </c>
      <c r="I382" s="7" t="n">
        <v>-0.24</v>
      </c>
      <c r="J382" s="8" t="n">
        <v>8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CVS</t>
        </is>
      </c>
      <c r="C383" s="5" t="inlineStr">
        <is>
          <t>60505057804</t>
        </is>
      </c>
      <c r="D383" s="5" t="inlineStr">
        <is>
          <t>AZELASTINE 0.05% OPHTHALMIC SOLUTION</t>
        </is>
      </c>
      <c r="E383" s="6" t="inlineStr">
        <is>
          <t>6.0</t>
        </is>
      </c>
      <c r="F383" s="7" t="n">
        <v>18</v>
      </c>
      <c r="G383" s="7" t="n">
        <v>3</v>
      </c>
      <c r="H383" s="7" t="n">
        <v>0</v>
      </c>
      <c r="I383" s="7" t="n">
        <v>-3</v>
      </c>
      <c r="J383" s="8" t="n">
        <v>8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CVS</t>
        </is>
      </c>
      <c r="C384" s="5" t="inlineStr">
        <is>
          <t>50111056103</t>
        </is>
      </c>
      <c r="D384" s="5" t="inlineStr">
        <is>
          <t>TRAZODONE 100MG TABLET</t>
        </is>
      </c>
      <c r="E384" s="6" t="inlineStr">
        <is>
          <t>1000.0</t>
        </is>
      </c>
      <c r="F384" s="7" t="n">
        <v>120</v>
      </c>
      <c r="G384" s="7" t="n">
        <v>0.12</v>
      </c>
      <c r="H384" s="7" t="n">
        <v>0</v>
      </c>
      <c r="I384" s="7" t="n">
        <v>-0.12</v>
      </c>
      <c r="J384" s="8" t="n">
        <v>8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CVS</t>
        </is>
      </c>
      <c r="C385" s="5" t="inlineStr">
        <is>
          <t>64980032005</t>
        </is>
      </c>
      <c r="D385" s="5" t="inlineStr">
        <is>
          <t>TRIAMCINOLONE ACETONIDE 0.1 % MOUTH/THROAT PASTE</t>
        </is>
      </c>
      <c r="E385" s="6" t="inlineStr">
        <is>
          <t>5.0</t>
        </is>
      </c>
      <c r="F385" s="7" t="n">
        <v>5</v>
      </c>
      <c r="G385" s="7" t="n">
        <v>1</v>
      </c>
      <c r="H385" s="7" t="n">
        <v>0</v>
      </c>
      <c r="I385" s="7" t="n">
        <v>-1</v>
      </c>
      <c r="J385" s="8" t="n">
        <v>8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CVS</t>
        </is>
      </c>
      <c r="C386" s="5" t="inlineStr">
        <is>
          <t>65862016999</t>
        </is>
      </c>
      <c r="D386" s="5" t="inlineStr">
        <is>
          <t>ATENOLOL 50MG TABLET</t>
        </is>
      </c>
      <c r="E386" s="6" t="inlineStr">
        <is>
          <t>1000.0</t>
        </is>
      </c>
      <c r="F386" s="7" t="n">
        <v>360</v>
      </c>
      <c r="G386" s="7" t="n">
        <v>0.36</v>
      </c>
      <c r="H386" s="7" t="n">
        <v>0</v>
      </c>
      <c r="I386" s="7" t="n">
        <v>-0.36</v>
      </c>
      <c r="J386" s="8" t="n">
        <v>8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CVS</t>
        </is>
      </c>
      <c r="C387" s="5" t="inlineStr">
        <is>
          <t>62756014202</t>
        </is>
      </c>
      <c r="D387" s="5" t="inlineStr">
        <is>
          <t xml:space="preserve">METFORMIN ER 500MG TAB </t>
        </is>
      </c>
      <c r="E387" s="6" t="inlineStr">
        <is>
          <t>500.0</t>
        </is>
      </c>
      <c r="F387" s="7" t="n">
        <v>210</v>
      </c>
      <c r="G387" s="7" t="n">
        <v>0.42</v>
      </c>
      <c r="H387" s="7" t="n">
        <v>0</v>
      </c>
      <c r="I387" s="7" t="n">
        <v>-0.42</v>
      </c>
      <c r="J387" s="8" t="n">
        <v>8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CVS</t>
        </is>
      </c>
      <c r="C388" s="5" t="inlineStr">
        <is>
          <t>23155077210</t>
        </is>
      </c>
      <c r="D388" s="5" t="inlineStr">
        <is>
          <t>ENALAPRIL 10MG TABLET</t>
        </is>
      </c>
      <c r="E388" s="6" t="inlineStr">
        <is>
          <t>1000.0</t>
        </is>
      </c>
      <c r="F388" s="7" t="n">
        <v>90</v>
      </c>
      <c r="G388" s="7" t="n">
        <v>0.09</v>
      </c>
      <c r="H388" s="7" t="n">
        <v>0</v>
      </c>
      <c r="I388" s="7" t="n">
        <v>-0.09</v>
      </c>
      <c r="J388" s="8" t="n">
        <v>8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CVS</t>
        </is>
      </c>
      <c r="C389" s="5" t="inlineStr">
        <is>
          <t>67877022210</t>
        </is>
      </c>
      <c r="D389" s="5" t="inlineStr">
        <is>
          <t>GABAPENTIN 100MG CAPSULE</t>
        </is>
      </c>
      <c r="E389" s="6" t="inlineStr">
        <is>
          <t>1000.0</t>
        </is>
      </c>
      <c r="F389" s="7" t="n">
        <v>630</v>
      </c>
      <c r="G389" s="7" t="n">
        <v>0.63</v>
      </c>
      <c r="H389" s="7" t="n">
        <v>0</v>
      </c>
      <c r="I389" s="7" t="n">
        <v>-0.63</v>
      </c>
      <c r="J389" s="8" t="n">
        <v>8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CVS</t>
        </is>
      </c>
      <c r="C390" s="5" t="inlineStr">
        <is>
          <t>70752013005</t>
        </is>
      </c>
      <c r="D390" s="5" t="inlineStr">
        <is>
          <t>TRIAMCINOLONE ACETONIDE 0.1 % EXTERNAL LOTION</t>
        </is>
      </c>
      <c r="E390" s="6" t="inlineStr">
        <is>
          <t>60.0</t>
        </is>
      </c>
      <c r="F390" s="7" t="n">
        <v>60</v>
      </c>
      <c r="G390" s="7" t="n">
        <v>1</v>
      </c>
      <c r="H390" s="7" t="n">
        <v>0</v>
      </c>
      <c r="I390" s="7" t="n">
        <v>-1</v>
      </c>
      <c r="J390" s="8" t="n">
        <v>8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CVS</t>
        </is>
      </c>
      <c r="C391" s="5" t="inlineStr">
        <is>
          <t>24208091055</t>
        </is>
      </c>
      <c r="D391" s="5" t="inlineStr">
        <is>
          <t>ERYTHROMYCIN 5MG/GM OINTMENT</t>
        </is>
      </c>
      <c r="E391" s="6" t="inlineStr">
        <is>
          <t>3.5</t>
        </is>
      </c>
      <c r="F391" s="7" t="n">
        <v>3.5</v>
      </c>
      <c r="G391" s="7" t="n">
        <v>1</v>
      </c>
      <c r="H391" s="7" t="n">
        <v>0</v>
      </c>
      <c r="I391" s="7" t="n">
        <v>-1</v>
      </c>
      <c r="J391" s="8" t="n">
        <v>8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CVS</t>
        </is>
      </c>
      <c r="C392" s="5" t="inlineStr">
        <is>
          <t>00168000215</t>
        </is>
      </c>
      <c r="D392" s="5" t="inlineStr">
        <is>
          <t>TRIAMCINOLONE ACETONIDE 0.5 % CREAM</t>
        </is>
      </c>
      <c r="E392" s="6" t="inlineStr">
        <is>
          <t>15.0</t>
        </is>
      </c>
      <c r="F392" s="7" t="n">
        <v>30</v>
      </c>
      <c r="G392" s="7" t="n">
        <v>2</v>
      </c>
      <c r="H392" s="7" t="n">
        <v>0</v>
      </c>
      <c r="I392" s="7" t="n">
        <v>-2</v>
      </c>
      <c r="J392" s="8" t="n">
        <v>8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CVS</t>
        </is>
      </c>
      <c r="C393" s="5" t="inlineStr">
        <is>
          <t>65862073205</t>
        </is>
      </c>
      <c r="D393" s="5" t="inlineStr">
        <is>
          <t>AMIODARONE 200MG TABLET</t>
        </is>
      </c>
      <c r="E393" s="6" t="inlineStr">
        <is>
          <t>500.0</t>
        </is>
      </c>
      <c r="F393" s="7" t="n">
        <v>120</v>
      </c>
      <c r="G393" s="7" t="n">
        <v>0.24</v>
      </c>
      <c r="H393" s="7" t="n">
        <v>0</v>
      </c>
      <c r="I393" s="7" t="n">
        <v>-0.24</v>
      </c>
      <c r="J393" s="8" t="n">
        <v>8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CVS</t>
        </is>
      </c>
      <c r="C394" s="5" t="inlineStr">
        <is>
          <t>68180029603</t>
        </is>
      </c>
      <c r="D394" s="5" t="inlineStr">
        <is>
          <t>DULOXETINE 60MG CAPSULE DR</t>
        </is>
      </c>
      <c r="E394" s="6" t="inlineStr">
        <is>
          <t>1000.0</t>
        </is>
      </c>
      <c r="F394" s="7" t="n">
        <v>60</v>
      </c>
      <c r="G394" s="7" t="n">
        <v>0.06</v>
      </c>
      <c r="H394" s="7" t="n">
        <v>0</v>
      </c>
      <c r="I394" s="7" t="n">
        <v>-0.06</v>
      </c>
      <c r="J394" s="8" t="n">
        <v>8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CVS</t>
        </is>
      </c>
      <c r="C395" s="5" t="inlineStr">
        <is>
          <t>57237000511</t>
        </is>
      </c>
      <c r="D395" s="5" t="inlineStr">
        <is>
          <t xml:space="preserve">FLUCONAZOLE 150MG TAB </t>
        </is>
      </c>
      <c r="E395" s="6" t="inlineStr">
        <is>
          <t>12.0</t>
        </is>
      </c>
      <c r="F395" s="7" t="n">
        <v>17</v>
      </c>
      <c r="G395" s="7" t="n">
        <v>1.416666666666667</v>
      </c>
      <c r="H395" s="7" t="n">
        <v>3</v>
      </c>
      <c r="I395" s="7" t="n">
        <v>1.583333333333333</v>
      </c>
      <c r="J395" s="8" t="n">
        <v>8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CVS</t>
        </is>
      </c>
      <c r="C396" s="5" t="inlineStr">
        <is>
          <t>00168035730</t>
        </is>
      </c>
      <c r="D396" s="5" t="inlineStr">
        <is>
          <t>LIDOCAINE-PRILOCAINE 2.5-2.5 % EXTERNAL CREAM</t>
        </is>
      </c>
      <c r="E396" s="6" t="inlineStr">
        <is>
          <t>30.0</t>
        </is>
      </c>
      <c r="F396" s="7" t="n">
        <v>30</v>
      </c>
      <c r="G396" s="7" t="n">
        <v>1</v>
      </c>
      <c r="H396" s="7" t="n">
        <v>0</v>
      </c>
      <c r="I396" s="7" t="n">
        <v>-1</v>
      </c>
      <c r="J396" s="8" t="n">
        <v>8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CVS</t>
        </is>
      </c>
      <c r="C397" s="5" t="inlineStr">
        <is>
          <t>68462043790</t>
        </is>
      </c>
      <c r="D397" s="5" t="inlineStr">
        <is>
          <t>OLMESARTAN 20MG TABLET</t>
        </is>
      </c>
      <c r="E397" s="6" t="inlineStr">
        <is>
          <t>90.0</t>
        </is>
      </c>
      <c r="F397" s="7" t="n">
        <v>90</v>
      </c>
      <c r="G397" s="7" t="n">
        <v>1</v>
      </c>
      <c r="H397" s="7" t="n">
        <v>0</v>
      </c>
      <c r="I397" s="7" t="n">
        <v>-1</v>
      </c>
      <c r="J397" s="8" t="n">
        <v>7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CVS</t>
        </is>
      </c>
      <c r="C398" s="5" t="inlineStr">
        <is>
          <t>16729000517</t>
        </is>
      </c>
      <c r="D398" s="5" t="inlineStr">
        <is>
          <t>SIMVASTATIN 20MG TABLET</t>
        </is>
      </c>
      <c r="E398" s="6" t="inlineStr">
        <is>
          <t>1000.0</t>
        </is>
      </c>
      <c r="F398" s="7" t="n">
        <v>510</v>
      </c>
      <c r="G398" s="7" t="n">
        <v>0.51</v>
      </c>
      <c r="H398" s="7" t="n">
        <v>0</v>
      </c>
      <c r="I398" s="7" t="n">
        <v>-0.51</v>
      </c>
      <c r="J398" s="8" t="n">
        <v>7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CVS</t>
        </is>
      </c>
      <c r="C399" s="5" t="inlineStr">
        <is>
          <t>64380073706</t>
        </is>
      </c>
      <c r="D399" s="5" t="inlineStr">
        <is>
          <t>VITAMIN D 50 000 U CAPSULE</t>
        </is>
      </c>
      <c r="E399" s="6" t="inlineStr">
        <is>
          <t>100.0</t>
        </is>
      </c>
      <c r="F399" s="7" t="n">
        <v>88</v>
      </c>
      <c r="G399" s="7" t="n">
        <v>0.88</v>
      </c>
      <c r="H399" s="7" t="n">
        <v>2</v>
      </c>
      <c r="I399" s="7" t="n">
        <v>1.12</v>
      </c>
      <c r="J399" s="8" t="n">
        <v>7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CVS</t>
        </is>
      </c>
      <c r="C400" s="5" t="inlineStr">
        <is>
          <t>69238201702</t>
        </is>
      </c>
      <c r="D400" s="5" t="inlineStr">
        <is>
          <t>IPRATROPIUM BROMIDE 0.06 % NASAL SOLUTION</t>
        </is>
      </c>
      <c r="E400" s="6" t="inlineStr">
        <is>
          <t>15.0</t>
        </is>
      </c>
      <c r="F400" s="7" t="n">
        <v>15</v>
      </c>
      <c r="G400" s="7" t="n">
        <v>1</v>
      </c>
      <c r="H400" s="7" t="n">
        <v>0</v>
      </c>
      <c r="I400" s="7" t="n">
        <v>-1</v>
      </c>
      <c r="J400" s="8" t="n">
        <v>7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CVS</t>
        </is>
      </c>
      <c r="C401" s="5" t="inlineStr">
        <is>
          <t>67877032105</t>
        </is>
      </c>
      <c r="D401" s="5" t="inlineStr">
        <is>
          <t xml:space="preserve">IBUPROFEN 800MG TAB </t>
        </is>
      </c>
      <c r="E401" s="6" t="inlineStr">
        <is>
          <t>500.0</t>
        </is>
      </c>
      <c r="F401" s="7" t="n">
        <v>330</v>
      </c>
      <c r="G401" s="7" t="n">
        <v>0.66</v>
      </c>
      <c r="H401" s="7" t="n">
        <v>0</v>
      </c>
      <c r="I401" s="7" t="n">
        <v>-0.66</v>
      </c>
      <c r="J401" s="8" t="n">
        <v>7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CVS</t>
        </is>
      </c>
      <c r="C402" s="5" t="inlineStr">
        <is>
          <t>31722053705</t>
        </is>
      </c>
      <c r="D402" s="5" t="inlineStr">
        <is>
          <t xml:space="preserve">LEVETIRACETAM 500MG TAB </t>
        </is>
      </c>
      <c r="E402" s="6" t="inlineStr">
        <is>
          <t>500.0</t>
        </is>
      </c>
      <c r="F402" s="7" t="n">
        <v>180</v>
      </c>
      <c r="G402" s="7" t="n">
        <v>0.36</v>
      </c>
      <c r="H402" s="7" t="n">
        <v>0</v>
      </c>
      <c r="I402" s="7" t="n">
        <v>-0.36</v>
      </c>
      <c r="J402" s="8" t="n">
        <v>7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CVS</t>
        </is>
      </c>
      <c r="C403" s="5" t="inlineStr">
        <is>
          <t>68180098103</t>
        </is>
      </c>
      <c r="D403" s="5" t="inlineStr">
        <is>
          <t>LISINOPRIL 20MG TABLET</t>
        </is>
      </c>
      <c r="E403" s="6" t="inlineStr">
        <is>
          <t>1000.0</t>
        </is>
      </c>
      <c r="F403" s="7" t="n">
        <v>630</v>
      </c>
      <c r="G403" s="7" t="n">
        <v>0.63</v>
      </c>
      <c r="H403" s="7" t="n">
        <v>0</v>
      </c>
      <c r="I403" s="7" t="n">
        <v>-0.63</v>
      </c>
      <c r="J403" s="8" t="n">
        <v>7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CVS</t>
        </is>
      </c>
      <c r="C404" s="5" t="inlineStr">
        <is>
          <t>23155007101</t>
        </is>
      </c>
      <c r="D404" s="5" t="inlineStr">
        <is>
          <t xml:space="preserve">METHIMAZOLE 10MG TAB </t>
        </is>
      </c>
      <c r="E404" s="6" t="inlineStr">
        <is>
          <t>100.0</t>
        </is>
      </c>
      <c r="F404" s="7" t="n">
        <v>90</v>
      </c>
      <c r="G404" s="7" t="n">
        <v>0.9</v>
      </c>
      <c r="H404" s="7" t="n">
        <v>0</v>
      </c>
      <c r="I404" s="7" t="n">
        <v>-0.9</v>
      </c>
      <c r="J404" s="8" t="n">
        <v>7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CVS</t>
        </is>
      </c>
      <c r="C405" s="5" t="inlineStr">
        <is>
          <t>51672131200</t>
        </is>
      </c>
      <c r="D405" s="5" t="inlineStr">
        <is>
          <t>MUPIROCIN 2% OINTMENT</t>
        </is>
      </c>
      <c r="E405" s="6" t="inlineStr">
        <is>
          <t>22.0</t>
        </is>
      </c>
      <c r="F405" s="7" t="n">
        <v>44</v>
      </c>
      <c r="G405" s="7" t="n">
        <v>2</v>
      </c>
      <c r="H405" s="7" t="n">
        <v>0</v>
      </c>
      <c r="I405" s="7" t="n">
        <v>-2</v>
      </c>
      <c r="J405" s="8" t="n">
        <v>7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CVS</t>
        </is>
      </c>
      <c r="C406" s="5" t="inlineStr">
        <is>
          <t>00116200116</t>
        </is>
      </c>
      <c r="D406" s="5" t="inlineStr">
        <is>
          <t xml:space="preserve">CHLORHEXIDINE 0.12% SOLUTION </t>
        </is>
      </c>
      <c r="E406" s="6" t="inlineStr">
        <is>
          <t>473.0</t>
        </is>
      </c>
      <c r="F406" s="7" t="n">
        <v>1419</v>
      </c>
      <c r="G406" s="7" t="n">
        <v>3</v>
      </c>
      <c r="H406" s="7" t="n">
        <v>0</v>
      </c>
      <c r="I406" s="7" t="n">
        <v>-3</v>
      </c>
      <c r="J406" s="8" t="n">
        <v>7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CVS</t>
        </is>
      </c>
      <c r="C407" s="5" t="inlineStr">
        <is>
          <t>70512052005</t>
        </is>
      </c>
      <c r="D407" s="5" t="inlineStr">
        <is>
          <t>OLOPATADINE HCL 0.1 % OPHTHALMIC SOLUTION</t>
        </is>
      </c>
      <c r="E407" s="6" t="inlineStr">
        <is>
          <t>5.0</t>
        </is>
      </c>
      <c r="F407" s="7" t="n">
        <v>5</v>
      </c>
      <c r="G407" s="7" t="n">
        <v>1</v>
      </c>
      <c r="H407" s="7" t="n">
        <v>0</v>
      </c>
      <c r="I407" s="7" t="n">
        <v>-1</v>
      </c>
      <c r="J407" s="8" t="n">
        <v>7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CVS</t>
        </is>
      </c>
      <c r="C408" s="5" t="inlineStr">
        <is>
          <t>76204020030</t>
        </is>
      </c>
      <c r="D408" s="5" t="inlineStr">
        <is>
          <t>ALBUTEROL SULFATE (2.5 MG/3ML) 0.083% INHALATION NEBULIZATION SOLUTION</t>
        </is>
      </c>
      <c r="E408" s="6" t="inlineStr">
        <is>
          <t>90.0</t>
        </is>
      </c>
      <c r="F408" s="7" t="n">
        <v>270</v>
      </c>
      <c r="G408" s="7" t="n">
        <v>3</v>
      </c>
      <c r="H408" s="7" t="n">
        <v>0</v>
      </c>
      <c r="I408" s="7" t="n">
        <v>-3</v>
      </c>
      <c r="J408" s="8" t="n">
        <v>6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CVS</t>
        </is>
      </c>
      <c r="C409" s="5" t="inlineStr">
        <is>
          <t>55111073005</t>
        </is>
      </c>
      <c r="D409" s="5" t="inlineStr">
        <is>
          <t>ALLOPURINOL 300 MG TABLET</t>
        </is>
      </c>
      <c r="E409" s="6" t="inlineStr">
        <is>
          <t>500.0</t>
        </is>
      </c>
      <c r="F409" s="7" t="n">
        <v>90</v>
      </c>
      <c r="G409" s="7" t="n">
        <v>0.18</v>
      </c>
      <c r="H409" s="7" t="n">
        <v>0</v>
      </c>
      <c r="I409" s="7" t="n">
        <v>-0.18</v>
      </c>
      <c r="J409" s="8" t="n">
        <v>6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CVS</t>
        </is>
      </c>
      <c r="C410" s="5" t="inlineStr">
        <is>
          <t>42806035830</t>
        </is>
      </c>
      <c r="D410" s="5" t="inlineStr">
        <is>
          <t>LEUCOVORIN CALCIUM 5 MG ORAL TABLET</t>
        </is>
      </c>
      <c r="E410" s="6" t="inlineStr">
        <is>
          <t>30.0</t>
        </is>
      </c>
      <c r="F410" s="7" t="n">
        <v>24</v>
      </c>
      <c r="G410" s="7" t="n">
        <v>0.8</v>
      </c>
      <c r="H410" s="7" t="n">
        <v>0</v>
      </c>
      <c r="I410" s="7" t="n">
        <v>-0.8</v>
      </c>
      <c r="J410" s="8" t="n">
        <v>6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CVS</t>
        </is>
      </c>
      <c r="C411" s="5" t="inlineStr">
        <is>
          <t>59746012110</t>
        </is>
      </c>
      <c r="D411" s="5" t="inlineStr">
        <is>
          <t>MECLIZINE HCL 25MG TABLET</t>
        </is>
      </c>
      <c r="E411" s="6" t="inlineStr">
        <is>
          <t>1000.0</t>
        </is>
      </c>
      <c r="F411" s="7" t="n">
        <v>169</v>
      </c>
      <c r="G411" s="7" t="n">
        <v>0.169</v>
      </c>
      <c r="H411" s="7" t="n">
        <v>0</v>
      </c>
      <c r="I411" s="7" t="n">
        <v>-0.169</v>
      </c>
      <c r="J411" s="8" t="n">
        <v>6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CVS</t>
        </is>
      </c>
      <c r="C412" s="5" t="inlineStr">
        <is>
          <t>00093720110</t>
        </is>
      </c>
      <c r="D412" s="5" t="inlineStr">
        <is>
          <t>PRAVASTATIN 20MG TABLET</t>
        </is>
      </c>
      <c r="E412" s="6" t="inlineStr">
        <is>
          <t>1000.0</t>
        </is>
      </c>
      <c r="F412" s="7" t="n">
        <v>90</v>
      </c>
      <c r="G412" s="7" t="n">
        <v>0.09</v>
      </c>
      <c r="H412" s="7" t="n">
        <v>0</v>
      </c>
      <c r="I412" s="7" t="n">
        <v>-0.09</v>
      </c>
      <c r="J412" s="8" t="n">
        <v>6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CVS</t>
        </is>
      </c>
      <c r="C413" s="5" t="inlineStr">
        <is>
          <t>68462043630</t>
        </is>
      </c>
      <c r="D413" s="5" t="inlineStr">
        <is>
          <t>OLMESARTAN 5MG TABLET</t>
        </is>
      </c>
      <c r="E413" s="6" t="inlineStr">
        <is>
          <t>30.0</t>
        </is>
      </c>
      <c r="F413" s="7" t="n">
        <v>90</v>
      </c>
      <c r="G413" s="7" t="n">
        <v>3</v>
      </c>
      <c r="H413" s="7" t="n">
        <v>0</v>
      </c>
      <c r="I413" s="7" t="n">
        <v>-3</v>
      </c>
      <c r="J413" s="8" t="n">
        <v>6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CVS</t>
        </is>
      </c>
      <c r="C414" s="5" t="inlineStr">
        <is>
          <t>60505010104</t>
        </is>
      </c>
      <c r="D414" s="5" t="inlineStr">
        <is>
          <t>PAROXETINE 40MG TABLET</t>
        </is>
      </c>
      <c r="E414" s="6" t="inlineStr">
        <is>
          <t>1000.0</t>
        </is>
      </c>
      <c r="F414" s="7" t="n">
        <v>90</v>
      </c>
      <c r="G414" s="7" t="n">
        <v>0.09</v>
      </c>
      <c r="H414" s="7" t="n">
        <v>0</v>
      </c>
      <c r="I414" s="7" t="n">
        <v>-0.09</v>
      </c>
      <c r="J414" s="8" t="n">
        <v>6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CVS</t>
        </is>
      </c>
      <c r="C415" s="5" t="inlineStr">
        <is>
          <t>55111016730</t>
        </is>
      </c>
      <c r="D415" s="5" t="inlineStr">
        <is>
          <t>OLANZAPINE 15MG TABLET</t>
        </is>
      </c>
      <c r="E415" s="6" t="inlineStr">
        <is>
          <t>30.0</t>
        </is>
      </c>
      <c r="F415" s="7" t="n">
        <v>60</v>
      </c>
      <c r="G415" s="7" t="n">
        <v>2</v>
      </c>
      <c r="H415" s="7" t="n">
        <v>0</v>
      </c>
      <c r="I415" s="7" t="n">
        <v>-2</v>
      </c>
      <c r="J415" s="8" t="n">
        <v>6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CVS</t>
        </is>
      </c>
      <c r="C416" s="5" t="inlineStr">
        <is>
          <t>47781026405</t>
        </is>
      </c>
      <c r="D416" s="5" t="inlineStr">
        <is>
          <t xml:space="preserve">OXYCODONE 15 MG TABLET </t>
        </is>
      </c>
      <c r="E416" s="6" t="inlineStr">
        <is>
          <t>500.0</t>
        </is>
      </c>
      <c r="F416" s="7" t="n">
        <v>90</v>
      </c>
      <c r="G416" s="7" t="n">
        <v>0.18</v>
      </c>
      <c r="H416" s="7" t="n">
        <v>0</v>
      </c>
      <c r="I416" s="7" t="n">
        <v>-0.18</v>
      </c>
      <c r="J416" s="8" t="n">
        <v>6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CVS</t>
        </is>
      </c>
      <c r="C417" s="5" t="inlineStr">
        <is>
          <t>13668010410</t>
        </is>
      </c>
      <c r="D417" s="5" t="inlineStr">
        <is>
          <t xml:space="preserve">ISOSORBIDE MONONITRATE ER 30MG TAB </t>
        </is>
      </c>
      <c r="E417" s="6" t="inlineStr">
        <is>
          <t>1000.0</t>
        </is>
      </c>
      <c r="F417" s="7" t="n">
        <v>90</v>
      </c>
      <c r="G417" s="7" t="n">
        <v>0.09</v>
      </c>
      <c r="H417" s="7" t="n">
        <v>0</v>
      </c>
      <c r="I417" s="7" t="n">
        <v>-0.09</v>
      </c>
      <c r="J417" s="8" t="n">
        <v>6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CVS</t>
        </is>
      </c>
      <c r="C418" s="5" t="inlineStr">
        <is>
          <t>31722055190</t>
        </is>
      </c>
      <c r="D418" s="5" t="inlineStr">
        <is>
          <t>LEVOCETIRIZINE 5MG TABLET</t>
        </is>
      </c>
      <c r="E418" s="6" t="inlineStr">
        <is>
          <t>90.0</t>
        </is>
      </c>
      <c r="F418" s="7" t="n">
        <v>120</v>
      </c>
      <c r="G418" s="7" t="n">
        <v>1.333333333333333</v>
      </c>
      <c r="H418" s="7" t="n">
        <v>0</v>
      </c>
      <c r="I418" s="7" t="n">
        <v>-1.333333333333333</v>
      </c>
      <c r="J418" s="8" t="n">
        <v>6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CVS</t>
        </is>
      </c>
      <c r="C419" s="5" t="inlineStr">
        <is>
          <t>60505014201</t>
        </is>
      </c>
      <c r="D419" s="5" t="inlineStr">
        <is>
          <t xml:space="preserve">GLIPIZIDE 10MG TAB </t>
        </is>
      </c>
      <c r="E419" s="6" t="inlineStr">
        <is>
          <t>1000.0</t>
        </is>
      </c>
      <c r="F419" s="7" t="n">
        <v>270</v>
      </c>
      <c r="G419" s="7" t="n">
        <v>0.27</v>
      </c>
      <c r="H419" s="7" t="n">
        <v>0</v>
      </c>
      <c r="I419" s="7" t="n">
        <v>-0.27</v>
      </c>
      <c r="J419" s="8" t="n">
        <v>6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CVS</t>
        </is>
      </c>
      <c r="C420" s="5" t="inlineStr">
        <is>
          <t>16729000301</t>
        </is>
      </c>
      <c r="D420" s="5" t="inlineStr">
        <is>
          <t xml:space="preserve">GLIMEPIRIDE 4MG TAB </t>
        </is>
      </c>
      <c r="E420" s="6" t="inlineStr">
        <is>
          <t>100.0</t>
        </is>
      </c>
      <c r="F420" s="7" t="n">
        <v>90</v>
      </c>
      <c r="G420" s="7" t="n">
        <v>0.9</v>
      </c>
      <c r="H420" s="7" t="n">
        <v>0</v>
      </c>
      <c r="I420" s="7" t="n">
        <v>-0.9</v>
      </c>
      <c r="J420" s="8" t="n">
        <v>6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CVS</t>
        </is>
      </c>
      <c r="C421" s="5" t="inlineStr">
        <is>
          <t>68462074635</t>
        </is>
      </c>
      <c r="D421" s="5" t="inlineStr">
        <is>
          <t>ACYCLOVIR 5 % EXTERNAL OINTMENT</t>
        </is>
      </c>
      <c r="E421" s="6" t="inlineStr">
        <is>
          <t>30.0</t>
        </is>
      </c>
      <c r="F421" s="7" t="n">
        <v>30</v>
      </c>
      <c r="G421" s="7" t="n">
        <v>1</v>
      </c>
      <c r="H421" s="7" t="n">
        <v>0</v>
      </c>
      <c r="I421" s="7" t="n">
        <v>-1</v>
      </c>
      <c r="J421" s="8" t="n">
        <v>6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CVS</t>
        </is>
      </c>
      <c r="C422" s="5" t="inlineStr">
        <is>
          <t>67877043003</t>
        </is>
      </c>
      <c r="D422" s="5" t="inlineStr">
        <is>
          <t>ARIPIPRAZOLE 2MG TABLET</t>
        </is>
      </c>
      <c r="E422" s="6" t="inlineStr">
        <is>
          <t>30.0</t>
        </is>
      </c>
      <c r="F422" s="7" t="n">
        <v>90</v>
      </c>
      <c r="G422" s="7" t="n">
        <v>3</v>
      </c>
      <c r="H422" s="7" t="n">
        <v>0</v>
      </c>
      <c r="I422" s="7" t="n">
        <v>-3</v>
      </c>
      <c r="J422" s="8" t="n">
        <v>6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CVS</t>
        </is>
      </c>
      <c r="C423" s="5" t="inlineStr">
        <is>
          <t>57664050289</t>
        </is>
      </c>
      <c r="D423" s="5" t="inlineStr">
        <is>
          <t>TIZANIDINE 2MG TABLET</t>
        </is>
      </c>
      <c r="E423" s="6" t="inlineStr">
        <is>
          <t>150.0</t>
        </is>
      </c>
      <c r="F423" s="7" t="n">
        <v>90</v>
      </c>
      <c r="G423" s="7" t="n">
        <v>0.6</v>
      </c>
      <c r="H423" s="7" t="n">
        <v>0</v>
      </c>
      <c r="I423" s="7" t="n">
        <v>-0.6</v>
      </c>
      <c r="J423" s="8" t="n">
        <v>6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CVS</t>
        </is>
      </c>
      <c r="C424" s="5" t="inlineStr">
        <is>
          <t>59651015201</t>
        </is>
      </c>
      <c r="D424" s="5" t="inlineStr">
        <is>
          <t>PROGESTERONE 100 MG CAPSULE</t>
        </is>
      </c>
      <c r="E424" s="6" t="inlineStr">
        <is>
          <t>100.0</t>
        </is>
      </c>
      <c r="F424" s="7" t="n">
        <v>30</v>
      </c>
      <c r="G424" s="7" t="n">
        <v>0.3</v>
      </c>
      <c r="H424" s="7" t="n">
        <v>0</v>
      </c>
      <c r="I424" s="7" t="n">
        <v>-0.3</v>
      </c>
      <c r="J424" s="8" t="n">
        <v>6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CVS</t>
        </is>
      </c>
      <c r="C425" s="5" t="inlineStr">
        <is>
          <t>45802000910</t>
        </is>
      </c>
      <c r="D425" s="5" t="inlineStr">
        <is>
          <t>FLUOCINOLONE ACETONIDE 0.01 % OTIC OIL</t>
        </is>
      </c>
      <c r="E425" s="6" t="inlineStr">
        <is>
          <t>20.0</t>
        </is>
      </c>
      <c r="F425" s="7" t="n">
        <v>20</v>
      </c>
      <c r="G425" s="7" t="n">
        <v>1</v>
      </c>
      <c r="H425" s="7" t="n">
        <v>2</v>
      </c>
      <c r="I425" s="7" t="n">
        <v>1</v>
      </c>
      <c r="J425" s="8" t="n">
        <v>6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CVS</t>
        </is>
      </c>
      <c r="C426" s="5" t="inlineStr">
        <is>
          <t>31722054501</t>
        </is>
      </c>
      <c r="D426" s="5" t="inlineStr">
        <is>
          <t xml:space="preserve">LITHIUM CARBONATE 300MG CAP </t>
        </is>
      </c>
      <c r="E426" s="6" t="inlineStr">
        <is>
          <t>100.0</t>
        </is>
      </c>
      <c r="F426" s="7" t="n">
        <v>120</v>
      </c>
      <c r="G426" s="7" t="n">
        <v>1.2</v>
      </c>
      <c r="H426" s="7" t="n">
        <v>0</v>
      </c>
      <c r="I426" s="7" t="n">
        <v>-1.2</v>
      </c>
      <c r="J426" s="8" t="n">
        <v>5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CVS</t>
        </is>
      </c>
      <c r="C427" s="5" t="inlineStr">
        <is>
          <t>33342040550</t>
        </is>
      </c>
      <c r="D427" s="5" t="inlineStr">
        <is>
          <t>LIDOCAINE 5 % EXTERNAL OINTMENT</t>
        </is>
      </c>
      <c r="E427" s="6" t="inlineStr">
        <is>
          <t>50.0</t>
        </is>
      </c>
      <c r="F427" s="7" t="n">
        <v>50</v>
      </c>
      <c r="G427" s="7" t="n">
        <v>1</v>
      </c>
      <c r="H427" s="7" t="n">
        <v>0</v>
      </c>
      <c r="I427" s="7" t="n">
        <v>-1</v>
      </c>
      <c r="J427" s="8" t="n">
        <v>5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CVS</t>
        </is>
      </c>
      <c r="C428" s="5" t="inlineStr">
        <is>
          <t>16729048516</t>
        </is>
      </c>
      <c r="D428" s="5" t="inlineStr">
        <is>
          <t>HYDROXYCHLOROQUINE 200MG TABLET</t>
        </is>
      </c>
      <c r="E428" s="6" t="inlineStr">
        <is>
          <t>500.0</t>
        </is>
      </c>
      <c r="F428" s="7" t="n">
        <v>30</v>
      </c>
      <c r="G428" s="7" t="n">
        <v>0.06</v>
      </c>
      <c r="H428" s="7" t="n">
        <v>0</v>
      </c>
      <c r="I428" s="7" t="n">
        <v>-0.06</v>
      </c>
      <c r="J428" s="8" t="n">
        <v>5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CVS</t>
        </is>
      </c>
      <c r="C429" s="5" t="inlineStr">
        <is>
          <t>60505265701</t>
        </is>
      </c>
      <c r="D429" s="5" t="inlineStr">
        <is>
          <t>TRIAMTERENE-HCTZ 75-50 MG ORAL TABLET</t>
        </is>
      </c>
      <c r="E429" s="6" t="inlineStr">
        <is>
          <t>100.0</t>
        </is>
      </c>
      <c r="F429" s="7" t="n">
        <v>90</v>
      </c>
      <c r="G429" s="7" t="n">
        <v>0.9</v>
      </c>
      <c r="H429" s="7" t="n">
        <v>0</v>
      </c>
      <c r="I429" s="7" t="n">
        <v>-0.9</v>
      </c>
      <c r="J429" s="8" t="n">
        <v>5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CVS</t>
        </is>
      </c>
      <c r="C430" s="5" t="inlineStr">
        <is>
          <t>64980034001</t>
        </is>
      </c>
      <c r="D430" s="5" t="inlineStr">
        <is>
          <t>ALENDRONATE SODIUM 10 MG ORAL TABLET</t>
        </is>
      </c>
      <c r="E430" s="6" t="inlineStr">
        <is>
          <t>100.0</t>
        </is>
      </c>
      <c r="F430" s="7" t="n">
        <v>28</v>
      </c>
      <c r="G430" s="7" t="n">
        <v>0.28</v>
      </c>
      <c r="H430" s="7" t="n">
        <v>0</v>
      </c>
      <c r="I430" s="7" t="n">
        <v>-0.28</v>
      </c>
      <c r="J430" s="8" t="n">
        <v>5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CVS</t>
        </is>
      </c>
      <c r="C431" s="5" t="inlineStr">
        <is>
          <t>00378013710</t>
        </is>
      </c>
      <c r="D431" s="5" t="inlineStr">
        <is>
          <t>ALLOPURINOL 100 MG TABLET</t>
        </is>
      </c>
      <c r="E431" s="6" t="inlineStr">
        <is>
          <t>1000.0</t>
        </is>
      </c>
      <c r="F431" s="7" t="n">
        <v>90</v>
      </c>
      <c r="G431" s="7" t="n">
        <v>0.09</v>
      </c>
      <c r="H431" s="7" t="n">
        <v>0</v>
      </c>
      <c r="I431" s="7" t="n">
        <v>-0.09</v>
      </c>
      <c r="J431" s="8" t="n">
        <v>5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CVS</t>
        </is>
      </c>
      <c r="C432" s="5" t="inlineStr">
        <is>
          <t>31722053001</t>
        </is>
      </c>
      <c r="D432" s="5" t="inlineStr">
        <is>
          <t>TORSEMIDE 10MG TABLET</t>
        </is>
      </c>
      <c r="E432" s="6" t="inlineStr">
        <is>
          <t>100.0</t>
        </is>
      </c>
      <c r="F432" s="7" t="n">
        <v>60</v>
      </c>
      <c r="G432" s="7" t="n">
        <v>0.6</v>
      </c>
      <c r="H432" s="7" t="n">
        <v>0</v>
      </c>
      <c r="I432" s="7" t="n">
        <v>-0.6</v>
      </c>
      <c r="J432" s="8" t="n">
        <v>5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CVS</t>
        </is>
      </c>
      <c r="C433" s="5" t="inlineStr">
        <is>
          <t>65862001205</t>
        </is>
      </c>
      <c r="D433" s="5" t="inlineStr">
        <is>
          <t>SERTRALINE 50MG TABLET</t>
        </is>
      </c>
      <c r="E433" s="6" t="inlineStr">
        <is>
          <t>500.0</t>
        </is>
      </c>
      <c r="F433" s="7" t="n">
        <v>195</v>
      </c>
      <c r="G433" s="7" t="n">
        <v>0.39</v>
      </c>
      <c r="H433" s="7" t="n">
        <v>2</v>
      </c>
      <c r="I433" s="7" t="n">
        <v>1.61</v>
      </c>
      <c r="J433" s="8" t="n">
        <v>5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CVS</t>
        </is>
      </c>
      <c r="C434" s="5" t="inlineStr">
        <is>
          <t>43547028211</t>
        </is>
      </c>
      <c r="D434" s="5" t="inlineStr">
        <is>
          <t>ESCITALOPRAM 20MG TABLET</t>
        </is>
      </c>
      <c r="E434" s="6" t="inlineStr">
        <is>
          <t>1000.0</t>
        </is>
      </c>
      <c r="F434" s="7" t="n">
        <v>90</v>
      </c>
      <c r="G434" s="7" t="n">
        <v>0.09</v>
      </c>
      <c r="H434" s="7" t="n">
        <v>0</v>
      </c>
      <c r="I434" s="7" t="n">
        <v>-0.09</v>
      </c>
      <c r="J434" s="8" t="n">
        <v>5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CVS</t>
        </is>
      </c>
      <c r="C435" s="5" t="inlineStr">
        <is>
          <t>61442010201</t>
        </is>
      </c>
      <c r="D435" s="5" t="inlineStr">
        <is>
          <t xml:space="preserve">DICLOFENAC SOD 50MG TAB DR </t>
        </is>
      </c>
      <c r="E435" s="6" t="inlineStr">
        <is>
          <t>100.0</t>
        </is>
      </c>
      <c r="F435" s="7" t="n">
        <v>90</v>
      </c>
      <c r="G435" s="7" t="n">
        <v>0.9</v>
      </c>
      <c r="H435" s="7" t="n">
        <v>0</v>
      </c>
      <c r="I435" s="7" t="n">
        <v>-0.9</v>
      </c>
      <c r="J435" s="8" t="n">
        <v>5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CVS</t>
        </is>
      </c>
      <c r="C436" s="5" t="inlineStr">
        <is>
          <t>61314063006</t>
        </is>
      </c>
      <c r="D436" s="5" t="inlineStr">
        <is>
          <t>NEOMYCIN-POLY-DEX OPTH SUSPENSION (EYE)</t>
        </is>
      </c>
      <c r="E436" s="6" t="inlineStr">
        <is>
          <t>5.0</t>
        </is>
      </c>
      <c r="F436" s="7" t="n">
        <v>5</v>
      </c>
      <c r="G436" s="7" t="n">
        <v>1</v>
      </c>
      <c r="H436" s="7" t="n">
        <v>3</v>
      </c>
      <c r="I436" s="7" t="n">
        <v>2</v>
      </c>
      <c r="J436" s="8" t="n">
        <v>5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CVS</t>
        </is>
      </c>
      <c r="C437" s="5" t="inlineStr">
        <is>
          <t>70010006405</t>
        </is>
      </c>
      <c r="D437" s="5" t="inlineStr">
        <is>
          <t>METFORMIN HCL 850 MG ORAL TABLET</t>
        </is>
      </c>
      <c r="E437" s="6" t="inlineStr">
        <is>
          <t>500.0</t>
        </is>
      </c>
      <c r="F437" s="7" t="n">
        <v>450</v>
      </c>
      <c r="G437" s="7" t="n">
        <v>0.9</v>
      </c>
      <c r="H437" s="7" t="n">
        <v>3</v>
      </c>
      <c r="I437" s="7" t="n">
        <v>2.1</v>
      </c>
      <c r="J437" s="8" t="n">
        <v>5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CVS</t>
        </is>
      </c>
      <c r="C438" s="5" t="inlineStr">
        <is>
          <t>72888007715</t>
        </is>
      </c>
      <c r="D438" s="5" t="inlineStr">
        <is>
          <t>DORZOLAMIDE HCL 2 % OPHTHALMIC SOLUTION</t>
        </is>
      </c>
      <c r="E438" s="6" t="inlineStr">
        <is>
          <t>10.0</t>
        </is>
      </c>
      <c r="F438" s="7" t="n">
        <v>10</v>
      </c>
      <c r="G438" s="7" t="n">
        <v>1</v>
      </c>
      <c r="H438" s="7" t="n">
        <v>0</v>
      </c>
      <c r="I438" s="7" t="n">
        <v>-1</v>
      </c>
      <c r="J438" s="8" t="n">
        <v>5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CVS</t>
        </is>
      </c>
      <c r="C439" s="5" t="inlineStr">
        <is>
          <t>68180031902</t>
        </is>
      </c>
      <c r="D439" s="5" t="inlineStr">
        <is>
          <t>BUPROPION HCL ER (XL) 150MG</t>
        </is>
      </c>
      <c r="E439" s="6" t="inlineStr">
        <is>
          <t>500.0</t>
        </is>
      </c>
      <c r="F439" s="7" t="n">
        <v>90</v>
      </c>
      <c r="G439" s="7" t="n">
        <v>0.18</v>
      </c>
      <c r="H439" s="7" t="n">
        <v>0</v>
      </c>
      <c r="I439" s="7" t="n">
        <v>-0.18</v>
      </c>
      <c r="J439" s="8" t="n">
        <v>5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CVS</t>
        </is>
      </c>
      <c r="C440" s="5" t="inlineStr">
        <is>
          <t>21922006215</t>
        </is>
      </c>
      <c r="D440" s="5" t="inlineStr">
        <is>
          <t>TRIAMCINOLONE ACETONIDE 0.1 % EXTERNAL CREAM</t>
        </is>
      </c>
      <c r="E440" s="6" t="inlineStr">
        <is>
          <t>80.0</t>
        </is>
      </c>
      <c r="F440" s="7" t="n">
        <v>80</v>
      </c>
      <c r="G440" s="7" t="n">
        <v>1</v>
      </c>
      <c r="H440" s="7" t="n">
        <v>6</v>
      </c>
      <c r="I440" s="7" t="n">
        <v>5</v>
      </c>
      <c r="J440" s="8" t="n">
        <v>5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CVS</t>
        </is>
      </c>
      <c r="C441" s="5" t="inlineStr">
        <is>
          <t>47781019601</t>
        </is>
      </c>
      <c r="D441" s="5" t="inlineStr">
        <is>
          <t>OXYCODONE-ACETAMINOPHEN 5-325 MG ORAL TABLET</t>
        </is>
      </c>
      <c r="E441" s="6" t="inlineStr">
        <is>
          <t>100.0</t>
        </is>
      </c>
      <c r="F441" s="7" t="n">
        <v>90</v>
      </c>
      <c r="G441" s="7" t="n">
        <v>0.9</v>
      </c>
      <c r="H441" s="7" t="n">
        <v>0</v>
      </c>
      <c r="I441" s="7" t="n">
        <v>-0.9</v>
      </c>
      <c r="J441" s="8" t="n">
        <v>5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CVS</t>
        </is>
      </c>
      <c r="C442" s="5" t="inlineStr">
        <is>
          <t>33342029815</t>
        </is>
      </c>
      <c r="D442" s="5" t="inlineStr">
        <is>
          <t>MEMANTINE 10MG TABLET</t>
        </is>
      </c>
      <c r="E442" s="6" t="inlineStr">
        <is>
          <t>500.0</t>
        </is>
      </c>
      <c r="F442" s="7" t="n">
        <v>150</v>
      </c>
      <c r="G442" s="7" t="n">
        <v>0.3</v>
      </c>
      <c r="H442" s="7" t="n">
        <v>0</v>
      </c>
      <c r="I442" s="7" t="n">
        <v>-0.3</v>
      </c>
      <c r="J442" s="8" t="n">
        <v>5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CVS</t>
        </is>
      </c>
      <c r="C443" s="5" t="inlineStr">
        <is>
          <t>65862001305</t>
        </is>
      </c>
      <c r="D443" s="5" t="inlineStr">
        <is>
          <t>SERTRALINE 100MG TABLET</t>
        </is>
      </c>
      <c r="E443" s="6" t="inlineStr">
        <is>
          <t>500.0</t>
        </is>
      </c>
      <c r="F443" s="7" t="n">
        <v>150</v>
      </c>
      <c r="G443" s="7" t="n">
        <v>0.3</v>
      </c>
      <c r="H443" s="7" t="n">
        <v>0</v>
      </c>
      <c r="I443" s="7" t="n">
        <v>-0.3</v>
      </c>
      <c r="J443" s="8" t="n">
        <v>4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CVS</t>
        </is>
      </c>
      <c r="C444" s="5" t="inlineStr">
        <is>
          <t>70377005612</t>
        </is>
      </c>
      <c r="D444" s="5" t="inlineStr">
        <is>
          <t>ESOMEPRAZOLE 40MG CAPSULE DR</t>
        </is>
      </c>
      <c r="E444" s="6" t="inlineStr">
        <is>
          <t>90.0</t>
        </is>
      </c>
      <c r="F444" s="7" t="n">
        <v>60</v>
      </c>
      <c r="G444" s="7" t="n">
        <v>0.6666666666666666</v>
      </c>
      <c r="H444" s="7" t="n">
        <v>0</v>
      </c>
      <c r="I444" s="7" t="n">
        <v>-0.6666666666666666</v>
      </c>
      <c r="J444" s="8" t="n">
        <v>4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CVS</t>
        </is>
      </c>
      <c r="C445" s="5" t="inlineStr">
        <is>
          <t>29300015501</t>
        </is>
      </c>
      <c r="D445" s="5" t="inlineStr">
        <is>
          <t>ALFUZOSIN HCL ER 10 MG TABLET</t>
        </is>
      </c>
      <c r="E445" s="6" t="inlineStr">
        <is>
          <t>100.0</t>
        </is>
      </c>
      <c r="F445" s="7" t="n">
        <v>91</v>
      </c>
      <c r="G445" s="7" t="n">
        <v>0.91</v>
      </c>
      <c r="H445" s="7" t="n">
        <v>0</v>
      </c>
      <c r="I445" s="7" t="n">
        <v>-0.91</v>
      </c>
      <c r="J445" s="8" t="n">
        <v>4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CVS</t>
        </is>
      </c>
      <c r="C446" s="5" t="inlineStr">
        <is>
          <t>23155002405</t>
        </is>
      </c>
      <c r="D446" s="5" t="inlineStr">
        <is>
          <t>BUSPIRONE 10MG TABLET</t>
        </is>
      </c>
      <c r="E446" s="6" t="inlineStr">
        <is>
          <t>500.0</t>
        </is>
      </c>
      <c r="F446" s="7" t="n">
        <v>150</v>
      </c>
      <c r="G446" s="7" t="n">
        <v>0.3</v>
      </c>
      <c r="H446" s="7" t="n">
        <v>0</v>
      </c>
      <c r="I446" s="7" t="n">
        <v>-0.3</v>
      </c>
      <c r="J446" s="8" t="n">
        <v>4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CVS</t>
        </is>
      </c>
      <c r="C447" s="5" t="inlineStr">
        <is>
          <t>24689088201</t>
        </is>
      </c>
      <c r="D447" s="5" t="inlineStr">
        <is>
          <t>TERAZOSIN HCL 5 MG ORAL CAPSULE</t>
        </is>
      </c>
      <c r="E447" s="6" t="inlineStr">
        <is>
          <t>100.0</t>
        </is>
      </c>
      <c r="F447" s="7" t="n">
        <v>60</v>
      </c>
      <c r="G447" s="7" t="n">
        <v>0.6</v>
      </c>
      <c r="H447" s="7" t="n">
        <v>0</v>
      </c>
      <c r="I447" s="7" t="n">
        <v>-0.6</v>
      </c>
      <c r="J447" s="8" t="n">
        <v>4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CVS</t>
        </is>
      </c>
      <c r="C448" s="5" t="inlineStr">
        <is>
          <t>68180051902</t>
        </is>
      </c>
      <c r="D448" s="5" t="inlineStr">
        <is>
          <t xml:space="preserve">LISINOPRIL-HCTZ 20-12.5MG TAB </t>
        </is>
      </c>
      <c r="E448" s="6" t="inlineStr">
        <is>
          <t>500.0</t>
        </is>
      </c>
      <c r="F448" s="7" t="n">
        <v>210</v>
      </c>
      <c r="G448" s="7" t="n">
        <v>0.42</v>
      </c>
      <c r="H448" s="7" t="n">
        <v>0</v>
      </c>
      <c r="I448" s="7" t="n">
        <v>-0.42</v>
      </c>
      <c r="J448" s="8" t="n">
        <v>4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CVS</t>
        </is>
      </c>
      <c r="C449" s="5" t="inlineStr">
        <is>
          <t>50742026003</t>
        </is>
      </c>
      <c r="D449" s="5" t="inlineStr">
        <is>
          <t>NIFEDIPINE 30MG TABLET ER</t>
        </is>
      </c>
      <c r="E449" s="6" t="inlineStr">
        <is>
          <t>300.0</t>
        </is>
      </c>
      <c r="F449" s="7" t="n">
        <v>90</v>
      </c>
      <c r="G449" s="7" t="n">
        <v>0.3</v>
      </c>
      <c r="H449" s="7" t="n">
        <v>0</v>
      </c>
      <c r="I449" s="7" t="n">
        <v>-0.3</v>
      </c>
      <c r="J449" s="8" t="n">
        <v>4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CVS</t>
        </is>
      </c>
      <c r="C450" s="5" t="inlineStr">
        <is>
          <t>24208079535</t>
        </is>
      </c>
      <c r="D450" s="5" t="inlineStr">
        <is>
          <t>NEOMYCIN-POLYMYXIN-DEXAMETH 3.5-10000-0.1 OPHTHALMIC OINTMENT</t>
        </is>
      </c>
      <c r="E450" s="6" t="inlineStr">
        <is>
          <t>3.5</t>
        </is>
      </c>
      <c r="F450" s="7" t="n">
        <v>3.5</v>
      </c>
      <c r="G450" s="7" t="n">
        <v>1</v>
      </c>
      <c r="H450" s="7" t="n">
        <v>0</v>
      </c>
      <c r="I450" s="7" t="n">
        <v>-1</v>
      </c>
      <c r="J450" s="8" t="n">
        <v>4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CVS</t>
        </is>
      </c>
      <c r="C451" s="5" t="inlineStr">
        <is>
          <t>68180097903</t>
        </is>
      </c>
      <c r="D451" s="5" t="inlineStr">
        <is>
          <t>LISINOPRIL 40MG TABLET</t>
        </is>
      </c>
      <c r="E451" s="6" t="inlineStr">
        <is>
          <t>1000.0</t>
        </is>
      </c>
      <c r="F451" s="7" t="n">
        <v>180</v>
      </c>
      <c r="G451" s="7" t="n">
        <v>0.18</v>
      </c>
      <c r="H451" s="7" t="n">
        <v>0</v>
      </c>
      <c r="I451" s="7" t="n">
        <v>-0.18</v>
      </c>
      <c r="J451" s="8" t="n">
        <v>4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CVS</t>
        </is>
      </c>
      <c r="C452" s="5" t="inlineStr">
        <is>
          <t>67877019710</t>
        </is>
      </c>
      <c r="D452" s="5" t="inlineStr">
        <is>
          <t>AMLODIPINE 2.5MG TABLET</t>
        </is>
      </c>
      <c r="E452" s="6" t="inlineStr">
        <is>
          <t>1000.0</t>
        </is>
      </c>
      <c r="F452" s="7" t="n">
        <v>450</v>
      </c>
      <c r="G452" s="7" t="n">
        <v>0.45</v>
      </c>
      <c r="H452" s="7" t="n">
        <v>1</v>
      </c>
      <c r="I452" s="7" t="n">
        <v>0.55</v>
      </c>
      <c r="J452" s="8" t="n">
        <v>4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CVS</t>
        </is>
      </c>
      <c r="C453" s="5" t="inlineStr">
        <is>
          <t>23155083310</t>
        </is>
      </c>
      <c r="D453" s="5" t="inlineStr">
        <is>
          <t>HYDRALAZINE HCL 25 MG TABLET</t>
        </is>
      </c>
      <c r="E453" s="6" t="inlineStr">
        <is>
          <t>1000.0</t>
        </is>
      </c>
      <c r="F453" s="7" t="n">
        <v>270</v>
      </c>
      <c r="G453" s="7" t="n">
        <v>0.27</v>
      </c>
      <c r="H453" s="7" t="n">
        <v>2</v>
      </c>
      <c r="I453" s="7" t="n">
        <v>1.73</v>
      </c>
      <c r="J453" s="8" t="n">
        <v>4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CVS</t>
        </is>
      </c>
      <c r="C454" s="5" t="inlineStr">
        <is>
          <t>50228014610</t>
        </is>
      </c>
      <c r="D454" s="5" t="inlineStr">
        <is>
          <t>HYDROCHLOROTHIAZIDE 12.5MG CAPSULE</t>
        </is>
      </c>
      <c r="E454" s="6" t="inlineStr">
        <is>
          <t>1000.0</t>
        </is>
      </c>
      <c r="F454" s="7" t="n">
        <v>270</v>
      </c>
      <c r="G454" s="7" t="n">
        <v>0.27</v>
      </c>
      <c r="H454" s="7" t="n">
        <v>0</v>
      </c>
      <c r="I454" s="7" t="n">
        <v>-0.27</v>
      </c>
      <c r="J454" s="8" t="n">
        <v>4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CVS</t>
        </is>
      </c>
      <c r="C455" s="5" t="inlineStr">
        <is>
          <t>65862047501</t>
        </is>
      </c>
      <c r="D455" s="5" t="inlineStr">
        <is>
          <t>RAMIPRIL 2.5MG CAPSULE</t>
        </is>
      </c>
      <c r="E455" s="6" t="inlineStr">
        <is>
          <t>100.0</t>
        </is>
      </c>
      <c r="F455" s="7" t="n">
        <v>90</v>
      </c>
      <c r="G455" s="7" t="n">
        <v>0.9</v>
      </c>
      <c r="H455" s="7" t="n">
        <v>0</v>
      </c>
      <c r="I455" s="7" t="n">
        <v>-0.9</v>
      </c>
      <c r="J455" s="8" t="n">
        <v>4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CVS</t>
        </is>
      </c>
      <c r="C456" s="5" t="inlineStr">
        <is>
          <t>31722053812</t>
        </is>
      </c>
      <c r="D456" s="5" t="inlineStr">
        <is>
          <t>LEVETIRACETAM 750MG TABLET</t>
        </is>
      </c>
      <c r="E456" s="6" t="inlineStr">
        <is>
          <t>120.0</t>
        </is>
      </c>
      <c r="F456" s="7" t="n">
        <v>60</v>
      </c>
      <c r="G456" s="7" t="n">
        <v>0.5</v>
      </c>
      <c r="H456" s="7" t="n">
        <v>0</v>
      </c>
      <c r="I456" s="7" t="n">
        <v>-0.5</v>
      </c>
      <c r="J456" s="8" t="n">
        <v>4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CVS</t>
        </is>
      </c>
      <c r="C457" s="5" t="inlineStr">
        <is>
          <t>33342005044</t>
        </is>
      </c>
      <c r="D457" s="5" t="inlineStr">
        <is>
          <t>LOSARTAN-HCTZ 50-12.5 MG TABLET</t>
        </is>
      </c>
      <c r="E457" s="6" t="inlineStr">
        <is>
          <t>1000.0</t>
        </is>
      </c>
      <c r="F457" s="7" t="n">
        <v>90</v>
      </c>
      <c r="G457" s="7" t="n">
        <v>0.09</v>
      </c>
      <c r="H457" s="7" t="n">
        <v>1</v>
      </c>
      <c r="I457" s="7" t="n">
        <v>0.91</v>
      </c>
      <c r="J457" s="8" t="n">
        <v>4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CVS</t>
        </is>
      </c>
      <c r="C458" s="5" t="inlineStr">
        <is>
          <t>13668009690</t>
        </is>
      </c>
      <c r="D458" s="5" t="inlineStr">
        <is>
          <t xml:space="preserve">PANTOPRAZOLE 20MG TAB </t>
        </is>
      </c>
      <c r="E458" s="6" t="inlineStr">
        <is>
          <t>90.0</t>
        </is>
      </c>
      <c r="F458" s="7" t="n">
        <v>60</v>
      </c>
      <c r="G458" s="7" t="n">
        <v>0.6666666666666666</v>
      </c>
      <c r="H458" s="7" t="n">
        <v>0</v>
      </c>
      <c r="I458" s="7" t="n">
        <v>-0.6666666666666666</v>
      </c>
      <c r="J458" s="8" t="n">
        <v>4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CVS</t>
        </is>
      </c>
      <c r="C459" s="5" t="inlineStr">
        <is>
          <t>00172409680</t>
        </is>
      </c>
      <c r="D459" s="5" t="inlineStr">
        <is>
          <t xml:space="preserve">BACLOFEN 10MG TAB </t>
        </is>
      </c>
      <c r="E459" s="6" t="inlineStr">
        <is>
          <t>1000.0</t>
        </is>
      </c>
      <c r="F459" s="7" t="n">
        <v>210</v>
      </c>
      <c r="G459" s="7" t="n">
        <v>0.21</v>
      </c>
      <c r="H459" s="7" t="n">
        <v>0</v>
      </c>
      <c r="I459" s="7" t="n">
        <v>-0.21</v>
      </c>
      <c r="J459" s="8" t="n">
        <v>4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CVS</t>
        </is>
      </c>
      <c r="C460" s="5" t="inlineStr">
        <is>
          <t>50111056003</t>
        </is>
      </c>
      <c r="D460" s="5" t="inlineStr">
        <is>
          <t>TRAZODONE 50MG TABLET</t>
        </is>
      </c>
      <c r="E460" s="6" t="inlineStr">
        <is>
          <t>1000.0</t>
        </is>
      </c>
      <c r="F460" s="7" t="n">
        <v>195</v>
      </c>
      <c r="G460" s="7" t="n">
        <v>0.195</v>
      </c>
      <c r="H460" s="7" t="n">
        <v>0</v>
      </c>
      <c r="I460" s="7" t="n">
        <v>-0.195</v>
      </c>
      <c r="J460" s="8" t="n">
        <v>4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CVS</t>
        </is>
      </c>
      <c r="C461" s="5" t="inlineStr">
        <is>
          <t>57237003105</t>
        </is>
      </c>
      <c r="D461" s="5" t="inlineStr">
        <is>
          <t>AMOXICILLIN 500 MG CAPSULE</t>
        </is>
      </c>
      <c r="E461" s="6" t="inlineStr">
        <is>
          <t>500.0</t>
        </is>
      </c>
      <c r="F461" s="7" t="n">
        <v>105</v>
      </c>
      <c r="G461" s="7" t="n">
        <v>0.21</v>
      </c>
      <c r="H461" s="7" t="n">
        <v>0</v>
      </c>
      <c r="I461" s="7" t="n">
        <v>-0.21</v>
      </c>
      <c r="J461" s="8" t="n">
        <v>4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CVS</t>
        </is>
      </c>
      <c r="C462" s="5" t="inlineStr">
        <is>
          <t>45802006336</t>
        </is>
      </c>
      <c r="D462" s="5" t="inlineStr">
        <is>
          <t xml:space="preserve">TRIAMCINOLONE ACETONIDE 0.025 % EXTERNAL CREAM </t>
        </is>
      </c>
      <c r="E462" s="6" t="inlineStr">
        <is>
          <t>80.0</t>
        </is>
      </c>
      <c r="F462" s="7" t="n">
        <v>160</v>
      </c>
      <c r="G462" s="7" t="n">
        <v>2</v>
      </c>
      <c r="H462" s="7" t="n">
        <v>0</v>
      </c>
      <c r="I462" s="7" t="n">
        <v>-2</v>
      </c>
      <c r="J462" s="8" t="n">
        <v>4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CVS</t>
        </is>
      </c>
      <c r="C463" s="5" t="inlineStr">
        <is>
          <t>65862070020</t>
        </is>
      </c>
      <c r="D463" s="5" t="inlineStr">
        <is>
          <t>CEFUROXIME AXETIL 500MG TABLET</t>
        </is>
      </c>
      <c r="E463" s="6" t="inlineStr">
        <is>
          <t>20.0</t>
        </is>
      </c>
      <c r="F463" s="7" t="n">
        <v>17</v>
      </c>
      <c r="G463" s="7" t="n">
        <v>0.85</v>
      </c>
      <c r="H463" s="7" t="n">
        <v>0</v>
      </c>
      <c r="I463" s="7" t="n">
        <v>-0.85</v>
      </c>
      <c r="J463" s="8" t="n">
        <v>4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CVS</t>
        </is>
      </c>
      <c r="C464" s="5" t="inlineStr">
        <is>
          <t>65862052890</t>
        </is>
      </c>
      <c r="D464" s="5" t="inlineStr">
        <is>
          <t>VENLAFAXINE HCL ER 75 MG CAPSULE</t>
        </is>
      </c>
      <c r="E464" s="6" t="inlineStr">
        <is>
          <t>90.0</t>
        </is>
      </c>
      <c r="F464" s="7" t="n">
        <v>30</v>
      </c>
      <c r="G464" s="7" t="n">
        <v>0.3333333333333333</v>
      </c>
      <c r="H464" s="7" t="n">
        <v>0</v>
      </c>
      <c r="I464" s="7" t="n">
        <v>-0.3333333333333333</v>
      </c>
      <c r="J464" s="8" t="n">
        <v>3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CVS</t>
        </is>
      </c>
      <c r="C465" s="5" t="inlineStr">
        <is>
          <t>00143924920</t>
        </is>
      </c>
      <c r="D465" s="5" t="inlineStr">
        <is>
          <t xml:space="preserve">AMOXICILLIN-POT CLAVULANATE 875-125 MG TABLET </t>
        </is>
      </c>
      <c r="E465" s="6" t="inlineStr">
        <is>
          <t>20.0</t>
        </is>
      </c>
      <c r="F465" s="7" t="n">
        <v>14</v>
      </c>
      <c r="G465" s="7" t="n">
        <v>0.7</v>
      </c>
      <c r="H465" s="7" t="n">
        <v>0</v>
      </c>
      <c r="I465" s="7" t="n">
        <v>-0.7</v>
      </c>
      <c r="J465" s="8" t="n">
        <v>3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CVS</t>
        </is>
      </c>
      <c r="C466" s="5" t="inlineStr">
        <is>
          <t>13668013610</t>
        </is>
      </c>
      <c r="D466" s="5" t="inlineStr">
        <is>
          <t>ESCITALOPRAM 10MG TABLET</t>
        </is>
      </c>
      <c r="E466" s="6" t="inlineStr">
        <is>
          <t>1000.0</t>
        </is>
      </c>
      <c r="F466" s="7" t="n">
        <v>240</v>
      </c>
      <c r="G466" s="7" t="n">
        <v>0.24</v>
      </c>
      <c r="H466" s="7" t="n">
        <v>0</v>
      </c>
      <c r="I466" s="7" t="n">
        <v>-0.24</v>
      </c>
      <c r="J466" s="8" t="n">
        <v>3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CVS</t>
        </is>
      </c>
      <c r="C467" s="5" t="inlineStr">
        <is>
          <t>65862014736</t>
        </is>
      </c>
      <c r="D467" s="5" t="inlineStr">
        <is>
          <t xml:space="preserve">SUMATRIPTAN SUCCINATE 50MG TAB </t>
        </is>
      </c>
      <c r="E467" s="6" t="inlineStr">
        <is>
          <t>9.0</t>
        </is>
      </c>
      <c r="F467" s="7" t="n">
        <v>9</v>
      </c>
      <c r="G467" s="7" t="n">
        <v>1</v>
      </c>
      <c r="H467" s="7" t="n">
        <v>0</v>
      </c>
      <c r="I467" s="7" t="n">
        <v>-1</v>
      </c>
      <c r="J467" s="8" t="n">
        <v>3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CVS</t>
        </is>
      </c>
      <c r="C468" s="5" t="inlineStr">
        <is>
          <t>59651003212</t>
        </is>
      </c>
      <c r="D468" s="5" t="inlineStr">
        <is>
          <t>IBUPROFEN 100 MG/5ML SUSPENSION</t>
        </is>
      </c>
      <c r="E468" s="6" t="inlineStr">
        <is>
          <t>120.0</t>
        </is>
      </c>
      <c r="F468" s="7" t="n">
        <v>240</v>
      </c>
      <c r="G468" s="7" t="n">
        <v>2</v>
      </c>
      <c r="H468" s="7" t="n">
        <v>10</v>
      </c>
      <c r="I468" s="7" t="n">
        <v>8</v>
      </c>
      <c r="J468" s="8" t="n">
        <v>3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CVS</t>
        </is>
      </c>
      <c r="C469" s="5" t="inlineStr">
        <is>
          <t>00168014630</t>
        </is>
      </c>
      <c r="D469" s="5" t="inlineStr">
        <is>
          <t>HYDROCORTISONE 2.5% OINTMENT</t>
        </is>
      </c>
      <c r="E469" s="6" t="inlineStr">
        <is>
          <t>28.35</t>
        </is>
      </c>
      <c r="F469" s="7" t="n">
        <v>28.35</v>
      </c>
      <c r="G469" s="7" t="n">
        <v>1</v>
      </c>
      <c r="H469" s="7" t="n">
        <v>0</v>
      </c>
      <c r="I469" s="7" t="n">
        <v>-1</v>
      </c>
      <c r="J469" s="8" t="n">
        <v>3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CVS</t>
        </is>
      </c>
      <c r="C470" s="5" t="inlineStr">
        <is>
          <t>72888001205</t>
        </is>
      </c>
      <c r="D470" s="5" t="inlineStr">
        <is>
          <t>CYCLOBENZAPRINE 5MG TABLET</t>
        </is>
      </c>
      <c r="E470" s="6" t="inlineStr">
        <is>
          <t>500.0</t>
        </is>
      </c>
      <c r="F470" s="7" t="n">
        <v>247</v>
      </c>
      <c r="G470" s="7" t="n">
        <v>0.494</v>
      </c>
      <c r="H470" s="7" t="n">
        <v>0</v>
      </c>
      <c r="I470" s="7" t="n">
        <v>-0.494</v>
      </c>
      <c r="J470" s="8" t="n">
        <v>3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CVS</t>
        </is>
      </c>
      <c r="C471" s="5" t="inlineStr">
        <is>
          <t>72578000205</t>
        </is>
      </c>
      <c r="D471" s="5" t="inlineStr">
        <is>
          <t>ACYCLOVIR 200MG CAPSULE</t>
        </is>
      </c>
      <c r="E471" s="6" t="inlineStr">
        <is>
          <t>500.0</t>
        </is>
      </c>
      <c r="F471" s="7" t="n">
        <v>90</v>
      </c>
      <c r="G471" s="7" t="n">
        <v>0.18</v>
      </c>
      <c r="H471" s="7" t="n">
        <v>0</v>
      </c>
      <c r="I471" s="7" t="n">
        <v>-0.18</v>
      </c>
      <c r="J471" s="8" t="n">
        <v>3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CVS</t>
        </is>
      </c>
      <c r="C472" s="5" t="inlineStr">
        <is>
          <t>67877021905</t>
        </is>
      </c>
      <c r="D472" s="5" t="inlineStr">
        <is>
          <t xml:space="preserve">CEPHALEXIN 500MG CAPSULE </t>
        </is>
      </c>
      <c r="E472" s="6" t="inlineStr">
        <is>
          <t>500.0</t>
        </is>
      </c>
      <c r="F472" s="7" t="n">
        <v>40</v>
      </c>
      <c r="G472" s="7" t="n">
        <v>0.08</v>
      </c>
      <c r="H472" s="7" t="n">
        <v>0</v>
      </c>
      <c r="I472" s="7" t="n">
        <v>-0.08</v>
      </c>
      <c r="J472" s="8" t="n">
        <v>3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CVS</t>
        </is>
      </c>
      <c r="C473" s="5" t="inlineStr">
        <is>
          <t>68180086111</t>
        </is>
      </c>
      <c r="D473" s="5" t="inlineStr">
        <is>
          <t>AZITHROMYCIN 250 MG TABLET</t>
        </is>
      </c>
      <c r="E473" s="6" t="inlineStr">
        <is>
          <t>6.0</t>
        </is>
      </c>
      <c r="F473" s="7" t="n">
        <v>12</v>
      </c>
      <c r="G473" s="7" t="n">
        <v>2</v>
      </c>
      <c r="H473" s="7" t="n">
        <v>12</v>
      </c>
      <c r="I473" s="7" t="n">
        <v>10</v>
      </c>
      <c r="J473" s="8" t="n">
        <v>3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CVS</t>
        </is>
      </c>
      <c r="C474" s="5" t="inlineStr">
        <is>
          <t>65862017099</t>
        </is>
      </c>
      <c r="D474" s="5" t="inlineStr">
        <is>
          <t>ATENOLOL 100 MG TABLET</t>
        </is>
      </c>
      <c r="E474" s="6" t="inlineStr">
        <is>
          <t>1000.0</t>
        </is>
      </c>
      <c r="F474" s="7" t="n">
        <v>90</v>
      </c>
      <c r="G474" s="7" t="n">
        <v>0.09</v>
      </c>
      <c r="H474" s="7" t="n">
        <v>0</v>
      </c>
      <c r="I474" s="7" t="n">
        <v>-0.09</v>
      </c>
      <c r="J474" s="8" t="n">
        <v>3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CVS</t>
        </is>
      </c>
      <c r="C475" s="5" t="inlineStr">
        <is>
          <t>68180059102</t>
        </is>
      </c>
      <c r="D475" s="5" t="inlineStr">
        <is>
          <t xml:space="preserve">RAMIPRIL 10MG CAP </t>
        </is>
      </c>
      <c r="E475" s="6" t="inlineStr">
        <is>
          <t>500.0</t>
        </is>
      </c>
      <c r="F475" s="7" t="n">
        <v>90</v>
      </c>
      <c r="G475" s="7" t="n">
        <v>0.18</v>
      </c>
      <c r="H475" s="7" t="n">
        <v>0</v>
      </c>
      <c r="I475" s="7" t="n">
        <v>-0.18</v>
      </c>
      <c r="J475" s="8" t="n">
        <v>3</v>
      </c>
      <c r="K475" s="9">
        <f>IFERROR(IF((ROUND((J475/G475)*I475,1))&lt;0,(ROUND((J475/G475)*I475,1)),0),0)</f>
        <v/>
      </c>
    </row>
    <row r="476">
      <c r="A476" s="4" t="n">
        <v>473</v>
      </c>
      <c r="B476" s="5" t="inlineStr">
        <is>
          <t>CVS</t>
        </is>
      </c>
      <c r="C476" s="5" t="inlineStr">
        <is>
          <t>23155073601</t>
        </is>
      </c>
      <c r="D476" s="5" t="inlineStr">
        <is>
          <t>TERAZOSIN 2MG CAPSULE</t>
        </is>
      </c>
      <c r="E476" s="6" t="inlineStr">
        <is>
          <t>100.0</t>
        </is>
      </c>
      <c r="F476" s="7" t="n">
        <v>30</v>
      </c>
      <c r="G476" s="7" t="n">
        <v>0.3</v>
      </c>
      <c r="H476" s="7" t="n">
        <v>0</v>
      </c>
      <c r="I476" s="7" t="n">
        <v>-0.3</v>
      </c>
      <c r="J476" s="8" t="n">
        <v>3</v>
      </c>
      <c r="K476" s="9">
        <f>IFERROR(IF((ROUND((J476/G476)*I476,1))&lt;0,(ROUND((J476/G476)*I476,1)),0),0)</f>
        <v/>
      </c>
    </row>
    <row r="477">
      <c r="A477" s="4" t="n">
        <v>474</v>
      </c>
      <c r="B477" s="5" t="inlineStr">
        <is>
          <t>CVS</t>
        </is>
      </c>
      <c r="C477" s="5" t="inlineStr">
        <is>
          <t>68382013905</t>
        </is>
      </c>
      <c r="D477" s="5" t="inlineStr">
        <is>
          <t xml:space="preserve">TOPIRAMATE 50MG TAB </t>
        </is>
      </c>
      <c r="E477" s="6" t="inlineStr">
        <is>
          <t>500.0</t>
        </is>
      </c>
      <c r="F477" s="7" t="n">
        <v>120</v>
      </c>
      <c r="G477" s="7" t="n">
        <v>0.24</v>
      </c>
      <c r="H477" s="7" t="n">
        <v>0</v>
      </c>
      <c r="I477" s="7" t="n">
        <v>-0.24</v>
      </c>
      <c r="J477" s="8" t="n">
        <v>3</v>
      </c>
      <c r="K477" s="9">
        <f>IFERROR(IF((ROUND((J477/G477)*I477,1))&lt;0,(ROUND((J477/G477)*I477,1)),0),0)</f>
        <v/>
      </c>
    </row>
    <row r="478">
      <c r="A478" s="4" t="n">
        <v>475</v>
      </c>
      <c r="B478" s="5" t="inlineStr">
        <is>
          <t>CVS</t>
        </is>
      </c>
      <c r="C478" s="5" t="inlineStr">
        <is>
          <t>00116400516</t>
        </is>
      </c>
      <c r="D478" s="5" t="inlineStr">
        <is>
          <t>LACTULOSE 10 GM/15ML ORAL SOLUTION</t>
        </is>
      </c>
      <c r="E478" s="6" t="inlineStr">
        <is>
          <t>473.0</t>
        </is>
      </c>
      <c r="F478" s="7" t="n">
        <v>473</v>
      </c>
      <c r="G478" s="7" t="n">
        <v>1</v>
      </c>
      <c r="H478" s="7" t="n">
        <v>5</v>
      </c>
      <c r="I478" s="7" t="n">
        <v>4</v>
      </c>
      <c r="J478" s="8" t="n">
        <v>3</v>
      </c>
      <c r="K478" s="9">
        <f>IFERROR(IF((ROUND((J478/G478)*I478,1))&lt;0,(ROUND((J478/G478)*I478,1)),0),0)</f>
        <v/>
      </c>
    </row>
    <row r="479">
      <c r="A479" s="4" t="n">
        <v>476</v>
      </c>
      <c r="B479" s="5" t="inlineStr">
        <is>
          <t>CVS</t>
        </is>
      </c>
      <c r="C479" s="5" t="inlineStr">
        <is>
          <t>57237010199</t>
        </is>
      </c>
      <c r="D479" s="5" t="inlineStr">
        <is>
          <t>METOPROLOL TARTRATE 50MG TABLET</t>
        </is>
      </c>
      <c r="E479" s="6" t="inlineStr">
        <is>
          <t>1000.0</t>
        </is>
      </c>
      <c r="F479" s="7" t="n">
        <v>180</v>
      </c>
      <c r="G479" s="7" t="n">
        <v>0.18</v>
      </c>
      <c r="H479" s="7" t="n">
        <v>0</v>
      </c>
      <c r="I479" s="7" t="n">
        <v>-0.18</v>
      </c>
      <c r="J479" s="8" t="n">
        <v>3</v>
      </c>
      <c r="K479" s="9">
        <f>IFERROR(IF((ROUND((J479/G479)*I479,1))&lt;0,(ROUND((J479/G479)*I479,1)),0),0)</f>
        <v/>
      </c>
    </row>
    <row r="480">
      <c r="A480" s="4" t="n">
        <v>477</v>
      </c>
      <c r="B480" s="5" t="inlineStr">
        <is>
          <t>CVS</t>
        </is>
      </c>
      <c r="C480" s="5" t="inlineStr">
        <is>
          <t>55111016830</t>
        </is>
      </c>
      <c r="D480" s="5" t="inlineStr">
        <is>
          <t>OLANZAPINE 20MG TABLET</t>
        </is>
      </c>
      <c r="E480" s="6" t="inlineStr">
        <is>
          <t>30.0</t>
        </is>
      </c>
      <c r="F480" s="7" t="n">
        <v>30</v>
      </c>
      <c r="G480" s="7" t="n">
        <v>1</v>
      </c>
      <c r="H480" s="7" t="n">
        <v>0</v>
      </c>
      <c r="I480" s="7" t="n">
        <v>-1</v>
      </c>
      <c r="J480" s="8" t="n">
        <v>3</v>
      </c>
      <c r="K480" s="9">
        <f>IFERROR(IF((ROUND((J480/G480)*I480,1))&lt;0,(ROUND((J480/G480)*I480,1)),0),0)</f>
        <v/>
      </c>
    </row>
    <row r="481">
      <c r="A481" s="4" t="n">
        <v>478</v>
      </c>
      <c r="B481" s="5" t="inlineStr">
        <is>
          <t>CVS</t>
        </is>
      </c>
      <c r="C481" s="5" t="inlineStr">
        <is>
          <t>69315011610</t>
        </is>
      </c>
      <c r="D481" s="5" t="inlineStr">
        <is>
          <t xml:space="preserve">FUROSEMIDE 20MG TAB </t>
        </is>
      </c>
      <c r="E481" s="6" t="inlineStr">
        <is>
          <t>1000.0</t>
        </is>
      </c>
      <c r="F481" s="7" t="n">
        <v>210</v>
      </c>
      <c r="G481" s="7" t="n">
        <v>0.21</v>
      </c>
      <c r="H481" s="7" t="n">
        <v>0</v>
      </c>
      <c r="I481" s="7" t="n">
        <v>-0.21</v>
      </c>
      <c r="J481" s="8" t="n">
        <v>3</v>
      </c>
      <c r="K481" s="9">
        <f>IFERROR(IF((ROUND((J481/G481)*I481,1))&lt;0,(ROUND((J481/G481)*I481,1)),0),0)</f>
        <v/>
      </c>
    </row>
    <row r="482">
      <c r="A482" s="4" t="n">
        <v>479</v>
      </c>
      <c r="B482" s="5" t="inlineStr">
        <is>
          <t>CVS</t>
        </is>
      </c>
      <c r="C482" s="5" t="inlineStr">
        <is>
          <t>65862022701</t>
        </is>
      </c>
      <c r="D482" s="5" t="inlineStr">
        <is>
          <t>LAMOTRIGINE 25MG TABLET</t>
        </is>
      </c>
      <c r="E482" s="6" t="inlineStr">
        <is>
          <t>100.0</t>
        </is>
      </c>
      <c r="F482" s="7" t="n">
        <v>120</v>
      </c>
      <c r="G482" s="7" t="n">
        <v>1.2</v>
      </c>
      <c r="H482" s="7" t="n">
        <v>10</v>
      </c>
      <c r="I482" s="7" t="n">
        <v>8.800000000000001</v>
      </c>
      <c r="J482" s="8" t="n">
        <v>2</v>
      </c>
      <c r="K482" s="9">
        <f>IFERROR(IF((ROUND((J482/G482)*I482,1))&lt;0,(ROUND((J482/G482)*I482,1)),0),0)</f>
        <v/>
      </c>
    </row>
    <row r="483">
      <c r="A483" s="4" t="n">
        <v>480</v>
      </c>
      <c r="B483" s="5" t="inlineStr">
        <is>
          <t>CVS</t>
        </is>
      </c>
      <c r="C483" s="5" t="inlineStr">
        <is>
          <t>47335070352</t>
        </is>
      </c>
      <c r="D483" s="5" t="inlineStr">
        <is>
          <t>ALBUTEROL SULFATE (2.5 MG/3ML) 0.083% INHALATION NEBULIZATION SOLUTION</t>
        </is>
      </c>
      <c r="E483" s="6" t="inlineStr">
        <is>
          <t>90.0</t>
        </is>
      </c>
      <c r="F483" s="7" t="n">
        <v>90</v>
      </c>
      <c r="G483" s="7" t="n">
        <v>1</v>
      </c>
      <c r="H483" s="7" t="n">
        <v>0</v>
      </c>
      <c r="I483" s="7" t="n">
        <v>-1</v>
      </c>
      <c r="J483" s="8" t="n">
        <v>2</v>
      </c>
      <c r="K483" s="9">
        <f>IFERROR(IF((ROUND((J483/G483)*I483,1))&lt;0,(ROUND((J483/G483)*I483,1)),0),0)</f>
        <v/>
      </c>
    </row>
    <row r="484">
      <c r="A484" s="4" t="n">
        <v>481</v>
      </c>
      <c r="B484" s="5" t="inlineStr">
        <is>
          <t>CVS</t>
        </is>
      </c>
      <c r="C484" s="5" t="inlineStr">
        <is>
          <t>10135069712</t>
        </is>
      </c>
      <c r="D484" s="5" t="inlineStr">
        <is>
          <t>ALENDRONATE 70MG TABLET</t>
        </is>
      </c>
      <c r="E484" s="6" t="inlineStr">
        <is>
          <t>12.0</t>
        </is>
      </c>
      <c r="F484" s="7" t="n">
        <v>12</v>
      </c>
      <c r="G484" s="7" t="n">
        <v>1</v>
      </c>
      <c r="H484" s="7" t="n">
        <v>0</v>
      </c>
      <c r="I484" s="7" t="n">
        <v>-1</v>
      </c>
      <c r="J484" s="8" t="n">
        <v>2</v>
      </c>
      <c r="K484" s="9">
        <f>IFERROR(IF((ROUND((J484/G484)*I484,1))&lt;0,(ROUND((J484/G484)*I484,1)),0),0)</f>
        <v/>
      </c>
    </row>
    <row r="485">
      <c r="A485" s="4" t="n">
        <v>482</v>
      </c>
      <c r="B485" s="5" t="inlineStr">
        <is>
          <t>CVS</t>
        </is>
      </c>
      <c r="C485" s="5" t="inlineStr">
        <is>
          <t>69097042112</t>
        </is>
      </c>
      <c r="D485" s="5" t="inlineStr">
        <is>
          <t>CELECOXIB 200 MG ORAL CAPSULE</t>
        </is>
      </c>
      <c r="E485" s="6" t="inlineStr">
        <is>
          <t>500.0</t>
        </is>
      </c>
      <c r="F485" s="7" t="n">
        <v>60</v>
      </c>
      <c r="G485" s="7" t="n">
        <v>0.12</v>
      </c>
      <c r="H485" s="7" t="n">
        <v>0</v>
      </c>
      <c r="I485" s="7" t="n">
        <v>-0.12</v>
      </c>
      <c r="J485" s="8" t="n">
        <v>2</v>
      </c>
      <c r="K485" s="9">
        <f>IFERROR(IF((ROUND((J485/G485)*I485,1))&lt;0,(ROUND((J485/G485)*I485,1)),0),0)</f>
        <v/>
      </c>
    </row>
    <row r="486">
      <c r="A486" s="4" t="n">
        <v>483</v>
      </c>
      <c r="B486" s="5" t="inlineStr">
        <is>
          <t>CVS</t>
        </is>
      </c>
      <c r="C486" s="5" t="inlineStr">
        <is>
          <t>13668000805</t>
        </is>
      </c>
      <c r="D486" s="5" t="inlineStr">
        <is>
          <t xml:space="preserve">ZOLPIDEM TARTRATE 10MG TAB </t>
        </is>
      </c>
      <c r="E486" s="6" t="inlineStr">
        <is>
          <t>500.0</t>
        </is>
      </c>
      <c r="F486" s="7" t="n">
        <v>270</v>
      </c>
      <c r="G486" s="7" t="n">
        <v>0.54</v>
      </c>
      <c r="H486" s="7" t="n">
        <v>0</v>
      </c>
      <c r="I486" s="7" t="n">
        <v>-0.54</v>
      </c>
      <c r="J486" s="8" t="n">
        <v>2</v>
      </c>
      <c r="K486" s="9">
        <f>IFERROR(IF((ROUND((J486/G486)*I486,1))&lt;0,(ROUND((J486/G486)*I486,1)),0),0)</f>
        <v/>
      </c>
    </row>
    <row r="487">
      <c r="A487" s="4" t="n">
        <v>484</v>
      </c>
      <c r="B487" s="5" t="inlineStr">
        <is>
          <t>CVS</t>
        </is>
      </c>
      <c r="C487" s="5" t="inlineStr">
        <is>
          <t>72888000901</t>
        </is>
      </c>
      <c r="D487" s="5" t="inlineStr">
        <is>
          <t>BACLOFEN 5 MG ORAL TABLET</t>
        </is>
      </c>
      <c r="E487" s="6" t="inlineStr">
        <is>
          <t>100.0</t>
        </is>
      </c>
      <c r="F487" s="7" t="n">
        <v>30</v>
      </c>
      <c r="G487" s="7" t="n">
        <v>0.3</v>
      </c>
      <c r="H487" s="7" t="n">
        <v>0</v>
      </c>
      <c r="I487" s="7" t="n">
        <v>-0.3</v>
      </c>
      <c r="J487" s="8" t="n">
        <v>2</v>
      </c>
      <c r="K487" s="9">
        <f>IFERROR(IF((ROUND((J487/G487)*I487,1))&lt;0,(ROUND((J487/G487)*I487,1)),0),0)</f>
        <v/>
      </c>
    </row>
    <row r="488">
      <c r="A488" s="4" t="n">
        <v>485</v>
      </c>
      <c r="B488" s="5" t="inlineStr">
        <is>
          <t>CVS</t>
        </is>
      </c>
      <c r="C488" s="5" t="inlineStr">
        <is>
          <t>65862016899</t>
        </is>
      </c>
      <c r="D488" s="5" t="inlineStr">
        <is>
          <t>ATENOLOL 25MG TABLET</t>
        </is>
      </c>
      <c r="E488" s="6" t="inlineStr">
        <is>
          <t>1000.0</t>
        </is>
      </c>
      <c r="F488" s="7" t="n">
        <v>90</v>
      </c>
      <c r="G488" s="7" t="n">
        <v>0.09</v>
      </c>
      <c r="H488" s="7" t="n">
        <v>0</v>
      </c>
      <c r="I488" s="7" t="n">
        <v>-0.09</v>
      </c>
      <c r="J488" s="8" t="n">
        <v>2</v>
      </c>
      <c r="K488" s="9">
        <f>IFERROR(IF((ROUND((J488/G488)*I488,1))&lt;0,(ROUND((J488/G488)*I488,1)),0),0)</f>
        <v/>
      </c>
    </row>
    <row r="489">
      <c r="A489" s="4" t="n">
        <v>486</v>
      </c>
      <c r="B489" s="5" t="inlineStr">
        <is>
          <t>CVS</t>
        </is>
      </c>
      <c r="C489" s="5" t="inlineStr">
        <is>
          <t>43598096830</t>
        </is>
      </c>
      <c r="D489" s="5" t="inlineStr">
        <is>
          <t>ARIPIPRAZOLE 15MG TABLET</t>
        </is>
      </c>
      <c r="E489" s="6" t="inlineStr">
        <is>
          <t>30.0</t>
        </is>
      </c>
      <c r="F489" s="7" t="n">
        <v>30</v>
      </c>
      <c r="G489" s="7" t="n">
        <v>1</v>
      </c>
      <c r="H489" s="7" t="n">
        <v>0</v>
      </c>
      <c r="I489" s="7" t="n">
        <v>-1</v>
      </c>
      <c r="J489" s="8" t="n">
        <v>2</v>
      </c>
      <c r="K489" s="9">
        <f>IFERROR(IF((ROUND((J489/G489)*I489,1))&lt;0,(ROUND((J489/G489)*I489,1)),0),0)</f>
        <v/>
      </c>
    </row>
    <row r="490">
      <c r="A490" s="4" t="n">
        <v>487</v>
      </c>
      <c r="B490" s="5" t="inlineStr">
        <is>
          <t>CVS</t>
        </is>
      </c>
      <c r="C490" s="5" t="inlineStr">
        <is>
          <t>43547027511</t>
        </is>
      </c>
      <c r="D490" s="5" t="inlineStr">
        <is>
          <t xml:space="preserve">DONEPEZIL 5MG TAB </t>
        </is>
      </c>
      <c r="E490" s="6" t="inlineStr">
        <is>
          <t>1000.0</t>
        </is>
      </c>
      <c r="F490" s="7" t="n">
        <v>120</v>
      </c>
      <c r="G490" s="7" t="n">
        <v>0.12</v>
      </c>
      <c r="H490" s="7" t="n">
        <v>0</v>
      </c>
      <c r="I490" s="7" t="n">
        <v>-0.12</v>
      </c>
      <c r="J490" s="8" t="n">
        <v>2</v>
      </c>
      <c r="K490" s="9">
        <f>IFERROR(IF((ROUND((J490/G490)*I490,1))&lt;0,(ROUND((J490/G490)*I490,1)),0),0)</f>
        <v/>
      </c>
    </row>
    <row r="491">
      <c r="A491" s="4" t="n">
        <v>488</v>
      </c>
      <c r="B491" s="5" t="inlineStr">
        <is>
          <t>CVS</t>
        </is>
      </c>
      <c r="C491" s="5" t="inlineStr">
        <is>
          <t>67877012405</t>
        </is>
      </c>
      <c r="D491" s="5" t="inlineStr">
        <is>
          <t>SILVER SULFADIAZINE 1 % EXTERNAL CREAM</t>
        </is>
      </c>
      <c r="E491" s="6" t="inlineStr">
        <is>
          <t>50.0</t>
        </is>
      </c>
      <c r="F491" s="7" t="n">
        <v>50</v>
      </c>
      <c r="G491" s="7" t="n">
        <v>1</v>
      </c>
      <c r="H491" s="7" t="n">
        <v>0</v>
      </c>
      <c r="I491" s="7" t="n">
        <v>-1</v>
      </c>
      <c r="J491" s="8" t="n">
        <v>2</v>
      </c>
      <c r="K491" s="9">
        <f>IFERROR(IF((ROUND((J491/G491)*I491,1))&lt;0,(ROUND((J491/G491)*I491,1)),0),0)</f>
        <v/>
      </c>
    </row>
    <row r="492">
      <c r="A492" s="4" t="n">
        <v>489</v>
      </c>
      <c r="B492" s="5" t="inlineStr">
        <is>
          <t>CVS</t>
        </is>
      </c>
      <c r="C492" s="5" t="inlineStr">
        <is>
          <t>61442010305</t>
        </is>
      </c>
      <c r="D492" s="5" t="inlineStr">
        <is>
          <t xml:space="preserve">DICLOFENAC SOD 75MG TAB DR </t>
        </is>
      </c>
      <c r="E492" s="6" t="inlineStr">
        <is>
          <t>500.0</t>
        </is>
      </c>
      <c r="F492" s="7" t="n">
        <v>30</v>
      </c>
      <c r="G492" s="7" t="n">
        <v>0.06</v>
      </c>
      <c r="H492" s="7" t="n">
        <v>0</v>
      </c>
      <c r="I492" s="7" t="n">
        <v>-0.06</v>
      </c>
      <c r="J492" s="8" t="n">
        <v>2</v>
      </c>
      <c r="K492" s="9">
        <f>IFERROR(IF((ROUND((J492/G492)*I492,1))&lt;0,(ROUND((J492/G492)*I492,1)),0),0)</f>
        <v/>
      </c>
    </row>
    <row r="493">
      <c r="A493" s="4" t="n">
        <v>490</v>
      </c>
      <c r="B493" s="5" t="inlineStr">
        <is>
          <t>CVS</t>
        </is>
      </c>
      <c r="C493" s="5" t="inlineStr">
        <is>
          <t>68180029503</t>
        </is>
      </c>
      <c r="D493" s="5" t="inlineStr">
        <is>
          <t>DULOXETINE 30MG  CAPSULE DR</t>
        </is>
      </c>
      <c r="E493" s="6" t="inlineStr">
        <is>
          <t>1000.0</t>
        </is>
      </c>
      <c r="F493" s="7" t="n">
        <v>180</v>
      </c>
      <c r="G493" s="7" t="n">
        <v>0.18</v>
      </c>
      <c r="H493" s="7" t="n">
        <v>0</v>
      </c>
      <c r="I493" s="7" t="n">
        <v>-0.18</v>
      </c>
      <c r="J493" s="8" t="n">
        <v>2</v>
      </c>
      <c r="K493" s="9">
        <f>IFERROR(IF((ROUND((J493/G493)*I493,1))&lt;0,(ROUND((J493/G493)*I493,1)),0),0)</f>
        <v/>
      </c>
    </row>
    <row r="494">
      <c r="A494" s="4" t="n">
        <v>491</v>
      </c>
      <c r="B494" s="5" t="inlineStr">
        <is>
          <t>CVS</t>
        </is>
      </c>
      <c r="C494" s="5" t="inlineStr">
        <is>
          <t>00093970210</t>
        </is>
      </c>
      <c r="D494" s="5" t="inlineStr">
        <is>
          <t xml:space="preserve">CARBIDOPA-LEVODOPA 25-100 MG TABLET </t>
        </is>
      </c>
      <c r="E494" s="6" t="inlineStr">
        <is>
          <t>1000.0</t>
        </is>
      </c>
      <c r="F494" s="7" t="n">
        <v>90</v>
      </c>
      <c r="G494" s="7" t="n">
        <v>0.09</v>
      </c>
      <c r="H494" s="7" t="n">
        <v>0</v>
      </c>
      <c r="I494" s="7" t="n">
        <v>-0.09</v>
      </c>
      <c r="J494" s="8" t="n">
        <v>2</v>
      </c>
      <c r="K494" s="9">
        <f>IFERROR(IF((ROUND((J494/G494)*I494,1))&lt;0,(ROUND((J494/G494)*I494,1)),0),0)</f>
        <v/>
      </c>
    </row>
    <row r="495">
      <c r="A495" s="4" t="n">
        <v>492</v>
      </c>
      <c r="B495" s="5" t="inlineStr">
        <is>
          <t>CVS</t>
        </is>
      </c>
      <c r="C495" s="5" t="inlineStr">
        <is>
          <t>69097042207</t>
        </is>
      </c>
      <c r="D495" s="5" t="inlineStr">
        <is>
          <t xml:space="preserve">CELECOXIB 100MG CAP </t>
        </is>
      </c>
      <c r="E495" s="6" t="inlineStr">
        <is>
          <t>100.0</t>
        </is>
      </c>
      <c r="F495" s="7" t="n">
        <v>120</v>
      </c>
      <c r="G495" s="7" t="n">
        <v>1.2</v>
      </c>
      <c r="H495" s="7" t="n">
        <v>0</v>
      </c>
      <c r="I495" s="7" t="n">
        <v>-1.2</v>
      </c>
      <c r="J495" s="8" t="n">
        <v>2</v>
      </c>
      <c r="K495" s="9">
        <f>IFERROR(IF((ROUND((J495/G495)*I495,1))&lt;0,(ROUND((J495/G495)*I495,1)),0),0)</f>
        <v/>
      </c>
    </row>
    <row r="496">
      <c r="A496" s="4" t="n">
        <v>493</v>
      </c>
      <c r="B496" s="5" t="inlineStr">
        <is>
          <t>CVS</t>
        </is>
      </c>
      <c r="C496" s="5" t="inlineStr">
        <is>
          <t>00781809003</t>
        </is>
      </c>
      <c r="D496" s="5" t="inlineStr">
        <is>
          <t>AZITHROMYCIN 500MG TAB</t>
        </is>
      </c>
      <c r="E496" s="6" t="inlineStr">
        <is>
          <t>3.0</t>
        </is>
      </c>
      <c r="F496" s="7" t="n">
        <v>5</v>
      </c>
      <c r="G496" s="7" t="n">
        <v>1.666666666666667</v>
      </c>
      <c r="H496" s="7" t="n">
        <v>0</v>
      </c>
      <c r="I496" s="7" t="n">
        <v>-1.666666666666667</v>
      </c>
      <c r="J496" s="8" t="n">
        <v>2</v>
      </c>
      <c r="K496" s="9">
        <f>IFERROR(IF((ROUND((J496/G496)*I496,1))&lt;0,(ROUND((J496/G496)*I496,1)),0),0)</f>
        <v/>
      </c>
    </row>
    <row r="497">
      <c r="A497" s="4" t="n">
        <v>494</v>
      </c>
      <c r="B497" s="5" t="inlineStr">
        <is>
          <t>CVS</t>
        </is>
      </c>
      <c r="C497" s="5" t="inlineStr">
        <is>
          <t>60505014101</t>
        </is>
      </c>
      <c r="D497" s="5" t="inlineStr">
        <is>
          <t xml:space="preserve">GLIPIZIDE 5MG TAB </t>
        </is>
      </c>
      <c r="E497" s="6" t="inlineStr">
        <is>
          <t>1000.0</t>
        </is>
      </c>
      <c r="F497" s="7" t="n">
        <v>120</v>
      </c>
      <c r="G497" s="7" t="n">
        <v>0.12</v>
      </c>
      <c r="H497" s="7" t="n">
        <v>0</v>
      </c>
      <c r="I497" s="7" t="n">
        <v>-0.12</v>
      </c>
      <c r="J497" s="8" t="n">
        <v>2</v>
      </c>
      <c r="K497" s="9">
        <f>IFERROR(IF((ROUND((J497/G497)*I497,1))&lt;0,(ROUND((J497/G497)*I497,1)),0),0)</f>
        <v/>
      </c>
    </row>
    <row r="498">
      <c r="A498" s="4" t="n">
        <v>495</v>
      </c>
      <c r="B498" s="5" t="inlineStr">
        <is>
          <t>CVS</t>
        </is>
      </c>
      <c r="C498" s="5" t="inlineStr">
        <is>
          <t>68180046801</t>
        </is>
      </c>
      <c r="D498" s="5" t="inlineStr">
        <is>
          <t xml:space="preserve">LOVASTATIN 20MG TAB </t>
        </is>
      </c>
      <c r="E498" s="6" t="inlineStr">
        <is>
          <t>100.0</t>
        </is>
      </c>
      <c r="F498" s="7" t="n">
        <v>90</v>
      </c>
      <c r="G498" s="7" t="n">
        <v>0.9</v>
      </c>
      <c r="H498" s="7" t="n">
        <v>0</v>
      </c>
      <c r="I498" s="7" t="n">
        <v>-0.9</v>
      </c>
      <c r="J498" s="8" t="n">
        <v>2</v>
      </c>
      <c r="K498" s="9">
        <f>IFERROR(IF((ROUND((J498/G498)*I498,1))&lt;0,(ROUND((J498/G498)*I498,1)),0),0)</f>
        <v/>
      </c>
    </row>
    <row r="499">
      <c r="A499" s="4" t="n">
        <v>496</v>
      </c>
      <c r="B499" s="5" t="inlineStr">
        <is>
          <t>CVS</t>
        </is>
      </c>
      <c r="C499" s="5" t="inlineStr">
        <is>
          <t>64980043401</t>
        </is>
      </c>
      <c r="D499" s="5" t="inlineStr">
        <is>
          <t>MIDODRINE 5MG TABLET</t>
        </is>
      </c>
      <c r="E499" s="6" t="inlineStr">
        <is>
          <t>100.0</t>
        </is>
      </c>
      <c r="F499" s="7" t="n">
        <v>12</v>
      </c>
      <c r="G499" s="7" t="n">
        <v>0.12</v>
      </c>
      <c r="H499" s="7" t="n">
        <v>0</v>
      </c>
      <c r="I499" s="7" t="n">
        <v>-0.12</v>
      </c>
      <c r="J499" s="8" t="n">
        <v>2</v>
      </c>
      <c r="K499" s="9">
        <f>IFERROR(IF((ROUND((J499/G499)*I499,1))&lt;0,(ROUND((J499/G499)*I499,1)),0),0)</f>
        <v/>
      </c>
    </row>
    <row r="500">
      <c r="A500" s="4" t="n">
        <v>497</v>
      </c>
      <c r="B500" s="5" t="inlineStr">
        <is>
          <t>CVS</t>
        </is>
      </c>
      <c r="C500" s="5" t="inlineStr">
        <is>
          <t>70010006410</t>
        </is>
      </c>
      <c r="D500" s="5" t="inlineStr">
        <is>
          <t>METFORMIN 850 MG TABLET</t>
        </is>
      </c>
      <c r="E500" s="6" t="inlineStr">
        <is>
          <t>1000.0</t>
        </is>
      </c>
      <c r="F500" s="7" t="n">
        <v>180</v>
      </c>
      <c r="G500" s="7" t="n">
        <v>0.18</v>
      </c>
      <c r="H500" s="7" t="n">
        <v>0</v>
      </c>
      <c r="I500" s="7" t="n">
        <v>-0.18</v>
      </c>
      <c r="J500" s="8" t="n">
        <v>2</v>
      </c>
      <c r="K500" s="9">
        <f>IFERROR(IF((ROUND((J500/G500)*I500,1))&lt;0,(ROUND((J500/G500)*I500,1)),0),0)</f>
        <v/>
      </c>
    </row>
    <row r="501">
      <c r="A501" s="4" t="n">
        <v>498</v>
      </c>
      <c r="B501" s="5" t="inlineStr">
        <is>
          <t>CVS</t>
        </is>
      </c>
      <c r="C501" s="5" t="inlineStr">
        <is>
          <t>68462015713</t>
        </is>
      </c>
      <c r="D501" s="5" t="inlineStr">
        <is>
          <t xml:space="preserve">ONDANSETRON ODT  4MG TAB </t>
        </is>
      </c>
      <c r="E501" s="6" t="inlineStr">
        <is>
          <t>30.0</t>
        </is>
      </c>
      <c r="F501" s="7" t="n">
        <v>20</v>
      </c>
      <c r="G501" s="7" t="n">
        <v>0.6666666666666666</v>
      </c>
      <c r="H501" s="7" t="n">
        <v>0</v>
      </c>
      <c r="I501" s="7" t="n">
        <v>-0.6666666666666666</v>
      </c>
      <c r="J501" s="8" t="n">
        <v>2</v>
      </c>
      <c r="K501" s="9">
        <f>IFERROR(IF((ROUND((J501/G501)*I501,1))&lt;0,(ROUND((J501/G501)*I501,1)),0),0)</f>
        <v/>
      </c>
    </row>
    <row r="502">
      <c r="A502" s="4" t="n">
        <v>499</v>
      </c>
      <c r="B502" s="5" t="inlineStr">
        <is>
          <t>CVS</t>
        </is>
      </c>
      <c r="C502" s="5" t="inlineStr">
        <is>
          <t>00093171601</t>
        </is>
      </c>
      <c r="D502" s="5" t="inlineStr">
        <is>
          <t xml:space="preserve">WARFARIN 4MG TAB </t>
        </is>
      </c>
      <c r="E502" s="6" t="inlineStr">
        <is>
          <t>100.0</t>
        </is>
      </c>
      <c r="F502" s="7" t="n">
        <v>50</v>
      </c>
      <c r="G502" s="7" t="n">
        <v>0.5</v>
      </c>
      <c r="H502" s="7" t="n">
        <v>1</v>
      </c>
      <c r="I502" s="7" t="n">
        <v>0.5</v>
      </c>
      <c r="J502" s="8" t="n">
        <v>2</v>
      </c>
      <c r="K502" s="9">
        <f>IFERROR(IF((ROUND((J502/G502)*I502,1))&lt;0,(ROUND((J502/G502)*I502,1)),0),0)</f>
        <v/>
      </c>
    </row>
    <row r="503">
      <c r="A503" s="4" t="n">
        <v>500</v>
      </c>
      <c r="B503" s="5" t="inlineStr">
        <is>
          <t>CVS</t>
        </is>
      </c>
      <c r="C503" s="5" t="inlineStr">
        <is>
          <t>59651054005</t>
        </is>
      </c>
      <c r="D503" s="5" t="inlineStr">
        <is>
          <t>ISOSORBIDE MONONITRATE ER 60 MG ORAL TABLET EXTENDED RELEASE 24 HOUR</t>
        </is>
      </c>
      <c r="E503" s="6" t="inlineStr">
        <is>
          <t>500.0</t>
        </is>
      </c>
      <c r="F503" s="7" t="n">
        <v>30</v>
      </c>
      <c r="G503" s="7" t="n">
        <v>0.06</v>
      </c>
      <c r="H503" s="7" t="n">
        <v>0</v>
      </c>
      <c r="I503" s="7" t="n">
        <v>-0.06</v>
      </c>
      <c r="J503" s="8" t="n">
        <v>2</v>
      </c>
      <c r="K503" s="9">
        <f>IFERROR(IF((ROUND((J503/G503)*I503,1))&lt;0,(ROUND((J503/G503)*I503,1)),0),0)</f>
        <v/>
      </c>
    </row>
    <row r="504">
      <c r="A504" s="4" t="n">
        <v>501</v>
      </c>
      <c r="B504" s="5" t="inlineStr">
        <is>
          <t>CVS</t>
        </is>
      </c>
      <c r="C504" s="5" t="inlineStr">
        <is>
          <t>23155000810</t>
        </is>
      </c>
      <c r="D504" s="5" t="inlineStr">
        <is>
          <t>HYDROCHLOROTHIAZIDE 25MG TABLET</t>
        </is>
      </c>
      <c r="E504" s="6" t="inlineStr">
        <is>
          <t>1000.0</t>
        </is>
      </c>
      <c r="F504" s="7" t="n">
        <v>870</v>
      </c>
      <c r="G504" s="7" t="n">
        <v>0.87</v>
      </c>
      <c r="H504" s="7" t="n">
        <v>0</v>
      </c>
      <c r="I504" s="7" t="n">
        <v>-0.87</v>
      </c>
      <c r="J504" s="8" t="n">
        <v>2</v>
      </c>
      <c r="K504" s="9">
        <f>IFERROR(IF((ROUND((J504/G504)*I504,1))&lt;0,(ROUND((J504/G504)*I504,1)),0),0)</f>
        <v/>
      </c>
    </row>
    <row r="505">
      <c r="A505" s="4" t="n">
        <v>502</v>
      </c>
      <c r="B505" s="5" t="inlineStr">
        <is>
          <t>CVS</t>
        </is>
      </c>
      <c r="C505" s="5" t="inlineStr">
        <is>
          <t>69315015501</t>
        </is>
      </c>
      <c r="D505" s="5" t="inlineStr">
        <is>
          <t>HYDROCHLOROTHIAZIDE 12.5MG TABLET</t>
        </is>
      </c>
      <c r="E505" s="6" t="inlineStr">
        <is>
          <t>100.0</t>
        </is>
      </c>
      <c r="F505" s="7" t="n">
        <v>90</v>
      </c>
      <c r="G505" s="7" t="n">
        <v>0.9</v>
      </c>
      <c r="H505" s="7" t="n">
        <v>0</v>
      </c>
      <c r="I505" s="7" t="n">
        <v>-0.9</v>
      </c>
      <c r="J505" s="8" t="n">
        <v>2</v>
      </c>
      <c r="K505" s="9">
        <f>IFERROR(IF((ROUND((J505/G505)*I505,1))&lt;0,(ROUND((J505/G505)*I505,1)),0),0)</f>
        <v/>
      </c>
    </row>
    <row r="506">
      <c r="A506" s="4" t="n">
        <v>503</v>
      </c>
      <c r="B506" s="5" t="inlineStr">
        <is>
          <t>CVS</t>
        </is>
      </c>
      <c r="C506" s="5" t="inlineStr">
        <is>
          <t>67877026218</t>
        </is>
      </c>
      <c r="D506" s="5" t="inlineStr">
        <is>
          <t>RIZATRIPTAN BENZOATE 10MG TABLET</t>
        </is>
      </c>
      <c r="E506" s="6" t="inlineStr">
        <is>
          <t>18.0</t>
        </is>
      </c>
      <c r="F506" s="7" t="n">
        <v>12</v>
      </c>
      <c r="G506" s="7" t="n">
        <v>0.6666666666666666</v>
      </c>
      <c r="H506" s="7" t="n">
        <v>0</v>
      </c>
      <c r="I506" s="7" t="n">
        <v>-0.6666666666666666</v>
      </c>
      <c r="J506" s="8" t="n">
        <v>2</v>
      </c>
      <c r="K506" s="9">
        <f>IFERROR(IF((ROUND((J506/G506)*I506,1))&lt;0,(ROUND((J506/G506)*I506,1)),0),0)</f>
        <v/>
      </c>
    </row>
    <row r="507">
      <c r="A507" s="4" t="n">
        <v>504</v>
      </c>
      <c r="B507" s="5" t="inlineStr">
        <is>
          <t>CVS</t>
        </is>
      </c>
      <c r="C507" s="5" t="inlineStr">
        <is>
          <t>67877024910</t>
        </is>
      </c>
      <c r="D507" s="5" t="inlineStr">
        <is>
          <t>QUETIAPINE 50MG TABLET</t>
        </is>
      </c>
      <c r="E507" s="6" t="inlineStr">
        <is>
          <t>1000.0</t>
        </is>
      </c>
      <c r="F507" s="7" t="n">
        <v>90</v>
      </c>
      <c r="G507" s="7" t="n">
        <v>0.09</v>
      </c>
      <c r="H507" s="7" t="n">
        <v>0</v>
      </c>
      <c r="I507" s="7" t="n">
        <v>-0.09</v>
      </c>
      <c r="J507" s="8" t="n">
        <v>2</v>
      </c>
      <c r="K507" s="9">
        <f>IFERROR(IF((ROUND((J507/G507)*I507,1))&lt;0,(ROUND((J507/G507)*I507,1)),0),0)</f>
        <v/>
      </c>
    </row>
    <row r="508">
      <c r="A508" s="4" t="n">
        <v>505</v>
      </c>
      <c r="B508" s="5" t="inlineStr">
        <is>
          <t>CVS</t>
        </is>
      </c>
      <c r="C508" s="5" t="inlineStr">
        <is>
          <t>67877025001</t>
        </is>
      </c>
      <c r="D508" s="5" t="inlineStr">
        <is>
          <t>QUETIAPINE FUMARATE 100MG TABLET</t>
        </is>
      </c>
      <c r="E508" s="6" t="inlineStr">
        <is>
          <t>100.0</t>
        </is>
      </c>
      <c r="F508" s="7" t="n">
        <v>180</v>
      </c>
      <c r="G508" s="7" t="n">
        <v>1.8</v>
      </c>
      <c r="H508" s="7" t="n">
        <v>0</v>
      </c>
      <c r="I508" s="7" t="n">
        <v>-1.8</v>
      </c>
      <c r="J508" s="8" t="n">
        <v>2</v>
      </c>
      <c r="K508" s="9">
        <f>IFERROR(IF((ROUND((J508/G508)*I508,1))&lt;0,(ROUND((J508/G508)*I508,1)),0),0)</f>
        <v/>
      </c>
    </row>
    <row r="509">
      <c r="A509" s="4" t="n">
        <v>506</v>
      </c>
      <c r="B509" s="5" t="inlineStr">
        <is>
          <t>CVS</t>
        </is>
      </c>
      <c r="C509" s="5" t="inlineStr">
        <is>
          <t>68382013805</t>
        </is>
      </c>
      <c r="D509" s="5" t="inlineStr">
        <is>
          <t>TOPIRAMATE 25MG TABLET</t>
        </is>
      </c>
      <c r="E509" s="6" t="inlineStr">
        <is>
          <t>500.0</t>
        </is>
      </c>
      <c r="F509" s="7" t="n">
        <v>30</v>
      </c>
      <c r="G509" s="7" t="n">
        <v>0.06</v>
      </c>
      <c r="H509" s="7" t="n">
        <v>0</v>
      </c>
      <c r="I509" s="7" t="n">
        <v>-0.06</v>
      </c>
      <c r="J509" s="8" t="n">
        <v>2</v>
      </c>
      <c r="K509" s="9">
        <f>IFERROR(IF((ROUND((J509/G509)*I509,1))&lt;0,(ROUND((J509/G509)*I509,1)),0),0)</f>
        <v/>
      </c>
    </row>
    <row r="510">
      <c r="A510" s="4" t="n">
        <v>507</v>
      </c>
      <c r="B510" s="5" t="inlineStr">
        <is>
          <t>CVS</t>
        </is>
      </c>
      <c r="C510" s="5" t="inlineStr">
        <is>
          <t>72888001400</t>
        </is>
      </c>
      <c r="D510" s="5" t="inlineStr">
        <is>
          <t>CYCLOBENZAPRINE 10MG TABLET</t>
        </is>
      </c>
      <c r="E510" s="6" t="inlineStr">
        <is>
          <t>1000.0</t>
        </is>
      </c>
      <c r="F510" s="7" t="n">
        <v>295</v>
      </c>
      <c r="G510" s="7" t="n">
        <v>0.295</v>
      </c>
      <c r="H510" s="7" t="n">
        <v>0</v>
      </c>
      <c r="I510" s="7" t="n">
        <v>-0.295</v>
      </c>
      <c r="J510" s="8" t="n">
        <v>2</v>
      </c>
      <c r="K510" s="9">
        <f>IFERROR(IF((ROUND((J510/G510)*I510,1))&lt;0,(ROUND((J510/G510)*I510,1)),0),0)</f>
        <v/>
      </c>
    </row>
    <row r="511">
      <c r="A511" s="4" t="n">
        <v>508</v>
      </c>
      <c r="B511" s="5" t="inlineStr">
        <is>
          <t>CVS</t>
        </is>
      </c>
      <c r="C511" s="5" t="inlineStr">
        <is>
          <t>00904052360</t>
        </is>
      </c>
      <c r="D511" s="5" t="inlineStr">
        <is>
          <t>VITAMIN C 500MG TABLET</t>
        </is>
      </c>
      <c r="E511" s="6" t="inlineStr">
        <is>
          <t>100.0</t>
        </is>
      </c>
      <c r="F511" s="7" t="n">
        <v>90</v>
      </c>
      <c r="G511" s="7" t="n">
        <v>0.9</v>
      </c>
      <c r="H511" s="7" t="n">
        <v>0</v>
      </c>
      <c r="I511" s="7" t="n">
        <v>-0.9</v>
      </c>
      <c r="J511" s="8" t="n">
        <v>1</v>
      </c>
      <c r="K511" s="9">
        <f>IFERROR(IF((ROUND((J511/G511)*I511,1))&lt;0,(ROUND((J511/G511)*I511,1)),0),0)</f>
        <v/>
      </c>
    </row>
    <row r="512">
      <c r="A512" s="4" t="n">
        <v>509</v>
      </c>
      <c r="B512" s="5" t="inlineStr">
        <is>
          <t>CVS</t>
        </is>
      </c>
      <c r="C512" s="5" t="inlineStr">
        <is>
          <t>68180098003</t>
        </is>
      </c>
      <c r="D512" s="5" t="inlineStr">
        <is>
          <t>LISINOPRIL 10MG TABLET</t>
        </is>
      </c>
      <c r="E512" s="6" t="inlineStr">
        <is>
          <t>1000.0</t>
        </is>
      </c>
      <c r="F512" s="7" t="n">
        <v>90</v>
      </c>
      <c r="G512" s="7" t="n">
        <v>0.09</v>
      </c>
      <c r="H512" s="7" t="n">
        <v>0</v>
      </c>
      <c r="I512" s="7" t="n">
        <v>-0.09</v>
      </c>
      <c r="J512" s="8" t="n">
        <v>1</v>
      </c>
      <c r="K512" s="9">
        <f>IFERROR(IF((ROUND((J512/G512)*I512,1))&lt;0,(ROUND((J512/G512)*I512,1)),0),0)</f>
        <v/>
      </c>
    </row>
    <row r="513">
      <c r="A513" s="4" t="n">
        <v>510</v>
      </c>
      <c r="B513" s="5" t="inlineStr">
        <is>
          <t>CVS</t>
        </is>
      </c>
      <c r="C513" s="5" t="inlineStr">
        <is>
          <t>55111032005</t>
        </is>
      </c>
      <c r="D513" s="5" t="inlineStr">
        <is>
          <t>GLIMEPIRIDE 1 MG ORAL TABLET</t>
        </is>
      </c>
      <c r="E513" s="6" t="inlineStr">
        <is>
          <t>500.0</t>
        </is>
      </c>
      <c r="F513" s="7" t="n">
        <v>30</v>
      </c>
      <c r="G513" s="7" t="n">
        <v>0.06</v>
      </c>
      <c r="H513" s="7" t="n">
        <v>0</v>
      </c>
      <c r="I513" s="7" t="n">
        <v>-0.06</v>
      </c>
      <c r="J513" s="8" t="n">
        <v>1</v>
      </c>
      <c r="K513" s="9">
        <f>IFERROR(IF((ROUND((J513/G513)*I513,1))&lt;0,(ROUND((J513/G513)*I513,1)),0),0)</f>
        <v/>
      </c>
    </row>
    <row r="514">
      <c r="A514" s="4" t="n">
        <v>511</v>
      </c>
      <c r="B514" s="5" t="inlineStr">
        <is>
          <t>CVS</t>
        </is>
      </c>
      <c r="C514" s="5" t="inlineStr">
        <is>
          <t>67877031905</t>
        </is>
      </c>
      <c r="D514" s="5" t="inlineStr">
        <is>
          <t>IBUPROFEN 400MG TABLET</t>
        </is>
      </c>
      <c r="E514" s="6" t="inlineStr">
        <is>
          <t>500.0</t>
        </is>
      </c>
      <c r="F514" s="7" t="n">
        <v>88</v>
      </c>
      <c r="G514" s="7" t="n">
        <v>0.176</v>
      </c>
      <c r="H514" s="7" t="n">
        <v>2</v>
      </c>
      <c r="I514" s="7" t="n">
        <v>1.824</v>
      </c>
      <c r="J514" s="8" t="n">
        <v>1</v>
      </c>
      <c r="K514" s="9">
        <f>IFERROR(IF((ROUND((J514/G514)*I514,1))&lt;0,(ROUND((J514/G514)*I514,1)),0),0)</f>
        <v/>
      </c>
    </row>
    <row r="515">
      <c r="A515" s="4" t="n">
        <v>512</v>
      </c>
      <c r="B515" s="5" t="inlineStr">
        <is>
          <t>CVS</t>
        </is>
      </c>
      <c r="C515" s="5" t="inlineStr">
        <is>
          <t>23155050110</t>
        </is>
      </c>
      <c r="D515" s="5" t="inlineStr">
        <is>
          <t>HYDROXYZINE HCL 25MG TABLET</t>
        </is>
      </c>
      <c r="E515" s="6" t="inlineStr">
        <is>
          <t>1000.0</t>
        </is>
      </c>
      <c r="F515" s="7" t="n">
        <v>67</v>
      </c>
      <c r="G515" s="7" t="n">
        <v>0.067</v>
      </c>
      <c r="H515" s="7" t="n">
        <v>0</v>
      </c>
      <c r="I515" s="7" t="n">
        <v>-0.067</v>
      </c>
      <c r="J515" s="8" t="n">
        <v>1</v>
      </c>
      <c r="K515" s="9">
        <f>IFERROR(IF((ROUND((J515/G515)*I515,1))&lt;0,(ROUND((J515/G515)*I515,1)),0),0)</f>
        <v/>
      </c>
    </row>
    <row r="516">
      <c r="A516" s="4" t="n">
        <v>513</v>
      </c>
      <c r="B516" s="5" t="inlineStr">
        <is>
          <t>CVS</t>
        </is>
      </c>
      <c r="C516" s="5" t="inlineStr">
        <is>
          <t>65862022801</t>
        </is>
      </c>
      <c r="D516" s="5" t="inlineStr">
        <is>
          <t>LAMOTRIGINE 100MG TABLET</t>
        </is>
      </c>
      <c r="E516" s="6" t="inlineStr">
        <is>
          <t>100.0</t>
        </is>
      </c>
      <c r="F516" s="7" t="n">
        <v>30</v>
      </c>
      <c r="G516" s="7" t="n">
        <v>0.3</v>
      </c>
      <c r="H516" s="7" t="n">
        <v>0</v>
      </c>
      <c r="I516" s="7" t="n">
        <v>-0.3</v>
      </c>
      <c r="J516" s="8" t="n">
        <v>1</v>
      </c>
      <c r="K516" s="9">
        <f>IFERROR(IF((ROUND((J516/G516)*I516,1))&lt;0,(ROUND((J516/G516)*I516,1)),0),0)</f>
        <v/>
      </c>
    </row>
    <row r="517">
      <c r="A517" s="4" t="n">
        <v>514</v>
      </c>
      <c r="B517" s="5" t="inlineStr">
        <is>
          <t>CVS</t>
        </is>
      </c>
      <c r="C517" s="5" t="inlineStr">
        <is>
          <t>31722072250</t>
        </is>
      </c>
      <c r="D517" s="5" t="inlineStr">
        <is>
          <t xml:space="preserve">LEVOFLOXACIN 500MG TAB </t>
        </is>
      </c>
      <c r="E517" s="6" t="inlineStr">
        <is>
          <t>50.0</t>
        </is>
      </c>
      <c r="F517" s="7" t="n">
        <v>24</v>
      </c>
      <c r="G517" s="7" t="n">
        <v>0.48</v>
      </c>
      <c r="H517" s="7" t="n">
        <v>0</v>
      </c>
      <c r="I517" s="7" t="n">
        <v>-0.48</v>
      </c>
      <c r="J517" s="8" t="n">
        <v>1</v>
      </c>
      <c r="K517" s="9">
        <f>IFERROR(IF((ROUND((J517/G517)*I517,1))&lt;0,(ROUND((J517/G517)*I517,1)),0),0)</f>
        <v/>
      </c>
    </row>
    <row r="518">
      <c r="A518" s="4" t="n">
        <v>515</v>
      </c>
      <c r="B518" s="5" t="inlineStr">
        <is>
          <t>CVS</t>
        </is>
      </c>
      <c r="C518" s="5" t="inlineStr">
        <is>
          <t>67877024210</t>
        </is>
      </c>
      <c r="D518" s="5" t="inlineStr">
        <is>
          <t>QUETIAPINE FUMARATE 25 MG ORAL TABLET</t>
        </is>
      </c>
      <c r="E518" s="6" t="inlineStr">
        <is>
          <t>1000.0</t>
        </is>
      </c>
      <c r="F518" s="7" t="n">
        <v>90</v>
      </c>
      <c r="G518" s="7" t="n">
        <v>0.09</v>
      </c>
      <c r="H518" s="7" t="n">
        <v>0</v>
      </c>
      <c r="I518" s="7" t="n">
        <v>-0.09</v>
      </c>
      <c r="J518" s="8" t="n">
        <v>1</v>
      </c>
      <c r="K518" s="9">
        <f>IFERROR(IF((ROUND((J518/G518)*I518,1))&lt;0,(ROUND((J518/G518)*I518,1)),0),0)</f>
        <v/>
      </c>
    </row>
    <row r="519">
      <c r="A519" s="4" t="n">
        <v>516</v>
      </c>
      <c r="B519" s="5" t="inlineStr">
        <is>
          <t>CVS</t>
        </is>
      </c>
      <c r="C519" s="5" t="inlineStr">
        <is>
          <t>51672403001</t>
        </is>
      </c>
      <c r="D519" s="5" t="inlineStr">
        <is>
          <t>WARFARIN SODIUM 3MG TABLET</t>
        </is>
      </c>
      <c r="E519" s="6" t="inlineStr">
        <is>
          <t>100.0</t>
        </is>
      </c>
      <c r="F519" s="7" t="n">
        <v>35</v>
      </c>
      <c r="G519" s="7" t="n">
        <v>0.35</v>
      </c>
      <c r="H519" s="7" t="n">
        <v>0</v>
      </c>
      <c r="I519" s="7" t="n">
        <v>-0.35</v>
      </c>
      <c r="J519" s="8" t="n">
        <v>1</v>
      </c>
      <c r="K519" s="9">
        <f>IFERROR(IF((ROUND((J519/G519)*I519,1))&lt;0,(ROUND((J519/G519)*I519,1)),0),0)</f>
        <v/>
      </c>
    </row>
    <row r="520">
      <c r="A520" s="4" t="n">
        <v>517</v>
      </c>
      <c r="B520" s="5" t="inlineStr">
        <is>
          <t>CVS</t>
        </is>
      </c>
      <c r="C520" s="5" t="inlineStr">
        <is>
          <t>13107015430</t>
        </is>
      </c>
      <c r="D520" s="5" t="inlineStr">
        <is>
          <t>PAROXETINE 10MG TABLET</t>
        </is>
      </c>
      <c r="E520" s="6" t="inlineStr">
        <is>
          <t>30.0</t>
        </is>
      </c>
      <c r="F520" s="7" t="n">
        <v>60</v>
      </c>
      <c r="G520" s="7" t="n">
        <v>2</v>
      </c>
      <c r="H520" s="7" t="n">
        <v>0</v>
      </c>
      <c r="I520" s="7" t="n">
        <v>-2</v>
      </c>
      <c r="J520" s="8" t="n">
        <v>1</v>
      </c>
      <c r="K520" s="9">
        <f>IFERROR(IF((ROUND((J520/G520)*I520,1))&lt;0,(ROUND((J520/G520)*I520,1)),0),0)</f>
        <v/>
      </c>
    </row>
    <row r="521">
      <c r="A521" s="4" t="n">
        <v>518</v>
      </c>
      <c r="B521" s="5" t="inlineStr">
        <is>
          <t>CVS</t>
        </is>
      </c>
      <c r="C521" s="5" t="inlineStr">
        <is>
          <t>69367024101</t>
        </is>
      </c>
      <c r="D521" s="5" t="inlineStr">
        <is>
          <t>NABUMETONE 500MG TABLET</t>
        </is>
      </c>
      <c r="E521" s="6" t="inlineStr">
        <is>
          <t>100.0</t>
        </is>
      </c>
      <c r="F521" s="7" t="n">
        <v>28</v>
      </c>
      <c r="G521" s="7" t="n">
        <v>0.28</v>
      </c>
      <c r="H521" s="7" t="n">
        <v>0</v>
      </c>
      <c r="I521" s="7" t="n">
        <v>-0.28</v>
      </c>
      <c r="J521" s="8" t="n">
        <v>1</v>
      </c>
      <c r="K521" s="9">
        <f>IFERROR(IF((ROUND((J521/G521)*I521,1))&lt;0,(ROUND((J521/G521)*I521,1)),0),0)</f>
        <v/>
      </c>
    </row>
    <row r="522">
      <c r="A522" s="4" t="n">
        <v>519</v>
      </c>
      <c r="B522" s="5" t="inlineStr">
        <is>
          <t>CVS</t>
        </is>
      </c>
      <c r="C522" s="5" t="inlineStr">
        <is>
          <t>51672400101</t>
        </is>
      </c>
      <c r="D522" s="5" t="inlineStr">
        <is>
          <t>NORTRIPTYLINE 10MG CAPSULE</t>
        </is>
      </c>
      <c r="E522" s="6" t="inlineStr">
        <is>
          <t>100.0</t>
        </is>
      </c>
      <c r="F522" s="7" t="n">
        <v>30</v>
      </c>
      <c r="G522" s="7" t="n">
        <v>0.3</v>
      </c>
      <c r="H522" s="7" t="n">
        <v>0</v>
      </c>
      <c r="I522" s="7" t="n">
        <v>-0.3</v>
      </c>
      <c r="J522" s="8" t="n">
        <v>1</v>
      </c>
      <c r="K522" s="9">
        <f>IFERROR(IF((ROUND((J522/G522)*I522,1))&lt;0,(ROUND((J522/G522)*I522,1)),0),0)</f>
        <v/>
      </c>
    </row>
    <row r="523">
      <c r="A523" s="4" t="n">
        <v>520</v>
      </c>
      <c r="B523" s="5" t="inlineStr">
        <is>
          <t>CVS</t>
        </is>
      </c>
      <c r="C523" s="5" t="inlineStr">
        <is>
          <t>68462039610</t>
        </is>
      </c>
      <c r="D523" s="5" t="inlineStr">
        <is>
          <t>OMEPRAZOLE 20MG CAPSULE DR</t>
        </is>
      </c>
      <c r="E523" s="6" t="inlineStr">
        <is>
          <t>1000.0</t>
        </is>
      </c>
      <c r="F523" s="7" t="n">
        <v>120</v>
      </c>
      <c r="G523" s="7" t="n">
        <v>0.12</v>
      </c>
      <c r="H523" s="7" t="n">
        <v>2</v>
      </c>
      <c r="I523" s="7" t="n">
        <v>1.88</v>
      </c>
      <c r="J523" s="8" t="n">
        <v>1</v>
      </c>
      <c r="K523" s="9">
        <f>IFERROR(IF((ROUND((J523/G523)*I523,1))&lt;0,(ROUND((J523/G523)*I523,1)),0),0)</f>
        <v/>
      </c>
    </row>
    <row r="524">
      <c r="A524" s="4" t="n">
        <v>521</v>
      </c>
      <c r="B524" s="5" t="inlineStr">
        <is>
          <t>CVS</t>
        </is>
      </c>
      <c r="C524" s="5" t="inlineStr">
        <is>
          <t>65862018830</t>
        </is>
      </c>
      <c r="D524" s="5" t="inlineStr">
        <is>
          <t xml:space="preserve">ONDANSETRON 8MG TAB </t>
        </is>
      </c>
      <c r="E524" s="6" t="inlineStr">
        <is>
          <t>30.0</t>
        </is>
      </c>
      <c r="F524" s="7" t="n">
        <v>30</v>
      </c>
      <c r="G524" s="7" t="n">
        <v>1</v>
      </c>
      <c r="H524" s="7" t="n">
        <v>0</v>
      </c>
      <c r="I524" s="7" t="n">
        <v>-1</v>
      </c>
      <c r="J524" s="8" t="n">
        <v>1</v>
      </c>
      <c r="K524" s="9">
        <f>IFERROR(IF((ROUND((J524/G524)*I524,1))&lt;0,(ROUND((J524/G524)*I524,1)),0),0)</f>
        <v/>
      </c>
    </row>
    <row r="525">
      <c r="A525" s="4" t="n">
        <v>522</v>
      </c>
      <c r="B525" s="5" t="inlineStr">
        <is>
          <t>CVS</t>
        </is>
      </c>
      <c r="C525" s="5" t="inlineStr">
        <is>
          <t>00832532411</t>
        </is>
      </c>
      <c r="D525" s="5" t="inlineStr">
        <is>
          <t>POTASSIUM CHLORIDE 10MEQ TABLET ER</t>
        </is>
      </c>
      <c r="E525" s="6" t="inlineStr">
        <is>
          <t>100.0</t>
        </is>
      </c>
      <c r="F525" s="7" t="n">
        <v>30</v>
      </c>
      <c r="G525" s="7" t="n">
        <v>0.3</v>
      </c>
      <c r="H525" s="7" t="n">
        <v>0</v>
      </c>
      <c r="I525" s="7" t="n">
        <v>-0.3</v>
      </c>
      <c r="J525" s="8" t="n">
        <v>1</v>
      </c>
      <c r="K525" s="9">
        <f>IFERROR(IF((ROUND((J525/G525)*I525,1))&lt;0,(ROUND((J525/G525)*I525,1)),0),0)</f>
        <v/>
      </c>
    </row>
    <row r="526">
      <c r="A526" s="4" t="n">
        <v>523</v>
      </c>
      <c r="B526" s="5" t="inlineStr">
        <is>
          <t>CVS</t>
        </is>
      </c>
      <c r="C526" s="5" t="inlineStr">
        <is>
          <t>70010013801</t>
        </is>
      </c>
      <c r="D526" s="5" t="inlineStr">
        <is>
          <t>NAPROXEN 375 MG TABLET</t>
        </is>
      </c>
      <c r="E526" s="6" t="inlineStr">
        <is>
          <t>100.0</t>
        </is>
      </c>
      <c r="F526" s="7" t="n">
        <v>28</v>
      </c>
      <c r="G526" s="7" t="n">
        <v>0.28</v>
      </c>
      <c r="H526" s="7" t="n">
        <v>3</v>
      </c>
      <c r="I526" s="7" t="n">
        <v>2.72</v>
      </c>
      <c r="J526" s="8" t="n">
        <v>1</v>
      </c>
      <c r="K526" s="9">
        <f>IFERROR(IF((ROUND((J526/G526)*I526,1))&lt;0,(ROUND((J526/G526)*I526,1)),0),0)</f>
        <v/>
      </c>
    </row>
    <row r="527">
      <c r="A527" s="4" t="n">
        <v>524</v>
      </c>
      <c r="B527" s="5" t="inlineStr">
        <is>
          <t>CVS</t>
        </is>
      </c>
      <c r="C527" s="5" t="inlineStr">
        <is>
          <t>69097015915</t>
        </is>
      </c>
      <c r="D527" s="5" t="inlineStr">
        <is>
          <t>MELOXICAM 15MG TABLET</t>
        </is>
      </c>
      <c r="E527" s="6" t="inlineStr">
        <is>
          <t>1000.0</t>
        </is>
      </c>
      <c r="F527" s="7" t="n">
        <v>30</v>
      </c>
      <c r="G527" s="7" t="n">
        <v>0.03</v>
      </c>
      <c r="H527" s="7" t="n">
        <v>0</v>
      </c>
      <c r="I527" s="7" t="n">
        <v>-0.03</v>
      </c>
      <c r="J527" s="8" t="n">
        <v>1</v>
      </c>
      <c r="K527" s="9">
        <f>IFERROR(IF((ROUND((J527/G527)*I527,1))&lt;0,(ROUND((J527/G527)*I527,1)),0),0)</f>
        <v/>
      </c>
    </row>
    <row r="528">
      <c r="A528" s="4" t="n">
        <v>525</v>
      </c>
      <c r="B528" s="5" t="inlineStr">
        <is>
          <t>CVS</t>
        </is>
      </c>
      <c r="C528" s="5" t="inlineStr">
        <is>
          <t>65862052305</t>
        </is>
      </c>
      <c r="D528" s="5" t="inlineStr">
        <is>
          <t>GABAPENTIN 600MG TABLET</t>
        </is>
      </c>
      <c r="E528" s="6" t="inlineStr">
        <is>
          <t>500.0</t>
        </is>
      </c>
      <c r="F528" s="7" t="n">
        <v>60</v>
      </c>
      <c r="G528" s="7" t="n">
        <v>0.12</v>
      </c>
      <c r="H528" s="7" t="n">
        <v>1</v>
      </c>
      <c r="I528" s="7" t="n">
        <v>0.88</v>
      </c>
      <c r="J528" s="8" t="n">
        <v>1</v>
      </c>
      <c r="K528" s="9">
        <f>IFERROR(IF((ROUND((J528/G528)*I528,1))&lt;0,(ROUND((J528/G528)*I528,1)),0),0)</f>
        <v/>
      </c>
    </row>
    <row r="529">
      <c r="A529" s="4" t="n">
        <v>526</v>
      </c>
      <c r="B529" s="5" t="inlineStr">
        <is>
          <t>CVS</t>
        </is>
      </c>
      <c r="C529" s="5" t="inlineStr">
        <is>
          <t>69097082212</t>
        </is>
      </c>
      <c r="D529" s="5" t="inlineStr">
        <is>
          <t>CITALOPRAM 10MG TABLET</t>
        </is>
      </c>
      <c r="E529" s="6" t="inlineStr">
        <is>
          <t>500.0</t>
        </is>
      </c>
      <c r="F529" s="7" t="n">
        <v>180</v>
      </c>
      <c r="G529" s="7" t="n">
        <v>0.36</v>
      </c>
      <c r="H529" s="7" t="n">
        <v>0</v>
      </c>
      <c r="I529" s="7" t="n">
        <v>-0.36</v>
      </c>
      <c r="J529" s="8" t="n">
        <v>1</v>
      </c>
      <c r="K529" s="9">
        <f>IFERROR(IF((ROUND((J529/G529)*I529,1))&lt;0,(ROUND((J529/G529)*I529,1)),0),0)</f>
        <v/>
      </c>
    </row>
    <row r="530">
      <c r="A530" s="4" t="n">
        <v>527</v>
      </c>
      <c r="B530" s="5" t="inlineStr">
        <is>
          <t>CVS</t>
        </is>
      </c>
      <c r="C530" s="5" t="inlineStr">
        <is>
          <t>69680011225</t>
        </is>
      </c>
      <c r="D530" s="5" t="inlineStr">
        <is>
          <t>CYANOCOBALAMIN 1000 MCG/ML INJECTION SOLUTION</t>
        </is>
      </c>
      <c r="E530" s="6" t="inlineStr">
        <is>
          <t>25.0</t>
        </is>
      </c>
      <c r="F530" s="7" t="n">
        <v>1</v>
      </c>
      <c r="G530" s="7" t="n">
        <v>0.04</v>
      </c>
      <c r="H530" s="7" t="n">
        <v>0</v>
      </c>
      <c r="I530" s="7" t="n">
        <v>-0.04</v>
      </c>
      <c r="J530" s="8" t="n">
        <v>1</v>
      </c>
      <c r="K530" s="9">
        <f>IFERROR(IF((ROUND((J530/G530)*I530,1))&lt;0,(ROUND((J530/G530)*I530,1)),0),0)</f>
        <v/>
      </c>
    </row>
    <row r="531">
      <c r="A531" s="4" t="n">
        <v>528</v>
      </c>
      <c r="B531" s="5" t="inlineStr">
        <is>
          <t>CVS</t>
        </is>
      </c>
      <c r="C531" s="5" t="inlineStr">
        <is>
          <t>71921016201</t>
        </is>
      </c>
      <c r="D531" s="5" t="inlineStr">
        <is>
          <t>DOXEPIN 10MG CAPSULE</t>
        </is>
      </c>
      <c r="E531" s="6" t="inlineStr">
        <is>
          <t>100.0</t>
        </is>
      </c>
      <c r="F531" s="7" t="n">
        <v>30</v>
      </c>
      <c r="G531" s="7" t="n">
        <v>0.3</v>
      </c>
      <c r="H531" s="7" t="n">
        <v>0</v>
      </c>
      <c r="I531" s="7" t="n">
        <v>-0.3</v>
      </c>
      <c r="J531" s="8" t="n">
        <v>1</v>
      </c>
      <c r="K531" s="9">
        <f>IFERROR(IF((ROUND((J531/G531)*I531,1))&lt;0,(ROUND((J531/G531)*I531,1)),0),0)</f>
        <v/>
      </c>
    </row>
    <row r="532">
      <c r="A532" s="4" t="n">
        <v>529</v>
      </c>
      <c r="B532" s="5" t="inlineStr">
        <is>
          <t>CVS</t>
        </is>
      </c>
      <c r="C532" s="5" t="inlineStr">
        <is>
          <t>68180029407</t>
        </is>
      </c>
      <c r="D532" s="5" t="inlineStr">
        <is>
          <t>DULOXETINE 20MG CAPSULE DR</t>
        </is>
      </c>
      <c r="E532" s="6" t="inlineStr">
        <is>
          <t>60.0</t>
        </is>
      </c>
      <c r="F532" s="7" t="n">
        <v>30</v>
      </c>
      <c r="G532" s="7" t="n">
        <v>0.5</v>
      </c>
      <c r="H532" s="7" t="n">
        <v>0</v>
      </c>
      <c r="I532" s="7" t="n">
        <v>-0.5</v>
      </c>
      <c r="J532" s="8" t="n">
        <v>1</v>
      </c>
      <c r="K532" s="9">
        <f>IFERROR(IF((ROUND((J532/G532)*I532,1))&lt;0,(ROUND((J532/G532)*I532,1)),0),0)</f>
        <v/>
      </c>
    </row>
    <row r="533">
      <c r="A533" s="4" t="n">
        <v>530</v>
      </c>
      <c r="B533" s="5" t="inlineStr">
        <is>
          <t>CVS</t>
        </is>
      </c>
      <c r="C533" s="5" t="inlineStr">
        <is>
          <t>00904728080</t>
        </is>
      </c>
      <c r="D533" s="5" t="inlineStr">
        <is>
          <t>DOCUSATE SODIUM 100MG CAPSULE ****NYM</t>
        </is>
      </c>
      <c r="E533" s="6" t="inlineStr">
        <is>
          <t>1000.0</t>
        </is>
      </c>
      <c r="F533" s="7" t="n">
        <v>60</v>
      </c>
      <c r="G533" s="7" t="n">
        <v>0.06</v>
      </c>
      <c r="H533" s="7" t="n">
        <v>0</v>
      </c>
      <c r="I533" s="7" t="n">
        <v>-0.06</v>
      </c>
      <c r="J533" s="8" t="n">
        <v>1</v>
      </c>
      <c r="K533" s="9">
        <f>IFERROR(IF((ROUND((J533/G533)*I533,1))&lt;0,(ROUND((J533/G533)*I533,1)),0),0)</f>
        <v/>
      </c>
    </row>
    <row r="534">
      <c r="A534" s="4" t="n">
        <v>531</v>
      </c>
      <c r="B534" s="5" t="inlineStr">
        <is>
          <t>CVS</t>
        </is>
      </c>
      <c r="C534" s="5" t="inlineStr">
        <is>
          <t>65862001105</t>
        </is>
      </c>
      <c r="D534" s="5" t="inlineStr">
        <is>
          <t>SERTRALINE 25MG TABLET</t>
        </is>
      </c>
      <c r="E534" s="6" t="inlineStr">
        <is>
          <t>500.0</t>
        </is>
      </c>
      <c r="F534" s="7" t="n">
        <v>210</v>
      </c>
      <c r="G534" s="7" t="n">
        <v>0.42</v>
      </c>
      <c r="H534" s="7" t="n">
        <v>0</v>
      </c>
      <c r="I534" s="7" t="n">
        <v>-0.42</v>
      </c>
      <c r="J534" s="8" t="n">
        <v>1</v>
      </c>
      <c r="K534" s="9">
        <f>IFERROR(IF((ROUND((J534/G534)*I534,1))&lt;0,(ROUND((J534/G534)*I534,1)),0),0)</f>
        <v/>
      </c>
    </row>
    <row r="535">
      <c r="A535" s="4" t="n">
        <v>532</v>
      </c>
      <c r="B535" s="5" t="inlineStr">
        <is>
          <t>CVS</t>
        </is>
      </c>
      <c r="C535" s="5" t="inlineStr">
        <is>
          <t>00904662735</t>
        </is>
      </c>
      <c r="D535" s="5" t="inlineStr">
        <is>
          <t>EAR DROPS 6.5% SOLUTION</t>
        </is>
      </c>
      <c r="E535" s="6" t="inlineStr">
        <is>
          <t>15.0</t>
        </is>
      </c>
      <c r="F535" s="7" t="n">
        <v>15</v>
      </c>
      <c r="G535" s="7" t="n">
        <v>1</v>
      </c>
      <c r="H535" s="7" t="n">
        <v>0</v>
      </c>
      <c r="I535" s="7" t="n">
        <v>-1</v>
      </c>
      <c r="J535" s="8" t="n">
        <v>1</v>
      </c>
      <c r="K535" s="9">
        <f>IFERROR(IF((ROUND((J535/G535)*I535,1))&lt;0,(ROUND((J535/G535)*I535,1)),0),0)</f>
        <v/>
      </c>
    </row>
    <row r="536">
      <c r="A536" s="4" t="n">
        <v>533</v>
      </c>
      <c r="B536" s="5" t="inlineStr">
        <is>
          <t>CVS</t>
        </is>
      </c>
      <c r="C536" s="5" t="inlineStr">
        <is>
          <t>00591079410</t>
        </is>
      </c>
      <c r="D536" s="5" t="inlineStr">
        <is>
          <t>DICYCLOMINE HCL 10MG CAP</t>
        </is>
      </c>
      <c r="E536" s="6" t="inlineStr">
        <is>
          <t>1000.0</t>
        </is>
      </c>
      <c r="F536" s="7" t="n">
        <v>30</v>
      </c>
      <c r="G536" s="7" t="n">
        <v>0.03</v>
      </c>
      <c r="H536" s="7" t="n">
        <v>0</v>
      </c>
      <c r="I536" s="7" t="n">
        <v>-0.03</v>
      </c>
      <c r="J536" s="8" t="n">
        <v>1</v>
      </c>
      <c r="K536" s="9">
        <f>IFERROR(IF((ROUND((J536/G536)*I536,1))&lt;0,(ROUND((J536/G536)*I536,1)),0),0)</f>
        <v/>
      </c>
    </row>
    <row r="537">
      <c r="A537" s="4" t="n">
        <v>534</v>
      </c>
      <c r="B537" s="5" t="inlineStr">
        <is>
          <t>CVS</t>
        </is>
      </c>
      <c r="C537" s="5" t="inlineStr">
        <is>
          <t>57237023301</t>
        </is>
      </c>
      <c r="D537" s="5" t="inlineStr">
        <is>
          <t>SULFAMETHOXAZOLE-TRIMETHOPRIM 800-160MG TABLET</t>
        </is>
      </c>
      <c r="E537" s="6" t="inlineStr">
        <is>
          <t>100.0</t>
        </is>
      </c>
      <c r="F537" s="7" t="n">
        <v>20</v>
      </c>
      <c r="G537" s="7" t="n">
        <v>0.2</v>
      </c>
      <c r="H537" s="7" t="n">
        <v>1</v>
      </c>
      <c r="I537" s="7" t="n">
        <v>0.8</v>
      </c>
      <c r="J537" s="8" t="n">
        <v>1</v>
      </c>
      <c r="K537" s="9">
        <f>IFERROR(IF((ROUND((J537/G537)*I537,1))&lt;0,(ROUND((J537/G537)*I537,1)),0),0)</f>
        <v/>
      </c>
    </row>
    <row r="538">
      <c r="A538" s="4" t="n">
        <v>535</v>
      </c>
      <c r="B538" s="5" t="inlineStr">
        <is>
          <t>CVS</t>
        </is>
      </c>
      <c r="C538" s="5" t="inlineStr">
        <is>
          <t>16571040250</t>
        </is>
      </c>
      <c r="D538" s="5" t="inlineStr">
        <is>
          <t xml:space="preserve">CETIRIZINE 10MG TAB </t>
        </is>
      </c>
      <c r="E538" s="6" t="inlineStr">
        <is>
          <t>500.0</t>
        </is>
      </c>
      <c r="F538" s="7" t="n">
        <v>60</v>
      </c>
      <c r="G538" s="7" t="n">
        <v>0.12</v>
      </c>
      <c r="H538" s="7" t="n">
        <v>0</v>
      </c>
      <c r="I538" s="7" t="n">
        <v>-0.12</v>
      </c>
      <c r="J538" s="8" t="n">
        <v>1</v>
      </c>
      <c r="K538" s="9">
        <f>IFERROR(IF((ROUND((J538/G538)*I538,1))&lt;0,(ROUND((J538/G538)*I538,1)),0),0)</f>
        <v/>
      </c>
    </row>
    <row r="539">
      <c r="A539" s="4" t="n">
        <v>536</v>
      </c>
      <c r="B539" s="5" t="inlineStr">
        <is>
          <t>CVS</t>
        </is>
      </c>
      <c r="C539" s="5" t="inlineStr">
        <is>
          <t>60219234805</t>
        </is>
      </c>
      <c r="D539" s="5" t="inlineStr">
        <is>
          <t>TRAMADOL 50 MG TABLET</t>
        </is>
      </c>
      <c r="E539" s="6" t="inlineStr">
        <is>
          <t>500.0</t>
        </is>
      </c>
      <c r="F539" s="7" t="n">
        <v>40</v>
      </c>
      <c r="G539" s="7" t="n">
        <v>0.08</v>
      </c>
      <c r="H539" s="7" t="n">
        <v>0</v>
      </c>
      <c r="I539" s="7" t="n">
        <v>-0.08</v>
      </c>
      <c r="J539" s="8" t="n">
        <v>1</v>
      </c>
      <c r="K539" s="9">
        <f>IFERROR(IF((ROUND((J539/G539)*I539,1))&lt;0,(ROUND((J539/G539)*I539,1)),0),0)</f>
        <v/>
      </c>
    </row>
    <row r="540">
      <c r="A540" s="4" t="n">
        <v>537</v>
      </c>
      <c r="B540" s="5" t="inlineStr">
        <is>
          <t>CVS</t>
        </is>
      </c>
      <c r="C540" s="5" t="inlineStr">
        <is>
          <t>59651072405</t>
        </is>
      </c>
      <c r="D540" s="5" t="inlineStr">
        <is>
          <t>CLONAZEPAM 2MG TABLET</t>
        </is>
      </c>
      <c r="E540" s="6" t="inlineStr">
        <is>
          <t>500.0</t>
        </is>
      </c>
      <c r="F540" s="7" t="n">
        <v>150</v>
      </c>
      <c r="G540" s="7" t="n">
        <v>0.3</v>
      </c>
      <c r="H540" s="7" t="n">
        <v>1</v>
      </c>
      <c r="I540" s="7" t="n">
        <v>0.7</v>
      </c>
      <c r="J540" s="8" t="n">
        <v>1</v>
      </c>
      <c r="K540" s="9">
        <f>IFERROR(IF((ROUND((J540/G540)*I540,1))&lt;0,(ROUND((J540/G540)*I540,1)),0),0)</f>
        <v/>
      </c>
    </row>
    <row r="541">
      <c r="A541" s="4" t="n">
        <v>538</v>
      </c>
      <c r="B541" s="5" t="inlineStr">
        <is>
          <t>CVS</t>
        </is>
      </c>
      <c r="C541" s="5" t="inlineStr">
        <is>
          <t>35573045408</t>
        </is>
      </c>
      <c r="D541" s="5" t="inlineStr">
        <is>
          <t>BENZOYL PEROXIDE WASH 10 % EXTERNAL LIQUID</t>
        </is>
      </c>
      <c r="E541" s="6" t="inlineStr">
        <is>
          <t>237.0</t>
        </is>
      </c>
      <c r="F541" s="7" t="n">
        <v>237</v>
      </c>
      <c r="G541" s="7" t="n">
        <v>1</v>
      </c>
      <c r="H541" s="7" t="n">
        <v>0</v>
      </c>
      <c r="I541" s="7" t="n">
        <v>-1</v>
      </c>
      <c r="J541" s="8" t="n">
        <v>1</v>
      </c>
      <c r="K541" s="9">
        <f>IFERROR(IF((ROUND((J541/G541)*I541,1))&lt;0,(ROUND((J541/G541)*I541,1)),0),0)</f>
        <v/>
      </c>
    </row>
    <row r="542">
      <c r="A542" s="4" t="n">
        <v>539</v>
      </c>
      <c r="B542" s="5" t="inlineStr">
        <is>
          <t>CVS</t>
        </is>
      </c>
      <c r="C542" s="5" t="inlineStr">
        <is>
          <t>57237004230</t>
        </is>
      </c>
      <c r="D542" s="5" t="inlineStr">
        <is>
          <t>VALACYCLOVIR 500MG TABLET</t>
        </is>
      </c>
      <c r="E542" s="6" t="inlineStr">
        <is>
          <t>30.0</t>
        </is>
      </c>
      <c r="F542" s="7" t="n">
        <v>6</v>
      </c>
      <c r="G542" s="7" t="n">
        <v>0.2</v>
      </c>
      <c r="H542" s="7" t="n">
        <v>0</v>
      </c>
      <c r="I542" s="7" t="n">
        <v>-0.2</v>
      </c>
      <c r="J542" s="8" t="n">
        <v>1</v>
      </c>
      <c r="K542" s="9">
        <f>IFERROR(IF((ROUND((J542/G542)*I542,1))&lt;0,(ROUND((J542/G542)*I542,1)),0),0)</f>
        <v/>
      </c>
    </row>
    <row r="543">
      <c r="A543" s="4" t="n">
        <v>540</v>
      </c>
      <c r="B543" s="5" t="inlineStr">
        <is>
          <t>CVS</t>
        </is>
      </c>
      <c r="C543" s="5" t="inlineStr">
        <is>
          <t>00904701420</t>
        </is>
      </c>
      <c r="D543" s="5" t="inlineStr">
        <is>
          <t>ACETAMINOPHEN CHILDRENS 160 MG/5ML ORAL SOLUTION</t>
        </is>
      </c>
      <c r="E543" s="6" t="inlineStr">
        <is>
          <t>118.0</t>
        </is>
      </c>
      <c r="F543" s="7" t="n">
        <v>236</v>
      </c>
      <c r="G543" s="7" t="n">
        <v>2</v>
      </c>
      <c r="H543" s="7" t="n">
        <v>0</v>
      </c>
      <c r="I543" s="7" t="n">
        <v>-2</v>
      </c>
      <c r="J543" s="8" t="n">
        <v>1</v>
      </c>
      <c r="K543" s="9">
        <f>IFERROR(IF((ROUND((J543/G543)*I543,1))&lt;0,(ROUND((J543/G543)*I543,1)),0),0)</f>
        <v/>
      </c>
    </row>
    <row r="544">
      <c r="A544" s="4" t="n">
        <v>541</v>
      </c>
      <c r="B544" s="5" t="inlineStr">
        <is>
          <t>CVS</t>
        </is>
      </c>
      <c r="C544" s="5" t="inlineStr">
        <is>
          <t>00536132710</t>
        </is>
      </c>
      <c r="D544" s="5" t="inlineStr">
        <is>
          <t>ACETAMINOPHEN 325MG TABLET</t>
        </is>
      </c>
      <c r="E544" s="6" t="inlineStr">
        <is>
          <t>1000.0</t>
        </is>
      </c>
      <c r="F544" s="7" t="n">
        <v>120</v>
      </c>
      <c r="G544" s="7" t="n">
        <v>0.12</v>
      </c>
      <c r="H544" s="7" t="n">
        <v>0</v>
      </c>
      <c r="I544" s="7" t="n">
        <v>-0.12</v>
      </c>
      <c r="J544" s="8" t="n">
        <v>1</v>
      </c>
      <c r="K544" s="9">
        <f>IFERROR(IF((ROUND((J544/G544)*I544,1))&lt;0,(ROUND((J544/G544)*I544,1)),0),0)</f>
        <v/>
      </c>
    </row>
    <row r="545">
      <c r="E545" s="10" t="inlineStr">
        <is>
          <t>TOTAL</t>
        </is>
      </c>
      <c r="F545" s="11">
        <f>SUM(F4:F544)</f>
        <v/>
      </c>
      <c r="G545" s="11">
        <f>SUM(G4:G544)</f>
        <v/>
      </c>
      <c r="H545" s="11">
        <f>SUM(H4:H544)</f>
        <v/>
      </c>
      <c r="I545" s="11">
        <f>SUM(I4:I544)</f>
        <v/>
      </c>
      <c r="J545" s="12">
        <f>SUM(J4:J544)</f>
        <v/>
      </c>
      <c r="K545" s="13">
        <f>SUM(K4:K544)</f>
        <v/>
      </c>
    </row>
    <row r="546">
      <c r="J546" s="14" t="inlineStr">
        <is>
          <t>Audited Drugs Count</t>
        </is>
      </c>
      <c r="K546" s="15">
        <f>COUNTIF(K4:K544,"&lt;0")</f>
        <v/>
      </c>
    </row>
    <row r="547">
      <c r="J547" s="14" t="inlineStr">
        <is>
          <t>Total Audit Exposure</t>
        </is>
      </c>
      <c r="K547" s="16">
        <f>SUMIF(K4:K544,"&lt;0",K4:K544)</f>
        <v/>
      </c>
    </row>
  </sheetData>
  <autoFilter ref="A3:K544"/>
  <mergeCells count="2">
    <mergeCell ref="A2:K2"/>
    <mergeCell ref="A1:K1"/>
  </mergeCells>
  <conditionalFormatting sqref="E4:K54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96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trial4 — Feb 2026 - Feb 2026 — ESI</t>
        </is>
      </c>
    </row>
    <row r="2" ht="24" customHeight="1">
      <c r="A2" s="2" t="inlineStr">
        <is>
          <t>Overall ESI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ESI</t>
        </is>
      </c>
      <c r="G3" s="3" t="inlineStr">
        <is>
          <t>Packages Billed to ESI</t>
        </is>
      </c>
      <c r="H3" s="3" t="inlineStr">
        <is>
          <t>Total Qty Purchased</t>
        </is>
      </c>
      <c r="I3" s="3" t="inlineStr">
        <is>
          <t>Qty Difference for ESI</t>
        </is>
      </c>
      <c r="J3" s="3" t="inlineStr">
        <is>
          <t>Actual $ Paid by ESI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ESI</t>
        </is>
      </c>
      <c r="C4" s="5" t="inlineStr">
        <is>
          <t>00169477212</t>
        </is>
      </c>
      <c r="D4" s="5" t="inlineStr">
        <is>
          <t>OZEMPIC (2 MG/DOSE) 8 MG/3ML PEN-INJECTOR</t>
        </is>
      </c>
      <c r="E4" s="6" t="inlineStr">
        <is>
          <t>3.0</t>
        </is>
      </c>
      <c r="F4" s="7" t="n">
        <v>6</v>
      </c>
      <c r="G4" s="7" t="n">
        <v>2</v>
      </c>
      <c r="H4" s="7" t="n">
        <v>17</v>
      </c>
      <c r="I4" s="7" t="n">
        <v>15</v>
      </c>
      <c r="J4" s="8" t="n">
        <v>1858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ESI</t>
        </is>
      </c>
      <c r="C5" s="5" t="inlineStr">
        <is>
          <t>00169418113</t>
        </is>
      </c>
      <c r="D5" s="5" t="inlineStr">
        <is>
          <t>OZEMPIC (0.25 OR 0.5 MG/DOSE) 2 MG/3ML PEN-INJECTOR</t>
        </is>
      </c>
      <c r="E5" s="6" t="inlineStr">
        <is>
          <t>3.0</t>
        </is>
      </c>
      <c r="F5" s="7" t="n">
        <v>6</v>
      </c>
      <c r="G5" s="7" t="n">
        <v>2</v>
      </c>
      <c r="H5" s="7" t="n">
        <v>26</v>
      </c>
      <c r="I5" s="7" t="n">
        <v>24</v>
      </c>
      <c r="J5" s="8" t="n">
        <v>1845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ESI</t>
        </is>
      </c>
      <c r="C6" s="5" t="inlineStr">
        <is>
          <t>00597015230</t>
        </is>
      </c>
      <c r="D6" s="5" t="inlineStr">
        <is>
          <t xml:space="preserve">JARDIANCE 10MG TAB </t>
        </is>
      </c>
      <c r="E6" s="6" t="inlineStr">
        <is>
          <t>30.0</t>
        </is>
      </c>
      <c r="F6" s="7" t="n">
        <v>270</v>
      </c>
      <c r="G6" s="7" t="n">
        <v>9</v>
      </c>
      <c r="H6" s="7" t="n">
        <v>44</v>
      </c>
      <c r="I6" s="7" t="n">
        <v>35</v>
      </c>
      <c r="J6" s="8" t="n">
        <v>1842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ESI</t>
        </is>
      </c>
      <c r="C7" s="5" t="inlineStr">
        <is>
          <t>24208091112</t>
        </is>
      </c>
      <c r="D7" s="5" t="inlineStr">
        <is>
          <t>XIIDRA 5 % OPHTHALMIC SOLUTION</t>
        </is>
      </c>
      <c r="E7" s="6" t="inlineStr">
        <is>
          <t>60.0</t>
        </is>
      </c>
      <c r="F7" s="7" t="n">
        <v>180</v>
      </c>
      <c r="G7" s="7" t="n">
        <v>3</v>
      </c>
      <c r="H7" s="7" t="n">
        <v>24</v>
      </c>
      <c r="I7" s="7" t="n">
        <v>21</v>
      </c>
      <c r="J7" s="8" t="n">
        <v>1797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ESI</t>
        </is>
      </c>
      <c r="C8" s="5" t="inlineStr">
        <is>
          <t>00597014030</t>
        </is>
      </c>
      <c r="D8" s="5" t="inlineStr">
        <is>
          <t xml:space="preserve">TRADJENTA 5MG TAB </t>
        </is>
      </c>
      <c r="E8" s="6" t="inlineStr">
        <is>
          <t>30.0</t>
        </is>
      </c>
      <c r="F8" s="7" t="n">
        <v>90</v>
      </c>
      <c r="G8" s="7" t="n">
        <v>3</v>
      </c>
      <c r="H8" s="7" t="n">
        <v>10</v>
      </c>
      <c r="I8" s="7" t="n">
        <v>7</v>
      </c>
      <c r="J8" s="8" t="n">
        <v>1408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ESI</t>
        </is>
      </c>
      <c r="C9" s="5" t="inlineStr">
        <is>
          <t>00310461612</t>
        </is>
      </c>
      <c r="D9" s="5" t="inlineStr">
        <is>
          <t>BREZTRI AEROSPHERE 160-9-4.8 MCG/ACT INHALATION AEROSOL</t>
        </is>
      </c>
      <c r="E9" s="6" t="inlineStr">
        <is>
          <t>10.7</t>
        </is>
      </c>
      <c r="F9" s="7" t="n">
        <v>21.4</v>
      </c>
      <c r="G9" s="7" t="n">
        <v>2</v>
      </c>
      <c r="H9" s="7" t="n">
        <v>7</v>
      </c>
      <c r="I9" s="7" t="n">
        <v>5</v>
      </c>
      <c r="J9" s="8" t="n">
        <v>1207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ESI</t>
        </is>
      </c>
      <c r="C10" s="5" t="inlineStr">
        <is>
          <t>00597015330</t>
        </is>
      </c>
      <c r="D10" s="5" t="inlineStr">
        <is>
          <t xml:space="preserve">JARDIANCE 25MG TAB </t>
        </is>
      </c>
      <c r="E10" s="6" t="inlineStr">
        <is>
          <t>30.0</t>
        </is>
      </c>
      <c r="F10" s="7" t="n">
        <v>120</v>
      </c>
      <c r="G10" s="7" t="n">
        <v>4</v>
      </c>
      <c r="H10" s="7" t="n">
        <v>63</v>
      </c>
      <c r="I10" s="7" t="n">
        <v>59</v>
      </c>
      <c r="J10" s="8" t="n">
        <v>1068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ESI</t>
        </is>
      </c>
      <c r="C11" s="5" t="inlineStr">
        <is>
          <t>00002149580</t>
        </is>
      </c>
      <c r="D11" s="5" t="inlineStr">
        <is>
          <t>MOUNJARO 5 MG/0.5ML PEN-INJECTOR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14</v>
      </c>
      <c r="I11" s="7" t="n">
        <v>13</v>
      </c>
      <c r="J11" s="8" t="n">
        <v>1015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ESI</t>
        </is>
      </c>
      <c r="C12" s="5" t="inlineStr">
        <is>
          <t>00002146080</t>
        </is>
      </c>
      <c r="D12" s="5" t="inlineStr">
        <is>
          <t>MOUNJARO 12.5 MG/0.5ML PEN-INJECTOR</t>
        </is>
      </c>
      <c r="E12" s="6" t="inlineStr">
        <is>
          <t>2.0</t>
        </is>
      </c>
      <c r="F12" s="7" t="n">
        <v>2</v>
      </c>
      <c r="G12" s="7" t="n">
        <v>1</v>
      </c>
      <c r="H12" s="7" t="n">
        <v>2</v>
      </c>
      <c r="I12" s="7" t="n">
        <v>1</v>
      </c>
      <c r="J12" s="8" t="n">
        <v>979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ESI</t>
        </is>
      </c>
      <c r="C13" s="5" t="inlineStr">
        <is>
          <t>00169430730</t>
        </is>
      </c>
      <c r="D13" s="5" t="inlineStr">
        <is>
          <t>RYBELSUS 7MG TABLET</t>
        </is>
      </c>
      <c r="E13" s="6" t="inlineStr">
        <is>
          <t>30.0</t>
        </is>
      </c>
      <c r="F13" s="7" t="n">
        <v>30</v>
      </c>
      <c r="G13" s="7" t="n">
        <v>1</v>
      </c>
      <c r="H13" s="7" t="n">
        <v>0</v>
      </c>
      <c r="I13" s="7" t="n">
        <v>-1</v>
      </c>
      <c r="J13" s="8" t="n">
        <v>951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ESI</t>
        </is>
      </c>
      <c r="C14" s="5" t="inlineStr">
        <is>
          <t>00169431430</t>
        </is>
      </c>
      <c r="D14" s="5" t="inlineStr">
        <is>
          <t>RYBELSUS 14MG TABLET</t>
        </is>
      </c>
      <c r="E14" s="6" t="inlineStr">
        <is>
          <t>30.0</t>
        </is>
      </c>
      <c r="F14" s="7" t="n">
        <v>30</v>
      </c>
      <c r="G14" s="7" t="n">
        <v>1</v>
      </c>
      <c r="H14" s="7" t="n">
        <v>7</v>
      </c>
      <c r="I14" s="7" t="n">
        <v>6</v>
      </c>
      <c r="J14" s="8" t="n">
        <v>909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ESI</t>
        </is>
      </c>
      <c r="C15" s="5" t="inlineStr">
        <is>
          <t>00003089421</t>
        </is>
      </c>
      <c r="D15" s="5" t="inlineStr">
        <is>
          <t xml:space="preserve">ELIQUIS 5MG TAB </t>
        </is>
      </c>
      <c r="E15" s="6" t="inlineStr">
        <is>
          <t>60.0</t>
        </is>
      </c>
      <c r="F15" s="7" t="n">
        <v>180</v>
      </c>
      <c r="G15" s="7" t="n">
        <v>3</v>
      </c>
      <c r="H15" s="7" t="n">
        <v>39</v>
      </c>
      <c r="I15" s="7" t="n">
        <v>36</v>
      </c>
      <c r="J15" s="8" t="n">
        <v>734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ESI</t>
        </is>
      </c>
      <c r="C16" s="5" t="inlineStr">
        <is>
          <t>50458057830</t>
        </is>
      </c>
      <c r="D16" s="5" t="inlineStr">
        <is>
          <t>XARELTO 15MG TAB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0</v>
      </c>
      <c r="I16" s="7" t="n">
        <v>-3</v>
      </c>
      <c r="J16" s="8" t="n">
        <v>620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ESI</t>
        </is>
      </c>
      <c r="C17" s="5" t="inlineStr">
        <is>
          <t>50458057930</t>
        </is>
      </c>
      <c r="D17" s="5" t="inlineStr">
        <is>
          <t>XARELTO 20MG TAB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3</v>
      </c>
      <c r="I17" s="7" t="n">
        <v>0</v>
      </c>
      <c r="J17" s="8" t="n">
        <v>620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ESI</t>
        </is>
      </c>
      <c r="C18" s="5" t="inlineStr">
        <is>
          <t>00023916360</t>
        </is>
      </c>
      <c r="D18" s="5" t="inlineStr">
        <is>
          <t xml:space="preserve">RESTASIS 0.05% EMULSION </t>
        </is>
      </c>
      <c r="E18" s="6" t="inlineStr">
        <is>
          <t>60.0</t>
        </is>
      </c>
      <c r="F18" s="7" t="n">
        <v>60</v>
      </c>
      <c r="G18" s="7" t="n">
        <v>1</v>
      </c>
      <c r="H18" s="7" t="n">
        <v>32</v>
      </c>
      <c r="I18" s="7" t="n">
        <v>31</v>
      </c>
      <c r="J18" s="8" t="n">
        <v>588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ESI</t>
        </is>
      </c>
      <c r="C19" s="5" t="inlineStr">
        <is>
          <t>00093598627</t>
        </is>
      </c>
      <c r="D19" s="5" t="inlineStr">
        <is>
          <t>EPINEPHRINE 0.3MG/0.3ML INJECTION</t>
        </is>
      </c>
      <c r="E19" s="6" t="inlineStr">
        <is>
          <t>2.0</t>
        </is>
      </c>
      <c r="F19" s="7" t="n">
        <v>4</v>
      </c>
      <c r="G19" s="7" t="n">
        <v>2</v>
      </c>
      <c r="H19" s="7" t="n">
        <v>0</v>
      </c>
      <c r="I19" s="7" t="n">
        <v>-2</v>
      </c>
      <c r="J19" s="8" t="n">
        <v>583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ESI</t>
        </is>
      </c>
      <c r="C20" s="5" t="inlineStr">
        <is>
          <t>00310737020</t>
        </is>
      </c>
      <c r="D20" s="5" t="inlineStr">
        <is>
          <t>BUDESONIDE/FORMOTEROL 160 /4.5 MCG (SYMBICORT)</t>
        </is>
      </c>
      <c r="E20" s="6" t="inlineStr">
        <is>
          <t>10.2</t>
        </is>
      </c>
      <c r="F20" s="7" t="n">
        <v>30.6</v>
      </c>
      <c r="G20" s="7" t="n">
        <v>3</v>
      </c>
      <c r="H20" s="7" t="n">
        <v>9</v>
      </c>
      <c r="I20" s="7" t="n">
        <v>6</v>
      </c>
      <c r="J20" s="8" t="n">
        <v>544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ESI</t>
        </is>
      </c>
      <c r="C21" s="5" t="inlineStr">
        <is>
          <t>00310737220</t>
        </is>
      </c>
      <c r="D21" s="5" t="inlineStr">
        <is>
          <t>BUDESONIDE-FORMOTEROL FUMARATE 80-4.5MCG/ACT AEROSOL</t>
        </is>
      </c>
      <c r="E21" s="6" t="inlineStr">
        <is>
          <t>10.2</t>
        </is>
      </c>
      <c r="F21" s="7" t="n">
        <v>30.6</v>
      </c>
      <c r="G21" s="7" t="n">
        <v>3</v>
      </c>
      <c r="H21" s="7" t="n">
        <v>6</v>
      </c>
      <c r="I21" s="7" t="n">
        <v>3</v>
      </c>
      <c r="J21" s="8" t="n">
        <v>453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ESI</t>
        </is>
      </c>
      <c r="C22" s="5" t="inlineStr">
        <is>
          <t>70710115903</t>
        </is>
      </c>
      <c r="D22" s="5" t="inlineStr">
        <is>
          <t>MIRABEGRON ER 25MG TABLET</t>
        </is>
      </c>
      <c r="E22" s="6" t="inlineStr">
        <is>
          <t>30.0</t>
        </is>
      </c>
      <c r="F22" s="7" t="n">
        <v>60</v>
      </c>
      <c r="G22" s="7" t="n">
        <v>2</v>
      </c>
      <c r="H22" s="7" t="n">
        <v>2</v>
      </c>
      <c r="I22" s="7" t="n">
        <v>0</v>
      </c>
      <c r="J22" s="8" t="n">
        <v>440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ESI</t>
        </is>
      </c>
      <c r="C23" s="5" t="inlineStr">
        <is>
          <t>00310908012</t>
        </is>
      </c>
      <c r="D23" s="5" t="inlineStr">
        <is>
          <t>AIRSUPRA 90-80 MCG/ACT INHALATION AEROSOL</t>
        </is>
      </c>
      <c r="E23" s="6" t="inlineStr">
        <is>
          <t>10.7</t>
        </is>
      </c>
      <c r="F23" s="7" t="n">
        <v>10.7</v>
      </c>
      <c r="G23" s="7" t="n">
        <v>1</v>
      </c>
      <c r="H23" s="7" t="n">
        <v>3</v>
      </c>
      <c r="I23" s="7" t="n">
        <v>2</v>
      </c>
      <c r="J23" s="8" t="n">
        <v>437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ESI</t>
        </is>
      </c>
      <c r="C24" s="5" t="inlineStr">
        <is>
          <t>00046087221</t>
        </is>
      </c>
      <c r="D24" s="5" t="inlineStr">
        <is>
          <t>PREMARIN 0.625 MG/GM VAGINAL CREAM</t>
        </is>
      </c>
      <c r="E24" s="6" t="inlineStr">
        <is>
          <t>30.0</t>
        </is>
      </c>
      <c r="F24" s="7" t="n">
        <v>30</v>
      </c>
      <c r="G24" s="7" t="n">
        <v>1</v>
      </c>
      <c r="H24" s="7" t="n">
        <v>1</v>
      </c>
      <c r="I24" s="7" t="n">
        <v>0</v>
      </c>
      <c r="J24" s="8" t="n">
        <v>419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ESI</t>
        </is>
      </c>
      <c r="C25" s="5" t="inlineStr">
        <is>
          <t>00173085910</t>
        </is>
      </c>
      <c r="D25" s="5" t="inlineStr">
        <is>
          <t>BREO ELLIPTA 100-25 MCG/ACT INH AEROSOL</t>
        </is>
      </c>
      <c r="E25" s="6" t="inlineStr">
        <is>
          <t>60.0</t>
        </is>
      </c>
      <c r="F25" s="7" t="n">
        <v>60</v>
      </c>
      <c r="G25" s="7" t="n">
        <v>1</v>
      </c>
      <c r="H25" s="7" t="n">
        <v>1</v>
      </c>
      <c r="I25" s="7" t="n">
        <v>0</v>
      </c>
      <c r="J25" s="8" t="n">
        <v>360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ESI</t>
        </is>
      </c>
      <c r="C26" s="5" t="inlineStr">
        <is>
          <t>08627007701</t>
        </is>
      </c>
      <c r="D26" s="5" t="inlineStr">
        <is>
          <t>DEXCOM G7 SENSOR</t>
        </is>
      </c>
      <c r="E26" s="6" t="inlineStr">
        <is>
          <t>1.0</t>
        </is>
      </c>
      <c r="F26" s="7" t="n">
        <v>3</v>
      </c>
      <c r="G26" s="7" t="n">
        <v>3</v>
      </c>
      <c r="H26" s="7" t="n">
        <v>24</v>
      </c>
      <c r="I26" s="7" t="n">
        <v>21</v>
      </c>
      <c r="J26" s="8" t="n">
        <v>357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ESI</t>
        </is>
      </c>
      <c r="C27" s="5" t="inlineStr">
        <is>
          <t>00006027731</t>
        </is>
      </c>
      <c r="D27" s="5" t="inlineStr">
        <is>
          <t>JANUVIA 100MG TAB</t>
        </is>
      </c>
      <c r="E27" s="6" t="inlineStr">
        <is>
          <t>30.0</t>
        </is>
      </c>
      <c r="F27" s="7" t="n">
        <v>90</v>
      </c>
      <c r="G27" s="7" t="n">
        <v>3</v>
      </c>
      <c r="H27" s="7" t="n">
        <v>24</v>
      </c>
      <c r="I27" s="7" t="n">
        <v>21</v>
      </c>
      <c r="J27" s="8" t="n">
        <v>353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ESI</t>
        </is>
      </c>
      <c r="C28" s="5" t="inlineStr">
        <is>
          <t>00005200010</t>
        </is>
      </c>
      <c r="D28" s="5" t="inlineStr">
        <is>
          <t>PREVNAR 20 0.5 ML PREFILLED SYRINGE</t>
        </is>
      </c>
      <c r="E28" s="6" t="inlineStr">
        <is>
          <t>5.0</t>
        </is>
      </c>
      <c r="F28" s="7" t="n">
        <v>0.5</v>
      </c>
      <c r="G28" s="7" t="n">
        <v>0.1</v>
      </c>
      <c r="H28" s="7" t="n">
        <v>0</v>
      </c>
      <c r="I28" s="7" t="n">
        <v>-0.1</v>
      </c>
      <c r="J28" s="8" t="n">
        <v>285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ESI</t>
        </is>
      </c>
      <c r="C29" s="5" t="inlineStr">
        <is>
          <t>00456120230</t>
        </is>
      </c>
      <c r="D29" s="5" t="inlineStr">
        <is>
          <t xml:space="preserve">LINZESS 290MCG CAP 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12</v>
      </c>
      <c r="I29" s="7" t="n">
        <v>11</v>
      </c>
      <c r="J29" s="8" t="n">
        <v>245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ESI</t>
        </is>
      </c>
      <c r="C30" s="5" t="inlineStr">
        <is>
          <t>58160082311</t>
        </is>
      </c>
      <c r="D30" s="5" t="inlineStr">
        <is>
          <t>SHINGRIX 50 MCG/0.5ML IM SUSP RECON</t>
        </is>
      </c>
      <c r="E30" s="6" t="inlineStr">
        <is>
          <t>10.0</t>
        </is>
      </c>
      <c r="F30" s="7" t="n">
        <v>1</v>
      </c>
      <c r="G30" s="7" t="n">
        <v>0.1</v>
      </c>
      <c r="H30" s="7" t="n">
        <v>0</v>
      </c>
      <c r="I30" s="7" t="n">
        <v>-0.1</v>
      </c>
      <c r="J30" s="8" t="n">
        <v>228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ESI</t>
        </is>
      </c>
      <c r="C31" s="5" t="inlineStr">
        <is>
          <t>00173087310</t>
        </is>
      </c>
      <c r="D31" s="5" t="inlineStr">
        <is>
          <t>INCRUSE ELLIPTA 62.5MCG/INH AEROSOL</t>
        </is>
      </c>
      <c r="E31" s="6" t="inlineStr">
        <is>
          <t>30.0</t>
        </is>
      </c>
      <c r="F31" s="7" t="n">
        <v>30</v>
      </c>
      <c r="G31" s="7" t="n">
        <v>1</v>
      </c>
      <c r="H31" s="7" t="n">
        <v>0</v>
      </c>
      <c r="I31" s="7" t="n">
        <v>-1</v>
      </c>
      <c r="J31" s="8" t="n">
        <v>225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ESI</t>
        </is>
      </c>
      <c r="C32" s="5" t="inlineStr">
        <is>
          <t>49884079009</t>
        </is>
      </c>
      <c r="D32" s="5" t="inlineStr">
        <is>
          <t>OLMESARTAN-AMLODIPINE-HCTZ 40-10-25MG TABLET</t>
        </is>
      </c>
      <c r="E32" s="6" t="inlineStr">
        <is>
          <t>90.0</t>
        </is>
      </c>
      <c r="F32" s="7" t="n">
        <v>90</v>
      </c>
      <c r="G32" s="7" t="n">
        <v>1</v>
      </c>
      <c r="H32" s="7" t="n">
        <v>0</v>
      </c>
      <c r="I32" s="7" t="n">
        <v>-1</v>
      </c>
      <c r="J32" s="8" t="n">
        <v>180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ESI</t>
        </is>
      </c>
      <c r="C33" s="5" t="inlineStr">
        <is>
          <t>68462031065</t>
        </is>
      </c>
      <c r="D33" s="5" t="inlineStr">
        <is>
          <t>CALCIPOTRIENE 0.005 % EXTERNAL OINTMENT</t>
        </is>
      </c>
      <c r="E33" s="6" t="inlineStr">
        <is>
          <t>60.0</t>
        </is>
      </c>
      <c r="F33" s="7" t="n">
        <v>60</v>
      </c>
      <c r="G33" s="7" t="n">
        <v>1</v>
      </c>
      <c r="H33" s="7" t="n">
        <v>0</v>
      </c>
      <c r="I33" s="7" t="n">
        <v>-1</v>
      </c>
      <c r="J33" s="8" t="n">
        <v>170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ESI</t>
        </is>
      </c>
      <c r="C34" s="5" t="inlineStr">
        <is>
          <t>59310030240</t>
        </is>
      </c>
      <c r="D34" s="5" t="inlineStr">
        <is>
          <t>QVAR REDIHALER 40MCG/ACT AEROSOL</t>
        </is>
      </c>
      <c r="E34" s="6" t="inlineStr">
        <is>
          <t>10.6</t>
        </is>
      </c>
      <c r="F34" s="7" t="n">
        <v>10.6</v>
      </c>
      <c r="G34" s="7" t="n">
        <v>1</v>
      </c>
      <c r="H34" s="7" t="n">
        <v>0</v>
      </c>
      <c r="I34" s="7" t="n">
        <v>-1</v>
      </c>
      <c r="J34" s="8" t="n">
        <v>165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ESI</t>
        </is>
      </c>
      <c r="C35" s="5" t="inlineStr">
        <is>
          <t>65702071110</t>
        </is>
      </c>
      <c r="D35" s="5" t="inlineStr">
        <is>
          <t>ACCU-CHEK GUIDE IN VITRO STRIP</t>
        </is>
      </c>
      <c r="E35" s="6" t="inlineStr">
        <is>
          <t>50.0</t>
        </is>
      </c>
      <c r="F35" s="7" t="n">
        <v>500</v>
      </c>
      <c r="G35" s="7" t="n">
        <v>10</v>
      </c>
      <c r="H35" s="7" t="n">
        <v>16</v>
      </c>
      <c r="I35" s="7" t="n">
        <v>6</v>
      </c>
      <c r="J35" s="8" t="n">
        <v>164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ESI</t>
        </is>
      </c>
      <c r="C36" s="5" t="inlineStr">
        <is>
          <t>45802010284</t>
        </is>
      </c>
      <c r="D36" s="5" t="inlineStr">
        <is>
          <t>IVERMECTIN 1 % EXTERNAL CREAM</t>
        </is>
      </c>
      <c r="E36" s="6" t="inlineStr">
        <is>
          <t>45.0</t>
        </is>
      </c>
      <c r="F36" s="7" t="n">
        <v>45</v>
      </c>
      <c r="G36" s="7" t="n">
        <v>1</v>
      </c>
      <c r="H36" s="7" t="n">
        <v>0</v>
      </c>
      <c r="I36" s="7" t="n">
        <v>-1</v>
      </c>
      <c r="J36" s="8" t="n">
        <v>141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ESI</t>
        </is>
      </c>
      <c r="C37" s="5" t="inlineStr">
        <is>
          <t>68180096301</t>
        </is>
      </c>
      <c r="D37" s="5" t="inlineStr">
        <is>
          <t>ALBUTEROL SULFATE HFA 108 (90 BASE)MCG/ACT AEROSOL</t>
        </is>
      </c>
      <c r="E37" s="6" t="inlineStr">
        <is>
          <t>8.5</t>
        </is>
      </c>
      <c r="F37" s="7" t="n">
        <v>85</v>
      </c>
      <c r="G37" s="7" t="n">
        <v>10</v>
      </c>
      <c r="H37" s="7" t="n">
        <v>48</v>
      </c>
      <c r="I37" s="7" t="n">
        <v>38</v>
      </c>
      <c r="J37" s="8" t="n">
        <v>131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ESI</t>
        </is>
      </c>
      <c r="C38" s="5" t="inlineStr">
        <is>
          <t>00006022131</t>
        </is>
      </c>
      <c r="D38" s="5" t="inlineStr">
        <is>
          <t>JANUVIA 25MG TABLET</t>
        </is>
      </c>
      <c r="E38" s="6" t="inlineStr">
        <is>
          <t>30.0</t>
        </is>
      </c>
      <c r="F38" s="7" t="n">
        <v>30</v>
      </c>
      <c r="G38" s="7" t="n">
        <v>1</v>
      </c>
      <c r="H38" s="7" t="n">
        <v>0</v>
      </c>
      <c r="I38" s="7" t="n">
        <v>-1</v>
      </c>
      <c r="J38" s="8" t="n">
        <v>128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ESI</t>
        </is>
      </c>
      <c r="C39" s="5" t="inlineStr">
        <is>
          <t>57599081800</t>
        </is>
      </c>
      <c r="D39" s="5" t="inlineStr">
        <is>
          <t>FREESTYLE LIBRE 3 SENSOR</t>
        </is>
      </c>
      <c r="E39" s="6" t="inlineStr">
        <is>
          <t>1.0</t>
        </is>
      </c>
      <c r="F39" s="7" t="n">
        <v>2</v>
      </c>
      <c r="G39" s="7" t="n">
        <v>2</v>
      </c>
      <c r="H39" s="7" t="n">
        <v>0</v>
      </c>
      <c r="I39" s="7" t="n">
        <v>-2</v>
      </c>
      <c r="J39" s="8" t="n">
        <v>127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ESI</t>
        </is>
      </c>
      <c r="C40" s="5" t="inlineStr">
        <is>
          <t>43547045909</t>
        </is>
      </c>
      <c r="D40" s="5" t="inlineStr">
        <is>
          <t>CANDESARTAN CILEXETIL-HCTZ 16-12.5 MG ORAL TABLET</t>
        </is>
      </c>
      <c r="E40" s="6" t="inlineStr">
        <is>
          <t>90.0</t>
        </is>
      </c>
      <c r="F40" s="7" t="n">
        <v>90</v>
      </c>
      <c r="G40" s="7" t="n">
        <v>1</v>
      </c>
      <c r="H40" s="7" t="n">
        <v>0</v>
      </c>
      <c r="I40" s="7" t="n">
        <v>-1</v>
      </c>
      <c r="J40" s="8" t="n">
        <v>116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ESI</t>
        </is>
      </c>
      <c r="C41" s="5" t="inlineStr">
        <is>
          <t>91237000116</t>
        </is>
      </c>
      <c r="D41" s="5" t="inlineStr">
        <is>
          <t>LANCETS EASY COMFORT</t>
        </is>
      </c>
      <c r="E41" s="6" t="inlineStr">
        <is>
          <t>100.0</t>
        </is>
      </c>
      <c r="F41" s="7" t="n">
        <v>300</v>
      </c>
      <c r="G41" s="7" t="n">
        <v>3</v>
      </c>
      <c r="H41" s="7" t="n">
        <v>0</v>
      </c>
      <c r="I41" s="7" t="n">
        <v>-3</v>
      </c>
      <c r="J41" s="8" t="n">
        <v>115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ESI</t>
        </is>
      </c>
      <c r="C42" s="5" t="inlineStr">
        <is>
          <t>00006011231</t>
        </is>
      </c>
      <c r="D42" s="5" t="inlineStr">
        <is>
          <t>JANUVIA 50MG TABLET</t>
        </is>
      </c>
      <c r="E42" s="6" t="inlineStr">
        <is>
          <t>30.0</t>
        </is>
      </c>
      <c r="F42" s="7" t="n">
        <v>30</v>
      </c>
      <c r="G42" s="7" t="n">
        <v>1</v>
      </c>
      <c r="H42" s="7" t="n">
        <v>12</v>
      </c>
      <c r="I42" s="7" t="n">
        <v>11</v>
      </c>
      <c r="J42" s="8" t="n">
        <v>113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ESI</t>
        </is>
      </c>
      <c r="C43" s="5" t="inlineStr">
        <is>
          <t>31722000530</t>
        </is>
      </c>
      <c r="D43" s="5" t="inlineStr">
        <is>
          <t>MESALAMINE 1000 MG RECTAL SUPPOSITORY</t>
        </is>
      </c>
      <c r="E43" s="6" t="inlineStr">
        <is>
          <t>30.0</t>
        </is>
      </c>
      <c r="F43" s="7" t="n">
        <v>30</v>
      </c>
      <c r="G43" s="7" t="n">
        <v>1</v>
      </c>
      <c r="H43" s="7" t="n">
        <v>1</v>
      </c>
      <c r="I43" s="7" t="n">
        <v>0</v>
      </c>
      <c r="J43" s="8" t="n">
        <v>105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ESI</t>
        </is>
      </c>
      <c r="C44" s="5" t="inlineStr">
        <is>
          <t>00054032756</t>
        </is>
      </c>
      <c r="D44" s="5" t="inlineStr">
        <is>
          <t>FLUTICASONE-SALMETEROL 250-50 MCG/ACT INH AEROSOL</t>
        </is>
      </c>
      <c r="E44" s="6" t="inlineStr">
        <is>
          <t>60.0</t>
        </is>
      </c>
      <c r="F44" s="7" t="n">
        <v>60</v>
      </c>
      <c r="G44" s="7" t="n">
        <v>1</v>
      </c>
      <c r="H44" s="7" t="n">
        <v>7</v>
      </c>
      <c r="I44" s="7" t="n">
        <v>6</v>
      </c>
      <c r="J44" s="8" t="n">
        <v>104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ESI</t>
        </is>
      </c>
      <c r="C45" s="5" t="inlineStr">
        <is>
          <t>70010078205</t>
        </is>
      </c>
      <c r="D45" s="5" t="inlineStr">
        <is>
          <t>METOPROLOL SUCCINATE ER 100MG TABLET</t>
        </is>
      </c>
      <c r="E45" s="6" t="inlineStr">
        <is>
          <t>500.0</t>
        </is>
      </c>
      <c r="F45" s="7" t="n">
        <v>360</v>
      </c>
      <c r="G45" s="7" t="n">
        <v>0.72</v>
      </c>
      <c r="H45" s="7" t="n">
        <v>2</v>
      </c>
      <c r="I45" s="7" t="n">
        <v>1.28</v>
      </c>
      <c r="J45" s="8" t="n">
        <v>96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ESI</t>
        </is>
      </c>
      <c r="C46" s="5" t="inlineStr">
        <is>
          <t>00378907293</t>
        </is>
      </c>
      <c r="D46" s="5" t="inlineStr">
        <is>
          <t>RIVASTIGMINE 13.3 MG/24HR TRANSDERMAL PATCH 24 HOUR</t>
        </is>
      </c>
      <c r="E46" s="6" t="inlineStr">
        <is>
          <t>30.0</t>
        </is>
      </c>
      <c r="F46" s="7" t="n">
        <v>30</v>
      </c>
      <c r="G46" s="7" t="n">
        <v>1</v>
      </c>
      <c r="H46" s="7" t="n">
        <v>0</v>
      </c>
      <c r="I46" s="7" t="n">
        <v>-1</v>
      </c>
      <c r="J46" s="8" t="n">
        <v>89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ESI</t>
        </is>
      </c>
      <c r="C47" s="5" t="inlineStr">
        <is>
          <t>61314063710</t>
        </is>
      </c>
      <c r="D47" s="5" t="inlineStr">
        <is>
          <t>PREDNISOLONE ACETATE 1% SUSPENSION</t>
        </is>
      </c>
      <c r="E47" s="6" t="inlineStr">
        <is>
          <t>10.0</t>
        </is>
      </c>
      <c r="F47" s="7" t="n">
        <v>20</v>
      </c>
      <c r="G47" s="7" t="n">
        <v>2</v>
      </c>
      <c r="H47" s="7" t="n">
        <v>8</v>
      </c>
      <c r="I47" s="7" t="n">
        <v>6</v>
      </c>
      <c r="J47" s="8" t="n">
        <v>88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ESI</t>
        </is>
      </c>
      <c r="C48" s="5" t="inlineStr">
        <is>
          <t>51672130009</t>
        </is>
      </c>
      <c r="D48" s="5" t="inlineStr">
        <is>
          <t>AMMONIUM LACTATE 12 % EXTERNAL LOTION</t>
        </is>
      </c>
      <c r="E48" s="6" t="inlineStr">
        <is>
          <t>400.0</t>
        </is>
      </c>
      <c r="F48" s="7" t="n">
        <v>1200</v>
      </c>
      <c r="G48" s="7" t="n">
        <v>3</v>
      </c>
      <c r="H48" s="7" t="n">
        <v>0</v>
      </c>
      <c r="I48" s="7" t="n">
        <v>-3</v>
      </c>
      <c r="J48" s="8" t="n">
        <v>80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ESI</t>
        </is>
      </c>
      <c r="C49" s="5" t="inlineStr">
        <is>
          <t>49884078909</t>
        </is>
      </c>
      <c r="D49" s="5" t="inlineStr">
        <is>
          <t>OLMESARTAN-AMLODIPINE-HCTZ 40-10-12.5 MG ORAL TABLET</t>
        </is>
      </c>
      <c r="E49" s="6" t="inlineStr">
        <is>
          <t>90.0</t>
        </is>
      </c>
      <c r="F49" s="7" t="n">
        <v>30</v>
      </c>
      <c r="G49" s="7" t="n">
        <v>0.3333333333333333</v>
      </c>
      <c r="H49" s="7" t="n">
        <v>0</v>
      </c>
      <c r="I49" s="7" t="n">
        <v>-0.3333333333333333</v>
      </c>
      <c r="J49" s="8" t="n">
        <v>80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ESI</t>
        </is>
      </c>
      <c r="C50" s="5" t="inlineStr">
        <is>
          <t>91237000128</t>
        </is>
      </c>
      <c r="D50" s="5" t="inlineStr">
        <is>
          <t xml:space="preserve">ALCOHOL PADS EASY COMFORT  ALPINE </t>
        </is>
      </c>
      <c r="E50" s="6" t="inlineStr">
        <is>
          <t>100.0</t>
        </is>
      </c>
      <c r="F50" s="7" t="n">
        <v>300</v>
      </c>
      <c r="G50" s="7" t="n">
        <v>3</v>
      </c>
      <c r="H50" s="7" t="n">
        <v>0</v>
      </c>
      <c r="I50" s="7" t="n">
        <v>-3</v>
      </c>
      <c r="J50" s="8" t="n">
        <v>77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ESI</t>
        </is>
      </c>
      <c r="C51" s="5" t="inlineStr">
        <is>
          <t>47781023005</t>
        </is>
      </c>
      <c r="D51" s="5" t="inlineStr">
        <is>
          <t>OXYCODONE-APAP 10-325MG TABLET</t>
        </is>
      </c>
      <c r="E51" s="6" t="inlineStr">
        <is>
          <t>500.0</t>
        </is>
      </c>
      <c r="F51" s="7" t="n">
        <v>480</v>
      </c>
      <c r="G51" s="7" t="n">
        <v>0.96</v>
      </c>
      <c r="H51" s="7" t="n">
        <v>4</v>
      </c>
      <c r="I51" s="7" t="n">
        <v>3.04</v>
      </c>
      <c r="J51" s="8" t="n">
        <v>74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ESI</t>
        </is>
      </c>
      <c r="C52" s="5" t="inlineStr">
        <is>
          <t>50742050504</t>
        </is>
      </c>
      <c r="D52" s="5" t="inlineStr">
        <is>
          <t>SCOPOLAMINE 1 MG/3DAYS TRANSDERMAL PATCH 72 HOUR</t>
        </is>
      </c>
      <c r="E52" s="6" t="inlineStr">
        <is>
          <t>4.0</t>
        </is>
      </c>
      <c r="F52" s="7" t="n">
        <v>9</v>
      </c>
      <c r="G52" s="7" t="n">
        <v>2.25</v>
      </c>
      <c r="H52" s="7" t="n">
        <v>4</v>
      </c>
      <c r="I52" s="7" t="n">
        <v>1.75</v>
      </c>
      <c r="J52" s="8" t="n">
        <v>74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ESI</t>
        </is>
      </c>
      <c r="C53" s="5" t="inlineStr">
        <is>
          <t>69238154001</t>
        </is>
      </c>
      <c r="D53" s="5" t="inlineStr">
        <is>
          <t>URSODIOL 300MG CAPSULE</t>
        </is>
      </c>
      <c r="E53" s="6" t="inlineStr">
        <is>
          <t>100.0</t>
        </is>
      </c>
      <c r="F53" s="7" t="n">
        <v>90</v>
      </c>
      <c r="G53" s="7" t="n">
        <v>0.9</v>
      </c>
      <c r="H53" s="7" t="n">
        <v>0</v>
      </c>
      <c r="I53" s="7" t="n">
        <v>-0.9</v>
      </c>
      <c r="J53" s="8" t="n">
        <v>68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ESI</t>
        </is>
      </c>
      <c r="C54" s="5" t="inlineStr">
        <is>
          <t>00168026850</t>
        </is>
      </c>
      <c r="D54" s="5" t="inlineStr">
        <is>
          <t>BETAMETHASONE DIP AUG 0.05 % OINTMENT</t>
        </is>
      </c>
      <c r="E54" s="6" t="inlineStr">
        <is>
          <t>50.0</t>
        </is>
      </c>
      <c r="F54" s="7" t="n">
        <v>50</v>
      </c>
      <c r="G54" s="7" t="n">
        <v>1</v>
      </c>
      <c r="H54" s="7" t="n">
        <v>0</v>
      </c>
      <c r="I54" s="7" t="n">
        <v>-1</v>
      </c>
      <c r="J54" s="8" t="n">
        <v>66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ESI</t>
        </is>
      </c>
      <c r="C55" s="5" t="inlineStr">
        <is>
          <t>42385095330</t>
        </is>
      </c>
      <c r="D55" s="5" t="inlineStr">
        <is>
          <t>EMTRICITABINE-TENOFOVIR DF 200-300MG TABLET</t>
        </is>
      </c>
      <c r="E55" s="6" t="inlineStr">
        <is>
          <t>30.0</t>
        </is>
      </c>
      <c r="F55" s="7" t="n">
        <v>90</v>
      </c>
      <c r="G55" s="7" t="n">
        <v>3</v>
      </c>
      <c r="H55" s="7" t="n">
        <v>3</v>
      </c>
      <c r="I55" s="7" t="n">
        <v>0</v>
      </c>
      <c r="J55" s="8" t="n">
        <v>66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ESI</t>
        </is>
      </c>
      <c r="C56" s="5" t="inlineStr">
        <is>
          <t>52817080030</t>
        </is>
      </c>
      <c r="D56" s="5" t="inlineStr">
        <is>
          <t xml:space="preserve">CLOTRIMAZOLE 1 % SOLUTION </t>
        </is>
      </c>
      <c r="E56" s="6" t="inlineStr">
        <is>
          <t>30.0</t>
        </is>
      </c>
      <c r="F56" s="7" t="n">
        <v>60</v>
      </c>
      <c r="G56" s="7" t="n">
        <v>2</v>
      </c>
      <c r="H56" s="7" t="n">
        <v>0</v>
      </c>
      <c r="I56" s="7" t="n">
        <v>-2</v>
      </c>
      <c r="J56" s="8" t="n">
        <v>64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ESI</t>
        </is>
      </c>
      <c r="C57" s="5" t="inlineStr">
        <is>
          <t>16571073521</t>
        </is>
      </c>
      <c r="D57" s="5" t="inlineStr">
        <is>
          <t>METHYLERGONOVINE MALEATE 0.2MG TABLET</t>
        </is>
      </c>
      <c r="E57" s="6" t="inlineStr">
        <is>
          <t>12.0</t>
        </is>
      </c>
      <c r="F57" s="7" t="n">
        <v>6</v>
      </c>
      <c r="G57" s="7" t="n">
        <v>0.5</v>
      </c>
      <c r="H57" s="7" t="n">
        <v>1</v>
      </c>
      <c r="I57" s="7" t="n">
        <v>0.5</v>
      </c>
      <c r="J57" s="8" t="n">
        <v>62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ESI</t>
        </is>
      </c>
      <c r="C58" s="5" t="inlineStr">
        <is>
          <t>08290320122</t>
        </is>
      </c>
      <c r="D58" s="5" t="inlineStr">
        <is>
          <t>PEN NEEDLES ALL</t>
        </is>
      </c>
      <c r="E58" s="6" t="inlineStr">
        <is>
          <t>100.0</t>
        </is>
      </c>
      <c r="F58" s="7" t="n">
        <v>100</v>
      </c>
      <c r="G58" s="7" t="n">
        <v>1</v>
      </c>
      <c r="H58" s="7" t="n">
        <v>0</v>
      </c>
      <c r="I58" s="7" t="n">
        <v>-1</v>
      </c>
      <c r="J58" s="8" t="n">
        <v>54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ESI</t>
        </is>
      </c>
      <c r="C59" s="5" t="inlineStr">
        <is>
          <t>68382080001</t>
        </is>
      </c>
      <c r="D59" s="5" t="inlineStr">
        <is>
          <t>LABETALOL 300MG TABLET</t>
        </is>
      </c>
      <c r="E59" s="6" t="inlineStr">
        <is>
          <t>100.0</t>
        </is>
      </c>
      <c r="F59" s="7" t="n">
        <v>180</v>
      </c>
      <c r="G59" s="7" t="n">
        <v>1.8</v>
      </c>
      <c r="H59" s="7" t="n">
        <v>0</v>
      </c>
      <c r="I59" s="7" t="n">
        <v>-1.8</v>
      </c>
      <c r="J59" s="8" t="n">
        <v>54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ESI</t>
        </is>
      </c>
      <c r="C60" s="5" t="inlineStr">
        <is>
          <t>33342009009</t>
        </is>
      </c>
      <c r="D60" s="5" t="inlineStr">
        <is>
          <t>RIVASTIGMINE TARTRATE 3 MG ORAL CAPSULE</t>
        </is>
      </c>
      <c r="E60" s="6" t="inlineStr">
        <is>
          <t>60.0</t>
        </is>
      </c>
      <c r="F60" s="7" t="n">
        <v>180</v>
      </c>
      <c r="G60" s="7" t="n">
        <v>3</v>
      </c>
      <c r="H60" s="7" t="n">
        <v>0</v>
      </c>
      <c r="I60" s="7" t="n">
        <v>-3</v>
      </c>
      <c r="J60" s="8" t="n">
        <v>52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ESI</t>
        </is>
      </c>
      <c r="C61" s="5" t="inlineStr">
        <is>
          <t>00168025846</t>
        </is>
      </c>
      <c r="D61" s="5" t="inlineStr">
        <is>
          <t>CLOTRIMAZOLE-BETAMETHASONE 1-0.05 % EXTERNAL CREAM</t>
        </is>
      </c>
      <c r="E61" s="6" t="inlineStr">
        <is>
          <t>45.0</t>
        </is>
      </c>
      <c r="F61" s="7" t="n">
        <v>135</v>
      </c>
      <c r="G61" s="7" t="n">
        <v>3</v>
      </c>
      <c r="H61" s="7" t="n">
        <v>6</v>
      </c>
      <c r="I61" s="7" t="n">
        <v>3</v>
      </c>
      <c r="J61" s="8" t="n">
        <v>52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ESI</t>
        </is>
      </c>
      <c r="C62" s="5" t="inlineStr">
        <is>
          <t>16571040250</t>
        </is>
      </c>
      <c r="D62" s="5" t="inlineStr">
        <is>
          <t xml:space="preserve">CETIRIZINE 10MG TAB </t>
        </is>
      </c>
      <c r="E62" s="6" t="inlineStr">
        <is>
          <t>500.0</t>
        </is>
      </c>
      <c r="F62" s="7" t="n">
        <v>30</v>
      </c>
      <c r="G62" s="7" t="n">
        <v>0.06</v>
      </c>
      <c r="H62" s="7" t="n">
        <v>0</v>
      </c>
      <c r="I62" s="7" t="n">
        <v>-0.06</v>
      </c>
      <c r="J62" s="8" t="n">
        <v>50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ESI</t>
        </is>
      </c>
      <c r="C63" s="5" t="inlineStr">
        <is>
          <t>51672130100</t>
        </is>
      </c>
      <c r="D63" s="5" t="inlineStr">
        <is>
          <t>AMMONIUM LACTATE 12 % EXTERNAL CREAM</t>
        </is>
      </c>
      <c r="E63" s="6" t="inlineStr">
        <is>
          <t>385.0</t>
        </is>
      </c>
      <c r="F63" s="7" t="n">
        <v>770</v>
      </c>
      <c r="G63" s="7" t="n">
        <v>2</v>
      </c>
      <c r="H63" s="7" t="n">
        <v>0</v>
      </c>
      <c r="I63" s="7" t="n">
        <v>-2</v>
      </c>
      <c r="J63" s="8" t="n">
        <v>49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ESI</t>
        </is>
      </c>
      <c r="C64" s="5" t="inlineStr">
        <is>
          <t>68180069806</t>
        </is>
      </c>
      <c r="D64" s="5" t="inlineStr">
        <is>
          <t>TRAMADOL HCL ER 200MG TABLET</t>
        </is>
      </c>
      <c r="E64" s="6" t="inlineStr">
        <is>
          <t>30.0</t>
        </is>
      </c>
      <c r="F64" s="7" t="n">
        <v>30</v>
      </c>
      <c r="G64" s="7" t="n">
        <v>1</v>
      </c>
      <c r="H64" s="7" t="n">
        <v>0</v>
      </c>
      <c r="I64" s="7" t="n">
        <v>-1</v>
      </c>
      <c r="J64" s="8" t="n">
        <v>49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ESI</t>
        </is>
      </c>
      <c r="C65" s="5" t="inlineStr">
        <is>
          <t>00713063737</t>
        </is>
      </c>
      <c r="D65" s="5" t="inlineStr">
        <is>
          <t>METRONIDAZOLE 0.75 % EXTERNAL GEL</t>
        </is>
      </c>
      <c r="E65" s="6" t="inlineStr">
        <is>
          <t>45.0</t>
        </is>
      </c>
      <c r="F65" s="7" t="n">
        <v>45</v>
      </c>
      <c r="G65" s="7" t="n">
        <v>1</v>
      </c>
      <c r="H65" s="7" t="n">
        <v>0</v>
      </c>
      <c r="I65" s="7" t="n">
        <v>-1</v>
      </c>
      <c r="J65" s="8" t="n">
        <v>44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ESI</t>
        </is>
      </c>
      <c r="C66" s="5" t="inlineStr">
        <is>
          <t>10702000950</t>
        </is>
      </c>
      <c r="D66" s="5" t="inlineStr">
        <is>
          <t>OXYCODONE 30MG TABLET</t>
        </is>
      </c>
      <c r="E66" s="6" t="inlineStr">
        <is>
          <t>500.0</t>
        </is>
      </c>
      <c r="F66" s="7" t="n">
        <v>120</v>
      </c>
      <c r="G66" s="7" t="n">
        <v>0.24</v>
      </c>
      <c r="H66" s="7" t="n">
        <v>0</v>
      </c>
      <c r="I66" s="7" t="n">
        <v>-0.24</v>
      </c>
      <c r="J66" s="8" t="n">
        <v>43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ESI</t>
        </is>
      </c>
      <c r="C67" s="5" t="inlineStr">
        <is>
          <t>70010078305</t>
        </is>
      </c>
      <c r="D67" s="5" t="inlineStr">
        <is>
          <t>METOPROLOL SUCCINATE ER 200MG TABLET</t>
        </is>
      </c>
      <c r="E67" s="6" t="inlineStr">
        <is>
          <t>500.0</t>
        </is>
      </c>
      <c r="F67" s="7" t="n">
        <v>90</v>
      </c>
      <c r="G67" s="7" t="n">
        <v>0.18</v>
      </c>
      <c r="H67" s="7" t="n">
        <v>0</v>
      </c>
      <c r="I67" s="7" t="n">
        <v>-0.18</v>
      </c>
      <c r="J67" s="8" t="n">
        <v>42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ESI</t>
        </is>
      </c>
      <c r="C68" s="5" t="inlineStr">
        <is>
          <t>45802049326</t>
        </is>
      </c>
      <c r="D68" s="5" t="inlineStr">
        <is>
          <t>AMMONIUM LACTATE 12%CREAM 385GM</t>
        </is>
      </c>
      <c r="E68" s="6" t="inlineStr">
        <is>
          <t>385.0</t>
        </is>
      </c>
      <c r="F68" s="7" t="n">
        <v>770</v>
      </c>
      <c r="G68" s="7" t="n">
        <v>2</v>
      </c>
      <c r="H68" s="7" t="n">
        <v>0</v>
      </c>
      <c r="I68" s="7" t="n">
        <v>-2</v>
      </c>
      <c r="J68" s="8" t="n">
        <v>41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ESI</t>
        </is>
      </c>
      <c r="C69" s="5" t="inlineStr">
        <is>
          <t>45802040049</t>
        </is>
      </c>
      <c r="D69" s="5" t="inlineStr">
        <is>
          <t>CICLOPIROX 0.77 % EXTERNAL SUSPENSION</t>
        </is>
      </c>
      <c r="E69" s="6" t="inlineStr">
        <is>
          <t>30.0</t>
        </is>
      </c>
      <c r="F69" s="7" t="n">
        <v>60</v>
      </c>
      <c r="G69" s="7" t="n">
        <v>2</v>
      </c>
      <c r="H69" s="7" t="n">
        <v>0</v>
      </c>
      <c r="I69" s="7" t="n">
        <v>-2</v>
      </c>
      <c r="J69" s="8" t="n">
        <v>40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ESI</t>
        </is>
      </c>
      <c r="C70" s="5" t="inlineStr">
        <is>
          <t>00555904958</t>
        </is>
      </c>
      <c r="D70" s="5" t="inlineStr">
        <is>
          <t>CRYSELLE-28 0.3-0.03MG TABLET</t>
        </is>
      </c>
      <c r="E70" s="6" t="inlineStr">
        <is>
          <t>28.0</t>
        </is>
      </c>
      <c r="F70" s="7" t="n">
        <v>84</v>
      </c>
      <c r="G70" s="7" t="n">
        <v>3</v>
      </c>
      <c r="H70" s="7" t="n">
        <v>0</v>
      </c>
      <c r="I70" s="7" t="n">
        <v>-3</v>
      </c>
      <c r="J70" s="8" t="n">
        <v>39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ESI</t>
        </is>
      </c>
      <c r="C71" s="5" t="inlineStr">
        <is>
          <t>98302014071</t>
        </is>
      </c>
      <c r="D71" s="5" t="inlineStr">
        <is>
          <t>LANCETS CHOICE [CVS]</t>
        </is>
      </c>
      <c r="E71" s="6" t="inlineStr">
        <is>
          <t>100.0</t>
        </is>
      </c>
      <c r="F71" s="7" t="n">
        <v>100</v>
      </c>
      <c r="G71" s="7" t="n">
        <v>1</v>
      </c>
      <c r="H71" s="7" t="n">
        <v>0</v>
      </c>
      <c r="I71" s="7" t="n">
        <v>-1</v>
      </c>
      <c r="J71" s="8" t="n">
        <v>35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ESI</t>
        </is>
      </c>
      <c r="C72" s="5" t="inlineStr">
        <is>
          <t>45802040109</t>
        </is>
      </c>
      <c r="D72" s="5" t="inlineStr">
        <is>
          <t>CICLOPIROX 1 % EXTERNAL SHAMPOO</t>
        </is>
      </c>
      <c r="E72" s="6" t="inlineStr">
        <is>
          <t>120.0</t>
        </is>
      </c>
      <c r="F72" s="7" t="n">
        <v>120</v>
      </c>
      <c r="G72" s="7" t="n">
        <v>1</v>
      </c>
      <c r="H72" s="7" t="n">
        <v>0</v>
      </c>
      <c r="I72" s="7" t="n">
        <v>-1</v>
      </c>
      <c r="J72" s="8" t="n">
        <v>35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ESI</t>
        </is>
      </c>
      <c r="C73" s="5" t="inlineStr">
        <is>
          <t>51672130005</t>
        </is>
      </c>
      <c r="D73" s="5" t="inlineStr">
        <is>
          <t>AMMONIUM LACTATE 12 % EXTERNAL LOTION</t>
        </is>
      </c>
      <c r="E73" s="6" t="inlineStr">
        <is>
          <t>225.0</t>
        </is>
      </c>
      <c r="F73" s="7" t="n">
        <v>450</v>
      </c>
      <c r="G73" s="7" t="n">
        <v>2</v>
      </c>
      <c r="H73" s="7" t="n">
        <v>0</v>
      </c>
      <c r="I73" s="7" t="n">
        <v>-2</v>
      </c>
      <c r="J73" s="8" t="n">
        <v>34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ESI</t>
        </is>
      </c>
      <c r="C74" s="5" t="inlineStr">
        <is>
          <t>83257001532</t>
        </is>
      </c>
      <c r="D74" s="5" t="inlineStr">
        <is>
          <t>INSULIN GLARGINE 100 UNIT/ML YFGN</t>
        </is>
      </c>
      <c r="E74" s="6" t="inlineStr">
        <is>
          <t>15.0</t>
        </is>
      </c>
      <c r="F74" s="7" t="n">
        <v>6</v>
      </c>
      <c r="G74" s="7" t="n">
        <v>0.4</v>
      </c>
      <c r="H74" s="7" t="n">
        <v>1</v>
      </c>
      <c r="I74" s="7" t="n">
        <v>0.6</v>
      </c>
      <c r="J74" s="8" t="n">
        <v>31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ESI</t>
        </is>
      </c>
      <c r="C75" s="5" t="inlineStr">
        <is>
          <t>60505083001</t>
        </is>
      </c>
      <c r="D75" s="5" t="inlineStr">
        <is>
          <t>MOMETASONE FUROATE 50MCG/ACT SUSPENSION</t>
        </is>
      </c>
      <c r="E75" s="6" t="inlineStr">
        <is>
          <t>17.0</t>
        </is>
      </c>
      <c r="F75" s="7" t="n">
        <v>17</v>
      </c>
      <c r="G75" s="7" t="n">
        <v>1</v>
      </c>
      <c r="H75" s="7" t="n">
        <v>0</v>
      </c>
      <c r="I75" s="7" t="n">
        <v>-1</v>
      </c>
      <c r="J75" s="8" t="n">
        <v>31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ESI</t>
        </is>
      </c>
      <c r="C76" s="5" t="inlineStr">
        <is>
          <t>70436005404</t>
        </is>
      </c>
      <c r="D76" s="5" t="inlineStr">
        <is>
          <t>MEMANTINE HCL ER 7 MG ORAL CAPSULE EXTENDED RELEASE 24 HOUR</t>
        </is>
      </c>
      <c r="E76" s="6" t="inlineStr">
        <is>
          <t>30.0</t>
        </is>
      </c>
      <c r="F76" s="7" t="n">
        <v>30</v>
      </c>
      <c r="G76" s="7" t="n">
        <v>1</v>
      </c>
      <c r="H76" s="7" t="n">
        <v>4</v>
      </c>
      <c r="I76" s="7" t="n">
        <v>3</v>
      </c>
      <c r="J76" s="8" t="n">
        <v>30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ESI</t>
        </is>
      </c>
      <c r="C77" s="5" t="inlineStr">
        <is>
          <t>65862059805</t>
        </is>
      </c>
      <c r="D77" s="5" t="inlineStr">
        <is>
          <t>TAMSULOSIN 0.4MG CAPSULE</t>
        </is>
      </c>
      <c r="E77" s="6" t="inlineStr">
        <is>
          <t>500.0</t>
        </is>
      </c>
      <c r="F77" s="7" t="n">
        <v>575</v>
      </c>
      <c r="G77" s="7" t="n">
        <v>1.15</v>
      </c>
      <c r="H77" s="7" t="n">
        <v>0</v>
      </c>
      <c r="I77" s="7" t="n">
        <v>-1.15</v>
      </c>
      <c r="J77" s="8" t="n">
        <v>30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ESI</t>
        </is>
      </c>
      <c r="C78" s="5" t="inlineStr">
        <is>
          <t>24208048610</t>
        </is>
      </c>
      <c r="D78" s="5" t="inlineStr">
        <is>
          <t xml:space="preserve">DORZOLAMID-TIMOLO 22.3-6.8MG/ML (EYE) </t>
        </is>
      </c>
      <c r="E78" s="6" t="inlineStr">
        <is>
          <t>10.0</t>
        </is>
      </c>
      <c r="F78" s="7" t="n">
        <v>20</v>
      </c>
      <c r="G78" s="7" t="n">
        <v>2</v>
      </c>
      <c r="H78" s="7" t="n">
        <v>0</v>
      </c>
      <c r="I78" s="7" t="n">
        <v>-2</v>
      </c>
      <c r="J78" s="8" t="n">
        <v>30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ESI</t>
        </is>
      </c>
      <c r="C79" s="5" t="inlineStr">
        <is>
          <t>68382079805</t>
        </is>
      </c>
      <c r="D79" s="5" t="inlineStr">
        <is>
          <t xml:space="preserve">LABETALOL 100MG TAB </t>
        </is>
      </c>
      <c r="E79" s="6" t="inlineStr">
        <is>
          <t>500.0</t>
        </is>
      </c>
      <c r="F79" s="7" t="n">
        <v>180</v>
      </c>
      <c r="G79" s="7" t="n">
        <v>0.36</v>
      </c>
      <c r="H79" s="7" t="n">
        <v>0</v>
      </c>
      <c r="I79" s="7" t="n">
        <v>-0.36</v>
      </c>
      <c r="J79" s="8" t="n">
        <v>30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ESI</t>
        </is>
      </c>
      <c r="C80" s="5" t="inlineStr">
        <is>
          <t>00378581577</t>
        </is>
      </c>
      <c r="D80" s="5" t="inlineStr">
        <is>
          <t>VALSARTAN 320MG TABLET</t>
        </is>
      </c>
      <c r="E80" s="6" t="inlineStr">
        <is>
          <t>90.0</t>
        </is>
      </c>
      <c r="F80" s="7" t="n">
        <v>90</v>
      </c>
      <c r="G80" s="7" t="n">
        <v>1</v>
      </c>
      <c r="H80" s="7" t="n">
        <v>0</v>
      </c>
      <c r="I80" s="7" t="n">
        <v>-1</v>
      </c>
      <c r="J80" s="8" t="n">
        <v>27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ESI</t>
        </is>
      </c>
      <c r="C81" s="5" t="inlineStr">
        <is>
          <t>70954066210</t>
        </is>
      </c>
      <c r="D81" s="5" t="inlineStr">
        <is>
          <t>KETOCONAZOLE 2 % EXTERNAL SHAMPOO</t>
        </is>
      </c>
      <c r="E81" s="6" t="inlineStr">
        <is>
          <t>120.0</t>
        </is>
      </c>
      <c r="F81" s="7" t="n">
        <v>360</v>
      </c>
      <c r="G81" s="7" t="n">
        <v>3</v>
      </c>
      <c r="H81" s="7" t="n">
        <v>6</v>
      </c>
      <c r="I81" s="7" t="n">
        <v>3</v>
      </c>
      <c r="J81" s="8" t="n">
        <v>27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ESI</t>
        </is>
      </c>
      <c r="C82" s="5" t="inlineStr">
        <is>
          <t>61314063705</t>
        </is>
      </c>
      <c r="D82" s="5" t="inlineStr">
        <is>
          <t>PREDNISOLONE ACETATE 1% SUSPENSION</t>
        </is>
      </c>
      <c r="E82" s="6" t="inlineStr">
        <is>
          <t>5.0</t>
        </is>
      </c>
      <c r="F82" s="7" t="n">
        <v>10</v>
      </c>
      <c r="G82" s="7" t="n">
        <v>2</v>
      </c>
      <c r="H82" s="7" t="n">
        <v>0</v>
      </c>
      <c r="I82" s="7" t="n">
        <v>-2</v>
      </c>
      <c r="J82" s="8" t="n">
        <v>26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ESI</t>
        </is>
      </c>
      <c r="C83" s="5" t="inlineStr">
        <is>
          <t>00121086816</t>
        </is>
      </c>
      <c r="D83" s="5" t="inlineStr">
        <is>
          <t>NYSTATIN 100000 UNIT/ML MOUTH/THROAT SUSPENSION</t>
        </is>
      </c>
      <c r="E83" s="6" t="inlineStr">
        <is>
          <t>473.0</t>
        </is>
      </c>
      <c r="F83" s="7" t="n">
        <v>473</v>
      </c>
      <c r="G83" s="7" t="n">
        <v>1</v>
      </c>
      <c r="H83" s="7" t="n">
        <v>1</v>
      </c>
      <c r="I83" s="7" t="n">
        <v>0</v>
      </c>
      <c r="J83" s="8" t="n">
        <v>26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ESI</t>
        </is>
      </c>
      <c r="C84" s="5" t="inlineStr">
        <is>
          <t>65162003416</t>
        </is>
      </c>
      <c r="D84" s="5" t="inlineStr">
        <is>
          <t>OMEGA-3-ACID ETHYL ESTERS 1 GM ORAL CAPSULE</t>
        </is>
      </c>
      <c r="E84" s="6" t="inlineStr">
        <is>
          <t>120.0</t>
        </is>
      </c>
      <c r="F84" s="7" t="n">
        <v>180</v>
      </c>
      <c r="G84" s="7" t="n">
        <v>1.5</v>
      </c>
      <c r="H84" s="7" t="n">
        <v>0</v>
      </c>
      <c r="I84" s="7" t="n">
        <v>-1.5</v>
      </c>
      <c r="J84" s="8" t="n">
        <v>25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ESI</t>
        </is>
      </c>
      <c r="C85" s="5" t="inlineStr">
        <is>
          <t>68462010230</t>
        </is>
      </c>
      <c r="D85" s="5" t="inlineStr">
        <is>
          <t>FLUCONAZOLE 100 MG ORAL TABLET</t>
        </is>
      </c>
      <c r="E85" s="6" t="inlineStr">
        <is>
          <t>30.0</t>
        </is>
      </c>
      <c r="F85" s="7" t="n">
        <v>30</v>
      </c>
      <c r="G85" s="7" t="n">
        <v>1</v>
      </c>
      <c r="H85" s="7" t="n">
        <v>0</v>
      </c>
      <c r="I85" s="7" t="n">
        <v>-1</v>
      </c>
      <c r="J85" s="8" t="n">
        <v>24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ESI</t>
        </is>
      </c>
      <c r="C86" s="5" t="inlineStr">
        <is>
          <t>60505082901</t>
        </is>
      </c>
      <c r="D86" s="5" t="inlineStr">
        <is>
          <t>FLUTICASONE 50MCG (NASAL) SUSPENSION</t>
        </is>
      </c>
      <c r="E86" s="6" t="inlineStr">
        <is>
          <t>16.0</t>
        </is>
      </c>
      <c r="F86" s="7" t="n">
        <v>112</v>
      </c>
      <c r="G86" s="7" t="n">
        <v>7</v>
      </c>
      <c r="H86" s="7" t="n">
        <v>24</v>
      </c>
      <c r="I86" s="7" t="n">
        <v>17</v>
      </c>
      <c r="J86" s="8" t="n">
        <v>23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ESI</t>
        </is>
      </c>
      <c r="C87" s="5" t="inlineStr">
        <is>
          <t>00093322308</t>
        </is>
      </c>
      <c r="D87" s="5" t="inlineStr">
        <is>
          <t>ESTRADIOL 10MCG TABLET</t>
        </is>
      </c>
      <c r="E87" s="6" t="inlineStr">
        <is>
          <t>8.0</t>
        </is>
      </c>
      <c r="F87" s="7" t="n">
        <v>8</v>
      </c>
      <c r="G87" s="7" t="n">
        <v>1</v>
      </c>
      <c r="H87" s="7" t="n">
        <v>0</v>
      </c>
      <c r="I87" s="7" t="n">
        <v>-1</v>
      </c>
      <c r="J87" s="8" t="n">
        <v>23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ESI</t>
        </is>
      </c>
      <c r="C88" s="5" t="inlineStr">
        <is>
          <t>47781023001</t>
        </is>
      </c>
      <c r="D88" s="5" t="inlineStr">
        <is>
          <t>OXYCODONE-ACETAMINOPHEN 10-325MG TABLET</t>
        </is>
      </c>
      <c r="E88" s="6" t="inlineStr">
        <is>
          <t>100.0</t>
        </is>
      </c>
      <c r="F88" s="7" t="n">
        <v>150</v>
      </c>
      <c r="G88" s="7" t="n">
        <v>1.5</v>
      </c>
      <c r="H88" s="7" t="n">
        <v>8</v>
      </c>
      <c r="I88" s="7" t="n">
        <v>6.5</v>
      </c>
      <c r="J88" s="8" t="n">
        <v>22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ESI</t>
        </is>
      </c>
      <c r="C89" s="5" t="inlineStr">
        <is>
          <t>31722053705</t>
        </is>
      </c>
      <c r="D89" s="5" t="inlineStr">
        <is>
          <t xml:space="preserve">LEVETIRACETAM 500MG TAB </t>
        </is>
      </c>
      <c r="E89" s="6" t="inlineStr">
        <is>
          <t>500.0</t>
        </is>
      </c>
      <c r="F89" s="7" t="n">
        <v>180</v>
      </c>
      <c r="G89" s="7" t="n">
        <v>0.36</v>
      </c>
      <c r="H89" s="7" t="n">
        <v>0</v>
      </c>
      <c r="I89" s="7" t="n">
        <v>-0.36</v>
      </c>
      <c r="J89" s="8" t="n">
        <v>22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ESI</t>
        </is>
      </c>
      <c r="C90" s="5" t="inlineStr">
        <is>
          <t>65702072910</t>
        </is>
      </c>
      <c r="D90" s="5" t="inlineStr">
        <is>
          <t>ACCU-CHEK GUIDE W/DEVICE KIT</t>
        </is>
      </c>
      <c r="E90" s="6" t="inlineStr">
        <is>
          <t>1.0</t>
        </is>
      </c>
      <c r="F90" s="7" t="n">
        <v>1</v>
      </c>
      <c r="G90" s="7" t="n">
        <v>1</v>
      </c>
      <c r="H90" s="7" t="n">
        <v>3</v>
      </c>
      <c r="I90" s="7" t="n">
        <v>2</v>
      </c>
      <c r="J90" s="8" t="n">
        <v>21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ESI</t>
        </is>
      </c>
      <c r="C91" s="5" t="inlineStr">
        <is>
          <t>60505252201</t>
        </is>
      </c>
      <c r="D91" s="5" t="inlineStr">
        <is>
          <t>CILOSTAZOL 100MG TABLET</t>
        </is>
      </c>
      <c r="E91" s="6" t="inlineStr">
        <is>
          <t>60.0</t>
        </is>
      </c>
      <c r="F91" s="7" t="n">
        <v>180</v>
      </c>
      <c r="G91" s="7" t="n">
        <v>3</v>
      </c>
      <c r="H91" s="7" t="n">
        <v>0</v>
      </c>
      <c r="I91" s="7" t="n">
        <v>-3</v>
      </c>
      <c r="J91" s="8" t="n">
        <v>20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ESI</t>
        </is>
      </c>
      <c r="C92" s="5" t="inlineStr">
        <is>
          <t>51672408104</t>
        </is>
      </c>
      <c r="D92" s="5" t="inlineStr">
        <is>
          <t>CLINDAMYCIN PHOSPHATE 1 % EXTERNAL SOLUTION</t>
        </is>
      </c>
      <c r="E92" s="6" t="inlineStr">
        <is>
          <t>60.0</t>
        </is>
      </c>
      <c r="F92" s="7" t="n">
        <v>60</v>
      </c>
      <c r="G92" s="7" t="n">
        <v>1</v>
      </c>
      <c r="H92" s="7" t="n">
        <v>0</v>
      </c>
      <c r="I92" s="7" t="n">
        <v>-1</v>
      </c>
      <c r="J92" s="8" t="n">
        <v>20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ESI</t>
        </is>
      </c>
      <c r="C93" s="5" t="inlineStr">
        <is>
          <t>57237015801</t>
        </is>
      </c>
      <c r="D93" s="5" t="inlineStr">
        <is>
          <t xml:space="preserve">REPAGLINIDE 1MG TAB </t>
        </is>
      </c>
      <c r="E93" s="6" t="inlineStr">
        <is>
          <t>100.0</t>
        </is>
      </c>
      <c r="F93" s="7" t="n">
        <v>180</v>
      </c>
      <c r="G93" s="7" t="n">
        <v>1.8</v>
      </c>
      <c r="H93" s="7" t="n">
        <v>0</v>
      </c>
      <c r="I93" s="7" t="n">
        <v>-1.8</v>
      </c>
      <c r="J93" s="8" t="n">
        <v>20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ESI</t>
        </is>
      </c>
      <c r="C94" s="5" t="inlineStr">
        <is>
          <t>70377007813</t>
        </is>
      </c>
      <c r="D94" s="5" t="inlineStr">
        <is>
          <t>ATORVASTATIN 20MG TABLET</t>
        </is>
      </c>
      <c r="E94" s="6" t="inlineStr">
        <is>
          <t>1000.0</t>
        </is>
      </c>
      <c r="F94" s="7" t="n">
        <v>540</v>
      </c>
      <c r="G94" s="7" t="n">
        <v>0.54</v>
      </c>
      <c r="H94" s="7" t="n">
        <v>1</v>
      </c>
      <c r="I94" s="7" t="n">
        <v>0.46</v>
      </c>
      <c r="J94" s="8" t="n">
        <v>19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ESI</t>
        </is>
      </c>
      <c r="C95" s="5" t="inlineStr">
        <is>
          <t>65862052205</t>
        </is>
      </c>
      <c r="D95" s="5" t="inlineStr">
        <is>
          <t>NAPROXEN 500MG TABLET</t>
        </is>
      </c>
      <c r="E95" s="6" t="inlineStr">
        <is>
          <t>500.0</t>
        </is>
      </c>
      <c r="F95" s="7" t="n">
        <v>180</v>
      </c>
      <c r="G95" s="7" t="n">
        <v>0.36</v>
      </c>
      <c r="H95" s="7" t="n">
        <v>0</v>
      </c>
      <c r="I95" s="7" t="n">
        <v>-0.36</v>
      </c>
      <c r="J95" s="8" t="n">
        <v>17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ESI</t>
        </is>
      </c>
      <c r="C96" s="5" t="inlineStr">
        <is>
          <t>62332017360</t>
        </is>
      </c>
      <c r="D96" s="5" t="inlineStr">
        <is>
          <t>LACOSAMIDE 150MG TABLET</t>
        </is>
      </c>
      <c r="E96" s="6" t="inlineStr">
        <is>
          <t>60.0</t>
        </is>
      </c>
      <c r="F96" s="7" t="n">
        <v>60</v>
      </c>
      <c r="G96" s="7" t="n">
        <v>1</v>
      </c>
      <c r="H96" s="7" t="n">
        <v>0</v>
      </c>
      <c r="I96" s="7" t="n">
        <v>-1</v>
      </c>
      <c r="J96" s="8" t="n">
        <v>17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ESI</t>
        </is>
      </c>
      <c r="C97" s="5" t="inlineStr">
        <is>
          <t>50742026103</t>
        </is>
      </c>
      <c r="D97" s="5" t="inlineStr">
        <is>
          <t>NIFEDIPINE 60MG TABLET ER</t>
        </is>
      </c>
      <c r="E97" s="6" t="inlineStr">
        <is>
          <t>300.0</t>
        </is>
      </c>
      <c r="F97" s="7" t="n">
        <v>90</v>
      </c>
      <c r="G97" s="7" t="n">
        <v>0.3</v>
      </c>
      <c r="H97" s="7" t="n">
        <v>0</v>
      </c>
      <c r="I97" s="7" t="n">
        <v>-0.3</v>
      </c>
      <c r="J97" s="8" t="n">
        <v>16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ESI</t>
        </is>
      </c>
      <c r="C98" s="5" t="inlineStr">
        <is>
          <t>47335048583</t>
        </is>
      </c>
      <c r="D98" s="5" t="inlineStr">
        <is>
          <t>BICALUTAMIDE 50 MG TABLET</t>
        </is>
      </c>
      <c r="E98" s="6" t="inlineStr">
        <is>
          <t>30.0</t>
        </is>
      </c>
      <c r="F98" s="7" t="n">
        <v>30</v>
      </c>
      <c r="G98" s="7" t="n">
        <v>1</v>
      </c>
      <c r="H98" s="7" t="n">
        <v>0</v>
      </c>
      <c r="I98" s="7" t="n">
        <v>-1</v>
      </c>
      <c r="J98" s="8" t="n">
        <v>15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ESI</t>
        </is>
      </c>
      <c r="C99" s="5" t="inlineStr">
        <is>
          <t>21922003601</t>
        </is>
      </c>
      <c r="D99" s="5" t="inlineStr">
        <is>
          <t>CLINDAMYCIN PHOSPHATE 1 % EXTERNAL LOTION</t>
        </is>
      </c>
      <c r="E99" s="6" t="inlineStr">
        <is>
          <t>60.0</t>
        </is>
      </c>
      <c r="F99" s="7" t="n">
        <v>60</v>
      </c>
      <c r="G99" s="7" t="n">
        <v>1</v>
      </c>
      <c r="H99" s="7" t="n">
        <v>3</v>
      </c>
      <c r="I99" s="7" t="n">
        <v>2</v>
      </c>
      <c r="J99" s="8" t="n">
        <v>15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ESI</t>
        </is>
      </c>
      <c r="C100" s="5" t="inlineStr">
        <is>
          <t>00378581377</t>
        </is>
      </c>
      <c r="D100" s="5" t="inlineStr">
        <is>
          <t>VALSARTAN 80MG TABLET</t>
        </is>
      </c>
      <c r="E100" s="6" t="inlineStr">
        <is>
          <t>90.0</t>
        </is>
      </c>
      <c r="F100" s="7" t="n">
        <v>60</v>
      </c>
      <c r="G100" s="7" t="n">
        <v>0.6666666666666666</v>
      </c>
      <c r="H100" s="7" t="n">
        <v>0</v>
      </c>
      <c r="I100" s="7" t="n">
        <v>-0.6666666666666666</v>
      </c>
      <c r="J100" s="8" t="n">
        <v>14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ESI</t>
        </is>
      </c>
      <c r="C101" s="5" t="inlineStr">
        <is>
          <t>69238112309</t>
        </is>
      </c>
      <c r="D101" s="5" t="inlineStr">
        <is>
          <t>NADOLOL 20MG TABLET</t>
        </is>
      </c>
      <c r="E101" s="6" t="inlineStr">
        <is>
          <t>90.0</t>
        </is>
      </c>
      <c r="F101" s="7" t="n">
        <v>30</v>
      </c>
      <c r="G101" s="7" t="n">
        <v>0.3333333333333333</v>
      </c>
      <c r="H101" s="7" t="n">
        <v>0</v>
      </c>
      <c r="I101" s="7" t="n">
        <v>-0.3333333333333333</v>
      </c>
      <c r="J101" s="8" t="n">
        <v>14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ESI</t>
        </is>
      </c>
      <c r="C102" s="5" t="inlineStr">
        <is>
          <t>10702005601</t>
        </is>
      </c>
      <c r="D102" s="5" t="inlineStr">
        <is>
          <t>OXYCODONE HCL 10 MG ORAL TABLET</t>
        </is>
      </c>
      <c r="E102" s="6" t="inlineStr">
        <is>
          <t>100.0</t>
        </is>
      </c>
      <c r="F102" s="7" t="n">
        <v>90</v>
      </c>
      <c r="G102" s="7" t="n">
        <v>0.9</v>
      </c>
      <c r="H102" s="7" t="n">
        <v>6</v>
      </c>
      <c r="I102" s="7" t="n">
        <v>5.1</v>
      </c>
      <c r="J102" s="8" t="n">
        <v>13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ESI</t>
        </is>
      </c>
      <c r="C103" s="5" t="inlineStr">
        <is>
          <t>57237004805</t>
        </is>
      </c>
      <c r="D103" s="5" t="inlineStr">
        <is>
          <t>DIVALPROEX 500MG TABLET DELAYED RELEASE</t>
        </is>
      </c>
      <c r="E103" s="6" t="inlineStr">
        <is>
          <t>500.0</t>
        </is>
      </c>
      <c r="F103" s="7" t="n">
        <v>60</v>
      </c>
      <c r="G103" s="7" t="n">
        <v>0.12</v>
      </c>
      <c r="H103" s="7" t="n">
        <v>0</v>
      </c>
      <c r="I103" s="7" t="n">
        <v>-0.12</v>
      </c>
      <c r="J103" s="8" t="n">
        <v>12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ESI</t>
        </is>
      </c>
      <c r="C104" s="5" t="inlineStr">
        <is>
          <t>42858080201</t>
        </is>
      </c>
      <c r="D104" s="5" t="inlineStr">
        <is>
          <t>MORPHINE SULFATE ER 30 MG ORAL TABLET EXTENDED RELEASE</t>
        </is>
      </c>
      <c r="E104" s="6" t="inlineStr">
        <is>
          <t>100.0</t>
        </is>
      </c>
      <c r="F104" s="7" t="n">
        <v>60</v>
      </c>
      <c r="G104" s="7" t="n">
        <v>0.6</v>
      </c>
      <c r="H104" s="7" t="n">
        <v>1</v>
      </c>
      <c r="I104" s="7" t="n">
        <v>0.4</v>
      </c>
      <c r="J104" s="8" t="n">
        <v>12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ESI</t>
        </is>
      </c>
      <c r="C105" s="5" t="inlineStr">
        <is>
          <t>65862020399</t>
        </is>
      </c>
      <c r="D105" s="5" t="inlineStr">
        <is>
          <t>LOSARTAN 100MG TABLET</t>
        </is>
      </c>
      <c r="E105" s="6" t="inlineStr">
        <is>
          <t>1000.0</t>
        </is>
      </c>
      <c r="F105" s="7" t="n">
        <v>180</v>
      </c>
      <c r="G105" s="7" t="n">
        <v>0.18</v>
      </c>
      <c r="H105" s="7" t="n">
        <v>0</v>
      </c>
      <c r="I105" s="7" t="n">
        <v>-0.18</v>
      </c>
      <c r="J105" s="8" t="n">
        <v>12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ESI</t>
        </is>
      </c>
      <c r="C106" s="5" t="inlineStr">
        <is>
          <t>45802090096</t>
        </is>
      </c>
      <c r="D106" s="5" t="inlineStr">
        <is>
          <t>CLINDAMYCIN PHOS 1 % EXTERNAL GEL</t>
        </is>
      </c>
      <c r="E106" s="6" t="inlineStr">
        <is>
          <t>60.0</t>
        </is>
      </c>
      <c r="F106" s="7" t="n">
        <v>60</v>
      </c>
      <c r="G106" s="7" t="n">
        <v>1</v>
      </c>
      <c r="H106" s="7" t="n">
        <v>0</v>
      </c>
      <c r="I106" s="7" t="n">
        <v>-1</v>
      </c>
      <c r="J106" s="8" t="n">
        <v>12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ESI</t>
        </is>
      </c>
      <c r="C107" s="5" t="inlineStr">
        <is>
          <t>00093736810</t>
        </is>
      </c>
      <c r="D107" s="5" t="inlineStr">
        <is>
          <t>LOSARTAN HCTZ 100-25MG TABLET</t>
        </is>
      </c>
      <c r="E107" s="6" t="inlineStr">
        <is>
          <t>1000.0</t>
        </is>
      </c>
      <c r="F107" s="7" t="n">
        <v>180</v>
      </c>
      <c r="G107" s="7" t="n">
        <v>0.18</v>
      </c>
      <c r="H107" s="7" t="n">
        <v>0</v>
      </c>
      <c r="I107" s="7" t="n">
        <v>-0.18</v>
      </c>
      <c r="J107" s="8" t="n">
        <v>11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ESI</t>
        </is>
      </c>
      <c r="C108" s="5" t="inlineStr">
        <is>
          <t>43975027810</t>
        </is>
      </c>
      <c r="D108" s="5" t="inlineStr">
        <is>
          <t>AMPHETAMINE-DEXTROAMPHET ER 10 MG ORAL CAPSULE EXTENDED RELEASE 24 HOUR</t>
        </is>
      </c>
      <c r="E108" s="6" t="inlineStr">
        <is>
          <t>100.0</t>
        </is>
      </c>
      <c r="F108" s="7" t="n">
        <v>15</v>
      </c>
      <c r="G108" s="7" t="n">
        <v>0.15</v>
      </c>
      <c r="H108" s="7" t="n">
        <v>0</v>
      </c>
      <c r="I108" s="7" t="n">
        <v>-0.15</v>
      </c>
      <c r="J108" s="8" t="n">
        <v>11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ESI</t>
        </is>
      </c>
      <c r="C109" s="5" t="inlineStr">
        <is>
          <t>00143980305</t>
        </is>
      </c>
      <c r="D109" s="5" t="inlineStr">
        <is>
          <t>DOXYCYCLINE HYCLATE 100MG CAPSULE</t>
        </is>
      </c>
      <c r="E109" s="6" t="inlineStr">
        <is>
          <t>500.0</t>
        </is>
      </c>
      <c r="F109" s="7" t="n">
        <v>102</v>
      </c>
      <c r="G109" s="7" t="n">
        <v>0.204</v>
      </c>
      <c r="H109" s="7" t="n">
        <v>0</v>
      </c>
      <c r="I109" s="7" t="n">
        <v>-0.204</v>
      </c>
      <c r="J109" s="8" t="n">
        <v>11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ESI</t>
        </is>
      </c>
      <c r="C110" s="5" t="inlineStr">
        <is>
          <t>62756035664</t>
        </is>
      </c>
      <c r="D110" s="5" t="inlineStr">
        <is>
          <t xml:space="preserve">ONDANSETRON ODT 8MG TAB </t>
        </is>
      </c>
      <c r="E110" s="6" t="inlineStr">
        <is>
          <t>30.0</t>
        </is>
      </c>
      <c r="F110" s="7" t="n">
        <v>30</v>
      </c>
      <c r="G110" s="7" t="n">
        <v>1</v>
      </c>
      <c r="H110" s="7" t="n">
        <v>0</v>
      </c>
      <c r="I110" s="7" t="n">
        <v>-1</v>
      </c>
      <c r="J110" s="8" t="n">
        <v>11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ESI</t>
        </is>
      </c>
      <c r="C111" s="5" t="inlineStr">
        <is>
          <t>57237004390</t>
        </is>
      </c>
      <c r="D111" s="5" t="inlineStr">
        <is>
          <t>VALACYCLOVIR 1GM TABLET</t>
        </is>
      </c>
      <c r="E111" s="6" t="inlineStr">
        <is>
          <t>90.0</t>
        </is>
      </c>
      <c r="F111" s="7" t="n">
        <v>20</v>
      </c>
      <c r="G111" s="7" t="n">
        <v>0.2222222222222222</v>
      </c>
      <c r="H111" s="7" t="n">
        <v>0</v>
      </c>
      <c r="I111" s="7" t="n">
        <v>-0.2222222222222222</v>
      </c>
      <c r="J111" s="8" t="n">
        <v>10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ESI</t>
        </is>
      </c>
      <c r="C112" s="5" t="inlineStr">
        <is>
          <t>59651029701</t>
        </is>
      </c>
      <c r="D112" s="5" t="inlineStr">
        <is>
          <t>NIFEDIPINE 90MG TABLET ER</t>
        </is>
      </c>
      <c r="E112" s="6" t="inlineStr">
        <is>
          <t>100.0</t>
        </is>
      </c>
      <c r="F112" s="7" t="n">
        <v>30</v>
      </c>
      <c r="G112" s="7" t="n">
        <v>0.3</v>
      </c>
      <c r="H112" s="7" t="n">
        <v>0</v>
      </c>
      <c r="I112" s="7" t="n">
        <v>-0.3</v>
      </c>
      <c r="J112" s="8" t="n">
        <v>10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ESI</t>
        </is>
      </c>
      <c r="C113" s="5" t="inlineStr">
        <is>
          <t>33342029815</t>
        </is>
      </c>
      <c r="D113" s="5" t="inlineStr">
        <is>
          <t>MEMANTINE 10MG TABLET</t>
        </is>
      </c>
      <c r="E113" s="6" t="inlineStr">
        <is>
          <t>500.0</t>
        </is>
      </c>
      <c r="F113" s="7" t="n">
        <v>60</v>
      </c>
      <c r="G113" s="7" t="n">
        <v>0.12</v>
      </c>
      <c r="H113" s="7" t="n">
        <v>0</v>
      </c>
      <c r="I113" s="7" t="n">
        <v>-0.12</v>
      </c>
      <c r="J113" s="8" t="n">
        <v>10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ESI</t>
        </is>
      </c>
      <c r="C114" s="5" t="inlineStr">
        <is>
          <t>70377007913</t>
        </is>
      </c>
      <c r="D114" s="5" t="inlineStr">
        <is>
          <t>ATORVASTATIN 40MG TABLET</t>
        </is>
      </c>
      <c r="E114" s="6" t="inlineStr">
        <is>
          <t>1000.0</t>
        </is>
      </c>
      <c r="F114" s="7" t="n">
        <v>210</v>
      </c>
      <c r="G114" s="7" t="n">
        <v>0.21</v>
      </c>
      <c r="H114" s="7" t="n">
        <v>4</v>
      </c>
      <c r="I114" s="7" t="n">
        <v>3.79</v>
      </c>
      <c r="J114" s="8" t="n">
        <v>10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ESI</t>
        </is>
      </c>
      <c r="C115" s="5" t="inlineStr">
        <is>
          <t>70756044011</t>
        </is>
      </c>
      <c r="D115" s="5" t="inlineStr">
        <is>
          <t>PRAZOSIN HCL 5 MG ORAL CAPSULE</t>
        </is>
      </c>
      <c r="E115" s="6" t="inlineStr">
        <is>
          <t>100.0</t>
        </is>
      </c>
      <c r="F115" s="7" t="n">
        <v>30</v>
      </c>
      <c r="G115" s="7" t="n">
        <v>0.3</v>
      </c>
      <c r="H115" s="7" t="n">
        <v>0</v>
      </c>
      <c r="I115" s="7" t="n">
        <v>-0.3</v>
      </c>
      <c r="J115" s="8" t="n">
        <v>10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ESI</t>
        </is>
      </c>
      <c r="C116" s="5" t="inlineStr">
        <is>
          <t>51672130104</t>
        </is>
      </c>
      <c r="D116" s="5" t="inlineStr">
        <is>
          <t>AMMONIUM LACTATE 12 % EXTERNAL CREAM</t>
        </is>
      </c>
      <c r="E116" s="6" t="inlineStr">
        <is>
          <t>280.0</t>
        </is>
      </c>
      <c r="F116" s="7" t="n">
        <v>140</v>
      </c>
      <c r="G116" s="7" t="n">
        <v>0.5</v>
      </c>
      <c r="H116" s="7" t="n">
        <v>8</v>
      </c>
      <c r="I116" s="7" t="n">
        <v>7.5</v>
      </c>
      <c r="J116" s="8" t="n">
        <v>10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ESI</t>
        </is>
      </c>
      <c r="C117" s="5" t="inlineStr">
        <is>
          <t>23155050110</t>
        </is>
      </c>
      <c r="D117" s="5" t="inlineStr">
        <is>
          <t>HYDROXYZINE HCL 25MG TABLET</t>
        </is>
      </c>
      <c r="E117" s="6" t="inlineStr">
        <is>
          <t>1000.0</t>
        </is>
      </c>
      <c r="F117" s="7" t="n">
        <v>150</v>
      </c>
      <c r="G117" s="7" t="n">
        <v>0.15</v>
      </c>
      <c r="H117" s="7" t="n">
        <v>0</v>
      </c>
      <c r="I117" s="7" t="n">
        <v>-0.15</v>
      </c>
      <c r="J117" s="8" t="n">
        <v>9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ESI</t>
        </is>
      </c>
      <c r="C118" s="5" t="inlineStr">
        <is>
          <t>57237022005</t>
        </is>
      </c>
      <c r="D118" s="5" t="inlineStr">
        <is>
          <t>PIOGLITAZONE 30MG TABLET</t>
        </is>
      </c>
      <c r="E118" s="6" t="inlineStr">
        <is>
          <t>500.0</t>
        </is>
      </c>
      <c r="F118" s="7" t="n">
        <v>90</v>
      </c>
      <c r="G118" s="7" t="n">
        <v>0.18</v>
      </c>
      <c r="H118" s="7" t="n">
        <v>1</v>
      </c>
      <c r="I118" s="7" t="n">
        <v>0.8200000000000001</v>
      </c>
      <c r="J118" s="8" t="n">
        <v>9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ESI</t>
        </is>
      </c>
      <c r="C119" s="5" t="inlineStr">
        <is>
          <t>45802024494</t>
        </is>
      </c>
      <c r="D119" s="5" t="inlineStr">
        <is>
          <t>NYSTATIN-TRIAMCINOLONE 100000-0.1 U/GM OINTMENT</t>
        </is>
      </c>
      <c r="E119" s="6" t="inlineStr">
        <is>
          <t>30.0</t>
        </is>
      </c>
      <c r="F119" s="7" t="n">
        <v>30</v>
      </c>
      <c r="G119" s="7" t="n">
        <v>1</v>
      </c>
      <c r="H119" s="7" t="n">
        <v>0</v>
      </c>
      <c r="I119" s="7" t="n">
        <v>-1</v>
      </c>
      <c r="J119" s="8" t="n">
        <v>9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ESI</t>
        </is>
      </c>
      <c r="C120" s="5" t="inlineStr">
        <is>
          <t>00023324015</t>
        </is>
      </c>
      <c r="D120" s="5" t="inlineStr">
        <is>
          <t>REFRESH OPTIVE 0.5-0.9% SOLUTION</t>
        </is>
      </c>
      <c r="E120" s="6" t="inlineStr">
        <is>
          <t>15.0</t>
        </is>
      </c>
      <c r="F120" s="7" t="n">
        <v>15</v>
      </c>
      <c r="G120" s="7" t="n">
        <v>1</v>
      </c>
      <c r="H120" s="7" t="n">
        <v>0</v>
      </c>
      <c r="I120" s="7" t="n">
        <v>-1</v>
      </c>
      <c r="J120" s="8" t="n">
        <v>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ESI</t>
        </is>
      </c>
      <c r="C121" s="5" t="inlineStr">
        <is>
          <t>70377008013</t>
        </is>
      </c>
      <c r="D121" s="5" t="inlineStr">
        <is>
          <t>ATORVASTATIN 80MG  TABLET</t>
        </is>
      </c>
      <c r="E121" s="6" t="inlineStr">
        <is>
          <t>1000.0</t>
        </is>
      </c>
      <c r="F121" s="7" t="n">
        <v>180</v>
      </c>
      <c r="G121" s="7" t="n">
        <v>0.18</v>
      </c>
      <c r="H121" s="7" t="n">
        <v>0</v>
      </c>
      <c r="I121" s="7" t="n">
        <v>-0.18</v>
      </c>
      <c r="J121" s="8" t="n">
        <v>8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ESI</t>
        </is>
      </c>
      <c r="C122" s="5" t="inlineStr">
        <is>
          <t>50111091703</t>
        </is>
      </c>
      <c r="D122" s="5" t="inlineStr">
        <is>
          <t>TORSEMIDE 20MG TABLET</t>
        </is>
      </c>
      <c r="E122" s="6" t="inlineStr">
        <is>
          <t>1000.0</t>
        </is>
      </c>
      <c r="F122" s="7" t="n">
        <v>90</v>
      </c>
      <c r="G122" s="7" t="n">
        <v>0.09</v>
      </c>
      <c r="H122" s="7" t="n">
        <v>0</v>
      </c>
      <c r="I122" s="7" t="n">
        <v>-0.09</v>
      </c>
      <c r="J122" s="8" t="n">
        <v>8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ESI</t>
        </is>
      </c>
      <c r="C123" s="5" t="inlineStr">
        <is>
          <t>66993000210</t>
        </is>
      </c>
      <c r="D123" s="5" t="inlineStr">
        <is>
          <t>ESTRADIOL 0.1 MG/GM VAGINAL CREAM</t>
        </is>
      </c>
      <c r="E123" s="6" t="inlineStr">
        <is>
          <t>42.5</t>
        </is>
      </c>
      <c r="F123" s="7" t="n">
        <v>42.5</v>
      </c>
      <c r="G123" s="7" t="n">
        <v>1</v>
      </c>
      <c r="H123" s="7" t="n">
        <v>5</v>
      </c>
      <c r="I123" s="7" t="n">
        <v>4</v>
      </c>
      <c r="J123" s="8" t="n">
        <v>8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ESI</t>
        </is>
      </c>
      <c r="C124" s="5" t="inlineStr">
        <is>
          <t>61314012610</t>
        </is>
      </c>
      <c r="D124" s="5" t="inlineStr">
        <is>
          <t>KETOROLAC TROMETHAMINE 0.5 % OPHTHALMIC SOLUTION</t>
        </is>
      </c>
      <c r="E124" s="6" t="inlineStr">
        <is>
          <t>10.0</t>
        </is>
      </c>
      <c r="F124" s="7" t="n">
        <v>10</v>
      </c>
      <c r="G124" s="7" t="n">
        <v>1</v>
      </c>
      <c r="H124" s="7" t="n">
        <v>5</v>
      </c>
      <c r="I124" s="7" t="n">
        <v>4</v>
      </c>
      <c r="J124" s="8" t="n">
        <v>8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ESI</t>
        </is>
      </c>
      <c r="C125" s="5" t="inlineStr">
        <is>
          <t>23155007001</t>
        </is>
      </c>
      <c r="D125" s="5" t="inlineStr">
        <is>
          <t xml:space="preserve">METHIMAZOLE 5MG TABLE </t>
        </is>
      </c>
      <c r="E125" s="6" t="inlineStr">
        <is>
          <t>100.0</t>
        </is>
      </c>
      <c r="F125" s="7" t="n">
        <v>90</v>
      </c>
      <c r="G125" s="7" t="n">
        <v>0.9</v>
      </c>
      <c r="H125" s="7" t="n">
        <v>2</v>
      </c>
      <c r="I125" s="7" t="n">
        <v>1.1</v>
      </c>
      <c r="J125" s="8" t="n">
        <v>8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ESI</t>
        </is>
      </c>
      <c r="C126" s="5" t="inlineStr">
        <is>
          <t>69097022416</t>
        </is>
      </c>
      <c r="D126" s="5" t="inlineStr">
        <is>
          <t xml:space="preserve">ALENDRONATE 70MG TAB </t>
        </is>
      </c>
      <c r="E126" s="6" t="inlineStr">
        <is>
          <t>4.0</t>
        </is>
      </c>
      <c r="F126" s="7" t="n">
        <v>20</v>
      </c>
      <c r="G126" s="7" t="n">
        <v>5</v>
      </c>
      <c r="H126" s="7" t="n">
        <v>10</v>
      </c>
      <c r="I126" s="7" t="n">
        <v>5</v>
      </c>
      <c r="J126" s="8" t="n">
        <v>7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ESI</t>
        </is>
      </c>
      <c r="C127" s="5" t="inlineStr">
        <is>
          <t>08484081028</t>
        </is>
      </c>
      <c r="D127" s="5" t="inlineStr">
        <is>
          <t>LANCETS PRODIGY</t>
        </is>
      </c>
      <c r="E127" s="6" t="inlineStr">
        <is>
          <t>100.0</t>
        </is>
      </c>
      <c r="F127" s="7" t="n">
        <v>200</v>
      </c>
      <c r="G127" s="7" t="n">
        <v>2</v>
      </c>
      <c r="H127" s="7" t="n">
        <v>0</v>
      </c>
      <c r="I127" s="7" t="n">
        <v>-2</v>
      </c>
      <c r="J127" s="8" t="n">
        <v>7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ESI</t>
        </is>
      </c>
      <c r="C128" s="5" t="inlineStr">
        <is>
          <t>70010006599</t>
        </is>
      </c>
      <c r="D128" s="5" t="inlineStr">
        <is>
          <t>METFORMIN 1000MG TABLET</t>
        </is>
      </c>
      <c r="E128" s="6" t="inlineStr">
        <is>
          <t>1000.0</t>
        </is>
      </c>
      <c r="F128" s="7" t="n">
        <v>240</v>
      </c>
      <c r="G128" s="7" t="n">
        <v>0.24</v>
      </c>
      <c r="H128" s="7" t="n">
        <v>3</v>
      </c>
      <c r="I128" s="7" t="n">
        <v>2.76</v>
      </c>
      <c r="J128" s="8" t="n">
        <v>7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ESI</t>
        </is>
      </c>
      <c r="C129" s="5" t="inlineStr">
        <is>
          <t>69315030810</t>
        </is>
      </c>
      <c r="D129" s="5" t="inlineStr">
        <is>
          <t>CIPROFLOXACIN HCL 0.3 % OPHTHALMIC SOLUTION</t>
        </is>
      </c>
      <c r="E129" s="6" t="inlineStr">
        <is>
          <t>10.0</t>
        </is>
      </c>
      <c r="F129" s="7" t="n">
        <v>10</v>
      </c>
      <c r="G129" s="7" t="n">
        <v>1</v>
      </c>
      <c r="H129" s="7" t="n">
        <v>3</v>
      </c>
      <c r="I129" s="7" t="n">
        <v>2</v>
      </c>
      <c r="J129" s="8" t="n">
        <v>6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ESI</t>
        </is>
      </c>
      <c r="C130" s="5" t="inlineStr">
        <is>
          <t>60505014201</t>
        </is>
      </c>
      <c r="D130" s="5" t="inlineStr">
        <is>
          <t xml:space="preserve">GLIPIZIDE 10MG TAB </t>
        </is>
      </c>
      <c r="E130" s="6" t="inlineStr">
        <is>
          <t>1000.0</t>
        </is>
      </c>
      <c r="F130" s="7" t="n">
        <v>90</v>
      </c>
      <c r="G130" s="7" t="n">
        <v>0.09</v>
      </c>
      <c r="H130" s="7" t="n">
        <v>0</v>
      </c>
      <c r="I130" s="7" t="n">
        <v>-0.09</v>
      </c>
      <c r="J130" s="8" t="n">
        <v>6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ESI</t>
        </is>
      </c>
      <c r="C131" s="5" t="inlineStr">
        <is>
          <t>67877043405</t>
        </is>
      </c>
      <c r="D131" s="5" t="inlineStr">
        <is>
          <t>ARIPIPRAZOLE 20 MG ORAL TABLET</t>
        </is>
      </c>
      <c r="E131" s="6" t="inlineStr">
        <is>
          <t>500.0</t>
        </is>
      </c>
      <c r="F131" s="7" t="n">
        <v>30</v>
      </c>
      <c r="G131" s="7" t="n">
        <v>0.06</v>
      </c>
      <c r="H131" s="7" t="n">
        <v>0</v>
      </c>
      <c r="I131" s="7" t="n">
        <v>-0.06</v>
      </c>
      <c r="J131" s="8" t="n">
        <v>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ESI</t>
        </is>
      </c>
      <c r="C132" s="5" t="inlineStr">
        <is>
          <t>42192071506</t>
        </is>
      </c>
      <c r="D132" s="5" t="inlineStr">
        <is>
          <t>CICLOPIROX 8 % EXTERNAL SOLUTION</t>
        </is>
      </c>
      <c r="E132" s="6" t="inlineStr">
        <is>
          <t>6.6</t>
        </is>
      </c>
      <c r="F132" s="7" t="n">
        <v>6.6</v>
      </c>
      <c r="G132" s="7" t="n">
        <v>1</v>
      </c>
      <c r="H132" s="7" t="n">
        <v>8</v>
      </c>
      <c r="I132" s="7" t="n">
        <v>7</v>
      </c>
      <c r="J132" s="8" t="n">
        <v>6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ESI</t>
        </is>
      </c>
      <c r="C133" s="5" t="inlineStr">
        <is>
          <t>31722008230</t>
        </is>
      </c>
      <c r="D133" s="5" t="inlineStr">
        <is>
          <t>LURASIDONE HCL 60 MG ORAL TABLET</t>
        </is>
      </c>
      <c r="E133" s="6" t="inlineStr">
        <is>
          <t>30.0</t>
        </is>
      </c>
      <c r="F133" s="7" t="n">
        <v>30</v>
      </c>
      <c r="G133" s="7" t="n">
        <v>1</v>
      </c>
      <c r="H133" s="7" t="n">
        <v>1</v>
      </c>
      <c r="I133" s="7" t="n">
        <v>0</v>
      </c>
      <c r="J133" s="8" t="n">
        <v>6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ESI</t>
        </is>
      </c>
      <c r="C134" s="5" t="inlineStr">
        <is>
          <t>23155083310</t>
        </is>
      </c>
      <c r="D134" s="5" t="inlineStr">
        <is>
          <t>HYDRALAZINE HCL 25 MG TABLET</t>
        </is>
      </c>
      <c r="E134" s="6" t="inlineStr">
        <is>
          <t>1000.0</t>
        </is>
      </c>
      <c r="F134" s="7" t="n">
        <v>180</v>
      </c>
      <c r="G134" s="7" t="n">
        <v>0.18</v>
      </c>
      <c r="H134" s="7" t="n">
        <v>2</v>
      </c>
      <c r="I134" s="7" t="n">
        <v>1.82</v>
      </c>
      <c r="J134" s="8" t="n">
        <v>6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ESI</t>
        </is>
      </c>
      <c r="C135" s="5" t="inlineStr">
        <is>
          <t>69315011610</t>
        </is>
      </c>
      <c r="D135" s="5" t="inlineStr">
        <is>
          <t xml:space="preserve">FUROSEMIDE 20MG TAB </t>
        </is>
      </c>
      <c r="E135" s="6" t="inlineStr">
        <is>
          <t>1000.0</t>
        </is>
      </c>
      <c r="F135" s="7" t="n">
        <v>270</v>
      </c>
      <c r="G135" s="7" t="n">
        <v>0.27</v>
      </c>
      <c r="H135" s="7" t="n">
        <v>0</v>
      </c>
      <c r="I135" s="7" t="n">
        <v>-0.27</v>
      </c>
      <c r="J135" s="8" t="n">
        <v>6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ESI</t>
        </is>
      </c>
      <c r="C136" s="5" t="inlineStr">
        <is>
          <t>59762033302</t>
        </is>
      </c>
      <c r="D136" s="5" t="inlineStr">
        <is>
          <t>LATANOPROST 0.005 % OPHTHALMIC SOLUTION</t>
        </is>
      </c>
      <c r="E136" s="6" t="inlineStr">
        <is>
          <t>2.5</t>
        </is>
      </c>
      <c r="F136" s="7" t="n">
        <v>5</v>
      </c>
      <c r="G136" s="7" t="n">
        <v>2</v>
      </c>
      <c r="H136" s="7" t="n">
        <v>44</v>
      </c>
      <c r="I136" s="7" t="n">
        <v>42</v>
      </c>
      <c r="J136" s="8" t="n">
        <v>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ESI</t>
        </is>
      </c>
      <c r="C137" s="5" t="inlineStr">
        <is>
          <t>61314022705</t>
        </is>
      </c>
      <c r="D137" s="5" t="inlineStr">
        <is>
          <t>TIMOLOL MALEATE 0.5% SOLUTION</t>
        </is>
      </c>
      <c r="E137" s="6" t="inlineStr">
        <is>
          <t>5.0</t>
        </is>
      </c>
      <c r="F137" s="7" t="n">
        <v>5</v>
      </c>
      <c r="G137" s="7" t="n">
        <v>1</v>
      </c>
      <c r="H137" s="7" t="n">
        <v>6</v>
      </c>
      <c r="I137" s="7" t="n">
        <v>5</v>
      </c>
      <c r="J137" s="8" t="n">
        <v>5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ESI</t>
        </is>
      </c>
      <c r="C138" s="5" t="inlineStr">
        <is>
          <t>70010006310</t>
        </is>
      </c>
      <c r="D138" s="5" t="inlineStr">
        <is>
          <t>METFORMIN HCL 500 MG TABLET</t>
        </is>
      </c>
      <c r="E138" s="6" t="inlineStr">
        <is>
          <t>1000.0</t>
        </is>
      </c>
      <c r="F138" s="7" t="n">
        <v>270</v>
      </c>
      <c r="G138" s="7" t="n">
        <v>0.27</v>
      </c>
      <c r="H138" s="7" t="n">
        <v>2</v>
      </c>
      <c r="I138" s="7" t="n">
        <v>1.73</v>
      </c>
      <c r="J138" s="8" t="n">
        <v>5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ESI</t>
        </is>
      </c>
      <c r="C139" s="5" t="inlineStr">
        <is>
          <t>70010006410</t>
        </is>
      </c>
      <c r="D139" s="5" t="inlineStr">
        <is>
          <t>METFORMIN 850 MG TABLET</t>
        </is>
      </c>
      <c r="E139" s="6" t="inlineStr">
        <is>
          <t>1000.0</t>
        </is>
      </c>
      <c r="F139" s="7" t="n">
        <v>180</v>
      </c>
      <c r="G139" s="7" t="n">
        <v>0.18</v>
      </c>
      <c r="H139" s="7" t="n">
        <v>0</v>
      </c>
      <c r="I139" s="7" t="n">
        <v>-0.18</v>
      </c>
      <c r="J139" s="8" t="n">
        <v>5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ESI</t>
        </is>
      </c>
      <c r="C140" s="5" t="inlineStr">
        <is>
          <t>21922006215</t>
        </is>
      </c>
      <c r="D140" s="5" t="inlineStr">
        <is>
          <t>TRIAMCINOLONE ACETONIDE 0.1 % EXTERNAL CREAM</t>
        </is>
      </c>
      <c r="E140" s="6" t="inlineStr">
        <is>
          <t>80.0</t>
        </is>
      </c>
      <c r="F140" s="7" t="n">
        <v>80</v>
      </c>
      <c r="G140" s="7" t="n">
        <v>1</v>
      </c>
      <c r="H140" s="7" t="n">
        <v>6</v>
      </c>
      <c r="I140" s="7" t="n">
        <v>5</v>
      </c>
      <c r="J140" s="8" t="n">
        <v>5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ESI</t>
        </is>
      </c>
      <c r="C141" s="5" t="inlineStr">
        <is>
          <t>67877084210</t>
        </is>
      </c>
      <c r="D141" s="5" t="inlineStr">
        <is>
          <t>FAMOTIDINE 20MG TABLET</t>
        </is>
      </c>
      <c r="E141" s="6" t="inlineStr">
        <is>
          <t>1000.0</t>
        </is>
      </c>
      <c r="F141" s="7" t="n">
        <v>90</v>
      </c>
      <c r="G141" s="7" t="n">
        <v>0.09</v>
      </c>
      <c r="H141" s="7" t="n">
        <v>0</v>
      </c>
      <c r="I141" s="7" t="n">
        <v>-0.09</v>
      </c>
      <c r="J141" s="8" t="n">
        <v>5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ESI</t>
        </is>
      </c>
      <c r="C142" s="5" t="inlineStr">
        <is>
          <t>00168009960</t>
        </is>
      </c>
      <c r="D142" s="5" t="inlineStr">
        <is>
          <t>KETOCONAZOLE 2% CREAM</t>
        </is>
      </c>
      <c r="E142" s="6" t="inlineStr">
        <is>
          <t>60.0</t>
        </is>
      </c>
      <c r="F142" s="7" t="n">
        <v>60</v>
      </c>
      <c r="G142" s="7" t="n">
        <v>1</v>
      </c>
      <c r="H142" s="7" t="n">
        <v>0</v>
      </c>
      <c r="I142" s="7" t="n">
        <v>-1</v>
      </c>
      <c r="J142" s="8" t="n">
        <v>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ESI</t>
        </is>
      </c>
      <c r="C143" s="5" t="inlineStr">
        <is>
          <t>72888003600</t>
        </is>
      </c>
      <c r="D143" s="5" t="inlineStr">
        <is>
          <t>CARVEDILOL 12.5MG TABLET</t>
        </is>
      </c>
      <c r="E143" s="6" t="inlineStr">
        <is>
          <t>1000.0</t>
        </is>
      </c>
      <c r="F143" s="7" t="n">
        <v>240</v>
      </c>
      <c r="G143" s="7" t="n">
        <v>0.24</v>
      </c>
      <c r="H143" s="7" t="n">
        <v>0</v>
      </c>
      <c r="I143" s="7" t="n">
        <v>-0.24</v>
      </c>
      <c r="J143" s="8" t="n">
        <v>4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ESI</t>
        </is>
      </c>
      <c r="C144" s="5" t="inlineStr">
        <is>
          <t>72888007301</t>
        </is>
      </c>
      <c r="D144" s="5" t="inlineStr">
        <is>
          <t>DICLOFENAC POTASSIUM 50MG TABLET</t>
        </is>
      </c>
      <c r="E144" s="6" t="inlineStr">
        <is>
          <t>100.0</t>
        </is>
      </c>
      <c r="F144" s="7" t="n">
        <v>30</v>
      </c>
      <c r="G144" s="7" t="n">
        <v>0.3</v>
      </c>
      <c r="H144" s="7" t="n">
        <v>0</v>
      </c>
      <c r="I144" s="7" t="n">
        <v>-0.3</v>
      </c>
      <c r="J144" s="8" t="n">
        <v>4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ESI</t>
        </is>
      </c>
      <c r="C145" s="5" t="inlineStr">
        <is>
          <t>61442010305</t>
        </is>
      </c>
      <c r="D145" s="5" t="inlineStr">
        <is>
          <t xml:space="preserve">DICLOFENAC SOD 75MG TAB DR </t>
        </is>
      </c>
      <c r="E145" s="6" t="inlineStr">
        <is>
          <t>500.0</t>
        </is>
      </c>
      <c r="F145" s="7" t="n">
        <v>60</v>
      </c>
      <c r="G145" s="7" t="n">
        <v>0.12</v>
      </c>
      <c r="H145" s="7" t="n">
        <v>0</v>
      </c>
      <c r="I145" s="7" t="n">
        <v>-0.12</v>
      </c>
      <c r="J145" s="8" t="n">
        <v>4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ESI</t>
        </is>
      </c>
      <c r="C146" s="5" t="inlineStr">
        <is>
          <t>62559041701</t>
        </is>
      </c>
      <c r="D146" s="5" t="inlineStr">
        <is>
          <t>BENAZEPRIL-HYDROCHLOROTHIAZIDE 20-25 MG TABLET</t>
        </is>
      </c>
      <c r="E146" s="6" t="inlineStr">
        <is>
          <t>100.0</t>
        </is>
      </c>
      <c r="F146" s="7" t="n">
        <v>30</v>
      </c>
      <c r="G146" s="7" t="n">
        <v>0.3</v>
      </c>
      <c r="H146" s="7" t="n">
        <v>2</v>
      </c>
      <c r="I146" s="7" t="n">
        <v>1.7</v>
      </c>
      <c r="J146" s="8" t="n">
        <v>4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ESI</t>
        </is>
      </c>
      <c r="C147" s="5" t="inlineStr">
        <is>
          <t>59651054005</t>
        </is>
      </c>
      <c r="D147" s="5" t="inlineStr">
        <is>
          <t>ISOSORBIDE MONONITRATE ER 60 MG ORAL TABLET EXTENDED RELEASE 24 HOUR</t>
        </is>
      </c>
      <c r="E147" s="6" t="inlineStr">
        <is>
          <t>500.0</t>
        </is>
      </c>
      <c r="F147" s="7" t="n">
        <v>30</v>
      </c>
      <c r="G147" s="7" t="n">
        <v>0.06</v>
      </c>
      <c r="H147" s="7" t="n">
        <v>0</v>
      </c>
      <c r="I147" s="7" t="n">
        <v>-0.06</v>
      </c>
      <c r="J147" s="8" t="n">
        <v>4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ESI</t>
        </is>
      </c>
      <c r="C148" s="5" t="inlineStr">
        <is>
          <t>68180096903</t>
        </is>
      </c>
      <c r="D148" s="5" t="inlineStr">
        <is>
          <t>LEVOTHYROXINE 100MCG TABLET</t>
        </is>
      </c>
      <c r="E148" s="6" t="inlineStr">
        <is>
          <t>1000.0</t>
        </is>
      </c>
      <c r="F148" s="7" t="n">
        <v>90</v>
      </c>
      <c r="G148" s="7" t="n">
        <v>0.09</v>
      </c>
      <c r="H148" s="7" t="n">
        <v>0</v>
      </c>
      <c r="I148" s="7" t="n">
        <v>-0.09</v>
      </c>
      <c r="J148" s="8" t="n">
        <v>4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ESI</t>
        </is>
      </c>
      <c r="C149" s="5" t="inlineStr">
        <is>
          <t>33342033380</t>
        </is>
      </c>
      <c r="D149" s="5" t="inlineStr">
        <is>
          <t>TRIAMCINOLONE ACETONIDE 0.1 % EXTERNAL OINTMENT</t>
        </is>
      </c>
      <c r="E149" s="6" t="inlineStr">
        <is>
          <t>80.0</t>
        </is>
      </c>
      <c r="F149" s="7" t="n">
        <v>80</v>
      </c>
      <c r="G149" s="7" t="n">
        <v>1</v>
      </c>
      <c r="H149" s="7" t="n">
        <v>8</v>
      </c>
      <c r="I149" s="7" t="n">
        <v>7</v>
      </c>
      <c r="J149" s="8" t="n">
        <v>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ESI</t>
        </is>
      </c>
      <c r="C150" s="5" t="inlineStr">
        <is>
          <t>50742026003</t>
        </is>
      </c>
      <c r="D150" s="5" t="inlineStr">
        <is>
          <t>NIFEDIPINE 30MG TABLET ER</t>
        </is>
      </c>
      <c r="E150" s="6" t="inlineStr">
        <is>
          <t>300.0</t>
        </is>
      </c>
      <c r="F150" s="7" t="n">
        <v>30</v>
      </c>
      <c r="G150" s="7" t="n">
        <v>0.1</v>
      </c>
      <c r="H150" s="7" t="n">
        <v>0</v>
      </c>
      <c r="I150" s="7" t="n">
        <v>-0.1</v>
      </c>
      <c r="J150" s="8" t="n">
        <v>4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ESI</t>
        </is>
      </c>
      <c r="C151" s="5" t="inlineStr">
        <is>
          <t>68462039710</t>
        </is>
      </c>
      <c r="D151" s="5" t="inlineStr">
        <is>
          <t>OMEPRAZOLE 40MG CAPSULE DR</t>
        </is>
      </c>
      <c r="E151" s="6" t="inlineStr">
        <is>
          <t>1000.0</t>
        </is>
      </c>
      <c r="F151" s="7" t="n">
        <v>180</v>
      </c>
      <c r="G151" s="7" t="n">
        <v>0.18</v>
      </c>
      <c r="H151" s="7" t="n">
        <v>1</v>
      </c>
      <c r="I151" s="7" t="n">
        <v>0.8200000000000001</v>
      </c>
      <c r="J151" s="8" t="n">
        <v>4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ESI</t>
        </is>
      </c>
      <c r="C152" s="5" t="inlineStr">
        <is>
          <t>70377000613</t>
        </is>
      </c>
      <c r="D152" s="5" t="inlineStr">
        <is>
          <t>ROSUVASTATIN 5MG TABLET</t>
        </is>
      </c>
      <c r="E152" s="6" t="inlineStr">
        <is>
          <t>500.0</t>
        </is>
      </c>
      <c r="F152" s="7" t="n">
        <v>90</v>
      </c>
      <c r="G152" s="7" t="n">
        <v>0.18</v>
      </c>
      <c r="H152" s="7" t="n">
        <v>0</v>
      </c>
      <c r="I152" s="7" t="n">
        <v>-0.18</v>
      </c>
      <c r="J152" s="8" t="n">
        <v>4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ESI</t>
        </is>
      </c>
      <c r="C153" s="5" t="inlineStr">
        <is>
          <t>68180097103</t>
        </is>
      </c>
      <c r="D153" s="5" t="inlineStr">
        <is>
          <t>LEVOTHYROXINE 125MCG TABLET</t>
        </is>
      </c>
      <c r="E153" s="6" t="inlineStr">
        <is>
          <t>1000.0</t>
        </is>
      </c>
      <c r="F153" s="7" t="n">
        <v>30</v>
      </c>
      <c r="G153" s="7" t="n">
        <v>0.03</v>
      </c>
      <c r="H153" s="7" t="n">
        <v>0</v>
      </c>
      <c r="I153" s="7" t="n">
        <v>-0.03</v>
      </c>
      <c r="J153" s="8" t="n">
        <v>4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ESI</t>
        </is>
      </c>
      <c r="C154" s="5" t="inlineStr">
        <is>
          <t>60505014101</t>
        </is>
      </c>
      <c r="D154" s="5" t="inlineStr">
        <is>
          <t xml:space="preserve">GLIPIZIDE 5MG TAB </t>
        </is>
      </c>
      <c r="E154" s="6" t="inlineStr">
        <is>
          <t>1000.0</t>
        </is>
      </c>
      <c r="F154" s="7" t="n">
        <v>90</v>
      </c>
      <c r="G154" s="7" t="n">
        <v>0.09</v>
      </c>
      <c r="H154" s="7" t="n">
        <v>0</v>
      </c>
      <c r="I154" s="7" t="n">
        <v>-0.09</v>
      </c>
      <c r="J154" s="8" t="n">
        <v>4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ESI</t>
        </is>
      </c>
      <c r="C155" s="5" t="inlineStr">
        <is>
          <t>16729009016</t>
        </is>
      </c>
      <c r="D155" s="5" t="inlineStr">
        <is>
          <t xml:space="preserve">FINASTERIDE 5MG TAB </t>
        </is>
      </c>
      <c r="E155" s="6" t="inlineStr">
        <is>
          <t>500.0</t>
        </is>
      </c>
      <c r="F155" s="7" t="n">
        <v>90</v>
      </c>
      <c r="G155" s="7" t="n">
        <v>0.18</v>
      </c>
      <c r="H155" s="7" t="n">
        <v>0</v>
      </c>
      <c r="I155" s="7" t="n">
        <v>-0.18</v>
      </c>
      <c r="J155" s="8" t="n">
        <v>4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ESI</t>
        </is>
      </c>
      <c r="C156" s="5" t="inlineStr">
        <is>
          <t>59746012110</t>
        </is>
      </c>
      <c r="D156" s="5" t="inlineStr">
        <is>
          <t>MECLIZINE HCL 25MG TABLET</t>
        </is>
      </c>
      <c r="E156" s="6" t="inlineStr">
        <is>
          <t>1000.0</t>
        </is>
      </c>
      <c r="F156" s="7" t="n">
        <v>30</v>
      </c>
      <c r="G156" s="7" t="n">
        <v>0.03</v>
      </c>
      <c r="H156" s="7" t="n">
        <v>0</v>
      </c>
      <c r="I156" s="7" t="n">
        <v>-0.03</v>
      </c>
      <c r="J156" s="8" t="n">
        <v>4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ESI</t>
        </is>
      </c>
      <c r="C157" s="5" t="inlineStr">
        <is>
          <t>68382066010</t>
        </is>
      </c>
      <c r="D157" s="5" t="inlineStr">
        <is>
          <t>SPIRONOLACTONE 25MG TABLET</t>
        </is>
      </c>
      <c r="E157" s="6" t="inlineStr">
        <is>
          <t>1000.0</t>
        </is>
      </c>
      <c r="F157" s="7" t="n">
        <v>45</v>
      </c>
      <c r="G157" s="7" t="n">
        <v>0.045</v>
      </c>
      <c r="H157" s="7" t="n">
        <v>0</v>
      </c>
      <c r="I157" s="7" t="n">
        <v>-0.045</v>
      </c>
      <c r="J157" s="8" t="n">
        <v>3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ESI</t>
        </is>
      </c>
      <c r="C158" s="5" t="inlineStr">
        <is>
          <t>42806036201</t>
        </is>
      </c>
      <c r="D158" s="5" t="inlineStr">
        <is>
          <t>DOXYCYCLINE HYCLATE 20 MG ORAL TABLET</t>
        </is>
      </c>
      <c r="E158" s="6" t="inlineStr">
        <is>
          <t>100.0</t>
        </is>
      </c>
      <c r="F158" s="7" t="n">
        <v>60</v>
      </c>
      <c r="G158" s="7" t="n">
        <v>0.6</v>
      </c>
      <c r="H158" s="7" t="n">
        <v>0</v>
      </c>
      <c r="I158" s="7" t="n">
        <v>-0.6</v>
      </c>
      <c r="J158" s="8" t="n">
        <v>3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ESI</t>
        </is>
      </c>
      <c r="C159" s="5" t="inlineStr">
        <is>
          <t>72888003700</t>
        </is>
      </c>
      <c r="D159" s="5" t="inlineStr">
        <is>
          <t xml:space="preserve">CARVEDILOL 25 MG TABLET </t>
        </is>
      </c>
      <c r="E159" s="6" t="inlineStr">
        <is>
          <t>1000.0</t>
        </is>
      </c>
      <c r="F159" s="7" t="n">
        <v>90</v>
      </c>
      <c r="G159" s="7" t="n">
        <v>0.09</v>
      </c>
      <c r="H159" s="7" t="n">
        <v>0</v>
      </c>
      <c r="I159" s="7" t="n">
        <v>-0.09</v>
      </c>
      <c r="J159" s="8" t="n">
        <v>3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ESI</t>
        </is>
      </c>
      <c r="C160" s="5" t="inlineStr">
        <is>
          <t>61314014305</t>
        </is>
      </c>
      <c r="D160" s="5" t="inlineStr">
        <is>
          <t>BRIMONIDINE TARTRATE 0.2% SOLUTION</t>
        </is>
      </c>
      <c r="E160" s="6" t="inlineStr">
        <is>
          <t>5.0</t>
        </is>
      </c>
      <c r="F160" s="7" t="n">
        <v>5</v>
      </c>
      <c r="G160" s="7" t="n">
        <v>1</v>
      </c>
      <c r="H160" s="7" t="n">
        <v>0</v>
      </c>
      <c r="I160" s="7" t="n">
        <v>-1</v>
      </c>
      <c r="J160" s="8" t="n">
        <v>3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ESI</t>
        </is>
      </c>
      <c r="C161" s="5" t="inlineStr">
        <is>
          <t>70377007713</t>
        </is>
      </c>
      <c r="D161" s="5" t="inlineStr">
        <is>
          <t>ATORVASTATIN 10MG TABLET</t>
        </is>
      </c>
      <c r="E161" s="6" t="inlineStr">
        <is>
          <t>1000.0</t>
        </is>
      </c>
      <c r="F161" s="7" t="n">
        <v>90</v>
      </c>
      <c r="G161" s="7" t="n">
        <v>0.09</v>
      </c>
      <c r="H161" s="7" t="n">
        <v>0</v>
      </c>
      <c r="I161" s="7" t="n">
        <v>-0.09</v>
      </c>
      <c r="J161" s="8" t="n">
        <v>3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ESI</t>
        </is>
      </c>
      <c r="C162" s="5" t="inlineStr">
        <is>
          <t>65862020299</t>
        </is>
      </c>
      <c r="D162" s="5" t="inlineStr">
        <is>
          <t>LOSARTAN 50MG TABLET</t>
        </is>
      </c>
      <c r="E162" s="6" t="inlineStr">
        <is>
          <t>1000.0</t>
        </is>
      </c>
      <c r="F162" s="7" t="n">
        <v>60</v>
      </c>
      <c r="G162" s="7" t="n">
        <v>0.06</v>
      </c>
      <c r="H162" s="7" t="n">
        <v>0</v>
      </c>
      <c r="I162" s="7" t="n">
        <v>-0.06</v>
      </c>
      <c r="J162" s="8" t="n">
        <v>3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ESI</t>
        </is>
      </c>
      <c r="C163" s="5" t="inlineStr">
        <is>
          <t>68180051802</t>
        </is>
      </c>
      <c r="D163" s="5" t="inlineStr">
        <is>
          <t xml:space="preserve">LISINOPRIL-HCTZ 10-12.5MG TAB </t>
        </is>
      </c>
      <c r="E163" s="6" t="inlineStr">
        <is>
          <t>500.0</t>
        </is>
      </c>
      <c r="F163" s="7" t="n">
        <v>90</v>
      </c>
      <c r="G163" s="7" t="n">
        <v>0.18</v>
      </c>
      <c r="H163" s="7" t="n">
        <v>2</v>
      </c>
      <c r="I163" s="7" t="n">
        <v>1.82</v>
      </c>
      <c r="J163" s="8" t="n">
        <v>3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ESI</t>
        </is>
      </c>
      <c r="C164" s="5" t="inlineStr">
        <is>
          <t>68180037603</t>
        </is>
      </c>
      <c r="D164" s="5" t="inlineStr">
        <is>
          <t>LOSARTAN POTASSIUM 25MG TABLET</t>
        </is>
      </c>
      <c r="E164" s="6" t="inlineStr">
        <is>
          <t>1000.0</t>
        </is>
      </c>
      <c r="F164" s="7" t="n">
        <v>90</v>
      </c>
      <c r="G164" s="7" t="n">
        <v>0.09</v>
      </c>
      <c r="H164" s="7" t="n">
        <v>0</v>
      </c>
      <c r="I164" s="7" t="n">
        <v>-0.09</v>
      </c>
      <c r="J164" s="8" t="n">
        <v>3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ESI</t>
        </is>
      </c>
      <c r="C165" s="5" t="inlineStr">
        <is>
          <t>00904650106</t>
        </is>
      </c>
      <c r="D165" s="5" t="inlineStr">
        <is>
          <t>FLUCONAZOLE 200 MG ORAL TABLET</t>
        </is>
      </c>
      <c r="E165" s="6" t="inlineStr">
        <is>
          <t>50.0</t>
        </is>
      </c>
      <c r="F165" s="7" t="n">
        <v>4</v>
      </c>
      <c r="G165" s="7" t="n">
        <v>0.08</v>
      </c>
      <c r="H165" s="7" t="n">
        <v>0</v>
      </c>
      <c r="I165" s="7" t="n">
        <v>-0.08</v>
      </c>
      <c r="J165" s="8" t="n">
        <v>3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ESI</t>
        </is>
      </c>
      <c r="C166" s="5" t="inlineStr">
        <is>
          <t>29300022010</t>
        </is>
      </c>
      <c r="D166" s="5" t="inlineStr">
        <is>
          <t xml:space="preserve">MONTELUKAST 10MG TAB </t>
        </is>
      </c>
      <c r="E166" s="6" t="inlineStr">
        <is>
          <t>1000.0</t>
        </is>
      </c>
      <c r="F166" s="7" t="n">
        <v>30</v>
      </c>
      <c r="G166" s="7" t="n">
        <v>0.03</v>
      </c>
      <c r="H166" s="7" t="n">
        <v>0</v>
      </c>
      <c r="I166" s="7" t="n">
        <v>-0.03</v>
      </c>
      <c r="J166" s="8" t="n">
        <v>3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ESI</t>
        </is>
      </c>
      <c r="C167" s="5" t="inlineStr">
        <is>
          <t>67877022305</t>
        </is>
      </c>
      <c r="D167" s="5" t="inlineStr">
        <is>
          <t>GABAPENTIN 300 MG CAPSULE</t>
        </is>
      </c>
      <c r="E167" s="6" t="inlineStr">
        <is>
          <t>500.0</t>
        </is>
      </c>
      <c r="F167" s="7" t="n">
        <v>30</v>
      </c>
      <c r="G167" s="7" t="n">
        <v>0.06</v>
      </c>
      <c r="H167" s="7" t="n">
        <v>0</v>
      </c>
      <c r="I167" s="7" t="n">
        <v>-0.06</v>
      </c>
      <c r="J167" s="8" t="n">
        <v>2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ESI</t>
        </is>
      </c>
      <c r="C168" s="5" t="inlineStr">
        <is>
          <t>80681013900</t>
        </is>
      </c>
      <c r="D168" s="5" t="inlineStr">
        <is>
          <t xml:space="preserve">CALCIUM-VIT D 600-400MG TAB </t>
        </is>
      </c>
      <c r="E168" s="6" t="inlineStr">
        <is>
          <t>150.0</t>
        </is>
      </c>
      <c r="F168" s="7" t="n">
        <v>180</v>
      </c>
      <c r="G168" s="7" t="n">
        <v>1.2</v>
      </c>
      <c r="H168" s="7" t="n">
        <v>0</v>
      </c>
      <c r="I168" s="7" t="n">
        <v>-1.2</v>
      </c>
      <c r="J168" s="8" t="n">
        <v>2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ESI</t>
        </is>
      </c>
      <c r="C169" s="5" t="inlineStr">
        <is>
          <t>13668013510</t>
        </is>
      </c>
      <c r="D169" s="5" t="inlineStr">
        <is>
          <t>ESCITALOPRAM 5MG TABLET</t>
        </is>
      </c>
      <c r="E169" s="6" t="inlineStr">
        <is>
          <t>1000.0</t>
        </is>
      </c>
      <c r="F169" s="7" t="n">
        <v>30</v>
      </c>
      <c r="G169" s="7" t="n">
        <v>0.03</v>
      </c>
      <c r="H169" s="7" t="n">
        <v>0</v>
      </c>
      <c r="I169" s="7" t="n">
        <v>-0.03</v>
      </c>
      <c r="J169" s="8" t="n">
        <v>2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ESI</t>
        </is>
      </c>
      <c r="C170" s="5" t="inlineStr">
        <is>
          <t>00143924920</t>
        </is>
      </c>
      <c r="D170" s="5" t="inlineStr">
        <is>
          <t xml:space="preserve">AMOXICILLIN-POT CLAVULANATE 875-125 MG TABLET </t>
        </is>
      </c>
      <c r="E170" s="6" t="inlineStr">
        <is>
          <t>20.0</t>
        </is>
      </c>
      <c r="F170" s="7" t="n">
        <v>14</v>
      </c>
      <c r="G170" s="7" t="n">
        <v>0.7</v>
      </c>
      <c r="H170" s="7" t="n">
        <v>0</v>
      </c>
      <c r="I170" s="7" t="n">
        <v>-0.7</v>
      </c>
      <c r="J170" s="8" t="n">
        <v>2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ESI</t>
        </is>
      </c>
      <c r="C171" s="5" t="inlineStr">
        <is>
          <t>13668009690</t>
        </is>
      </c>
      <c r="D171" s="5" t="inlineStr">
        <is>
          <t xml:space="preserve">PANTOPRAZOLE 20MG TAB </t>
        </is>
      </c>
      <c r="E171" s="6" t="inlineStr">
        <is>
          <t>90.0</t>
        </is>
      </c>
      <c r="F171" s="7" t="n">
        <v>30</v>
      </c>
      <c r="G171" s="7" t="n">
        <v>0.3333333333333333</v>
      </c>
      <c r="H171" s="7" t="n">
        <v>0</v>
      </c>
      <c r="I171" s="7" t="n">
        <v>-0.3333333333333333</v>
      </c>
      <c r="J171" s="8" t="n">
        <v>2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ESI</t>
        </is>
      </c>
      <c r="C172" s="5" t="inlineStr">
        <is>
          <t>43598012105</t>
        </is>
      </c>
      <c r="D172" s="5" t="inlineStr">
        <is>
          <t>CLOPIDOGREL BISULFATE 75 MG ORAL TABLET</t>
        </is>
      </c>
      <c r="E172" s="6" t="inlineStr">
        <is>
          <t>500.0</t>
        </is>
      </c>
      <c r="F172" s="7" t="n">
        <v>30</v>
      </c>
      <c r="G172" s="7" t="n">
        <v>0.06</v>
      </c>
      <c r="H172" s="7" t="n">
        <v>0</v>
      </c>
      <c r="I172" s="7" t="n">
        <v>-0.06</v>
      </c>
      <c r="J172" s="8" t="n">
        <v>2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ESI</t>
        </is>
      </c>
      <c r="C173" s="5" t="inlineStr">
        <is>
          <t>13668013610</t>
        </is>
      </c>
      <c r="D173" s="5" t="inlineStr">
        <is>
          <t>ESCITALOPRAM 10MG TABLET</t>
        </is>
      </c>
      <c r="E173" s="6" t="inlineStr">
        <is>
          <t>1000.0</t>
        </is>
      </c>
      <c r="F173" s="7" t="n">
        <v>60</v>
      </c>
      <c r="G173" s="7" t="n">
        <v>0.06</v>
      </c>
      <c r="H173" s="7" t="n">
        <v>0</v>
      </c>
      <c r="I173" s="7" t="n">
        <v>-0.06</v>
      </c>
      <c r="J173" s="8" t="n">
        <v>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ESI</t>
        </is>
      </c>
      <c r="C174" s="5" t="inlineStr">
        <is>
          <t>67877021905</t>
        </is>
      </c>
      <c r="D174" s="5" t="inlineStr">
        <is>
          <t xml:space="preserve">CEPHALEXIN 500MG CAPSULE </t>
        </is>
      </c>
      <c r="E174" s="6" t="inlineStr">
        <is>
          <t>500.0</t>
        </is>
      </c>
      <c r="F174" s="7" t="n">
        <v>14</v>
      </c>
      <c r="G174" s="7" t="n">
        <v>0.028</v>
      </c>
      <c r="H174" s="7" t="n">
        <v>0</v>
      </c>
      <c r="I174" s="7" t="n">
        <v>-0.028</v>
      </c>
      <c r="J174" s="8" t="n">
        <v>2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ESI</t>
        </is>
      </c>
      <c r="C175" s="5" t="inlineStr">
        <is>
          <t>69097012715</t>
        </is>
      </c>
      <c r="D175" s="5" t="inlineStr">
        <is>
          <t xml:space="preserve">AMLODIPINE 5MG TABLET </t>
        </is>
      </c>
      <c r="E175" s="6" t="inlineStr">
        <is>
          <t>1000.0</t>
        </is>
      </c>
      <c r="F175" s="7" t="n">
        <v>300</v>
      </c>
      <c r="G175" s="7" t="n">
        <v>0.3</v>
      </c>
      <c r="H175" s="7" t="n">
        <v>0</v>
      </c>
      <c r="I175" s="7" t="n">
        <v>-0.3</v>
      </c>
      <c r="J175" s="8" t="n">
        <v>2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ESI</t>
        </is>
      </c>
      <c r="C176" s="5" t="inlineStr">
        <is>
          <t>00904539561</t>
        </is>
      </c>
      <c r="D176" s="5" t="inlineStr">
        <is>
          <t>FERREX 150 150 MG ORAL CAPSULE</t>
        </is>
      </c>
      <c r="E176" s="6" t="inlineStr">
        <is>
          <t>100.0</t>
        </is>
      </c>
      <c r="F176" s="7" t="n">
        <v>30</v>
      </c>
      <c r="G176" s="7" t="n">
        <v>0.3</v>
      </c>
      <c r="H176" s="7" t="n">
        <v>2</v>
      </c>
      <c r="I176" s="7" t="n">
        <v>1.7</v>
      </c>
      <c r="J176" s="8" t="n">
        <v>2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ESI</t>
        </is>
      </c>
      <c r="C177" s="5" t="inlineStr">
        <is>
          <t>67877032105</t>
        </is>
      </c>
      <c r="D177" s="5" t="inlineStr">
        <is>
          <t xml:space="preserve">IBUPROFEN 800MG TAB </t>
        </is>
      </c>
      <c r="E177" s="6" t="inlineStr">
        <is>
          <t>500.0</t>
        </is>
      </c>
      <c r="F177" s="7" t="n">
        <v>30</v>
      </c>
      <c r="G177" s="7" t="n">
        <v>0.06</v>
      </c>
      <c r="H177" s="7" t="n">
        <v>0</v>
      </c>
      <c r="I177" s="7" t="n">
        <v>-0.06</v>
      </c>
      <c r="J177" s="8" t="n">
        <v>2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ESI</t>
        </is>
      </c>
      <c r="C178" s="5" t="inlineStr">
        <is>
          <t>16729000517</t>
        </is>
      </c>
      <c r="D178" s="5" t="inlineStr">
        <is>
          <t>SIMVASTATIN 20MG TABLET</t>
        </is>
      </c>
      <c r="E178" s="6" t="inlineStr">
        <is>
          <t>1000.0</t>
        </is>
      </c>
      <c r="F178" s="7" t="n">
        <v>120</v>
      </c>
      <c r="G178" s="7" t="n">
        <v>0.12</v>
      </c>
      <c r="H178" s="7" t="n">
        <v>0</v>
      </c>
      <c r="I178" s="7" t="n">
        <v>-0.12</v>
      </c>
      <c r="J178" s="8" t="n">
        <v>2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ESI</t>
        </is>
      </c>
      <c r="C179" s="5" t="inlineStr">
        <is>
          <t>70377000913</t>
        </is>
      </c>
      <c r="D179" s="5" t="inlineStr">
        <is>
          <t>ROSUVASTATIN 40MG TABLET</t>
        </is>
      </c>
      <c r="E179" s="6" t="inlineStr">
        <is>
          <t>500.0</t>
        </is>
      </c>
      <c r="F179" s="7" t="n">
        <v>30</v>
      </c>
      <c r="G179" s="7" t="n">
        <v>0.06</v>
      </c>
      <c r="H179" s="7" t="n">
        <v>0</v>
      </c>
      <c r="I179" s="7" t="n">
        <v>-0.06</v>
      </c>
      <c r="J179" s="8" t="n">
        <v>2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ESI</t>
        </is>
      </c>
      <c r="C180" s="5" t="inlineStr">
        <is>
          <t>00781286810</t>
        </is>
      </c>
      <c r="D180" s="5" t="inlineStr">
        <is>
          <t>OMEPRAZOLE 20MG CAPSULE DR</t>
        </is>
      </c>
      <c r="E180" s="6" t="inlineStr">
        <is>
          <t>1000.0</t>
        </is>
      </c>
      <c r="F180" s="7" t="n">
        <v>120</v>
      </c>
      <c r="G180" s="7" t="n">
        <v>0.12</v>
      </c>
      <c r="H180" s="7" t="n">
        <v>0</v>
      </c>
      <c r="I180" s="7" t="n">
        <v>-0.12</v>
      </c>
      <c r="J180" s="8" t="n">
        <v>2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ESI</t>
        </is>
      </c>
      <c r="C181" s="5" t="inlineStr">
        <is>
          <t>65862056099</t>
        </is>
      </c>
      <c r="D181" s="5" t="inlineStr">
        <is>
          <t xml:space="preserve">PANTOPRAZOLE 40MG TAB </t>
        </is>
      </c>
      <c r="E181" s="6" t="inlineStr">
        <is>
          <t>1000.0</t>
        </is>
      </c>
      <c r="F181" s="7" t="n">
        <v>150</v>
      </c>
      <c r="G181" s="7" t="n">
        <v>0.15</v>
      </c>
      <c r="H181" s="7" t="n">
        <v>2</v>
      </c>
      <c r="I181" s="7" t="n">
        <v>1.85</v>
      </c>
      <c r="J181" s="8" t="n">
        <v>2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ESI</t>
        </is>
      </c>
      <c r="C182" s="5" t="inlineStr">
        <is>
          <t>50111056103</t>
        </is>
      </c>
      <c r="D182" s="5" t="inlineStr">
        <is>
          <t>TRAZODONE 100MG TABLET</t>
        </is>
      </c>
      <c r="E182" s="6" t="inlineStr">
        <is>
          <t>1000.0</t>
        </is>
      </c>
      <c r="F182" s="7" t="n">
        <v>45</v>
      </c>
      <c r="G182" s="7" t="n">
        <v>0.045</v>
      </c>
      <c r="H182" s="7" t="n">
        <v>0</v>
      </c>
      <c r="I182" s="7" t="n">
        <v>-0.045</v>
      </c>
      <c r="J182" s="8" t="n">
        <v>2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ESI</t>
        </is>
      </c>
      <c r="C183" s="5" t="inlineStr">
        <is>
          <t>53489038601</t>
        </is>
      </c>
      <c r="D183" s="5" t="inlineStr">
        <is>
          <t>MINOXIDIL 2.5MG TABLET</t>
        </is>
      </c>
      <c r="E183" s="6" t="inlineStr">
        <is>
          <t>100.0</t>
        </is>
      </c>
      <c r="F183" s="7" t="n">
        <v>30</v>
      </c>
      <c r="G183" s="7" t="n">
        <v>0.3</v>
      </c>
      <c r="H183" s="7" t="n">
        <v>0</v>
      </c>
      <c r="I183" s="7" t="n">
        <v>-0.3</v>
      </c>
      <c r="J183" s="8" t="n">
        <v>2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ESI</t>
        </is>
      </c>
      <c r="C184" s="5" t="inlineStr">
        <is>
          <t>52817018010</t>
        </is>
      </c>
      <c r="D184" s="5" t="inlineStr">
        <is>
          <t xml:space="preserve">CLONIDINE 0.1MG TAB </t>
        </is>
      </c>
      <c r="E184" s="6" t="inlineStr">
        <is>
          <t>100.0</t>
        </is>
      </c>
      <c r="F184" s="7" t="n">
        <v>90</v>
      </c>
      <c r="G184" s="7" t="n">
        <v>0.9</v>
      </c>
      <c r="H184" s="7" t="n">
        <v>0</v>
      </c>
      <c r="I184" s="7" t="n">
        <v>-0.9</v>
      </c>
      <c r="J184" s="8" t="n">
        <v>1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ESI</t>
        </is>
      </c>
      <c r="C185" s="5" t="inlineStr">
        <is>
          <t>65862016899</t>
        </is>
      </c>
      <c r="D185" s="5" t="inlineStr">
        <is>
          <t>ATENOLOL 25MG TABLET</t>
        </is>
      </c>
      <c r="E185" s="6" t="inlineStr">
        <is>
          <t>1000.0</t>
        </is>
      </c>
      <c r="F185" s="7" t="n">
        <v>90</v>
      </c>
      <c r="G185" s="7" t="n">
        <v>0.09</v>
      </c>
      <c r="H185" s="7" t="n">
        <v>0</v>
      </c>
      <c r="I185" s="7" t="n">
        <v>-0.09</v>
      </c>
      <c r="J185" s="8" t="n">
        <v>1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ESI</t>
        </is>
      </c>
      <c r="C186" s="5" t="inlineStr">
        <is>
          <t>69097015912</t>
        </is>
      </c>
      <c r="D186" s="5" t="inlineStr">
        <is>
          <t xml:space="preserve">MELOXICAM 15MG TAB </t>
        </is>
      </c>
      <c r="E186" s="6" t="inlineStr">
        <is>
          <t>500.0</t>
        </is>
      </c>
      <c r="F186" s="7" t="n">
        <v>30</v>
      </c>
      <c r="G186" s="7" t="n">
        <v>0.06</v>
      </c>
      <c r="H186" s="7" t="n">
        <v>0</v>
      </c>
      <c r="I186" s="7" t="n">
        <v>-0.06</v>
      </c>
      <c r="J186" s="8" t="n">
        <v>1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ESI</t>
        </is>
      </c>
      <c r="C187" s="5" t="inlineStr">
        <is>
          <t>10006073038</t>
        </is>
      </c>
      <c r="D187" s="5" t="inlineStr">
        <is>
          <t>MAGNESIUM OXIDE 400MG TABLET</t>
        </is>
      </c>
      <c r="E187" s="6" t="inlineStr">
        <is>
          <t>120.0</t>
        </is>
      </c>
      <c r="F187" s="7" t="n">
        <v>30</v>
      </c>
      <c r="G187" s="7" t="n">
        <v>0.25</v>
      </c>
      <c r="H187" s="7" t="n">
        <v>5</v>
      </c>
      <c r="I187" s="7" t="n">
        <v>4.75</v>
      </c>
      <c r="J187" s="8" t="n">
        <v>1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ESI</t>
        </is>
      </c>
      <c r="C188" s="5" t="inlineStr">
        <is>
          <t>45802065087</t>
        </is>
      </c>
      <c r="D188" s="5" t="inlineStr">
        <is>
          <t xml:space="preserve">LORATADINE 10MG TAB </t>
        </is>
      </c>
      <c r="E188" s="6" t="inlineStr">
        <is>
          <t>300.0</t>
        </is>
      </c>
      <c r="F188" s="7" t="n">
        <v>60</v>
      </c>
      <c r="G188" s="7" t="n">
        <v>0.2</v>
      </c>
      <c r="H188" s="7" t="n">
        <v>0</v>
      </c>
      <c r="I188" s="7" t="n">
        <v>-0.2</v>
      </c>
      <c r="J188" s="8" t="n">
        <v>1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ESI</t>
        </is>
      </c>
      <c r="C189" s="5" t="inlineStr">
        <is>
          <t>68180098103</t>
        </is>
      </c>
      <c r="D189" s="5" t="inlineStr">
        <is>
          <t>LISINOPRIL 20MG TABLET</t>
        </is>
      </c>
      <c r="E189" s="6" t="inlineStr">
        <is>
          <t>1000.0</t>
        </is>
      </c>
      <c r="F189" s="7" t="n">
        <v>90</v>
      </c>
      <c r="G189" s="7" t="n">
        <v>0.09</v>
      </c>
      <c r="H189" s="7" t="n">
        <v>0</v>
      </c>
      <c r="I189" s="7" t="n">
        <v>-0.09</v>
      </c>
      <c r="J189" s="8" t="n">
        <v>1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ESI</t>
        </is>
      </c>
      <c r="C190" s="5" t="inlineStr">
        <is>
          <t>68180096803</t>
        </is>
      </c>
      <c r="D190" s="5" t="inlineStr">
        <is>
          <t>LEVOTHYROXINE 88MCG TABLET</t>
        </is>
      </c>
      <c r="E190" s="6" t="inlineStr">
        <is>
          <t>1000.0</t>
        </is>
      </c>
      <c r="F190" s="7" t="n">
        <v>30</v>
      </c>
      <c r="G190" s="7" t="n">
        <v>0.03</v>
      </c>
      <c r="H190" s="7" t="n">
        <v>0</v>
      </c>
      <c r="I190" s="7" t="n">
        <v>-0.03</v>
      </c>
      <c r="J190" s="8" t="n">
        <v>1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ESI</t>
        </is>
      </c>
      <c r="C191" s="5" t="inlineStr">
        <is>
          <t>69315011710</t>
        </is>
      </c>
      <c r="D191" s="5" t="inlineStr">
        <is>
          <t>FUROSEMIDE 40 MG TABLET</t>
        </is>
      </c>
      <c r="E191" s="6" t="inlineStr">
        <is>
          <t>1000.0</t>
        </is>
      </c>
      <c r="F191" s="7" t="n">
        <v>30</v>
      </c>
      <c r="G191" s="7" t="n">
        <v>0.03</v>
      </c>
      <c r="H191" s="7" t="n">
        <v>0</v>
      </c>
      <c r="I191" s="7" t="n">
        <v>-0.03</v>
      </c>
      <c r="J191" s="8" t="n">
        <v>1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ESI</t>
        </is>
      </c>
      <c r="C192" s="5" t="inlineStr">
        <is>
          <t>23155000810</t>
        </is>
      </c>
      <c r="D192" s="5" t="inlineStr">
        <is>
          <t>HYDROCHLOROTHIAZIDE 25MG TABLET</t>
        </is>
      </c>
      <c r="E192" s="6" t="inlineStr">
        <is>
          <t>1000.0</t>
        </is>
      </c>
      <c r="F192" s="7" t="n">
        <v>90</v>
      </c>
      <c r="G192" s="7" t="n">
        <v>0.09</v>
      </c>
      <c r="H192" s="7" t="n">
        <v>0</v>
      </c>
      <c r="I192" s="7" t="n">
        <v>-0.09</v>
      </c>
      <c r="J192" s="8" t="n">
        <v>1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ESI</t>
        </is>
      </c>
      <c r="C193" s="5" t="inlineStr">
        <is>
          <t>13668000705</t>
        </is>
      </c>
      <c r="D193" s="5" t="inlineStr">
        <is>
          <t xml:space="preserve">ZOLPIDEM TARTRATE 5MG TAB </t>
        </is>
      </c>
      <c r="E193" s="6" t="inlineStr">
        <is>
          <t>500.0</t>
        </is>
      </c>
      <c r="F193" s="7" t="n">
        <v>30</v>
      </c>
      <c r="G193" s="7" t="n">
        <v>0.06</v>
      </c>
      <c r="H193" s="7" t="n">
        <v>0</v>
      </c>
      <c r="I193" s="7" t="n">
        <v>-0.06</v>
      </c>
      <c r="J193" s="8" t="n">
        <v>1</v>
      </c>
      <c r="K193" s="9">
        <f>IFERROR(IF((ROUND((J193/G193)*I193,1))&lt;0,(ROUND((J193/G193)*I193,1)),0),0)</f>
        <v/>
      </c>
    </row>
    <row r="194">
      <c r="E194" s="10" t="inlineStr">
        <is>
          <t>TOTAL</t>
        </is>
      </c>
      <c r="F194" s="11">
        <f>SUM(F4:F193)</f>
        <v/>
      </c>
      <c r="G194" s="11">
        <f>SUM(G4:G193)</f>
        <v/>
      </c>
      <c r="H194" s="11">
        <f>SUM(H4:H193)</f>
        <v/>
      </c>
      <c r="I194" s="11">
        <f>SUM(I4:I193)</f>
        <v/>
      </c>
      <c r="J194" s="12">
        <f>SUM(J4:J193)</f>
        <v/>
      </c>
      <c r="K194" s="13">
        <f>SUM(K4:K193)</f>
        <v/>
      </c>
    </row>
    <row r="195">
      <c r="J195" s="14" t="inlineStr">
        <is>
          <t>Audited Drugs Count</t>
        </is>
      </c>
      <c r="K195" s="15">
        <f>COUNTIF(K4:K193,"&lt;0")</f>
        <v/>
      </c>
    </row>
    <row r="196">
      <c r="J196" s="14" t="inlineStr">
        <is>
          <t>Total Audit Exposure</t>
        </is>
      </c>
      <c r="K196" s="16">
        <f>SUMIF(K4:K193,"&lt;0",K4:K193)</f>
        <v/>
      </c>
    </row>
  </sheetData>
  <autoFilter ref="A3:K193"/>
  <mergeCells count="2">
    <mergeCell ref="A2:K2"/>
    <mergeCell ref="A1:K1"/>
  </mergeCells>
  <conditionalFormatting sqref="E4:K193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trial4 — Feb 2026 - Feb 2026 — FDS</t>
        </is>
      </c>
    </row>
    <row r="2" ht="24" customHeight="1">
      <c r="A2" s="2" t="inlineStr">
        <is>
          <t>Overall FDS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FDS</t>
        </is>
      </c>
      <c r="G3" s="3" t="inlineStr">
        <is>
          <t>Packages Billed to FDS</t>
        </is>
      </c>
      <c r="H3" s="3" t="inlineStr">
        <is>
          <t>Total Qty Purchased</t>
        </is>
      </c>
      <c r="I3" s="3" t="inlineStr">
        <is>
          <t>Qty Difference for FDS</t>
        </is>
      </c>
      <c r="J3" s="3" t="inlineStr">
        <is>
          <t>Actual $ Paid by FDS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FDS</t>
        </is>
      </c>
      <c r="C4" s="5" t="inlineStr">
        <is>
          <t>00193731150</t>
        </is>
      </c>
      <c r="D4" s="5" t="inlineStr">
        <is>
          <t>CONTOUR NEXT TEST  STRIPS</t>
        </is>
      </c>
      <c r="E4" s="6" t="inlineStr">
        <is>
          <t>50.0</t>
        </is>
      </c>
      <c r="F4" s="7" t="n">
        <v>100</v>
      </c>
      <c r="G4" s="7" t="n">
        <v>2</v>
      </c>
      <c r="H4" s="7" t="n">
        <v>0</v>
      </c>
      <c r="I4" s="7" t="n">
        <v>-2</v>
      </c>
      <c r="J4" s="8" t="n">
        <v>13</v>
      </c>
      <c r="K4" s="9">
        <f>IFERROR(IF((ROUND((J4/G4)*I4,1))&lt;0,(ROUND((J4/G4)*I4,1)),0),0)</f>
        <v/>
      </c>
    </row>
    <row r="5">
      <c r="E5" s="10" t="inlineStr">
        <is>
          <t>TOTAL</t>
        </is>
      </c>
      <c r="F5" s="11">
        <f>SUM(F4:F4)</f>
        <v/>
      </c>
      <c r="G5" s="11">
        <f>SUM(G4:G4)</f>
        <v/>
      </c>
      <c r="H5" s="11">
        <f>SUM(H4:H4)</f>
        <v/>
      </c>
      <c r="I5" s="11">
        <f>SUM(I4:I4)</f>
        <v/>
      </c>
      <c r="J5" s="12">
        <f>SUM(J4:J4)</f>
        <v/>
      </c>
      <c r="K5" s="13">
        <f>SUM(K4:K4)</f>
        <v/>
      </c>
    </row>
    <row r="6">
      <c r="J6" s="14" t="inlineStr">
        <is>
          <t>Audited Drugs Count</t>
        </is>
      </c>
      <c r="K6" s="15">
        <f>COUNTIF(K4:K4,"&lt;0")</f>
        <v/>
      </c>
    </row>
    <row r="7">
      <c r="J7" s="14" t="inlineStr">
        <is>
          <t>Total Audit Exposure</t>
        </is>
      </c>
      <c r="K7" s="16">
        <f>SUMIF(K4:K4,"&lt;0",K4:K4)</f>
        <v/>
      </c>
    </row>
  </sheetData>
  <autoFilter ref="A3:K4"/>
  <mergeCells count="2">
    <mergeCell ref="A2:K2"/>
    <mergeCell ref="A1:K1"/>
  </mergeCells>
  <conditionalFormatting sqref="E4:K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0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trial4 — Feb 2026 - Feb 2026 — MEDIMP</t>
        </is>
      </c>
    </row>
    <row r="2" ht="24" customHeight="1">
      <c r="A2" s="2" t="inlineStr">
        <is>
          <t>Overall MEDIMP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MEDIMP</t>
        </is>
      </c>
      <c r="G3" s="3" t="inlineStr">
        <is>
          <t>Packages Billed to MEDIMP</t>
        </is>
      </c>
      <c r="H3" s="3" t="inlineStr">
        <is>
          <t>Total Qty Purchased</t>
        </is>
      </c>
      <c r="I3" s="3" t="inlineStr">
        <is>
          <t>Qty Difference for MEDIMP</t>
        </is>
      </c>
      <c r="J3" s="3" t="inlineStr">
        <is>
          <t>Actual $ Paid by MEDIMP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MEDIMP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30</v>
      </c>
      <c r="G4" s="7" t="n">
        <v>1</v>
      </c>
      <c r="H4" s="7" t="n">
        <v>0</v>
      </c>
      <c r="I4" s="7" t="n">
        <v>-1</v>
      </c>
      <c r="J4" s="8" t="n">
        <v>3997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MEDIMP</t>
        </is>
      </c>
      <c r="C5" s="5" t="inlineStr">
        <is>
          <t>00169431430</t>
        </is>
      </c>
      <c r="D5" s="5" t="inlineStr">
        <is>
          <t>RYBELSUS 14MG TABLET</t>
        </is>
      </c>
      <c r="E5" s="6" t="inlineStr">
        <is>
          <t>30.0</t>
        </is>
      </c>
      <c r="F5" s="7" t="n">
        <v>90</v>
      </c>
      <c r="G5" s="7" t="n">
        <v>3</v>
      </c>
      <c r="H5" s="7" t="n">
        <v>7</v>
      </c>
      <c r="I5" s="7" t="n">
        <v>4</v>
      </c>
      <c r="J5" s="8" t="n">
        <v>2751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MEDIMP</t>
        </is>
      </c>
      <c r="C6" s="5" t="inlineStr">
        <is>
          <t>24208091112</t>
        </is>
      </c>
      <c r="D6" s="5" t="inlineStr">
        <is>
          <t>XIIDRA 5 % OPHTHALMIC SOLUTION</t>
        </is>
      </c>
      <c r="E6" s="6" t="inlineStr">
        <is>
          <t>60.0</t>
        </is>
      </c>
      <c r="F6" s="7" t="n">
        <v>180</v>
      </c>
      <c r="G6" s="7" t="n">
        <v>3</v>
      </c>
      <c r="H6" s="7" t="n">
        <v>24</v>
      </c>
      <c r="I6" s="7" t="n">
        <v>21</v>
      </c>
      <c r="J6" s="8" t="n">
        <v>2102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MEDIMP</t>
        </is>
      </c>
      <c r="C7" s="5" t="inlineStr">
        <is>
          <t>00169418113</t>
        </is>
      </c>
      <c r="D7" s="5" t="inlineStr">
        <is>
          <t>OZEMPIC (0.25 OR 0.5 MG/DOSE) 2 MG/3ML PEN-INJECTOR</t>
        </is>
      </c>
      <c r="E7" s="6" t="inlineStr">
        <is>
          <t>3.0</t>
        </is>
      </c>
      <c r="F7" s="7" t="n">
        <v>6</v>
      </c>
      <c r="G7" s="7" t="n">
        <v>2</v>
      </c>
      <c r="H7" s="7" t="n">
        <v>26</v>
      </c>
      <c r="I7" s="7" t="n">
        <v>24</v>
      </c>
      <c r="J7" s="8" t="n">
        <v>1944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MEDIMP</t>
        </is>
      </c>
      <c r="C8" s="5" t="inlineStr">
        <is>
          <t>00173088710</t>
        </is>
      </c>
      <c r="D8" s="5" t="inlineStr">
        <is>
          <t>TRELEGY ELLIPTA 100-62.5-25MCG/INH AEROSOL</t>
        </is>
      </c>
      <c r="E8" s="6" t="inlineStr">
        <is>
          <t>60.0</t>
        </is>
      </c>
      <c r="F8" s="7" t="n">
        <v>180</v>
      </c>
      <c r="G8" s="7" t="n">
        <v>3</v>
      </c>
      <c r="H8" s="7" t="n">
        <v>0</v>
      </c>
      <c r="I8" s="7" t="n">
        <v>-3</v>
      </c>
      <c r="J8" s="8" t="n">
        <v>1859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MEDIMP</t>
        </is>
      </c>
      <c r="C9" s="5" t="inlineStr">
        <is>
          <t>61874011530</t>
        </is>
      </c>
      <c r="D9" s="5" t="inlineStr">
        <is>
          <t>VRAYLAR 1.5MG CAPSULE</t>
        </is>
      </c>
      <c r="E9" s="6" t="inlineStr">
        <is>
          <t>30.0</t>
        </is>
      </c>
      <c r="F9" s="7" t="n">
        <v>30</v>
      </c>
      <c r="G9" s="7" t="n">
        <v>1</v>
      </c>
      <c r="H9" s="7" t="n">
        <v>2</v>
      </c>
      <c r="I9" s="7" t="n">
        <v>1</v>
      </c>
      <c r="J9" s="8" t="n">
        <v>1507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MEDIMP</t>
        </is>
      </c>
      <c r="C10" s="5" t="inlineStr">
        <is>
          <t>00456120130</t>
        </is>
      </c>
      <c r="D10" s="5" t="inlineStr">
        <is>
          <t>LINZESS 145MCG CAPSULE</t>
        </is>
      </c>
      <c r="E10" s="6" t="inlineStr">
        <is>
          <t>30.0</t>
        </is>
      </c>
      <c r="F10" s="7" t="n">
        <v>180</v>
      </c>
      <c r="G10" s="7" t="n">
        <v>6</v>
      </c>
      <c r="H10" s="7" t="n">
        <v>12</v>
      </c>
      <c r="I10" s="7" t="n">
        <v>6</v>
      </c>
      <c r="J10" s="8" t="n">
        <v>1503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MEDIMP</t>
        </is>
      </c>
      <c r="C11" s="5" t="inlineStr">
        <is>
          <t>00002148480</t>
        </is>
      </c>
      <c r="D11" s="5" t="inlineStr">
        <is>
          <t>MOUNJARO 7.5 MG/0.5ML PEN-INJECTOR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21</v>
      </c>
      <c r="I11" s="7" t="n">
        <v>20</v>
      </c>
      <c r="J11" s="8" t="n">
        <v>1054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MEDIMP</t>
        </is>
      </c>
      <c r="C12" s="5" t="inlineStr">
        <is>
          <t>00169413013</t>
        </is>
      </c>
      <c r="D12" s="5" t="inlineStr">
        <is>
          <t>OZEMPIC (1 MG/DOSE) 4MG/3ML INJECTION</t>
        </is>
      </c>
      <c r="E12" s="6" t="inlineStr">
        <is>
          <t>3.0</t>
        </is>
      </c>
      <c r="F12" s="7" t="n">
        <v>3</v>
      </c>
      <c r="G12" s="7" t="n">
        <v>1</v>
      </c>
      <c r="H12" s="7" t="n">
        <v>22</v>
      </c>
      <c r="I12" s="7" t="n">
        <v>21</v>
      </c>
      <c r="J12" s="8" t="n">
        <v>969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MEDIMP</t>
        </is>
      </c>
      <c r="C13" s="5" t="inlineStr">
        <is>
          <t>00003089421</t>
        </is>
      </c>
      <c r="D13" s="5" t="inlineStr">
        <is>
          <t xml:space="preserve">ELIQUIS 5MG TAB </t>
        </is>
      </c>
      <c r="E13" s="6" t="inlineStr">
        <is>
          <t>60.0</t>
        </is>
      </c>
      <c r="F13" s="7" t="n">
        <v>180</v>
      </c>
      <c r="G13" s="7" t="n">
        <v>3</v>
      </c>
      <c r="H13" s="7" t="n">
        <v>39</v>
      </c>
      <c r="I13" s="7" t="n">
        <v>36</v>
      </c>
      <c r="J13" s="8" t="n">
        <v>751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MEDIMP</t>
        </is>
      </c>
      <c r="C14" s="5" t="inlineStr">
        <is>
          <t>00310461612</t>
        </is>
      </c>
      <c r="D14" s="5" t="inlineStr">
        <is>
          <t>BREZTRI AEROSPHERE 160-9-4.8 MCG/ACT INHALATION AEROSOL</t>
        </is>
      </c>
      <c r="E14" s="6" t="inlineStr">
        <is>
          <t>10.7</t>
        </is>
      </c>
      <c r="F14" s="7" t="n">
        <v>10.7</v>
      </c>
      <c r="G14" s="7" t="n">
        <v>1</v>
      </c>
      <c r="H14" s="7" t="n">
        <v>7</v>
      </c>
      <c r="I14" s="7" t="n">
        <v>6</v>
      </c>
      <c r="J14" s="8" t="n">
        <v>649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MEDIMP</t>
        </is>
      </c>
      <c r="C15" s="5" t="inlineStr">
        <is>
          <t>00193731150</t>
        </is>
      </c>
      <c r="D15" s="5" t="inlineStr">
        <is>
          <t>CONTOUR NEXT TEST  STRIPS</t>
        </is>
      </c>
      <c r="E15" s="6" t="inlineStr">
        <is>
          <t>50.0</t>
        </is>
      </c>
      <c r="F15" s="7" t="n">
        <v>600</v>
      </c>
      <c r="G15" s="7" t="n">
        <v>12</v>
      </c>
      <c r="H15" s="7" t="n">
        <v>0</v>
      </c>
      <c r="I15" s="7" t="n">
        <v>-12</v>
      </c>
      <c r="J15" s="8" t="n">
        <v>602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MEDIMP</t>
        </is>
      </c>
      <c r="C16" s="5" t="inlineStr">
        <is>
          <t>66993045730</t>
        </is>
      </c>
      <c r="D16" s="5" t="inlineStr">
        <is>
          <t>DAPAGLIFLOZIN PROPANEDIOL 10MG TABLET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9</v>
      </c>
      <c r="I16" s="7" t="n">
        <v>6</v>
      </c>
      <c r="J16" s="8" t="n">
        <v>549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MEDIMP</t>
        </is>
      </c>
      <c r="C17" s="5" t="inlineStr">
        <is>
          <t>00597015330</t>
        </is>
      </c>
      <c r="D17" s="5" t="inlineStr">
        <is>
          <t xml:space="preserve">JARDIANCE 25MG TAB </t>
        </is>
      </c>
      <c r="E17" s="6" t="inlineStr">
        <is>
          <t>30.0</t>
        </is>
      </c>
      <c r="F17" s="7" t="n">
        <v>60</v>
      </c>
      <c r="G17" s="7" t="n">
        <v>2</v>
      </c>
      <c r="H17" s="7" t="n">
        <v>63</v>
      </c>
      <c r="I17" s="7" t="n">
        <v>61</v>
      </c>
      <c r="J17" s="8" t="n">
        <v>412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MEDIMP</t>
        </is>
      </c>
      <c r="C18" s="5" t="inlineStr">
        <is>
          <t>00378876091</t>
        </is>
      </c>
      <c r="D18" s="5" t="inlineStr">
        <is>
          <t>CYCLOSPORINE 0.05 % OPHTHALMIC EMULSION</t>
        </is>
      </c>
      <c r="E18" s="6" t="inlineStr">
        <is>
          <t>60.0</t>
        </is>
      </c>
      <c r="F18" s="7" t="n">
        <v>180</v>
      </c>
      <c r="G18" s="7" t="n">
        <v>3</v>
      </c>
      <c r="H18" s="7" t="n">
        <v>0</v>
      </c>
      <c r="I18" s="7" t="n">
        <v>-3</v>
      </c>
      <c r="J18" s="8" t="n">
        <v>411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MEDIMP</t>
        </is>
      </c>
      <c r="C19" s="5" t="inlineStr">
        <is>
          <t>00006057561</t>
        </is>
      </c>
      <c r="D19" s="5" t="inlineStr">
        <is>
          <t>JANUMET 50-500 MG ORAL TABLET</t>
        </is>
      </c>
      <c r="E19" s="6" t="inlineStr">
        <is>
          <t>60.0</t>
        </is>
      </c>
      <c r="F19" s="7" t="n">
        <v>60</v>
      </c>
      <c r="G19" s="7" t="n">
        <v>1</v>
      </c>
      <c r="H19" s="7" t="n">
        <v>0</v>
      </c>
      <c r="I19" s="7" t="n">
        <v>-1</v>
      </c>
      <c r="J19" s="8" t="n">
        <v>308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MEDIMP</t>
        </is>
      </c>
      <c r="C20" s="5" t="inlineStr">
        <is>
          <t>24208050402</t>
        </is>
      </c>
      <c r="D20" s="5" t="inlineStr">
        <is>
          <t>VYZULTA 0.024 % OPHTHALMIC SOLUTION</t>
        </is>
      </c>
      <c r="E20" s="6" t="inlineStr">
        <is>
          <t>2.5</t>
        </is>
      </c>
      <c r="F20" s="7" t="n">
        <v>2.5</v>
      </c>
      <c r="G20" s="7" t="n">
        <v>1</v>
      </c>
      <c r="H20" s="7" t="n">
        <v>0</v>
      </c>
      <c r="I20" s="7" t="n">
        <v>-1</v>
      </c>
      <c r="J20" s="8" t="n">
        <v>248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MEDIMP</t>
        </is>
      </c>
      <c r="C21" s="5" t="inlineStr">
        <is>
          <t>58160082311</t>
        </is>
      </c>
      <c r="D21" s="5" t="inlineStr">
        <is>
          <t>SHINGRIX 50 MCG/0.5ML IM SUSP RECON</t>
        </is>
      </c>
      <c r="E21" s="6" t="inlineStr">
        <is>
          <t>10.0</t>
        </is>
      </c>
      <c r="F21" s="7" t="n">
        <v>1</v>
      </c>
      <c r="G21" s="7" t="n">
        <v>0.1</v>
      </c>
      <c r="H21" s="7" t="n">
        <v>0</v>
      </c>
      <c r="I21" s="7" t="n">
        <v>-0.1</v>
      </c>
      <c r="J21" s="8" t="n">
        <v>238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MEDIMP</t>
        </is>
      </c>
      <c r="C22" s="5" t="inlineStr">
        <is>
          <t>60505403301</t>
        </is>
      </c>
      <c r="D22" s="5" t="inlineStr">
        <is>
          <t>ICOSAPENT ETHYL 1GM CAPSULE</t>
        </is>
      </c>
      <c r="E22" s="6" t="inlineStr">
        <is>
          <t>120.0</t>
        </is>
      </c>
      <c r="F22" s="7" t="n">
        <v>360</v>
      </c>
      <c r="G22" s="7" t="n">
        <v>3</v>
      </c>
      <c r="H22" s="7" t="n">
        <v>0</v>
      </c>
      <c r="I22" s="7" t="n">
        <v>-3</v>
      </c>
      <c r="J22" s="8" t="n">
        <v>205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MEDIMP</t>
        </is>
      </c>
      <c r="C23" s="5" t="inlineStr">
        <is>
          <t>00597015230</t>
        </is>
      </c>
      <c r="D23" s="5" t="inlineStr">
        <is>
          <t xml:space="preserve">JARDIANCE 10MG TAB </t>
        </is>
      </c>
      <c r="E23" s="6" t="inlineStr">
        <is>
          <t>30.0</t>
        </is>
      </c>
      <c r="F23" s="7" t="n">
        <v>30</v>
      </c>
      <c r="G23" s="7" t="n">
        <v>1</v>
      </c>
      <c r="H23" s="7" t="n">
        <v>44</v>
      </c>
      <c r="I23" s="7" t="n">
        <v>43</v>
      </c>
      <c r="J23" s="8" t="n">
        <v>204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MEDIMP</t>
        </is>
      </c>
      <c r="C24" s="5" t="inlineStr">
        <is>
          <t>72205028260</t>
        </is>
      </c>
      <c r="D24" s="5" t="inlineStr">
        <is>
          <t>SACUBITRIL-VALSARTAN 97-103 MG ORAL TABLET</t>
        </is>
      </c>
      <c r="E24" s="6" t="inlineStr">
        <is>
          <t>60.0</t>
        </is>
      </c>
      <c r="F24" s="7" t="n">
        <v>180</v>
      </c>
      <c r="G24" s="7" t="n">
        <v>3</v>
      </c>
      <c r="H24" s="7" t="n">
        <v>0</v>
      </c>
      <c r="I24" s="7" t="n">
        <v>-3</v>
      </c>
      <c r="J24" s="8" t="n">
        <v>187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MEDIMP</t>
        </is>
      </c>
      <c r="C25" s="5" t="inlineStr">
        <is>
          <t>00310621030</t>
        </is>
      </c>
      <c r="D25" s="5" t="inlineStr">
        <is>
          <t>FARXIGA 10MG TABLET</t>
        </is>
      </c>
      <c r="E25" s="6" t="inlineStr">
        <is>
          <t>30.0</t>
        </is>
      </c>
      <c r="F25" s="7" t="n">
        <v>30</v>
      </c>
      <c r="G25" s="7" t="n">
        <v>1</v>
      </c>
      <c r="H25" s="7" t="n">
        <v>13</v>
      </c>
      <c r="I25" s="7" t="n">
        <v>12</v>
      </c>
      <c r="J25" s="8" t="n">
        <v>181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MEDIMP</t>
        </is>
      </c>
      <c r="C26" s="5" t="inlineStr">
        <is>
          <t>66993001968</t>
        </is>
      </c>
      <c r="D26" s="5" t="inlineStr">
        <is>
          <t xml:space="preserve">ALBUTEROL HFA 108  MCG/AC (VENTOLIN 18GM) </t>
        </is>
      </c>
      <c r="E26" s="6" t="inlineStr">
        <is>
          <t>18.0</t>
        </is>
      </c>
      <c r="F26" s="7" t="n">
        <v>72</v>
      </c>
      <c r="G26" s="7" t="n">
        <v>4</v>
      </c>
      <c r="H26" s="7" t="n">
        <v>24</v>
      </c>
      <c r="I26" s="7" t="n">
        <v>20</v>
      </c>
      <c r="J26" s="8" t="n">
        <v>179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MEDIMP</t>
        </is>
      </c>
      <c r="C27" s="5" t="inlineStr">
        <is>
          <t>72205028060</t>
        </is>
      </c>
      <c r="D27" s="5" t="inlineStr">
        <is>
          <t>SACUBITRIL-VALSARTAN 24-26 MG ORAL TABLET</t>
        </is>
      </c>
      <c r="E27" s="6" t="inlineStr">
        <is>
          <t>60.0</t>
        </is>
      </c>
      <c r="F27" s="7" t="n">
        <v>180</v>
      </c>
      <c r="G27" s="7" t="n">
        <v>3</v>
      </c>
      <c r="H27" s="7" t="n">
        <v>0</v>
      </c>
      <c r="I27" s="7" t="n">
        <v>-3</v>
      </c>
      <c r="J27" s="8" t="n">
        <v>177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MEDIMP</t>
        </is>
      </c>
      <c r="C28" s="5" t="inlineStr">
        <is>
          <t>00310737220</t>
        </is>
      </c>
      <c r="D28" s="5" t="inlineStr">
        <is>
          <t>BUDESONIDE-FORMOTEROL FUMARATE 80-4.5MCG/ACT AEROSOL</t>
        </is>
      </c>
      <c r="E28" s="6" t="inlineStr">
        <is>
          <t>10.2</t>
        </is>
      </c>
      <c r="F28" s="7" t="n">
        <v>10.2</v>
      </c>
      <c r="G28" s="7" t="n">
        <v>1</v>
      </c>
      <c r="H28" s="7" t="n">
        <v>6</v>
      </c>
      <c r="I28" s="7" t="n">
        <v>5</v>
      </c>
      <c r="J28" s="8" t="n">
        <v>154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MEDIMP</t>
        </is>
      </c>
      <c r="C29" s="5" t="inlineStr">
        <is>
          <t>59467067901</t>
        </is>
      </c>
      <c r="D29" s="5" t="inlineStr">
        <is>
          <t>KLOXXADO 8 MG/0.1ML NASAL LIQUID</t>
        </is>
      </c>
      <c r="E29" s="6" t="inlineStr">
        <is>
          <t>2.0</t>
        </is>
      </c>
      <c r="F29" s="7" t="n">
        <v>2</v>
      </c>
      <c r="G29" s="7" t="n">
        <v>1</v>
      </c>
      <c r="H29" s="7" t="n">
        <v>3</v>
      </c>
      <c r="I29" s="7" t="n">
        <v>2</v>
      </c>
      <c r="J29" s="8" t="n">
        <v>119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MEDIMP</t>
        </is>
      </c>
      <c r="C30" s="5" t="inlineStr">
        <is>
          <t>45802011101</t>
        </is>
      </c>
      <c r="D30" s="5" t="inlineStr">
        <is>
          <t>DICLOFENAC SODIUM 3 % EXTERNAL GEL</t>
        </is>
      </c>
      <c r="E30" s="6" t="inlineStr">
        <is>
          <t>100.0</t>
        </is>
      </c>
      <c r="F30" s="7" t="n">
        <v>200</v>
      </c>
      <c r="G30" s="7" t="n">
        <v>2</v>
      </c>
      <c r="H30" s="7" t="n">
        <v>1</v>
      </c>
      <c r="I30" s="7" t="n">
        <v>-1</v>
      </c>
      <c r="J30" s="8" t="n">
        <v>84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MEDIMP</t>
        </is>
      </c>
      <c r="C31" s="5" t="inlineStr">
        <is>
          <t>68180096301</t>
        </is>
      </c>
      <c r="D31" s="5" t="inlineStr">
        <is>
          <t>ALBUTEROL SULFATE HFA 108 (90 BASE)MCG/ACT AEROSOL</t>
        </is>
      </c>
      <c r="E31" s="6" t="inlineStr">
        <is>
          <t>8.5</t>
        </is>
      </c>
      <c r="F31" s="7" t="n">
        <v>34</v>
      </c>
      <c r="G31" s="7" t="n">
        <v>4</v>
      </c>
      <c r="H31" s="7" t="n">
        <v>48</v>
      </c>
      <c r="I31" s="7" t="n">
        <v>44</v>
      </c>
      <c r="J31" s="8" t="n">
        <v>72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MEDIMP</t>
        </is>
      </c>
      <c r="C32" s="5" t="inlineStr">
        <is>
          <t>59762033302</t>
        </is>
      </c>
      <c r="D32" s="5" t="inlineStr">
        <is>
          <t>LATANOPROST 0.005 % OPHTHALMIC SOLUTION</t>
        </is>
      </c>
      <c r="E32" s="6" t="inlineStr">
        <is>
          <t>2.5</t>
        </is>
      </c>
      <c r="F32" s="7" t="n">
        <v>27.5</v>
      </c>
      <c r="G32" s="7" t="n">
        <v>11</v>
      </c>
      <c r="H32" s="7" t="n">
        <v>44</v>
      </c>
      <c r="I32" s="7" t="n">
        <v>33</v>
      </c>
      <c r="J32" s="8" t="n">
        <v>69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MEDIMP</t>
        </is>
      </c>
      <c r="C33" s="5" t="inlineStr">
        <is>
          <t>00088221905</t>
        </is>
      </c>
      <c r="D33" s="5" t="inlineStr">
        <is>
          <t>LANTUS SOLOSTAR 100UNIT/ML INJECTION</t>
        </is>
      </c>
      <c r="E33" s="6" t="inlineStr">
        <is>
          <t>15.0</t>
        </is>
      </c>
      <c r="F33" s="7" t="n">
        <v>12</v>
      </c>
      <c r="G33" s="7" t="n">
        <v>0.8</v>
      </c>
      <c r="H33" s="7" t="n">
        <v>19</v>
      </c>
      <c r="I33" s="7" t="n">
        <v>18.2</v>
      </c>
      <c r="J33" s="8" t="n">
        <v>69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MEDIMP</t>
        </is>
      </c>
      <c r="C34" s="5" t="inlineStr">
        <is>
          <t>47781023005</t>
        </is>
      </c>
      <c r="D34" s="5" t="inlineStr">
        <is>
          <t>OXYCODONE-APAP 10-325MG TABLET</t>
        </is>
      </c>
      <c r="E34" s="6" t="inlineStr">
        <is>
          <t>500.0</t>
        </is>
      </c>
      <c r="F34" s="7" t="n">
        <v>270</v>
      </c>
      <c r="G34" s="7" t="n">
        <v>0.54</v>
      </c>
      <c r="H34" s="7" t="n">
        <v>4</v>
      </c>
      <c r="I34" s="7" t="n">
        <v>3.46</v>
      </c>
      <c r="J34" s="8" t="n">
        <v>68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MEDIMP</t>
        </is>
      </c>
      <c r="C35" s="5" t="inlineStr">
        <is>
          <t>00781543920</t>
        </is>
      </c>
      <c r="D35" s="5" t="inlineStr">
        <is>
          <t xml:space="preserve">CEFPODOXIME 200MG TAB </t>
        </is>
      </c>
      <c r="E35" s="6" t="inlineStr">
        <is>
          <t>20.0</t>
        </is>
      </c>
      <c r="F35" s="7" t="n">
        <v>28</v>
      </c>
      <c r="G35" s="7" t="n">
        <v>1.4</v>
      </c>
      <c r="H35" s="7" t="n">
        <v>0</v>
      </c>
      <c r="I35" s="7" t="n">
        <v>-1.4</v>
      </c>
      <c r="J35" s="8" t="n">
        <v>51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MEDIMP</t>
        </is>
      </c>
      <c r="C36" s="5" t="inlineStr">
        <is>
          <t>00169255013</t>
        </is>
      </c>
      <c r="D36" s="5" t="inlineStr">
        <is>
          <t>TRESIBA FLEXTOUCH 200UNIT/ML INJECTION</t>
        </is>
      </c>
      <c r="E36" s="6" t="inlineStr">
        <is>
          <t>9.0</t>
        </is>
      </c>
      <c r="F36" s="7" t="n">
        <v>3</v>
      </c>
      <c r="G36" s="7" t="n">
        <v>0.3333333333333333</v>
      </c>
      <c r="H36" s="7" t="n">
        <v>2</v>
      </c>
      <c r="I36" s="7" t="n">
        <v>1.666666666666667</v>
      </c>
      <c r="J36" s="8" t="n">
        <v>49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MEDIMP</t>
        </is>
      </c>
      <c r="C37" s="5" t="inlineStr">
        <is>
          <t>68462039710</t>
        </is>
      </c>
      <c r="D37" s="5" t="inlineStr">
        <is>
          <t>OMEPRAZOLE 40MG CAPSULE DR</t>
        </is>
      </c>
      <c r="E37" s="6" t="inlineStr">
        <is>
          <t>1000.0</t>
        </is>
      </c>
      <c r="F37" s="7" t="n">
        <v>390</v>
      </c>
      <c r="G37" s="7" t="n">
        <v>0.39</v>
      </c>
      <c r="H37" s="7" t="n">
        <v>1</v>
      </c>
      <c r="I37" s="7" t="n">
        <v>0.61</v>
      </c>
      <c r="J37" s="8" t="n">
        <v>41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MEDIMP</t>
        </is>
      </c>
      <c r="C38" s="5" t="inlineStr">
        <is>
          <t>91237000116</t>
        </is>
      </c>
      <c r="D38" s="5" t="inlineStr">
        <is>
          <t>LANCETS EASY COMFORT</t>
        </is>
      </c>
      <c r="E38" s="6" t="inlineStr">
        <is>
          <t>100.0</t>
        </is>
      </c>
      <c r="F38" s="7" t="n">
        <v>300</v>
      </c>
      <c r="G38" s="7" t="n">
        <v>3</v>
      </c>
      <c r="H38" s="7" t="n">
        <v>0</v>
      </c>
      <c r="I38" s="7" t="n">
        <v>-3</v>
      </c>
      <c r="J38" s="8" t="n">
        <v>39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MEDIMP</t>
        </is>
      </c>
      <c r="C39" s="5" t="inlineStr">
        <is>
          <t>98302014071</t>
        </is>
      </c>
      <c r="D39" s="5" t="inlineStr">
        <is>
          <t>LANCETS CHOICE [CVS]</t>
        </is>
      </c>
      <c r="E39" s="6" t="inlineStr">
        <is>
          <t>100.0</t>
        </is>
      </c>
      <c r="F39" s="7" t="n">
        <v>300</v>
      </c>
      <c r="G39" s="7" t="n">
        <v>3</v>
      </c>
      <c r="H39" s="7" t="n">
        <v>0</v>
      </c>
      <c r="I39" s="7" t="n">
        <v>-3</v>
      </c>
      <c r="J39" s="8" t="n">
        <v>36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MEDIMP</t>
        </is>
      </c>
      <c r="C40" s="5" t="inlineStr">
        <is>
          <t>70377000913</t>
        </is>
      </c>
      <c r="D40" s="5" t="inlineStr">
        <is>
          <t>ROSUVASTATIN 40MG TABLET</t>
        </is>
      </c>
      <c r="E40" s="6" t="inlineStr">
        <is>
          <t>500.0</t>
        </is>
      </c>
      <c r="F40" s="7" t="n">
        <v>270</v>
      </c>
      <c r="G40" s="7" t="n">
        <v>0.54</v>
      </c>
      <c r="H40" s="7" t="n">
        <v>0</v>
      </c>
      <c r="I40" s="7" t="n">
        <v>-0.54</v>
      </c>
      <c r="J40" s="8" t="n">
        <v>34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MEDIMP</t>
        </is>
      </c>
      <c r="C41" s="5" t="inlineStr">
        <is>
          <t>70710116701</t>
        </is>
      </c>
      <c r="D41" s="5" t="inlineStr">
        <is>
          <t>ATENOLOL-CHLORTHALIDONE 50-25MG TABLET</t>
        </is>
      </c>
      <c r="E41" s="6" t="inlineStr">
        <is>
          <t>100.0</t>
        </is>
      </c>
      <c r="F41" s="7" t="n">
        <v>90</v>
      </c>
      <c r="G41" s="7" t="n">
        <v>0.9</v>
      </c>
      <c r="H41" s="7" t="n">
        <v>3</v>
      </c>
      <c r="I41" s="7" t="n">
        <v>2.1</v>
      </c>
      <c r="J41" s="8" t="n">
        <v>33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MEDIMP</t>
        </is>
      </c>
      <c r="C42" s="5" t="inlineStr">
        <is>
          <t>16571020310</t>
        </is>
      </c>
      <c r="D42" s="5" t="inlineStr">
        <is>
          <t>DICLOFENAC SODIUM 25MG TABLET DR</t>
        </is>
      </c>
      <c r="E42" s="6" t="inlineStr">
        <is>
          <t>100.0</t>
        </is>
      </c>
      <c r="F42" s="7" t="n">
        <v>30</v>
      </c>
      <c r="G42" s="7" t="n">
        <v>0.3</v>
      </c>
      <c r="H42" s="7" t="n">
        <v>0</v>
      </c>
      <c r="I42" s="7" t="n">
        <v>-0.3</v>
      </c>
      <c r="J42" s="8" t="n">
        <v>29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MEDIMP</t>
        </is>
      </c>
      <c r="C43" s="5" t="inlineStr">
        <is>
          <t>51672130009</t>
        </is>
      </c>
      <c r="D43" s="5" t="inlineStr">
        <is>
          <t>AMMONIUM LACTATE 12 % EXTERNAL LOTION</t>
        </is>
      </c>
      <c r="E43" s="6" t="inlineStr">
        <is>
          <t>400.0</t>
        </is>
      </c>
      <c r="F43" s="7" t="n">
        <v>400</v>
      </c>
      <c r="G43" s="7" t="n">
        <v>1</v>
      </c>
      <c r="H43" s="7" t="n">
        <v>0</v>
      </c>
      <c r="I43" s="7" t="n">
        <v>-1</v>
      </c>
      <c r="J43" s="8" t="n">
        <v>27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MEDIMP</t>
        </is>
      </c>
      <c r="C44" s="5" t="inlineStr">
        <is>
          <t>51672130100</t>
        </is>
      </c>
      <c r="D44" s="5" t="inlineStr">
        <is>
          <t>AMMONIUM LACTATE 12 % EXTERNAL CREAM</t>
        </is>
      </c>
      <c r="E44" s="6" t="inlineStr">
        <is>
          <t>385.0</t>
        </is>
      </c>
      <c r="F44" s="7" t="n">
        <v>385</v>
      </c>
      <c r="G44" s="7" t="n">
        <v>1</v>
      </c>
      <c r="H44" s="7" t="n">
        <v>0</v>
      </c>
      <c r="I44" s="7" t="n">
        <v>-1</v>
      </c>
      <c r="J44" s="8" t="n">
        <v>26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MEDIMP</t>
        </is>
      </c>
      <c r="C45" s="5" t="inlineStr">
        <is>
          <t>00472037945</t>
        </is>
      </c>
      <c r="D45" s="5" t="inlineStr">
        <is>
          <t>CLOTRIMAZOLE-BETAMETHASONE 1-0.05 % EXTERNAL CREAM</t>
        </is>
      </c>
      <c r="E45" s="6" t="inlineStr">
        <is>
          <t>45.0</t>
        </is>
      </c>
      <c r="F45" s="7" t="n">
        <v>90</v>
      </c>
      <c r="G45" s="7" t="n">
        <v>2</v>
      </c>
      <c r="H45" s="7" t="n">
        <v>0</v>
      </c>
      <c r="I45" s="7" t="n">
        <v>-2</v>
      </c>
      <c r="J45" s="8" t="n">
        <v>25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MEDIMP</t>
        </is>
      </c>
      <c r="C46" s="5" t="inlineStr">
        <is>
          <t>31722053705</t>
        </is>
      </c>
      <c r="D46" s="5" t="inlineStr">
        <is>
          <t xml:space="preserve">LEVETIRACETAM 500MG TAB </t>
        </is>
      </c>
      <c r="E46" s="6" t="inlineStr">
        <is>
          <t>500.0</t>
        </is>
      </c>
      <c r="F46" s="7" t="n">
        <v>180</v>
      </c>
      <c r="G46" s="7" t="n">
        <v>0.36</v>
      </c>
      <c r="H46" s="7" t="n">
        <v>0</v>
      </c>
      <c r="I46" s="7" t="n">
        <v>-0.36</v>
      </c>
      <c r="J46" s="8" t="n">
        <v>25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MEDIMP</t>
        </is>
      </c>
      <c r="C47" s="5" t="inlineStr">
        <is>
          <t>47781019601</t>
        </is>
      </c>
      <c r="D47" s="5" t="inlineStr">
        <is>
          <t>OXYCODONE-ACETAMINOPHEN 5-325 MG ORAL TABLET</t>
        </is>
      </c>
      <c r="E47" s="6" t="inlineStr">
        <is>
          <t>100.0</t>
        </is>
      </c>
      <c r="F47" s="7" t="n">
        <v>120</v>
      </c>
      <c r="G47" s="7" t="n">
        <v>1.2</v>
      </c>
      <c r="H47" s="7" t="n">
        <v>0</v>
      </c>
      <c r="I47" s="7" t="n">
        <v>-1.2</v>
      </c>
      <c r="J47" s="8" t="n">
        <v>24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MEDIMP</t>
        </is>
      </c>
      <c r="C48" s="5" t="inlineStr">
        <is>
          <t>60505083001</t>
        </is>
      </c>
      <c r="D48" s="5" t="inlineStr">
        <is>
          <t>MOMETASONE FUROATE 50MCG/ACT SUSPENSION</t>
        </is>
      </c>
      <c r="E48" s="6" t="inlineStr">
        <is>
          <t>17.0</t>
        </is>
      </c>
      <c r="F48" s="7" t="n">
        <v>17</v>
      </c>
      <c r="G48" s="7" t="n">
        <v>1</v>
      </c>
      <c r="H48" s="7" t="n">
        <v>0</v>
      </c>
      <c r="I48" s="7" t="n">
        <v>-1</v>
      </c>
      <c r="J48" s="8" t="n">
        <v>24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MEDIMP</t>
        </is>
      </c>
      <c r="C49" s="5" t="inlineStr">
        <is>
          <t>47781023001</t>
        </is>
      </c>
      <c r="D49" s="5" t="inlineStr">
        <is>
          <t>OXYCODONE-ACETAMINOPHEN 10-325MG TABLET</t>
        </is>
      </c>
      <c r="E49" s="6" t="inlineStr">
        <is>
          <t>100.0</t>
        </is>
      </c>
      <c r="F49" s="7" t="n">
        <v>90</v>
      </c>
      <c r="G49" s="7" t="n">
        <v>0.9</v>
      </c>
      <c r="H49" s="7" t="n">
        <v>8</v>
      </c>
      <c r="I49" s="7" t="n">
        <v>7.1</v>
      </c>
      <c r="J49" s="8" t="n">
        <v>23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MEDIMP</t>
        </is>
      </c>
      <c r="C50" s="5" t="inlineStr">
        <is>
          <t>65862052205</t>
        </is>
      </c>
      <c r="D50" s="5" t="inlineStr">
        <is>
          <t>NAPROXEN 500MG TABLET</t>
        </is>
      </c>
      <c r="E50" s="6" t="inlineStr">
        <is>
          <t>500.0</t>
        </is>
      </c>
      <c r="F50" s="7" t="n">
        <v>180</v>
      </c>
      <c r="G50" s="7" t="n">
        <v>0.36</v>
      </c>
      <c r="H50" s="7" t="n">
        <v>0</v>
      </c>
      <c r="I50" s="7" t="n">
        <v>-0.36</v>
      </c>
      <c r="J50" s="8" t="n">
        <v>19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MEDIMP</t>
        </is>
      </c>
      <c r="C51" s="5" t="inlineStr">
        <is>
          <t>52817080030</t>
        </is>
      </c>
      <c r="D51" s="5" t="inlineStr">
        <is>
          <t xml:space="preserve">CLOTRIMAZOLE 1 % SOLUTION </t>
        </is>
      </c>
      <c r="E51" s="6" t="inlineStr">
        <is>
          <t>30.0</t>
        </is>
      </c>
      <c r="F51" s="7" t="n">
        <v>30</v>
      </c>
      <c r="G51" s="7" t="n">
        <v>1</v>
      </c>
      <c r="H51" s="7" t="n">
        <v>0</v>
      </c>
      <c r="I51" s="7" t="n">
        <v>-1</v>
      </c>
      <c r="J51" s="8" t="n">
        <v>19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MEDIMP</t>
        </is>
      </c>
      <c r="C52" s="5" t="inlineStr">
        <is>
          <t>57237022105</t>
        </is>
      </c>
      <c r="D52" s="5" t="inlineStr">
        <is>
          <t>PIOGLITAZONE 45MG TABLET</t>
        </is>
      </c>
      <c r="E52" s="6" t="inlineStr">
        <is>
          <t>500.0</t>
        </is>
      </c>
      <c r="F52" s="7" t="n">
        <v>90</v>
      </c>
      <c r="G52" s="7" t="n">
        <v>0.18</v>
      </c>
      <c r="H52" s="7" t="n">
        <v>0</v>
      </c>
      <c r="I52" s="7" t="n">
        <v>-0.18</v>
      </c>
      <c r="J52" s="8" t="n">
        <v>18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MEDIMP</t>
        </is>
      </c>
      <c r="C53" s="5" t="inlineStr">
        <is>
          <t>61314063705</t>
        </is>
      </c>
      <c r="D53" s="5" t="inlineStr">
        <is>
          <t>PREDNISOLONE ACETATE 1% SUSPENSION</t>
        </is>
      </c>
      <c r="E53" s="6" t="inlineStr">
        <is>
          <t>5.0</t>
        </is>
      </c>
      <c r="F53" s="7" t="n">
        <v>5</v>
      </c>
      <c r="G53" s="7" t="n">
        <v>1</v>
      </c>
      <c r="H53" s="7" t="n">
        <v>0</v>
      </c>
      <c r="I53" s="7" t="n">
        <v>-1</v>
      </c>
      <c r="J53" s="8" t="n">
        <v>18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MEDIMP</t>
        </is>
      </c>
      <c r="C54" s="5" t="inlineStr">
        <is>
          <t>68180052002</t>
        </is>
      </c>
      <c r="D54" s="5" t="inlineStr">
        <is>
          <t xml:space="preserve">LISINOPRIL-HCTZ 20-25MG TAB </t>
        </is>
      </c>
      <c r="E54" s="6" t="inlineStr">
        <is>
          <t>500.0</t>
        </is>
      </c>
      <c r="F54" s="7" t="n">
        <v>180</v>
      </c>
      <c r="G54" s="7" t="n">
        <v>0.36</v>
      </c>
      <c r="H54" s="7" t="n">
        <v>2</v>
      </c>
      <c r="I54" s="7" t="n">
        <v>1.64</v>
      </c>
      <c r="J54" s="8" t="n">
        <v>18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MEDIMP</t>
        </is>
      </c>
      <c r="C55" s="5" t="inlineStr">
        <is>
          <t>65862059805</t>
        </is>
      </c>
      <c r="D55" s="5" t="inlineStr">
        <is>
          <t>TAMSULOSIN 0.4MG CAPSULE</t>
        </is>
      </c>
      <c r="E55" s="6" t="inlineStr">
        <is>
          <t>500.0</t>
        </is>
      </c>
      <c r="F55" s="7" t="n">
        <v>300</v>
      </c>
      <c r="G55" s="7" t="n">
        <v>0.6</v>
      </c>
      <c r="H55" s="7" t="n">
        <v>0</v>
      </c>
      <c r="I55" s="7" t="n">
        <v>-0.6</v>
      </c>
      <c r="J55" s="8" t="n">
        <v>17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MEDIMP</t>
        </is>
      </c>
      <c r="C56" s="5" t="inlineStr">
        <is>
          <t>68180047201</t>
        </is>
      </c>
      <c r="D56" s="5" t="inlineStr">
        <is>
          <t>AMLODIPINE-BENAZEPRIL 10-20MG CAPSULE</t>
        </is>
      </c>
      <c r="E56" s="6" t="inlineStr">
        <is>
          <t>100.0</t>
        </is>
      </c>
      <c r="F56" s="7" t="n">
        <v>90</v>
      </c>
      <c r="G56" s="7" t="n">
        <v>0.9</v>
      </c>
      <c r="H56" s="7" t="n">
        <v>0</v>
      </c>
      <c r="I56" s="7" t="n">
        <v>-0.9</v>
      </c>
      <c r="J56" s="8" t="n">
        <v>16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MEDIMP</t>
        </is>
      </c>
      <c r="C57" s="5" t="inlineStr">
        <is>
          <t>65862002306</t>
        </is>
      </c>
      <c r="D57" s="5" t="inlineStr">
        <is>
          <t>MIRTAZAPINE 45 MG TABLET DISINTEGRATING</t>
        </is>
      </c>
      <c r="E57" s="6" t="inlineStr">
        <is>
          <t>30.0</t>
        </is>
      </c>
      <c r="F57" s="7" t="n">
        <v>30</v>
      </c>
      <c r="G57" s="7" t="n">
        <v>1</v>
      </c>
      <c r="H57" s="7" t="n">
        <v>0</v>
      </c>
      <c r="I57" s="7" t="n">
        <v>-1</v>
      </c>
      <c r="J57" s="8" t="n">
        <v>15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MEDIMP</t>
        </is>
      </c>
      <c r="C58" s="5" t="inlineStr">
        <is>
          <t>69315011710</t>
        </is>
      </c>
      <c r="D58" s="5" t="inlineStr">
        <is>
          <t>FUROSEMIDE 40 MG TABLET</t>
        </is>
      </c>
      <c r="E58" s="6" t="inlineStr">
        <is>
          <t>1000.0</t>
        </is>
      </c>
      <c r="F58" s="7" t="n">
        <v>180</v>
      </c>
      <c r="G58" s="7" t="n">
        <v>0.18</v>
      </c>
      <c r="H58" s="7" t="n">
        <v>0</v>
      </c>
      <c r="I58" s="7" t="n">
        <v>-0.18</v>
      </c>
      <c r="J58" s="8" t="n">
        <v>14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MEDIMP</t>
        </is>
      </c>
      <c r="C59" s="5" t="inlineStr">
        <is>
          <t>65862073205</t>
        </is>
      </c>
      <c r="D59" s="5" t="inlineStr">
        <is>
          <t>AMIODARONE 200MG TABLET</t>
        </is>
      </c>
      <c r="E59" s="6" t="inlineStr">
        <is>
          <t>500.0</t>
        </is>
      </c>
      <c r="F59" s="7" t="n">
        <v>90</v>
      </c>
      <c r="G59" s="7" t="n">
        <v>0.18</v>
      </c>
      <c r="H59" s="7" t="n">
        <v>0</v>
      </c>
      <c r="I59" s="7" t="n">
        <v>-0.18</v>
      </c>
      <c r="J59" s="8" t="n">
        <v>14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MEDIMP</t>
        </is>
      </c>
      <c r="C60" s="5" t="inlineStr">
        <is>
          <t>00193755301</t>
        </is>
      </c>
      <c r="D60" s="5" t="inlineStr">
        <is>
          <t>CONTOUR NEXT EZ W/DEVICE KIT</t>
        </is>
      </c>
      <c r="E60" s="6" t="inlineStr">
        <is>
          <t>1.0</t>
        </is>
      </c>
      <c r="F60" s="7" t="n">
        <v>1</v>
      </c>
      <c r="G60" s="7" t="n">
        <v>1</v>
      </c>
      <c r="H60" s="7" t="n">
        <v>12</v>
      </c>
      <c r="I60" s="7" t="n">
        <v>11</v>
      </c>
      <c r="J60" s="8" t="n">
        <v>14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MEDIMP</t>
        </is>
      </c>
      <c r="C61" s="5" t="inlineStr">
        <is>
          <t>70710116801</t>
        </is>
      </c>
      <c r="D61" s="5" t="inlineStr">
        <is>
          <t>ATENOLOL-CHLORTHALIDONE 100-25 MG TABLET</t>
        </is>
      </c>
      <c r="E61" s="6" t="inlineStr">
        <is>
          <t>100.0</t>
        </is>
      </c>
      <c r="F61" s="7" t="n">
        <v>30</v>
      </c>
      <c r="G61" s="7" t="n">
        <v>0.3</v>
      </c>
      <c r="H61" s="7" t="n">
        <v>0</v>
      </c>
      <c r="I61" s="7" t="n">
        <v>-0.3</v>
      </c>
      <c r="J61" s="8" t="n">
        <v>13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MEDIMP</t>
        </is>
      </c>
      <c r="C62" s="5" t="inlineStr">
        <is>
          <t>00172409680</t>
        </is>
      </c>
      <c r="D62" s="5" t="inlineStr">
        <is>
          <t xml:space="preserve">BACLOFEN 10MG TAB </t>
        </is>
      </c>
      <c r="E62" s="6" t="inlineStr">
        <is>
          <t>1000.0</t>
        </is>
      </c>
      <c r="F62" s="7" t="n">
        <v>150</v>
      </c>
      <c r="G62" s="7" t="n">
        <v>0.15</v>
      </c>
      <c r="H62" s="7" t="n">
        <v>0</v>
      </c>
      <c r="I62" s="7" t="n">
        <v>-0.15</v>
      </c>
      <c r="J62" s="8" t="n">
        <v>13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MEDIMP</t>
        </is>
      </c>
      <c r="C63" s="5" t="inlineStr">
        <is>
          <t>70377007913</t>
        </is>
      </c>
      <c r="D63" s="5" t="inlineStr">
        <is>
          <t>ATORVASTATIN 40MG TABLET</t>
        </is>
      </c>
      <c r="E63" s="6" t="inlineStr">
        <is>
          <t>1000.0</t>
        </is>
      </c>
      <c r="F63" s="7" t="n">
        <v>180</v>
      </c>
      <c r="G63" s="7" t="n">
        <v>0.18</v>
      </c>
      <c r="H63" s="7" t="n">
        <v>4</v>
      </c>
      <c r="I63" s="7" t="n">
        <v>3.82</v>
      </c>
      <c r="J63" s="8" t="n">
        <v>13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MEDIMP</t>
        </is>
      </c>
      <c r="C64" s="5" t="inlineStr">
        <is>
          <t>70010078205</t>
        </is>
      </c>
      <c r="D64" s="5" t="inlineStr">
        <is>
          <t>METOPROLOL SUCCINATE ER 100MG TABLET</t>
        </is>
      </c>
      <c r="E64" s="6" t="inlineStr">
        <is>
          <t>500.0</t>
        </is>
      </c>
      <c r="F64" s="7" t="n">
        <v>90</v>
      </c>
      <c r="G64" s="7" t="n">
        <v>0.18</v>
      </c>
      <c r="H64" s="7" t="n">
        <v>2</v>
      </c>
      <c r="I64" s="7" t="n">
        <v>1.82</v>
      </c>
      <c r="J64" s="8" t="n">
        <v>13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MEDIMP</t>
        </is>
      </c>
      <c r="C65" s="5" t="inlineStr">
        <is>
          <t>59762004901</t>
        </is>
      </c>
      <c r="D65" s="5" t="inlineStr">
        <is>
          <t>METHYLPREDNISOLONE 8MG TABLET</t>
        </is>
      </c>
      <c r="E65" s="6" t="inlineStr">
        <is>
          <t>25.0</t>
        </is>
      </c>
      <c r="F65" s="7" t="n">
        <v>10</v>
      </c>
      <c r="G65" s="7" t="n">
        <v>0.4</v>
      </c>
      <c r="H65" s="7" t="n">
        <v>0</v>
      </c>
      <c r="I65" s="7" t="n">
        <v>-0.4</v>
      </c>
      <c r="J65" s="8" t="n">
        <v>13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MEDIMP</t>
        </is>
      </c>
      <c r="C66" s="5" t="inlineStr">
        <is>
          <t>70377007813</t>
        </is>
      </c>
      <c r="D66" s="5" t="inlineStr">
        <is>
          <t>ATORVASTATIN 20MG TABLET</t>
        </is>
      </c>
      <c r="E66" s="6" t="inlineStr">
        <is>
          <t>1000.0</t>
        </is>
      </c>
      <c r="F66" s="7" t="n">
        <v>180</v>
      </c>
      <c r="G66" s="7" t="n">
        <v>0.18</v>
      </c>
      <c r="H66" s="7" t="n">
        <v>1</v>
      </c>
      <c r="I66" s="7" t="n">
        <v>0.8200000000000001</v>
      </c>
      <c r="J66" s="8" t="n">
        <v>11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MEDIMP</t>
        </is>
      </c>
      <c r="C67" s="5" t="inlineStr">
        <is>
          <t>67877049005</t>
        </is>
      </c>
      <c r="D67" s="5" t="inlineStr">
        <is>
          <t>EZETIMIBE 10MG TABLET</t>
        </is>
      </c>
      <c r="E67" s="6" t="inlineStr">
        <is>
          <t>500.0</t>
        </is>
      </c>
      <c r="F67" s="7" t="n">
        <v>90</v>
      </c>
      <c r="G67" s="7" t="n">
        <v>0.18</v>
      </c>
      <c r="H67" s="7" t="n">
        <v>3</v>
      </c>
      <c r="I67" s="7" t="n">
        <v>2.82</v>
      </c>
      <c r="J67" s="8" t="n">
        <v>10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MEDIMP</t>
        </is>
      </c>
      <c r="C68" s="5" t="inlineStr">
        <is>
          <t>67877012405</t>
        </is>
      </c>
      <c r="D68" s="5" t="inlineStr">
        <is>
          <t>SILVER SULFADIAZINE 1 % EXTERNAL CREAM</t>
        </is>
      </c>
      <c r="E68" s="6" t="inlineStr">
        <is>
          <t>50.0</t>
        </is>
      </c>
      <c r="F68" s="7" t="n">
        <v>50</v>
      </c>
      <c r="G68" s="7" t="n">
        <v>1</v>
      </c>
      <c r="H68" s="7" t="n">
        <v>0</v>
      </c>
      <c r="I68" s="7" t="n">
        <v>-1</v>
      </c>
      <c r="J68" s="8" t="n">
        <v>9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MEDIMP</t>
        </is>
      </c>
      <c r="C69" s="5" t="inlineStr">
        <is>
          <t>68382066010</t>
        </is>
      </c>
      <c r="D69" s="5" t="inlineStr">
        <is>
          <t>SPIRONOLACTONE 25MG TABLET</t>
        </is>
      </c>
      <c r="E69" s="6" t="inlineStr">
        <is>
          <t>1000.0</t>
        </is>
      </c>
      <c r="F69" s="7" t="n">
        <v>120</v>
      </c>
      <c r="G69" s="7" t="n">
        <v>0.12</v>
      </c>
      <c r="H69" s="7" t="n">
        <v>0</v>
      </c>
      <c r="I69" s="7" t="n">
        <v>-0.12</v>
      </c>
      <c r="J69" s="8" t="n">
        <v>9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MEDIMP</t>
        </is>
      </c>
      <c r="C70" s="5" t="inlineStr">
        <is>
          <t>70010075401</t>
        </is>
      </c>
      <c r="D70" s="5" t="inlineStr">
        <is>
          <t xml:space="preserve">METHOCARBAMOL 500MG TAB </t>
        </is>
      </c>
      <c r="E70" s="6" t="inlineStr">
        <is>
          <t>100.0</t>
        </is>
      </c>
      <c r="F70" s="7" t="n">
        <v>90</v>
      </c>
      <c r="G70" s="7" t="n">
        <v>0.9</v>
      </c>
      <c r="H70" s="7" t="n">
        <v>0</v>
      </c>
      <c r="I70" s="7" t="n">
        <v>-0.9</v>
      </c>
      <c r="J70" s="8" t="n">
        <v>9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MEDIMP</t>
        </is>
      </c>
      <c r="C71" s="5" t="inlineStr">
        <is>
          <t>45963067696</t>
        </is>
      </c>
      <c r="D71" s="5" t="inlineStr">
        <is>
          <t>METOPROLOL SUCCINATE 50MG TABLET ER</t>
        </is>
      </c>
      <c r="E71" s="6" t="inlineStr">
        <is>
          <t>1000.0</t>
        </is>
      </c>
      <c r="F71" s="7" t="n">
        <v>90</v>
      </c>
      <c r="G71" s="7" t="n">
        <v>0.09</v>
      </c>
      <c r="H71" s="7" t="n">
        <v>0</v>
      </c>
      <c r="I71" s="7" t="n">
        <v>-0.09</v>
      </c>
      <c r="J71" s="8" t="n">
        <v>8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MEDIMP</t>
        </is>
      </c>
      <c r="C72" s="5" t="inlineStr">
        <is>
          <t>70010006599</t>
        </is>
      </c>
      <c r="D72" s="5" t="inlineStr">
        <is>
          <t>METFORMIN 1000MG TABLET</t>
        </is>
      </c>
      <c r="E72" s="6" t="inlineStr">
        <is>
          <t>1000.0</t>
        </is>
      </c>
      <c r="F72" s="7" t="n">
        <v>180</v>
      </c>
      <c r="G72" s="7" t="n">
        <v>0.18</v>
      </c>
      <c r="H72" s="7" t="n">
        <v>3</v>
      </c>
      <c r="I72" s="7" t="n">
        <v>2.82</v>
      </c>
      <c r="J72" s="8" t="n">
        <v>7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MEDIMP</t>
        </is>
      </c>
      <c r="C73" s="5" t="inlineStr">
        <is>
          <t>68180097903</t>
        </is>
      </c>
      <c r="D73" s="5" t="inlineStr">
        <is>
          <t>LISINOPRIL 40MG TABLET</t>
        </is>
      </c>
      <c r="E73" s="6" t="inlineStr">
        <is>
          <t>1000.0</t>
        </is>
      </c>
      <c r="F73" s="7" t="n">
        <v>90</v>
      </c>
      <c r="G73" s="7" t="n">
        <v>0.09</v>
      </c>
      <c r="H73" s="7" t="n">
        <v>0</v>
      </c>
      <c r="I73" s="7" t="n">
        <v>-0.09</v>
      </c>
      <c r="J73" s="8" t="n">
        <v>7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MEDIMP</t>
        </is>
      </c>
      <c r="C74" s="5" t="inlineStr">
        <is>
          <t>00378050501</t>
        </is>
      </c>
      <c r="D74" s="5" t="inlineStr">
        <is>
          <t>BISOPROLOL-HCTZ 10-6.25MG TABLET</t>
        </is>
      </c>
      <c r="E74" s="6" t="inlineStr">
        <is>
          <t>100.0</t>
        </is>
      </c>
      <c r="F74" s="7" t="n">
        <v>30</v>
      </c>
      <c r="G74" s="7" t="n">
        <v>0.3</v>
      </c>
      <c r="H74" s="7" t="n">
        <v>0</v>
      </c>
      <c r="I74" s="7" t="n">
        <v>-0.3</v>
      </c>
      <c r="J74" s="8" t="n">
        <v>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MEDIMP</t>
        </is>
      </c>
      <c r="C75" s="5" t="inlineStr">
        <is>
          <t>72888003600</t>
        </is>
      </c>
      <c r="D75" s="5" t="inlineStr">
        <is>
          <t>CARVEDILOL 12.5MG TABLET</t>
        </is>
      </c>
      <c r="E75" s="6" t="inlineStr">
        <is>
          <t>1000.0</t>
        </is>
      </c>
      <c r="F75" s="7" t="n">
        <v>180</v>
      </c>
      <c r="G75" s="7" t="n">
        <v>0.18</v>
      </c>
      <c r="H75" s="7" t="n">
        <v>0</v>
      </c>
      <c r="I75" s="7" t="n">
        <v>-0.18</v>
      </c>
      <c r="J75" s="8" t="n">
        <v>6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MEDIMP</t>
        </is>
      </c>
      <c r="C76" s="5" t="inlineStr">
        <is>
          <t>23155053006</t>
        </is>
      </c>
      <c r="D76" s="5" t="inlineStr">
        <is>
          <t>TROSPIUM CHLORIDE 20 MG TABLET</t>
        </is>
      </c>
      <c r="E76" s="6" t="inlineStr">
        <is>
          <t>60.0</t>
        </is>
      </c>
      <c r="F76" s="7" t="n">
        <v>20</v>
      </c>
      <c r="G76" s="7" t="n">
        <v>0.3333333333333333</v>
      </c>
      <c r="H76" s="7" t="n">
        <v>0</v>
      </c>
      <c r="I76" s="7" t="n">
        <v>-0.3333333333333333</v>
      </c>
      <c r="J76" s="8" t="n">
        <v>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MEDIMP</t>
        </is>
      </c>
      <c r="C77" s="5" t="inlineStr">
        <is>
          <t>69367036005</t>
        </is>
      </c>
      <c r="D77" s="5" t="inlineStr">
        <is>
          <t>ROSUVASTATIN 10 MG ORAL TABLET</t>
        </is>
      </c>
      <c r="E77" s="6" t="inlineStr">
        <is>
          <t>500.0</t>
        </is>
      </c>
      <c r="F77" s="7" t="n">
        <v>90</v>
      </c>
      <c r="G77" s="7" t="n">
        <v>0.18</v>
      </c>
      <c r="H77" s="7" t="n">
        <v>0</v>
      </c>
      <c r="I77" s="7" t="n">
        <v>-0.18</v>
      </c>
      <c r="J77" s="8" t="n">
        <v>6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MEDIMP</t>
        </is>
      </c>
      <c r="C78" s="5" t="inlineStr">
        <is>
          <t>69367024101</t>
        </is>
      </c>
      <c r="D78" s="5" t="inlineStr">
        <is>
          <t>NABUMETONE 500MG TABLET</t>
        </is>
      </c>
      <c r="E78" s="6" t="inlineStr">
        <is>
          <t>100.0</t>
        </is>
      </c>
      <c r="F78" s="7" t="n">
        <v>30</v>
      </c>
      <c r="G78" s="7" t="n">
        <v>0.3</v>
      </c>
      <c r="H78" s="7" t="n">
        <v>0</v>
      </c>
      <c r="I78" s="7" t="n">
        <v>-0.3</v>
      </c>
      <c r="J78" s="8" t="n">
        <v>6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MEDIMP</t>
        </is>
      </c>
      <c r="C79" s="5" t="inlineStr">
        <is>
          <t>00093321201</t>
        </is>
      </c>
      <c r="D79" s="5" t="inlineStr">
        <is>
          <t>CLONAZEPAM 1MG TABLET</t>
        </is>
      </c>
      <c r="E79" s="6" t="inlineStr">
        <is>
          <t>100.0</t>
        </is>
      </c>
      <c r="F79" s="7" t="n">
        <v>60</v>
      </c>
      <c r="G79" s="7" t="n">
        <v>0.6</v>
      </c>
      <c r="H79" s="7" t="n">
        <v>0</v>
      </c>
      <c r="I79" s="7" t="n">
        <v>-0.6</v>
      </c>
      <c r="J79" s="8" t="n">
        <v>6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MEDIMP</t>
        </is>
      </c>
      <c r="C80" s="5" t="inlineStr">
        <is>
          <t>91237000128</t>
        </is>
      </c>
      <c r="D80" s="5" t="inlineStr">
        <is>
          <t xml:space="preserve">ALCOHOL PADS EASY COMFORT  ALPINE </t>
        </is>
      </c>
      <c r="E80" s="6" t="inlineStr">
        <is>
          <t>100.0</t>
        </is>
      </c>
      <c r="F80" s="7" t="n">
        <v>200</v>
      </c>
      <c r="G80" s="7" t="n">
        <v>2</v>
      </c>
      <c r="H80" s="7" t="n">
        <v>0</v>
      </c>
      <c r="I80" s="7" t="n">
        <v>-2</v>
      </c>
      <c r="J80" s="8" t="n">
        <v>6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MEDIMP</t>
        </is>
      </c>
      <c r="C81" s="5" t="inlineStr">
        <is>
          <t>68180045901</t>
        </is>
      </c>
      <c r="D81" s="5" t="inlineStr">
        <is>
          <t>AMLODIPINE-BENAZEPRIL 5-20MG CAPSULE</t>
        </is>
      </c>
      <c r="E81" s="6" t="inlineStr">
        <is>
          <t>100.0</t>
        </is>
      </c>
      <c r="F81" s="7" t="n">
        <v>30</v>
      </c>
      <c r="G81" s="7" t="n">
        <v>0.3</v>
      </c>
      <c r="H81" s="7" t="n">
        <v>0</v>
      </c>
      <c r="I81" s="7" t="n">
        <v>-0.3</v>
      </c>
      <c r="J81" s="8" t="n">
        <v>6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MEDIMP</t>
        </is>
      </c>
      <c r="C82" s="5" t="inlineStr">
        <is>
          <t>65862056099</t>
        </is>
      </c>
      <c r="D82" s="5" t="inlineStr">
        <is>
          <t xml:space="preserve">PANTOPRAZOLE 40MG TAB </t>
        </is>
      </c>
      <c r="E82" s="6" t="inlineStr">
        <is>
          <t>1000.0</t>
        </is>
      </c>
      <c r="F82" s="7" t="n">
        <v>90</v>
      </c>
      <c r="G82" s="7" t="n">
        <v>0.09</v>
      </c>
      <c r="H82" s="7" t="n">
        <v>2</v>
      </c>
      <c r="I82" s="7" t="n">
        <v>1.91</v>
      </c>
      <c r="J82" s="8" t="n">
        <v>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MEDIMP</t>
        </is>
      </c>
      <c r="C83" s="5" t="inlineStr">
        <is>
          <t>70010006310</t>
        </is>
      </c>
      <c r="D83" s="5" t="inlineStr">
        <is>
          <t>METFORMIN HCL 500 MG TABLET</t>
        </is>
      </c>
      <c r="E83" s="6" t="inlineStr">
        <is>
          <t>1000.0</t>
        </is>
      </c>
      <c r="F83" s="7" t="n">
        <v>180</v>
      </c>
      <c r="G83" s="7" t="n">
        <v>0.18</v>
      </c>
      <c r="H83" s="7" t="n">
        <v>2</v>
      </c>
      <c r="I83" s="7" t="n">
        <v>1.82</v>
      </c>
      <c r="J83" s="8" t="n">
        <v>5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MEDIMP</t>
        </is>
      </c>
      <c r="C84" s="5" t="inlineStr">
        <is>
          <t>67877022210</t>
        </is>
      </c>
      <c r="D84" s="5" t="inlineStr">
        <is>
          <t>GABAPENTIN 100MG CAPSULE</t>
        </is>
      </c>
      <c r="E84" s="6" t="inlineStr">
        <is>
          <t>1000.0</t>
        </is>
      </c>
      <c r="F84" s="7" t="n">
        <v>90</v>
      </c>
      <c r="G84" s="7" t="n">
        <v>0.09</v>
      </c>
      <c r="H84" s="7" t="n">
        <v>0</v>
      </c>
      <c r="I84" s="7" t="n">
        <v>-0.09</v>
      </c>
      <c r="J84" s="8" t="n">
        <v>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MEDIMP</t>
        </is>
      </c>
      <c r="C85" s="5" t="inlineStr">
        <is>
          <t>70756040411</t>
        </is>
      </c>
      <c r="D85" s="5" t="inlineStr">
        <is>
          <t>NITROFURANTOIN MONOHYD MACRO 100 MG ORAL CAPSULE</t>
        </is>
      </c>
      <c r="E85" s="6" t="inlineStr">
        <is>
          <t>100.0</t>
        </is>
      </c>
      <c r="F85" s="7" t="n">
        <v>10</v>
      </c>
      <c r="G85" s="7" t="n">
        <v>0.1</v>
      </c>
      <c r="H85" s="7" t="n">
        <v>2</v>
      </c>
      <c r="I85" s="7" t="n">
        <v>1.9</v>
      </c>
      <c r="J85" s="8" t="n">
        <v>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MEDIMP</t>
        </is>
      </c>
      <c r="C86" s="5" t="inlineStr">
        <is>
          <t>68180031902</t>
        </is>
      </c>
      <c r="D86" s="5" t="inlineStr">
        <is>
          <t>BUPROPION HCL ER (XL) 150MG</t>
        </is>
      </c>
      <c r="E86" s="6" t="inlineStr">
        <is>
          <t>500.0</t>
        </is>
      </c>
      <c r="F86" s="7" t="n">
        <v>30</v>
      </c>
      <c r="G86" s="7" t="n">
        <v>0.06</v>
      </c>
      <c r="H86" s="7" t="n">
        <v>0</v>
      </c>
      <c r="I86" s="7" t="n">
        <v>-0.06</v>
      </c>
      <c r="J86" s="8" t="n">
        <v>4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MEDIMP</t>
        </is>
      </c>
      <c r="C87" s="5" t="inlineStr">
        <is>
          <t>00781107901</t>
        </is>
      </c>
      <c r="D87" s="5" t="inlineStr">
        <is>
          <t>ALPRAZOLAM 1 MG ORAL TABLET</t>
        </is>
      </c>
      <c r="E87" s="6" t="inlineStr">
        <is>
          <t>100.0</t>
        </is>
      </c>
      <c r="F87" s="7" t="n">
        <v>60</v>
      </c>
      <c r="G87" s="7" t="n">
        <v>0.6</v>
      </c>
      <c r="H87" s="7" t="n">
        <v>0</v>
      </c>
      <c r="I87" s="7" t="n">
        <v>-0.6</v>
      </c>
      <c r="J87" s="8" t="n">
        <v>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MEDIMP</t>
        </is>
      </c>
      <c r="C88" s="5" t="inlineStr">
        <is>
          <t>69097012815</t>
        </is>
      </c>
      <c r="D88" s="5" t="inlineStr">
        <is>
          <t>AMLODIPINE 10MG TABLET</t>
        </is>
      </c>
      <c r="E88" s="6" t="inlineStr">
        <is>
          <t>1000.0</t>
        </is>
      </c>
      <c r="F88" s="7" t="n">
        <v>120</v>
      </c>
      <c r="G88" s="7" t="n">
        <v>0.12</v>
      </c>
      <c r="H88" s="7" t="n">
        <v>0</v>
      </c>
      <c r="I88" s="7" t="n">
        <v>-0.12</v>
      </c>
      <c r="J88" s="8" t="n">
        <v>3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MEDIMP</t>
        </is>
      </c>
      <c r="C89" s="5" t="inlineStr">
        <is>
          <t>67877022305</t>
        </is>
      </c>
      <c r="D89" s="5" t="inlineStr">
        <is>
          <t>GABAPENTIN 300 MG CAPSULE</t>
        </is>
      </c>
      <c r="E89" s="6" t="inlineStr">
        <is>
          <t>500.0</t>
        </is>
      </c>
      <c r="F89" s="7" t="n">
        <v>60</v>
      </c>
      <c r="G89" s="7" t="n">
        <v>0.12</v>
      </c>
      <c r="H89" s="7" t="n">
        <v>0</v>
      </c>
      <c r="I89" s="7" t="n">
        <v>-0.12</v>
      </c>
      <c r="J89" s="8" t="n">
        <v>3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MEDIMP</t>
        </is>
      </c>
      <c r="C90" s="5" t="inlineStr">
        <is>
          <t>45802065087</t>
        </is>
      </c>
      <c r="D90" s="5" t="inlineStr">
        <is>
          <t xml:space="preserve">LORATADINE 10MG TAB </t>
        </is>
      </c>
      <c r="E90" s="6" t="inlineStr">
        <is>
          <t>300.0</t>
        </is>
      </c>
      <c r="F90" s="7" t="n">
        <v>30</v>
      </c>
      <c r="G90" s="7" t="n">
        <v>0.1</v>
      </c>
      <c r="H90" s="7" t="n">
        <v>0</v>
      </c>
      <c r="I90" s="7" t="n">
        <v>-0.1</v>
      </c>
      <c r="J90" s="8" t="n">
        <v>3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MEDIMP</t>
        </is>
      </c>
      <c r="C91" s="5" t="inlineStr">
        <is>
          <t>57664050318</t>
        </is>
      </c>
      <c r="D91" s="5" t="inlineStr">
        <is>
          <t>TIZANIDINE 4MG TABLET</t>
        </is>
      </c>
      <c r="E91" s="6" t="inlineStr">
        <is>
          <t>1000.0</t>
        </is>
      </c>
      <c r="F91" s="7" t="n">
        <v>30</v>
      </c>
      <c r="G91" s="7" t="n">
        <v>0.03</v>
      </c>
      <c r="H91" s="7" t="n">
        <v>0</v>
      </c>
      <c r="I91" s="7" t="n">
        <v>-0.03</v>
      </c>
      <c r="J91" s="8" t="n">
        <v>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MEDIMP</t>
        </is>
      </c>
      <c r="C92" s="5" t="inlineStr">
        <is>
          <t>50111056003</t>
        </is>
      </c>
      <c r="D92" s="5" t="inlineStr">
        <is>
          <t>TRAZODONE 50MG TABLET</t>
        </is>
      </c>
      <c r="E92" s="6" t="inlineStr">
        <is>
          <t>1000.0</t>
        </is>
      </c>
      <c r="F92" s="7" t="n">
        <v>30</v>
      </c>
      <c r="G92" s="7" t="n">
        <v>0.03</v>
      </c>
      <c r="H92" s="7" t="n">
        <v>0</v>
      </c>
      <c r="I92" s="7" t="n">
        <v>-0.03</v>
      </c>
      <c r="J92" s="8" t="n">
        <v>3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MEDIMP</t>
        </is>
      </c>
      <c r="C93" s="5" t="inlineStr">
        <is>
          <t>13668000805</t>
        </is>
      </c>
      <c r="D93" s="5" t="inlineStr">
        <is>
          <t xml:space="preserve">ZOLPIDEM TARTRATE 10MG TAB </t>
        </is>
      </c>
      <c r="E93" s="6" t="inlineStr">
        <is>
          <t>500.0</t>
        </is>
      </c>
      <c r="F93" s="7" t="n">
        <v>30</v>
      </c>
      <c r="G93" s="7" t="n">
        <v>0.06</v>
      </c>
      <c r="H93" s="7" t="n">
        <v>0</v>
      </c>
      <c r="I93" s="7" t="n">
        <v>-0.06</v>
      </c>
      <c r="J93" s="8" t="n">
        <v>3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MEDIMP</t>
        </is>
      </c>
      <c r="C94" s="5" t="inlineStr">
        <is>
          <t>23155000810</t>
        </is>
      </c>
      <c r="D94" s="5" t="inlineStr">
        <is>
          <t>HYDROCHLOROTHIAZIDE 25MG TABLET</t>
        </is>
      </c>
      <c r="E94" s="6" t="inlineStr">
        <is>
          <t>1000.0</t>
        </is>
      </c>
      <c r="F94" s="7" t="n">
        <v>180</v>
      </c>
      <c r="G94" s="7" t="n">
        <v>0.18</v>
      </c>
      <c r="H94" s="7" t="n">
        <v>0</v>
      </c>
      <c r="I94" s="7" t="n">
        <v>-0.18</v>
      </c>
      <c r="J94" s="8" t="n">
        <v>2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MEDIMP</t>
        </is>
      </c>
      <c r="C95" s="5" t="inlineStr">
        <is>
          <t>70756005212</t>
        </is>
      </c>
      <c r="D95" s="5" t="inlineStr">
        <is>
          <t>FAMOTIDINE 40MG TABLET</t>
        </is>
      </c>
      <c r="E95" s="6" t="inlineStr">
        <is>
          <t>1000.0</t>
        </is>
      </c>
      <c r="F95" s="7" t="n">
        <v>30</v>
      </c>
      <c r="G95" s="7" t="n">
        <v>0.03</v>
      </c>
      <c r="H95" s="7" t="n">
        <v>0</v>
      </c>
      <c r="I95" s="7" t="n">
        <v>-0.03</v>
      </c>
      <c r="J95" s="8" t="n">
        <v>2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MEDIMP</t>
        </is>
      </c>
      <c r="C96" s="5" t="inlineStr">
        <is>
          <t>50742026103</t>
        </is>
      </c>
      <c r="D96" s="5" t="inlineStr">
        <is>
          <t>NIFEDIPINE 60MG TABLET ER</t>
        </is>
      </c>
      <c r="E96" s="6" t="inlineStr">
        <is>
          <t>300.0</t>
        </is>
      </c>
      <c r="F96" s="7" t="n">
        <v>30</v>
      </c>
      <c r="G96" s="7" t="n">
        <v>0.1</v>
      </c>
      <c r="H96" s="7" t="n">
        <v>0</v>
      </c>
      <c r="I96" s="7" t="n">
        <v>-0.1</v>
      </c>
      <c r="J96" s="8" t="n">
        <v>2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MEDIMP</t>
        </is>
      </c>
      <c r="C97" s="5" t="inlineStr">
        <is>
          <t>70010078005</t>
        </is>
      </c>
      <c r="D97" s="5" t="inlineStr">
        <is>
          <t>METOPROLOL SUCCINATE ER 25MG TABLET</t>
        </is>
      </c>
      <c r="E97" s="6" t="inlineStr">
        <is>
          <t>500.0</t>
        </is>
      </c>
      <c r="F97" s="7" t="n">
        <v>90</v>
      </c>
      <c r="G97" s="7" t="n">
        <v>0.18</v>
      </c>
      <c r="H97" s="7" t="n">
        <v>4</v>
      </c>
      <c r="I97" s="7" t="n">
        <v>3.82</v>
      </c>
      <c r="J97" s="8" t="n">
        <v>2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MEDIMP</t>
        </is>
      </c>
      <c r="C98" s="5" t="inlineStr">
        <is>
          <t>69097015815</t>
        </is>
      </c>
      <c r="D98" s="5" t="inlineStr">
        <is>
          <t xml:space="preserve">MELOXICAM 7.5MG TAB </t>
        </is>
      </c>
      <c r="E98" s="6" t="inlineStr">
        <is>
          <t>1000.0</t>
        </is>
      </c>
      <c r="F98" s="7" t="n">
        <v>30</v>
      </c>
      <c r="G98" s="7" t="n">
        <v>0.03</v>
      </c>
      <c r="H98" s="7" t="n">
        <v>0</v>
      </c>
      <c r="I98" s="7" t="n">
        <v>-0.03</v>
      </c>
      <c r="J98" s="8" t="n">
        <v>1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MEDIMP</t>
        </is>
      </c>
      <c r="C99" s="5" t="inlineStr">
        <is>
          <t>47781026305</t>
        </is>
      </c>
      <c r="D99" s="5" t="inlineStr">
        <is>
          <t>OXYCODONE HCL 5 MG TABLET</t>
        </is>
      </c>
      <c r="E99" s="6" t="inlineStr">
        <is>
          <t>500.0</t>
        </is>
      </c>
      <c r="F99" s="7" t="n">
        <v>5</v>
      </c>
      <c r="G99" s="7" t="n">
        <v>0.01</v>
      </c>
      <c r="H99" s="7" t="n">
        <v>0</v>
      </c>
      <c r="I99" s="7" t="n">
        <v>-0.01</v>
      </c>
      <c r="J99" s="8" t="n">
        <v>1</v>
      </c>
      <c r="K99" s="9">
        <f>IFERROR(IF((ROUND((J99/G99)*I99,1))&lt;0,(ROUND((J99/G99)*I99,1)),0),0)</f>
        <v/>
      </c>
    </row>
    <row r="100">
      <c r="E100" s="10" t="inlineStr">
        <is>
          <t>TOTAL</t>
        </is>
      </c>
      <c r="F100" s="11">
        <f>SUM(F4:F99)</f>
        <v/>
      </c>
      <c r="G100" s="11">
        <f>SUM(G4:G99)</f>
        <v/>
      </c>
      <c r="H100" s="11">
        <f>SUM(H4:H99)</f>
        <v/>
      </c>
      <c r="I100" s="11">
        <f>SUM(I4:I99)</f>
        <v/>
      </c>
      <c r="J100" s="12">
        <f>SUM(J4:J99)</f>
        <v/>
      </c>
      <c r="K100" s="13">
        <f>SUM(K4:K99)</f>
        <v/>
      </c>
    </row>
    <row r="101">
      <c r="J101" s="14" t="inlineStr">
        <is>
          <t>Audited Drugs Count</t>
        </is>
      </c>
      <c r="K101" s="15">
        <f>COUNTIF(K4:K99,"&lt;0")</f>
        <v/>
      </c>
    </row>
    <row r="102">
      <c r="J102" s="14" t="inlineStr">
        <is>
          <t>Total Audit Exposure</t>
        </is>
      </c>
      <c r="K102" s="16">
        <f>SUMIF(K4:K99,"&lt;0",K4:K99)</f>
        <v/>
      </c>
    </row>
  </sheetData>
  <autoFilter ref="A3:K99"/>
  <mergeCells count="2">
    <mergeCell ref="A2:K2"/>
    <mergeCell ref="A1:K1"/>
  </mergeCells>
  <conditionalFormatting sqref="E4:K9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47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trial4 — Feb 2026 - Feb 2026 — NYM</t>
        </is>
      </c>
    </row>
    <row r="2" ht="24" customHeight="1">
      <c r="A2" s="2" t="inlineStr">
        <is>
          <t>Overall NYM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NYM</t>
        </is>
      </c>
      <c r="G3" s="3" t="inlineStr">
        <is>
          <t>Packages Billed to NYM</t>
        </is>
      </c>
      <c r="H3" s="3" t="inlineStr">
        <is>
          <t>Total Qty Purchased</t>
        </is>
      </c>
      <c r="I3" s="3" t="inlineStr">
        <is>
          <t>Qty Difference for NYM</t>
        </is>
      </c>
      <c r="J3" s="3" t="inlineStr">
        <is>
          <t>Actual $ Paid by NYM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NYM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24</v>
      </c>
      <c r="G4" s="7" t="n">
        <v>8</v>
      </c>
      <c r="H4" s="7" t="n">
        <v>26</v>
      </c>
      <c r="I4" s="7" t="n">
        <v>18</v>
      </c>
      <c r="J4" s="8" t="n">
        <v>8048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NYM</t>
        </is>
      </c>
      <c r="C5" s="5" t="inlineStr">
        <is>
          <t>00023916360</t>
        </is>
      </c>
      <c r="D5" s="5" t="inlineStr">
        <is>
          <t xml:space="preserve">RESTASIS 0.05% EMULSION </t>
        </is>
      </c>
      <c r="E5" s="6" t="inlineStr">
        <is>
          <t>60.0</t>
        </is>
      </c>
      <c r="F5" s="7" t="n">
        <v>540</v>
      </c>
      <c r="G5" s="7" t="n">
        <v>9</v>
      </c>
      <c r="H5" s="7" t="n">
        <v>32</v>
      </c>
      <c r="I5" s="7" t="n">
        <v>23</v>
      </c>
      <c r="J5" s="8" t="n">
        <v>5626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NYM</t>
        </is>
      </c>
      <c r="C6" s="5" t="inlineStr">
        <is>
          <t>61874011530</t>
        </is>
      </c>
      <c r="D6" s="5" t="inlineStr">
        <is>
          <t>VRAYLAR 1.5MG CAPSULE</t>
        </is>
      </c>
      <c r="E6" s="6" t="inlineStr">
        <is>
          <t>30.0</t>
        </is>
      </c>
      <c r="F6" s="7" t="n">
        <v>90</v>
      </c>
      <c r="G6" s="7" t="n">
        <v>3</v>
      </c>
      <c r="H6" s="7" t="n">
        <v>2</v>
      </c>
      <c r="I6" s="7" t="n">
        <v>-1</v>
      </c>
      <c r="J6" s="8" t="n">
        <v>4617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NYM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8</v>
      </c>
      <c r="G7" s="7" t="n">
        <v>4</v>
      </c>
      <c r="H7" s="7" t="n">
        <v>14</v>
      </c>
      <c r="I7" s="7" t="n">
        <v>10</v>
      </c>
      <c r="J7" s="8" t="n">
        <v>4348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NYM</t>
        </is>
      </c>
      <c r="C8" s="5" t="inlineStr">
        <is>
          <t>61958250101</t>
        </is>
      </c>
      <c r="D8" s="5" t="inlineStr">
        <is>
          <t>BIKTARVY 50-200-25MG TABLET</t>
        </is>
      </c>
      <c r="E8" s="6" t="inlineStr">
        <is>
          <t>30.0</t>
        </is>
      </c>
      <c r="F8" s="7" t="n">
        <v>30</v>
      </c>
      <c r="G8" s="7" t="n">
        <v>1</v>
      </c>
      <c r="H8" s="7" t="n">
        <v>0</v>
      </c>
      <c r="I8" s="7" t="n">
        <v>-1</v>
      </c>
      <c r="J8" s="8" t="n">
        <v>4112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NYM</t>
        </is>
      </c>
      <c r="C9" s="5" t="inlineStr">
        <is>
          <t>00597015230</t>
        </is>
      </c>
      <c r="D9" s="5" t="inlineStr">
        <is>
          <t xml:space="preserve">JARDIANCE 10MG TAB </t>
        </is>
      </c>
      <c r="E9" s="6" t="inlineStr">
        <is>
          <t>30.0</t>
        </is>
      </c>
      <c r="F9" s="7" t="n">
        <v>360</v>
      </c>
      <c r="G9" s="7" t="n">
        <v>12</v>
      </c>
      <c r="H9" s="7" t="n">
        <v>44</v>
      </c>
      <c r="I9" s="7" t="n">
        <v>32</v>
      </c>
      <c r="J9" s="8" t="n">
        <v>4089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NYM</t>
        </is>
      </c>
      <c r="C10" s="5" t="inlineStr">
        <is>
          <t>00169413013</t>
        </is>
      </c>
      <c r="D10" s="5" t="inlineStr">
        <is>
          <t>OZEMPIC (1 MG/DOSE) 4MG/3ML INJECTION</t>
        </is>
      </c>
      <c r="E10" s="6" t="inlineStr">
        <is>
          <t>3.0</t>
        </is>
      </c>
      <c r="F10" s="7" t="n">
        <v>12</v>
      </c>
      <c r="G10" s="7" t="n">
        <v>4</v>
      </c>
      <c r="H10" s="7" t="n">
        <v>22</v>
      </c>
      <c r="I10" s="7" t="n">
        <v>18</v>
      </c>
      <c r="J10" s="8" t="n">
        <v>4004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NYM</t>
        </is>
      </c>
      <c r="C11" s="5" t="inlineStr">
        <is>
          <t>49702024213</t>
        </is>
      </c>
      <c r="D11" s="5" t="inlineStr">
        <is>
          <t>JULUCA 50-25MG TABLET</t>
        </is>
      </c>
      <c r="E11" s="6" t="inlineStr">
        <is>
          <t>30.0</t>
        </is>
      </c>
      <c r="F11" s="7" t="n">
        <v>30</v>
      </c>
      <c r="G11" s="7" t="n">
        <v>1</v>
      </c>
      <c r="H11" s="7" t="n">
        <v>0</v>
      </c>
      <c r="I11" s="7" t="n">
        <v>-1</v>
      </c>
      <c r="J11" s="8" t="n">
        <v>3669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NYM</t>
        </is>
      </c>
      <c r="C12" s="5" t="inlineStr">
        <is>
          <t>00597015330</t>
        </is>
      </c>
      <c r="D12" s="5" t="inlineStr">
        <is>
          <t xml:space="preserve">JARDIANCE 25MG TAB </t>
        </is>
      </c>
      <c r="E12" s="6" t="inlineStr">
        <is>
          <t>30.0</t>
        </is>
      </c>
      <c r="F12" s="7" t="n">
        <v>270</v>
      </c>
      <c r="G12" s="7" t="n">
        <v>9</v>
      </c>
      <c r="H12" s="7" t="n">
        <v>63</v>
      </c>
      <c r="I12" s="7" t="n">
        <v>54</v>
      </c>
      <c r="J12" s="8" t="n">
        <v>3053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NYM</t>
        </is>
      </c>
      <c r="C13" s="5" t="inlineStr">
        <is>
          <t>00169477212</t>
        </is>
      </c>
      <c r="D13" s="5" t="inlineStr">
        <is>
          <t>OZEMPIC (2 MG/DOSE) 8 MG/3ML PEN-INJECTOR</t>
        </is>
      </c>
      <c r="E13" s="6" t="inlineStr">
        <is>
          <t>3.0</t>
        </is>
      </c>
      <c r="F13" s="7" t="n">
        <v>9</v>
      </c>
      <c r="G13" s="7" t="n">
        <v>3</v>
      </c>
      <c r="H13" s="7" t="n">
        <v>17</v>
      </c>
      <c r="I13" s="7" t="n">
        <v>14</v>
      </c>
      <c r="J13" s="8" t="n">
        <v>3018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NYM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420</v>
      </c>
      <c r="G14" s="7" t="n">
        <v>7</v>
      </c>
      <c r="H14" s="7" t="n">
        <v>39</v>
      </c>
      <c r="I14" s="7" t="n">
        <v>32</v>
      </c>
      <c r="J14" s="8" t="n">
        <v>2351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NYM</t>
        </is>
      </c>
      <c r="C15" s="5" t="inlineStr">
        <is>
          <t>50242014301</t>
        </is>
      </c>
      <c r="D15" s="5" t="inlineStr">
        <is>
          <t>ACTEMRA ACTPEN 162 MG/0.9ML SUBCUTANEOUS SOLUTION AUTO-INJECTOR</t>
        </is>
      </c>
      <c r="E15" s="6" t="inlineStr">
        <is>
          <t>0.9</t>
        </is>
      </c>
      <c r="F15" s="7" t="n">
        <v>1.8</v>
      </c>
      <c r="G15" s="7" t="n">
        <v>2</v>
      </c>
      <c r="H15" s="7" t="n">
        <v>2</v>
      </c>
      <c r="I15" s="7" t="n">
        <v>0</v>
      </c>
      <c r="J15" s="8" t="n">
        <v>2312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NYM</t>
        </is>
      </c>
      <c r="C16" s="5" t="inlineStr">
        <is>
          <t>00002145780</t>
        </is>
      </c>
      <c r="D16" s="5" t="inlineStr">
        <is>
          <t>MOUNJARO 15 MG/0.5ML PEN-INJECTOR</t>
        </is>
      </c>
      <c r="E16" s="6" t="inlineStr">
        <is>
          <t>2.0</t>
        </is>
      </c>
      <c r="F16" s="7" t="n">
        <v>4</v>
      </c>
      <c r="G16" s="7" t="n">
        <v>2</v>
      </c>
      <c r="H16" s="7" t="n">
        <v>3</v>
      </c>
      <c r="I16" s="7" t="n">
        <v>1</v>
      </c>
      <c r="J16" s="8" t="n">
        <v>2175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NYM</t>
        </is>
      </c>
      <c r="C17" s="5" t="inlineStr">
        <is>
          <t>00173088710</t>
        </is>
      </c>
      <c r="D17" s="5" t="inlineStr">
        <is>
          <t>TRELEGY ELLIPTA 100-62.5-25MCG/INH AEROSOL</t>
        </is>
      </c>
      <c r="E17" s="6" t="inlineStr">
        <is>
          <t>60.0</t>
        </is>
      </c>
      <c r="F17" s="7" t="n">
        <v>180</v>
      </c>
      <c r="G17" s="7" t="n">
        <v>3</v>
      </c>
      <c r="H17" s="7" t="n">
        <v>0</v>
      </c>
      <c r="I17" s="7" t="n">
        <v>-3</v>
      </c>
      <c r="J17" s="8" t="n">
        <v>2016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NYM</t>
        </is>
      </c>
      <c r="C18" s="5" t="inlineStr">
        <is>
          <t>73154005060</t>
        </is>
      </c>
      <c r="D18" s="5" t="inlineStr">
        <is>
          <t>IBSRELA 50 MG ORAL TABLET</t>
        </is>
      </c>
      <c r="E18" s="6" t="inlineStr">
        <is>
          <t>60.0</t>
        </is>
      </c>
      <c r="F18" s="7" t="n">
        <v>60</v>
      </c>
      <c r="G18" s="7" t="n">
        <v>1</v>
      </c>
      <c r="H18" s="7" t="n">
        <v>0</v>
      </c>
      <c r="I18" s="7" t="n">
        <v>-1</v>
      </c>
      <c r="J18" s="8" t="n">
        <v>1965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NYM</t>
        </is>
      </c>
      <c r="C19" s="5" t="inlineStr">
        <is>
          <t>00186037020</t>
        </is>
      </c>
      <c r="D19" s="5" t="inlineStr">
        <is>
          <t>SYMBICORT 160-4.5MCG/ACT AEROSOL</t>
        </is>
      </c>
      <c r="E19" s="6" t="inlineStr">
        <is>
          <t>10.2</t>
        </is>
      </c>
      <c r="F19" s="7" t="n">
        <v>71.39999999999999</v>
      </c>
      <c r="G19" s="7" t="n">
        <v>7</v>
      </c>
      <c r="H19" s="7" t="n">
        <v>0</v>
      </c>
      <c r="I19" s="7" t="n">
        <v>-7</v>
      </c>
      <c r="J19" s="8" t="n">
        <v>1643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NYM</t>
        </is>
      </c>
      <c r="C20" s="5" t="inlineStr">
        <is>
          <t>24208037705</t>
        </is>
      </c>
      <c r="D20" s="5" t="inlineStr">
        <is>
          <t>MIEBO 1.338 GM/ML OPHTHALMIC SOLUTION</t>
        </is>
      </c>
      <c r="E20" s="6" t="inlineStr">
        <is>
          <t>3.0</t>
        </is>
      </c>
      <c r="F20" s="7" t="n">
        <v>6</v>
      </c>
      <c r="G20" s="7" t="n">
        <v>2</v>
      </c>
      <c r="H20" s="7" t="n">
        <v>20</v>
      </c>
      <c r="I20" s="7" t="n">
        <v>18</v>
      </c>
      <c r="J20" s="8" t="n">
        <v>1603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NYM</t>
        </is>
      </c>
      <c r="C21" s="5" t="inlineStr">
        <is>
          <t>61874013030</t>
        </is>
      </c>
      <c r="D21" s="5" t="inlineStr">
        <is>
          <t>VRAYLAR 3MG CAPSULE</t>
        </is>
      </c>
      <c r="E21" s="6" t="inlineStr">
        <is>
          <t>30.0</t>
        </is>
      </c>
      <c r="F21" s="7" t="n">
        <v>30</v>
      </c>
      <c r="G21" s="7" t="n">
        <v>1</v>
      </c>
      <c r="H21" s="7" t="n">
        <v>1</v>
      </c>
      <c r="I21" s="7" t="n">
        <v>0</v>
      </c>
      <c r="J21" s="8" t="n">
        <v>1539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NYM</t>
        </is>
      </c>
      <c r="C22" s="5" t="inlineStr">
        <is>
          <t>59148003713</t>
        </is>
      </c>
      <c r="D22" s="5" t="inlineStr">
        <is>
          <t>REXULTI 1MG TABLET</t>
        </is>
      </c>
      <c r="E22" s="6" t="inlineStr">
        <is>
          <t>30.0</t>
        </is>
      </c>
      <c r="F22" s="7" t="n">
        <v>30</v>
      </c>
      <c r="G22" s="7" t="n">
        <v>1</v>
      </c>
      <c r="H22" s="7" t="n">
        <v>1</v>
      </c>
      <c r="I22" s="7" t="n">
        <v>0</v>
      </c>
      <c r="J22" s="8" t="n">
        <v>1499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NYM</t>
        </is>
      </c>
      <c r="C23" s="5" t="inlineStr">
        <is>
          <t>24208091112</t>
        </is>
      </c>
      <c r="D23" s="5" t="inlineStr">
        <is>
          <t>XIIDRA 5 % OPHTHALMIC SOLUTION</t>
        </is>
      </c>
      <c r="E23" s="6" t="inlineStr">
        <is>
          <t>60.0</t>
        </is>
      </c>
      <c r="F23" s="7" t="n">
        <v>120</v>
      </c>
      <c r="G23" s="7" t="n">
        <v>2</v>
      </c>
      <c r="H23" s="7" t="n">
        <v>24</v>
      </c>
      <c r="I23" s="7" t="n">
        <v>22</v>
      </c>
      <c r="J23" s="8" t="n">
        <v>1441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NYM</t>
        </is>
      </c>
      <c r="C24" s="5" t="inlineStr">
        <is>
          <t>00469260230</t>
        </is>
      </c>
      <c r="D24" s="5" t="inlineStr">
        <is>
          <t>MYRBETRIQ 50MG TABLET</t>
        </is>
      </c>
      <c r="E24" s="6" t="inlineStr">
        <is>
          <t>30.0</t>
        </is>
      </c>
      <c r="F24" s="7" t="n">
        <v>90</v>
      </c>
      <c r="G24" s="7" t="n">
        <v>3</v>
      </c>
      <c r="H24" s="7" t="n">
        <v>3</v>
      </c>
      <c r="I24" s="7" t="n">
        <v>0</v>
      </c>
      <c r="J24" s="8" t="n">
        <v>1333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NYM</t>
        </is>
      </c>
      <c r="C25" s="5" t="inlineStr">
        <is>
          <t>00310461612</t>
        </is>
      </c>
      <c r="D25" s="5" t="inlineStr">
        <is>
          <t>BREZTRI AEROSPHERE 160-9-4.8 MCG/ACT INHALATION AEROSOL</t>
        </is>
      </c>
      <c r="E25" s="6" t="inlineStr">
        <is>
          <t>10.7</t>
        </is>
      </c>
      <c r="F25" s="7" t="n">
        <v>21.4</v>
      </c>
      <c r="G25" s="7" t="n">
        <v>2</v>
      </c>
      <c r="H25" s="7" t="n">
        <v>7</v>
      </c>
      <c r="I25" s="7" t="n">
        <v>5</v>
      </c>
      <c r="J25" s="8" t="n">
        <v>1331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NYM</t>
        </is>
      </c>
      <c r="C26" s="5" t="inlineStr">
        <is>
          <t>00193731150</t>
        </is>
      </c>
      <c r="D26" s="5" t="inlineStr">
        <is>
          <t>CONTOUR NEXT TEST  STRIPS</t>
        </is>
      </c>
      <c r="E26" s="6" t="inlineStr">
        <is>
          <t>50.0</t>
        </is>
      </c>
      <c r="F26" s="7" t="n">
        <v>1200</v>
      </c>
      <c r="G26" s="7" t="n">
        <v>24</v>
      </c>
      <c r="H26" s="7" t="n">
        <v>0</v>
      </c>
      <c r="I26" s="7" t="n">
        <v>-24</v>
      </c>
      <c r="J26" s="8" t="n">
        <v>1320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NYM</t>
        </is>
      </c>
      <c r="C27" s="5" t="inlineStr">
        <is>
          <t>00456120330</t>
        </is>
      </c>
      <c r="D27" s="5" t="inlineStr">
        <is>
          <t>LINZESS 72 MCG ORAL CAPSULE</t>
        </is>
      </c>
      <c r="E27" s="6" t="inlineStr">
        <is>
          <t>30.0</t>
        </is>
      </c>
      <c r="F27" s="7" t="n">
        <v>120</v>
      </c>
      <c r="G27" s="7" t="n">
        <v>4</v>
      </c>
      <c r="H27" s="7" t="n">
        <v>0</v>
      </c>
      <c r="I27" s="7" t="n">
        <v>-4</v>
      </c>
      <c r="J27" s="8" t="n">
        <v>1103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NYM</t>
        </is>
      </c>
      <c r="C28" s="5" t="inlineStr">
        <is>
          <t>00456120230</t>
        </is>
      </c>
      <c r="D28" s="5" t="inlineStr">
        <is>
          <t xml:space="preserve">LINZESS 290MCG CAP </t>
        </is>
      </c>
      <c r="E28" s="6" t="inlineStr">
        <is>
          <t>30.0</t>
        </is>
      </c>
      <c r="F28" s="7" t="n">
        <v>120</v>
      </c>
      <c r="G28" s="7" t="n">
        <v>4</v>
      </c>
      <c r="H28" s="7" t="n">
        <v>12</v>
      </c>
      <c r="I28" s="7" t="n">
        <v>8</v>
      </c>
      <c r="J28" s="8" t="n">
        <v>1100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NYM</t>
        </is>
      </c>
      <c r="C29" s="5" t="inlineStr">
        <is>
          <t>00002148480</t>
        </is>
      </c>
      <c r="D29" s="5" t="inlineStr">
        <is>
          <t>MOUNJARO 7.5 MG/0.5ML PEN-INJECTOR</t>
        </is>
      </c>
      <c r="E29" s="6" t="inlineStr">
        <is>
          <t>2.0</t>
        </is>
      </c>
      <c r="F29" s="7" t="n">
        <v>2</v>
      </c>
      <c r="G29" s="7" t="n">
        <v>1</v>
      </c>
      <c r="H29" s="7" t="n">
        <v>21</v>
      </c>
      <c r="I29" s="7" t="n">
        <v>20</v>
      </c>
      <c r="J29" s="8" t="n">
        <v>1085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NYM</t>
        </is>
      </c>
      <c r="C30" s="5" t="inlineStr">
        <is>
          <t>00173087310</t>
        </is>
      </c>
      <c r="D30" s="5" t="inlineStr">
        <is>
          <t>INCRUSE ELLIPTA 62.5MCG/INH AEROSOL</t>
        </is>
      </c>
      <c r="E30" s="6" t="inlineStr">
        <is>
          <t>30.0</t>
        </is>
      </c>
      <c r="F30" s="7" t="n">
        <v>90</v>
      </c>
      <c r="G30" s="7" t="n">
        <v>3</v>
      </c>
      <c r="H30" s="7" t="n">
        <v>0</v>
      </c>
      <c r="I30" s="7" t="n">
        <v>-3</v>
      </c>
      <c r="J30" s="8" t="n">
        <v>1028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NYM</t>
        </is>
      </c>
      <c r="C31" s="5" t="inlineStr">
        <is>
          <t>00002143380</t>
        </is>
      </c>
      <c r="D31" s="5" t="inlineStr">
        <is>
          <t>TRULICITY 0.75MG/0.5ML INJECTION</t>
        </is>
      </c>
      <c r="E31" s="6" t="inlineStr">
        <is>
          <t>2.0</t>
        </is>
      </c>
      <c r="F31" s="7" t="n">
        <v>2</v>
      </c>
      <c r="G31" s="7" t="n">
        <v>1</v>
      </c>
      <c r="H31" s="7" t="n">
        <v>10</v>
      </c>
      <c r="I31" s="7" t="n">
        <v>9</v>
      </c>
      <c r="J31" s="8" t="n">
        <v>986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NYM</t>
        </is>
      </c>
      <c r="C32" s="5" t="inlineStr">
        <is>
          <t>00002143480</t>
        </is>
      </c>
      <c r="D32" s="5" t="inlineStr">
        <is>
          <t>TRULICITY 1.5MG/0.5ML INJECTION</t>
        </is>
      </c>
      <c r="E32" s="6" t="inlineStr">
        <is>
          <t>2.0</t>
        </is>
      </c>
      <c r="F32" s="7" t="n">
        <v>2</v>
      </c>
      <c r="G32" s="7" t="n">
        <v>1</v>
      </c>
      <c r="H32" s="7" t="n">
        <v>2</v>
      </c>
      <c r="I32" s="7" t="n">
        <v>1</v>
      </c>
      <c r="J32" s="8" t="n">
        <v>985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NYM</t>
        </is>
      </c>
      <c r="C33" s="5" t="inlineStr">
        <is>
          <t>00023324015</t>
        </is>
      </c>
      <c r="D33" s="5" t="inlineStr">
        <is>
          <t>REFRESH OPTIVE 0.5-0.9% SOLUTION</t>
        </is>
      </c>
      <c r="E33" s="6" t="inlineStr">
        <is>
          <t>15.0</t>
        </is>
      </c>
      <c r="F33" s="7" t="n">
        <v>810</v>
      </c>
      <c r="G33" s="7" t="n">
        <v>54</v>
      </c>
      <c r="H33" s="7" t="n">
        <v>0</v>
      </c>
      <c r="I33" s="7" t="n">
        <v>-54</v>
      </c>
      <c r="J33" s="8" t="n">
        <v>965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NYM</t>
        </is>
      </c>
      <c r="C34" s="5" t="inlineStr">
        <is>
          <t>00597007541</t>
        </is>
      </c>
      <c r="D34" s="5" t="inlineStr">
        <is>
          <t>SPIRIVA HANDIHALER 18MCG CAPSULE</t>
        </is>
      </c>
      <c r="E34" s="6" t="inlineStr">
        <is>
          <t>30.0</t>
        </is>
      </c>
      <c r="F34" s="7" t="n">
        <v>90</v>
      </c>
      <c r="G34" s="7" t="n">
        <v>3</v>
      </c>
      <c r="H34" s="7" t="n">
        <v>0</v>
      </c>
      <c r="I34" s="7" t="n">
        <v>-3</v>
      </c>
      <c r="J34" s="8" t="n">
        <v>965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NYM</t>
        </is>
      </c>
      <c r="C35" s="5" t="inlineStr">
        <is>
          <t>80610013060</t>
        </is>
      </c>
      <c r="D35" s="5" t="inlineStr">
        <is>
          <t>ZORYVE 0.3 % EXTERNAL CREAM</t>
        </is>
      </c>
      <c r="E35" s="6" t="inlineStr">
        <is>
          <t>60.0</t>
        </is>
      </c>
      <c r="F35" s="7" t="n">
        <v>60</v>
      </c>
      <c r="G35" s="7" t="n">
        <v>1</v>
      </c>
      <c r="H35" s="7" t="n">
        <v>0</v>
      </c>
      <c r="I35" s="7" t="n">
        <v>-1</v>
      </c>
      <c r="J35" s="8" t="n">
        <v>934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NYM</t>
        </is>
      </c>
      <c r="C36" s="5" t="inlineStr">
        <is>
          <t>43598097710</t>
        </is>
      </c>
      <c r="D36" s="5" t="inlineStr">
        <is>
          <t>DICLOFENAC SODIUM 1 % EXT GEL **NYM</t>
        </is>
      </c>
      <c r="E36" s="6" t="inlineStr">
        <is>
          <t>100.0</t>
        </is>
      </c>
      <c r="F36" s="7" t="n">
        <v>8600</v>
      </c>
      <c r="G36" s="7" t="n">
        <v>86</v>
      </c>
      <c r="H36" s="7" t="n">
        <v>48</v>
      </c>
      <c r="I36" s="7" t="n">
        <v>-38</v>
      </c>
      <c r="J36" s="8" t="n">
        <v>928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NYM</t>
        </is>
      </c>
      <c r="C37" s="5" t="inlineStr">
        <is>
          <t>68180096301</t>
        </is>
      </c>
      <c r="D37" s="5" t="inlineStr">
        <is>
          <t>ALBUTEROL SULFATE HFA 108 (90 BASE)MCG/ACT AEROSOL</t>
        </is>
      </c>
      <c r="E37" s="6" t="inlineStr">
        <is>
          <t>8.5</t>
        </is>
      </c>
      <c r="F37" s="7" t="n">
        <v>340</v>
      </c>
      <c r="G37" s="7" t="n">
        <v>40</v>
      </c>
      <c r="H37" s="7" t="n">
        <v>48</v>
      </c>
      <c r="I37" s="7" t="n">
        <v>8</v>
      </c>
      <c r="J37" s="8" t="n">
        <v>885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NYM</t>
        </is>
      </c>
      <c r="C38" s="5" t="inlineStr">
        <is>
          <t>00536120207</t>
        </is>
      </c>
      <c r="D38" s="5" t="inlineStr">
        <is>
          <t>LIDOCAINE PAIN RELIEF 4 % EXTERNAL PATCH</t>
        </is>
      </c>
      <c r="E38" s="6" t="inlineStr">
        <is>
          <t>30.0</t>
        </is>
      </c>
      <c r="F38" s="7" t="n">
        <v>780</v>
      </c>
      <c r="G38" s="7" t="n">
        <v>26</v>
      </c>
      <c r="H38" s="7" t="n">
        <v>21</v>
      </c>
      <c r="I38" s="7" t="n">
        <v>-5</v>
      </c>
      <c r="J38" s="8" t="n">
        <v>820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NYM</t>
        </is>
      </c>
      <c r="C39" s="5" t="inlineStr">
        <is>
          <t>00023320508</t>
        </is>
      </c>
      <c r="D39" s="5" t="inlineStr">
        <is>
          <t>LUMIGAN 0.01% SOLUTION</t>
        </is>
      </c>
      <c r="E39" s="6" t="inlineStr">
        <is>
          <t>7.5</t>
        </is>
      </c>
      <c r="F39" s="7" t="n">
        <v>7.5</v>
      </c>
      <c r="G39" s="7" t="n">
        <v>1</v>
      </c>
      <c r="H39" s="7" t="n">
        <v>2</v>
      </c>
      <c r="I39" s="7" t="n">
        <v>1</v>
      </c>
      <c r="J39" s="8" t="n">
        <v>785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NYM</t>
        </is>
      </c>
      <c r="C40" s="5" t="inlineStr">
        <is>
          <t>08627007701</t>
        </is>
      </c>
      <c r="D40" s="5" t="inlineStr">
        <is>
          <t>DEXCOM G7 SENSOR</t>
        </is>
      </c>
      <c r="E40" s="6" t="inlineStr">
        <is>
          <t>1.0</t>
        </is>
      </c>
      <c r="F40" s="7" t="n">
        <v>6</v>
      </c>
      <c r="G40" s="7" t="n">
        <v>6</v>
      </c>
      <c r="H40" s="7" t="n">
        <v>24</v>
      </c>
      <c r="I40" s="7" t="n">
        <v>18</v>
      </c>
      <c r="J40" s="8" t="n">
        <v>776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NYM</t>
        </is>
      </c>
      <c r="C41" s="5" t="inlineStr">
        <is>
          <t>55724021121</t>
        </is>
      </c>
      <c r="D41" s="5" t="inlineStr">
        <is>
          <t>EUCRISA 2% OINTMENT</t>
        </is>
      </c>
      <c r="E41" s="6" t="inlineStr">
        <is>
          <t>60.0</t>
        </is>
      </c>
      <c r="F41" s="7" t="n">
        <v>60</v>
      </c>
      <c r="G41" s="7" t="n">
        <v>1</v>
      </c>
      <c r="H41" s="7" t="n">
        <v>0</v>
      </c>
      <c r="I41" s="7" t="n">
        <v>-1</v>
      </c>
      <c r="J41" s="8" t="n">
        <v>768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NYM</t>
        </is>
      </c>
      <c r="C42" s="5" t="inlineStr">
        <is>
          <t>00115169449</t>
        </is>
      </c>
      <c r="D42" s="5" t="inlineStr">
        <is>
          <t>EPINEPHRINE 0.3MG/0.3ML INJECTION 2ML</t>
        </is>
      </c>
      <c r="E42" s="6" t="inlineStr">
        <is>
          <t>2.0</t>
        </is>
      </c>
      <c r="F42" s="7" t="n">
        <v>6</v>
      </c>
      <c r="G42" s="7" t="n">
        <v>3</v>
      </c>
      <c r="H42" s="7" t="n">
        <v>0</v>
      </c>
      <c r="I42" s="7" t="n">
        <v>-3</v>
      </c>
      <c r="J42" s="8" t="n">
        <v>688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NYM</t>
        </is>
      </c>
      <c r="C43" s="5" t="inlineStr">
        <is>
          <t>00173089310</t>
        </is>
      </c>
      <c r="D43" s="5" t="inlineStr">
        <is>
          <t>TRELEGY ELLIPTA 200-62.5-25 MCG/ACT INHALATION AER</t>
        </is>
      </c>
      <c r="E43" s="6" t="inlineStr">
        <is>
          <t>60.0</t>
        </is>
      </c>
      <c r="F43" s="7" t="n">
        <v>60</v>
      </c>
      <c r="G43" s="7" t="n">
        <v>1</v>
      </c>
      <c r="H43" s="7" t="n">
        <v>0</v>
      </c>
      <c r="I43" s="7" t="n">
        <v>-1</v>
      </c>
      <c r="J43" s="8" t="n">
        <v>680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NYM</t>
        </is>
      </c>
      <c r="C44" s="5" t="inlineStr">
        <is>
          <t>71143037501</t>
        </is>
      </c>
      <c r="D44" s="5" t="inlineStr">
        <is>
          <t>XHANCE 93 MCG/ACT NASAL EXHALER SUSPENSION</t>
        </is>
      </c>
      <c r="E44" s="6" t="inlineStr">
        <is>
          <t>16.0</t>
        </is>
      </c>
      <c r="F44" s="7" t="n">
        <v>16</v>
      </c>
      <c r="G44" s="7" t="n">
        <v>1</v>
      </c>
      <c r="H44" s="7" t="n">
        <v>0</v>
      </c>
      <c r="I44" s="7" t="n">
        <v>-1</v>
      </c>
      <c r="J44" s="8" t="n">
        <v>665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NYM</t>
        </is>
      </c>
      <c r="C45" s="5" t="inlineStr">
        <is>
          <t>00430042014</t>
        </is>
      </c>
      <c r="D45" s="5" t="inlineStr">
        <is>
          <t>LO LOESTRIN FE 1 MG-10 MCG / 10 MCG ORAL TABLET</t>
        </is>
      </c>
      <c r="E45" s="6" t="inlineStr">
        <is>
          <t>140.0</t>
        </is>
      </c>
      <c r="F45" s="7" t="n">
        <v>84</v>
      </c>
      <c r="G45" s="7" t="n">
        <v>0.6</v>
      </c>
      <c r="H45" s="7" t="n">
        <v>0</v>
      </c>
      <c r="I45" s="7" t="n">
        <v>-0.6</v>
      </c>
      <c r="J45" s="8" t="n">
        <v>579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NYM</t>
        </is>
      </c>
      <c r="C46" s="5" t="inlineStr">
        <is>
          <t>59148000713</t>
        </is>
      </c>
      <c r="D46" s="5" t="inlineStr">
        <is>
          <t>ABILIFY 5MG TABLET</t>
        </is>
      </c>
      <c r="E46" s="6" t="inlineStr">
        <is>
          <t>30.0</t>
        </is>
      </c>
      <c r="F46" s="7" t="n">
        <v>30</v>
      </c>
      <c r="G46" s="7" t="n">
        <v>1</v>
      </c>
      <c r="H46" s="7" t="n">
        <v>1</v>
      </c>
      <c r="I46" s="7" t="n">
        <v>0</v>
      </c>
      <c r="J46" s="8" t="n">
        <v>571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NYM</t>
        </is>
      </c>
      <c r="C47" s="5" t="inlineStr">
        <is>
          <t>66993007996</t>
        </is>
      </c>
      <c r="D47" s="5" t="inlineStr">
        <is>
          <t>FLUTICASONE PROPIONATE HFA 110 MCG/ACT INHAEROSOL</t>
        </is>
      </c>
      <c r="E47" s="6" t="inlineStr">
        <is>
          <t>12.0</t>
        </is>
      </c>
      <c r="F47" s="7" t="n">
        <v>36</v>
      </c>
      <c r="G47" s="7" t="n">
        <v>3</v>
      </c>
      <c r="H47" s="7" t="n">
        <v>0</v>
      </c>
      <c r="I47" s="7" t="n">
        <v>-3</v>
      </c>
      <c r="J47" s="8" t="n">
        <v>565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NYM</t>
        </is>
      </c>
      <c r="C48" s="5" t="inlineStr">
        <is>
          <t>00456120130</t>
        </is>
      </c>
      <c r="D48" s="5" t="inlineStr">
        <is>
          <t>LINZESS 145MCG CAPSULE</t>
        </is>
      </c>
      <c r="E48" s="6" t="inlineStr">
        <is>
          <t>30.0</t>
        </is>
      </c>
      <c r="F48" s="7" t="n">
        <v>60</v>
      </c>
      <c r="G48" s="7" t="n">
        <v>2</v>
      </c>
      <c r="H48" s="7" t="n">
        <v>12</v>
      </c>
      <c r="I48" s="7" t="n">
        <v>10</v>
      </c>
      <c r="J48" s="8" t="n">
        <v>562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NYM</t>
        </is>
      </c>
      <c r="C49" s="5" t="inlineStr">
        <is>
          <t>00536105227</t>
        </is>
      </c>
      <c r="D49" s="5" t="inlineStr">
        <is>
          <t>POLYETHYLENE GLYCOL 3350 17GM/SCOOP POWDER</t>
        </is>
      </c>
      <c r="E49" s="6" t="inlineStr">
        <is>
          <t>510.0</t>
        </is>
      </c>
      <c r="F49" s="7" t="n">
        <v>14280</v>
      </c>
      <c r="G49" s="7" t="n">
        <v>28</v>
      </c>
      <c r="H49" s="7" t="n">
        <v>20</v>
      </c>
      <c r="I49" s="7" t="n">
        <v>-8</v>
      </c>
      <c r="J49" s="8" t="n">
        <v>548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NYM</t>
        </is>
      </c>
      <c r="C50" s="5" t="inlineStr">
        <is>
          <t>00597010061</t>
        </is>
      </c>
      <c r="D50" s="5" t="inlineStr">
        <is>
          <t>SPIRIVA RESPIMAT 2.5MCG/ACT AEROSOL</t>
        </is>
      </c>
      <c r="E50" s="6" t="inlineStr">
        <is>
          <t>4.0</t>
        </is>
      </c>
      <c r="F50" s="7" t="n">
        <v>4</v>
      </c>
      <c r="G50" s="7" t="n">
        <v>1</v>
      </c>
      <c r="H50" s="7" t="n">
        <v>1</v>
      </c>
      <c r="I50" s="7" t="n">
        <v>0</v>
      </c>
      <c r="J50" s="8" t="n">
        <v>514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NYM</t>
        </is>
      </c>
      <c r="C51" s="5" t="inlineStr">
        <is>
          <t>60505082901</t>
        </is>
      </c>
      <c r="D51" s="5" t="inlineStr">
        <is>
          <t>FLUTICASONE 50MCG (NASAL) SUSPENSION</t>
        </is>
      </c>
      <c r="E51" s="6" t="inlineStr">
        <is>
          <t>16.0</t>
        </is>
      </c>
      <c r="F51" s="7" t="n">
        <v>496</v>
      </c>
      <c r="G51" s="7" t="n">
        <v>31</v>
      </c>
      <c r="H51" s="7" t="n">
        <v>24</v>
      </c>
      <c r="I51" s="7" t="n">
        <v>-7</v>
      </c>
      <c r="J51" s="8" t="n">
        <v>497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NYM</t>
        </is>
      </c>
      <c r="C52" s="5" t="inlineStr">
        <is>
          <t>00310908012</t>
        </is>
      </c>
      <c r="D52" s="5" t="inlineStr">
        <is>
          <t>AIRSUPRA 90-80 MCG/ACT INHALATION AEROSOL</t>
        </is>
      </c>
      <c r="E52" s="6" t="inlineStr">
        <is>
          <t>10.7</t>
        </is>
      </c>
      <c r="F52" s="7" t="n">
        <v>10.7</v>
      </c>
      <c r="G52" s="7" t="n">
        <v>1</v>
      </c>
      <c r="H52" s="7" t="n">
        <v>3</v>
      </c>
      <c r="I52" s="7" t="n">
        <v>2</v>
      </c>
      <c r="J52" s="8" t="n">
        <v>494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NYM</t>
        </is>
      </c>
      <c r="C53" s="5" t="inlineStr">
        <is>
          <t>00074732713</t>
        </is>
      </c>
      <c r="D53" s="5" t="inlineStr">
        <is>
          <t>DEPAKOTE 500MG TABLET DELAYED RELEASE</t>
        </is>
      </c>
      <c r="E53" s="6" t="inlineStr">
        <is>
          <t>100.0</t>
        </is>
      </c>
      <c r="F53" s="7" t="n">
        <v>60</v>
      </c>
      <c r="G53" s="7" t="n">
        <v>0.6</v>
      </c>
      <c r="H53" s="7" t="n">
        <v>0</v>
      </c>
      <c r="I53" s="7" t="n">
        <v>-0.6</v>
      </c>
      <c r="J53" s="8" t="n">
        <v>458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NYM</t>
        </is>
      </c>
      <c r="C54" s="5" t="inlineStr">
        <is>
          <t>00904675180</t>
        </is>
      </c>
      <c r="D54" s="5" t="inlineStr">
        <is>
          <t>ASPIRIN 81MG TABLET DR</t>
        </is>
      </c>
      <c r="E54" s="6" t="inlineStr">
        <is>
          <t>1000.0</t>
        </is>
      </c>
      <c r="F54" s="7" t="n">
        <v>3270</v>
      </c>
      <c r="G54" s="7" t="n">
        <v>3.27</v>
      </c>
      <c r="H54" s="7" t="n">
        <v>0</v>
      </c>
      <c r="I54" s="7" t="n">
        <v>-3.27</v>
      </c>
      <c r="J54" s="8" t="n">
        <v>457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NYM</t>
        </is>
      </c>
      <c r="C55" s="5" t="inlineStr">
        <is>
          <t>00173071720</t>
        </is>
      </c>
      <c r="D55" s="5" t="inlineStr">
        <is>
          <t>ADVAIR HFA 230-21 MCG/ACT INHALATION AEROSOL</t>
        </is>
      </c>
      <c r="E55" s="6" t="inlineStr">
        <is>
          <t>12.0</t>
        </is>
      </c>
      <c r="F55" s="7" t="n">
        <v>12</v>
      </c>
      <c r="G55" s="7" t="n">
        <v>1</v>
      </c>
      <c r="H55" s="7" t="n">
        <v>2</v>
      </c>
      <c r="I55" s="7" t="n">
        <v>1</v>
      </c>
      <c r="J55" s="8" t="n">
        <v>431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NYM</t>
        </is>
      </c>
      <c r="C56" s="5" t="inlineStr">
        <is>
          <t>45802015065</t>
        </is>
      </c>
      <c r="D56" s="5" t="inlineStr">
        <is>
          <t>ALOGLIPTIN BENZOATE 25MG TABLET</t>
        </is>
      </c>
      <c r="E56" s="6" t="inlineStr">
        <is>
          <t>30.0</t>
        </is>
      </c>
      <c r="F56" s="7" t="n">
        <v>90</v>
      </c>
      <c r="G56" s="7" t="n">
        <v>3</v>
      </c>
      <c r="H56" s="7" t="n">
        <v>0</v>
      </c>
      <c r="I56" s="7" t="n">
        <v>-3</v>
      </c>
      <c r="J56" s="8" t="n">
        <v>419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NYM</t>
        </is>
      </c>
      <c r="C57" s="5" t="inlineStr">
        <is>
          <t>00186037220</t>
        </is>
      </c>
      <c r="D57" s="5" t="inlineStr">
        <is>
          <t>SYMBICORT 80-4.5MCG/ACT AEROSOL</t>
        </is>
      </c>
      <c r="E57" s="6" t="inlineStr">
        <is>
          <t>10.2</t>
        </is>
      </c>
      <c r="F57" s="7" t="n">
        <v>20.4</v>
      </c>
      <c r="G57" s="7" t="n">
        <v>2</v>
      </c>
      <c r="H57" s="7" t="n">
        <v>0</v>
      </c>
      <c r="I57" s="7" t="n">
        <v>-2</v>
      </c>
      <c r="J57" s="8" t="n">
        <v>413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NYM</t>
        </is>
      </c>
      <c r="C58" s="5" t="inlineStr">
        <is>
          <t>00088221905</t>
        </is>
      </c>
      <c r="D58" s="5" t="inlineStr">
        <is>
          <t>LANTUS SOLOSTAR 100UNIT/ML INJECTION</t>
        </is>
      </c>
      <c r="E58" s="6" t="inlineStr">
        <is>
          <t>15.0</t>
        </is>
      </c>
      <c r="F58" s="7" t="n">
        <v>57</v>
      </c>
      <c r="G58" s="7" t="n">
        <v>3.8</v>
      </c>
      <c r="H58" s="7" t="n">
        <v>19</v>
      </c>
      <c r="I58" s="7" t="n">
        <v>15.2</v>
      </c>
      <c r="J58" s="8" t="n">
        <v>401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NYM</t>
        </is>
      </c>
      <c r="C59" s="5" t="inlineStr">
        <is>
          <t>65862083430</t>
        </is>
      </c>
      <c r="D59" s="5" t="inlineStr">
        <is>
          <t>AMLODIPINE-VALSARTAN-HCTZ 5-160-12.5 MG ORAL TABLET</t>
        </is>
      </c>
      <c r="E59" s="6" t="inlineStr">
        <is>
          <t>30.0</t>
        </is>
      </c>
      <c r="F59" s="7" t="n">
        <v>90</v>
      </c>
      <c r="G59" s="7" t="n">
        <v>3</v>
      </c>
      <c r="H59" s="7" t="n">
        <v>3</v>
      </c>
      <c r="I59" s="7" t="n">
        <v>0</v>
      </c>
      <c r="J59" s="8" t="n">
        <v>398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NYM</t>
        </is>
      </c>
      <c r="C60" s="5" t="inlineStr">
        <is>
          <t>59467067901</t>
        </is>
      </c>
      <c r="D60" s="5" t="inlineStr">
        <is>
          <t>KLOXXADO 8 MG/0.1ML NASAL LIQUID</t>
        </is>
      </c>
      <c r="E60" s="6" t="inlineStr">
        <is>
          <t>2.0</t>
        </is>
      </c>
      <c r="F60" s="7" t="n">
        <v>6</v>
      </c>
      <c r="G60" s="7" t="n">
        <v>3</v>
      </c>
      <c r="H60" s="7" t="n">
        <v>3</v>
      </c>
      <c r="I60" s="7" t="n">
        <v>0</v>
      </c>
      <c r="J60" s="8" t="n">
        <v>387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NYM</t>
        </is>
      </c>
      <c r="C61" s="5" t="inlineStr">
        <is>
          <t>64764080530</t>
        </is>
      </c>
      <c r="D61" s="5" t="inlineStr">
        <is>
          <t>ROZEREM 8MG TABLET</t>
        </is>
      </c>
      <c r="E61" s="6" t="inlineStr">
        <is>
          <t>30.0</t>
        </is>
      </c>
      <c r="F61" s="7" t="n">
        <v>30</v>
      </c>
      <c r="G61" s="7" t="n">
        <v>1</v>
      </c>
      <c r="H61" s="7" t="n">
        <v>1</v>
      </c>
      <c r="I61" s="7" t="n">
        <v>0</v>
      </c>
      <c r="J61" s="8" t="n">
        <v>383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NYM</t>
        </is>
      </c>
      <c r="C62" s="5" t="inlineStr">
        <is>
          <t>00310621030</t>
        </is>
      </c>
      <c r="D62" s="5" t="inlineStr">
        <is>
          <t>FARXIGA 10MG TABLET</t>
        </is>
      </c>
      <c r="E62" s="6" t="inlineStr">
        <is>
          <t>30.0</t>
        </is>
      </c>
      <c r="F62" s="7" t="n">
        <v>30</v>
      </c>
      <c r="G62" s="7" t="n">
        <v>1</v>
      </c>
      <c r="H62" s="7" t="n">
        <v>13</v>
      </c>
      <c r="I62" s="7" t="n">
        <v>12</v>
      </c>
      <c r="J62" s="8" t="n">
        <v>373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NYM</t>
        </is>
      </c>
      <c r="C63" s="5" t="inlineStr">
        <is>
          <t>00006537303</t>
        </is>
      </c>
      <c r="D63" s="5" t="inlineStr">
        <is>
          <t>SEGLUROMET 2.5-1000MG TABLET</t>
        </is>
      </c>
      <c r="E63" s="6" t="inlineStr">
        <is>
          <t>60.0</t>
        </is>
      </c>
      <c r="F63" s="7" t="n">
        <v>60</v>
      </c>
      <c r="G63" s="7" t="n">
        <v>1</v>
      </c>
      <c r="H63" s="7" t="n">
        <v>0</v>
      </c>
      <c r="I63" s="7" t="n">
        <v>-1</v>
      </c>
      <c r="J63" s="8" t="n">
        <v>353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NYM</t>
        </is>
      </c>
      <c r="C64" s="5" t="inlineStr">
        <is>
          <t>00597017560</t>
        </is>
      </c>
      <c r="D64" s="5" t="inlineStr">
        <is>
          <t>SYNJARDY 5-1000 MG TABLET</t>
        </is>
      </c>
      <c r="E64" s="6" t="inlineStr">
        <is>
          <t>60.0</t>
        </is>
      </c>
      <c r="F64" s="7" t="n">
        <v>60</v>
      </c>
      <c r="G64" s="7" t="n">
        <v>1</v>
      </c>
      <c r="H64" s="7" t="n">
        <v>0</v>
      </c>
      <c r="I64" s="7" t="n">
        <v>-1</v>
      </c>
      <c r="J64" s="8" t="n">
        <v>346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NYM</t>
        </is>
      </c>
      <c r="C65" s="5" t="inlineStr">
        <is>
          <t>57599081800</t>
        </is>
      </c>
      <c r="D65" s="5" t="inlineStr">
        <is>
          <t>FREESTYLE LIBRE 3 SENSOR</t>
        </is>
      </c>
      <c r="E65" s="6" t="inlineStr">
        <is>
          <t>1.0</t>
        </is>
      </c>
      <c r="F65" s="7" t="n">
        <v>4</v>
      </c>
      <c r="G65" s="7" t="n">
        <v>4</v>
      </c>
      <c r="H65" s="7" t="n">
        <v>0</v>
      </c>
      <c r="I65" s="7" t="n">
        <v>-4</v>
      </c>
      <c r="J65" s="8" t="n">
        <v>306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NYM</t>
        </is>
      </c>
      <c r="C66" s="5" t="inlineStr">
        <is>
          <t>64380073706</t>
        </is>
      </c>
      <c r="D66" s="5" t="inlineStr">
        <is>
          <t>VITAMIN D 50 000 U CAPSULE</t>
        </is>
      </c>
      <c r="E66" s="6" t="inlineStr">
        <is>
          <t>100.0</t>
        </is>
      </c>
      <c r="F66" s="7" t="n">
        <v>186</v>
      </c>
      <c r="G66" s="7" t="n">
        <v>1.86</v>
      </c>
      <c r="H66" s="7" t="n">
        <v>2</v>
      </c>
      <c r="I66" s="7" t="n">
        <v>0.1399999999999999</v>
      </c>
      <c r="J66" s="8" t="n">
        <v>283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NYM</t>
        </is>
      </c>
      <c r="C67" s="5" t="inlineStr">
        <is>
          <t>00093598627</t>
        </is>
      </c>
      <c r="D67" s="5" t="inlineStr">
        <is>
          <t>EPINEPHRINE 0.3MG/0.3ML INJECTION</t>
        </is>
      </c>
      <c r="E67" s="6" t="inlineStr">
        <is>
          <t>2.0</t>
        </is>
      </c>
      <c r="F67" s="7" t="n">
        <v>2</v>
      </c>
      <c r="G67" s="7" t="n">
        <v>1</v>
      </c>
      <c r="H67" s="7" t="n">
        <v>0</v>
      </c>
      <c r="I67" s="7" t="n">
        <v>-1</v>
      </c>
      <c r="J67" s="8" t="n">
        <v>278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NYM</t>
        </is>
      </c>
      <c r="C68" s="5" t="inlineStr">
        <is>
          <t>00023031204</t>
        </is>
      </c>
      <c r="D68" s="5" t="inlineStr">
        <is>
          <t>REFRESH LACRI-LUBE  OINTMENT</t>
        </is>
      </c>
      <c r="E68" s="6" t="inlineStr">
        <is>
          <t>3.5</t>
        </is>
      </c>
      <c r="F68" s="7" t="n">
        <v>63</v>
      </c>
      <c r="G68" s="7" t="n">
        <v>18</v>
      </c>
      <c r="H68" s="7" t="n">
        <v>0</v>
      </c>
      <c r="I68" s="7" t="n">
        <v>-18</v>
      </c>
      <c r="J68" s="8" t="n">
        <v>256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NYM</t>
        </is>
      </c>
      <c r="C69" s="5" t="inlineStr">
        <is>
          <t>16571040250</t>
        </is>
      </c>
      <c r="D69" s="5" t="inlineStr">
        <is>
          <t xml:space="preserve">CETIRIZINE 10MG TAB </t>
        </is>
      </c>
      <c r="E69" s="6" t="inlineStr">
        <is>
          <t>500.0</t>
        </is>
      </c>
      <c r="F69" s="7" t="n">
        <v>1188</v>
      </c>
      <c r="G69" s="7" t="n">
        <v>2.376</v>
      </c>
      <c r="H69" s="7" t="n">
        <v>0</v>
      </c>
      <c r="I69" s="7" t="n">
        <v>-2.376</v>
      </c>
      <c r="J69" s="8" t="n">
        <v>247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NYM</t>
        </is>
      </c>
      <c r="C70" s="5" t="inlineStr">
        <is>
          <t>00904728080</t>
        </is>
      </c>
      <c r="D70" s="5" t="inlineStr">
        <is>
          <t>DOCUSATE SODIUM 100MG CAPSULE ****NYM</t>
        </is>
      </c>
      <c r="E70" s="6" t="inlineStr">
        <is>
          <t>1000.0</t>
        </is>
      </c>
      <c r="F70" s="7" t="n">
        <v>1704</v>
      </c>
      <c r="G70" s="7" t="n">
        <v>1.704</v>
      </c>
      <c r="H70" s="7" t="n">
        <v>0</v>
      </c>
      <c r="I70" s="7" t="n">
        <v>-1.704</v>
      </c>
      <c r="J70" s="8" t="n">
        <v>238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NYM</t>
        </is>
      </c>
      <c r="C71" s="5" t="inlineStr">
        <is>
          <t>31722062921</t>
        </is>
      </c>
      <c r="D71" s="5" t="inlineStr">
        <is>
          <t>ATOVAQUONE 750 MG/5ML ORAL SUSPENSION</t>
        </is>
      </c>
      <c r="E71" s="6" t="inlineStr">
        <is>
          <t>210.0</t>
        </is>
      </c>
      <c r="F71" s="7" t="n">
        <v>300</v>
      </c>
      <c r="G71" s="7" t="n">
        <v>1.428571428571429</v>
      </c>
      <c r="H71" s="7" t="n">
        <v>3</v>
      </c>
      <c r="I71" s="7" t="n">
        <v>1.571428571428571</v>
      </c>
      <c r="J71" s="8" t="n">
        <v>233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NYM</t>
        </is>
      </c>
      <c r="C72" s="5" t="inlineStr">
        <is>
          <t>45802065087</t>
        </is>
      </c>
      <c r="D72" s="5" t="inlineStr">
        <is>
          <t xml:space="preserve">LORATADINE 10MG TAB </t>
        </is>
      </c>
      <c r="E72" s="6" t="inlineStr">
        <is>
          <t>300.0</t>
        </is>
      </c>
      <c r="F72" s="7" t="n">
        <v>900</v>
      </c>
      <c r="G72" s="7" t="n">
        <v>3</v>
      </c>
      <c r="H72" s="7" t="n">
        <v>0</v>
      </c>
      <c r="I72" s="7" t="n">
        <v>-3</v>
      </c>
      <c r="J72" s="8" t="n">
        <v>229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NYM</t>
        </is>
      </c>
      <c r="C73" s="5" t="inlineStr">
        <is>
          <t>59310030240</t>
        </is>
      </c>
      <c r="D73" s="5" t="inlineStr">
        <is>
          <t>QVAR REDIHALER 40MCG/ACT AEROSOL</t>
        </is>
      </c>
      <c r="E73" s="6" t="inlineStr">
        <is>
          <t>10.6</t>
        </is>
      </c>
      <c r="F73" s="7" t="n">
        <v>10.6</v>
      </c>
      <c r="G73" s="7" t="n">
        <v>1</v>
      </c>
      <c r="H73" s="7" t="n">
        <v>0</v>
      </c>
      <c r="I73" s="7" t="n">
        <v>-1</v>
      </c>
      <c r="J73" s="8" t="n">
        <v>228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NYM</t>
        </is>
      </c>
      <c r="C74" s="5" t="inlineStr">
        <is>
          <t>00904672080</t>
        </is>
      </c>
      <c r="D74" s="5" t="inlineStr">
        <is>
          <t>ACETAMINOPHEN 500MG TABLET NYM</t>
        </is>
      </c>
      <c r="E74" s="6" t="inlineStr">
        <is>
          <t>1000.0</t>
        </is>
      </c>
      <c r="F74" s="7" t="n">
        <v>1694</v>
      </c>
      <c r="G74" s="7" t="n">
        <v>1.694</v>
      </c>
      <c r="H74" s="7" t="n">
        <v>0</v>
      </c>
      <c r="I74" s="7" t="n">
        <v>-1.694</v>
      </c>
      <c r="J74" s="8" t="n">
        <v>227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NYM</t>
        </is>
      </c>
      <c r="C75" s="5" t="inlineStr">
        <is>
          <t>58160082311</t>
        </is>
      </c>
      <c r="D75" s="5" t="inlineStr">
        <is>
          <t>SHINGRIX 50 MCG/0.5ML IM SUSP RECON</t>
        </is>
      </c>
      <c r="E75" s="6" t="inlineStr">
        <is>
          <t>10.0</t>
        </is>
      </c>
      <c r="F75" s="7" t="n">
        <v>1</v>
      </c>
      <c r="G75" s="7" t="n">
        <v>0.1</v>
      </c>
      <c r="H75" s="7" t="n">
        <v>0</v>
      </c>
      <c r="I75" s="7" t="n">
        <v>-0.1</v>
      </c>
      <c r="J75" s="8" t="n">
        <v>211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NYM</t>
        </is>
      </c>
      <c r="C76" s="5" t="inlineStr">
        <is>
          <t>00173088810</t>
        </is>
      </c>
      <c r="D76" s="5" t="inlineStr">
        <is>
          <t>ARNUITY ELLIPTA 50 MCG/ACT INHAEROSOL</t>
        </is>
      </c>
      <c r="E76" s="6" t="inlineStr">
        <is>
          <t>30.0</t>
        </is>
      </c>
      <c r="F76" s="7" t="n">
        <v>30</v>
      </c>
      <c r="G76" s="7" t="n">
        <v>1</v>
      </c>
      <c r="H76" s="7" t="n">
        <v>0</v>
      </c>
      <c r="I76" s="7" t="n">
        <v>-1</v>
      </c>
      <c r="J76" s="8" t="n">
        <v>210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NYM</t>
        </is>
      </c>
      <c r="C77" s="5" t="inlineStr">
        <is>
          <t>42571038273</t>
        </is>
      </c>
      <c r="D77" s="5" t="inlineStr">
        <is>
          <t>DORZOLAMIDE - TIMOLOL 2-0.5 % OPTH SOLUTION</t>
        </is>
      </c>
      <c r="E77" s="6" t="inlineStr">
        <is>
          <t>60.0</t>
        </is>
      </c>
      <c r="F77" s="7" t="n">
        <v>180</v>
      </c>
      <c r="G77" s="7" t="n">
        <v>3</v>
      </c>
      <c r="H77" s="7" t="n">
        <v>0</v>
      </c>
      <c r="I77" s="7" t="n">
        <v>-3</v>
      </c>
      <c r="J77" s="8" t="n">
        <v>202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NYM</t>
        </is>
      </c>
      <c r="C78" s="5" t="inlineStr">
        <is>
          <t>56151211401</t>
        </is>
      </c>
      <c r="D78" s="5" t="inlineStr">
        <is>
          <t>PEN NEEDLES 32G X 4 MM</t>
        </is>
      </c>
      <c r="E78" s="6" t="inlineStr">
        <is>
          <t>100.0</t>
        </is>
      </c>
      <c r="F78" s="7" t="n">
        <v>600</v>
      </c>
      <c r="G78" s="7" t="n">
        <v>6</v>
      </c>
      <c r="H78" s="7" t="n">
        <v>0</v>
      </c>
      <c r="I78" s="7" t="n">
        <v>-6</v>
      </c>
      <c r="J78" s="8" t="n">
        <v>197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NYM</t>
        </is>
      </c>
      <c r="C79" s="5" t="inlineStr">
        <is>
          <t>83257001532</t>
        </is>
      </c>
      <c r="D79" s="5" t="inlineStr">
        <is>
          <t>INSULIN GLARGINE 100 UNIT/ML YFGN</t>
        </is>
      </c>
      <c r="E79" s="6" t="inlineStr">
        <is>
          <t>15.0</t>
        </is>
      </c>
      <c r="F79" s="7" t="n">
        <v>27</v>
      </c>
      <c r="G79" s="7" t="n">
        <v>1.8</v>
      </c>
      <c r="H79" s="7" t="n">
        <v>1</v>
      </c>
      <c r="I79" s="7" t="n">
        <v>-0.8</v>
      </c>
      <c r="J79" s="8" t="n">
        <v>190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NYM</t>
        </is>
      </c>
      <c r="C80" s="5" t="inlineStr">
        <is>
          <t>70377007913</t>
        </is>
      </c>
      <c r="D80" s="5" t="inlineStr">
        <is>
          <t>ATORVASTATIN 40MG TABLET</t>
        </is>
      </c>
      <c r="E80" s="6" t="inlineStr">
        <is>
          <t>1000.0</t>
        </is>
      </c>
      <c r="F80" s="7" t="n">
        <v>1050</v>
      </c>
      <c r="G80" s="7" t="n">
        <v>1.05</v>
      </c>
      <c r="H80" s="7" t="n">
        <v>4</v>
      </c>
      <c r="I80" s="7" t="n">
        <v>2.95</v>
      </c>
      <c r="J80" s="8" t="n">
        <v>173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NYM</t>
        </is>
      </c>
      <c r="C81" s="5" t="inlineStr">
        <is>
          <t>00904725280</t>
        </is>
      </c>
      <c r="D81" s="5" t="inlineStr">
        <is>
          <t>SENNA 8.6 MG TABLET *NYM</t>
        </is>
      </c>
      <c r="E81" s="6" t="inlineStr">
        <is>
          <t>1000.0</t>
        </is>
      </c>
      <c r="F81" s="7" t="n">
        <v>1150</v>
      </c>
      <c r="G81" s="7" t="n">
        <v>1.15</v>
      </c>
      <c r="H81" s="7" t="n">
        <v>0</v>
      </c>
      <c r="I81" s="7" t="n">
        <v>-1.15</v>
      </c>
      <c r="J81" s="8" t="n">
        <v>168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NYM</t>
        </is>
      </c>
      <c r="C82" s="5" t="inlineStr">
        <is>
          <t>82182010614</t>
        </is>
      </c>
      <c r="D82" s="5" t="inlineStr">
        <is>
          <t>SUCRALFATE 1 GM/10ML ORAL SUSPENSION</t>
        </is>
      </c>
      <c r="E82" s="6" t="inlineStr">
        <is>
          <t>420.0</t>
        </is>
      </c>
      <c r="F82" s="7" t="n">
        <v>1260</v>
      </c>
      <c r="G82" s="7" t="n">
        <v>3</v>
      </c>
      <c r="H82" s="7" t="n">
        <v>0</v>
      </c>
      <c r="I82" s="7" t="n">
        <v>-3</v>
      </c>
      <c r="J82" s="8" t="n">
        <v>168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NYM</t>
        </is>
      </c>
      <c r="C83" s="5" t="inlineStr">
        <is>
          <t>47781023005</t>
        </is>
      </c>
      <c r="D83" s="5" t="inlineStr">
        <is>
          <t>OXYCODONE-APAP 10-325MG TABLET</t>
        </is>
      </c>
      <c r="E83" s="6" t="inlineStr">
        <is>
          <t>500.0</t>
        </is>
      </c>
      <c r="F83" s="7" t="n">
        <v>667</v>
      </c>
      <c r="G83" s="7" t="n">
        <v>1.334</v>
      </c>
      <c r="H83" s="7" t="n">
        <v>4</v>
      </c>
      <c r="I83" s="7" t="n">
        <v>2.666</v>
      </c>
      <c r="J83" s="8" t="n">
        <v>165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NYM</t>
        </is>
      </c>
      <c r="C84" s="5" t="inlineStr">
        <is>
          <t>57599084400</t>
        </is>
      </c>
      <c r="D84" s="5" t="inlineStr">
        <is>
          <t>FREESTYLE LIBRE 3 PLUS SENSOR</t>
        </is>
      </c>
      <c r="E84" s="6" t="inlineStr">
        <is>
          <t>1.0</t>
        </is>
      </c>
      <c r="F84" s="7" t="n">
        <v>2</v>
      </c>
      <c r="G84" s="7" t="n">
        <v>2</v>
      </c>
      <c r="H84" s="7" t="n">
        <v>0</v>
      </c>
      <c r="I84" s="7" t="n">
        <v>-2</v>
      </c>
      <c r="J84" s="8" t="n">
        <v>164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NYM</t>
        </is>
      </c>
      <c r="C85" s="5" t="inlineStr">
        <is>
          <t>54092017312</t>
        </is>
      </c>
      <c r="D85" s="5" t="inlineStr">
        <is>
          <t>CARBATROL 300MG EXT-RELEASE CAPSULE</t>
        </is>
      </c>
      <c r="E85" s="6" t="inlineStr">
        <is>
          <t>120.0</t>
        </is>
      </c>
      <c r="F85" s="7" t="n">
        <v>90</v>
      </c>
      <c r="G85" s="7" t="n">
        <v>0.75</v>
      </c>
      <c r="H85" s="7" t="n">
        <v>1</v>
      </c>
      <c r="I85" s="7" t="n">
        <v>0.25</v>
      </c>
      <c r="J85" s="8" t="n">
        <v>163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NYM</t>
        </is>
      </c>
      <c r="C86" s="5" t="inlineStr">
        <is>
          <t>00065043133</t>
        </is>
      </c>
      <c r="D86" s="5" t="inlineStr">
        <is>
          <t>SYSTANE PRESERVATIVE FREE 0.4-0.3 % OPHTHALMIC SOLUTION</t>
        </is>
      </c>
      <c r="E86" s="6" t="inlineStr">
        <is>
          <t>30.0</t>
        </is>
      </c>
      <c r="F86" s="7" t="n">
        <v>360</v>
      </c>
      <c r="G86" s="7" t="n">
        <v>12</v>
      </c>
      <c r="H86" s="7" t="n">
        <v>5</v>
      </c>
      <c r="I86" s="7" t="n">
        <v>-7</v>
      </c>
      <c r="J86" s="8" t="n">
        <v>161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NYM</t>
        </is>
      </c>
      <c r="C87" s="5" t="inlineStr">
        <is>
          <t>72205028260</t>
        </is>
      </c>
      <c r="D87" s="5" t="inlineStr">
        <is>
          <t>SACUBITRIL-VALSARTAN 97-103 MG ORAL TABLET</t>
        </is>
      </c>
      <c r="E87" s="6" t="inlineStr">
        <is>
          <t>60.0</t>
        </is>
      </c>
      <c r="F87" s="7" t="n">
        <v>180</v>
      </c>
      <c r="G87" s="7" t="n">
        <v>3</v>
      </c>
      <c r="H87" s="7" t="n">
        <v>0</v>
      </c>
      <c r="I87" s="7" t="n">
        <v>-3</v>
      </c>
      <c r="J87" s="8" t="n">
        <v>155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NYM</t>
        </is>
      </c>
      <c r="C88" s="5" t="inlineStr">
        <is>
          <t>00904672040</t>
        </is>
      </c>
      <c r="D88" s="5" t="inlineStr">
        <is>
          <t>ACETAMINOPHEN EXTRA STRENGTH 500MG TABLET **** NYM</t>
        </is>
      </c>
      <c r="E88" s="6" t="inlineStr">
        <is>
          <t>500.0</t>
        </is>
      </c>
      <c r="F88" s="7" t="n">
        <v>1500</v>
      </c>
      <c r="G88" s="7" t="n">
        <v>3</v>
      </c>
      <c r="H88" s="7" t="n">
        <v>0</v>
      </c>
      <c r="I88" s="7" t="n">
        <v>-3</v>
      </c>
      <c r="J88" s="8" t="n">
        <v>153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NYM</t>
        </is>
      </c>
      <c r="C89" s="5" t="inlineStr">
        <is>
          <t>91237000178</t>
        </is>
      </c>
      <c r="D89" s="5" t="inlineStr">
        <is>
          <t>BLOOD PRESSURE MACHINE ***  *TALKING SENSE</t>
        </is>
      </c>
      <c r="E89" s="6" t="inlineStr">
        <is>
          <t>1.0</t>
        </is>
      </c>
      <c r="F89" s="7" t="n">
        <v>3</v>
      </c>
      <c r="G89" s="7" t="n">
        <v>3</v>
      </c>
      <c r="H89" s="7" t="n">
        <v>0</v>
      </c>
      <c r="I89" s="7" t="n">
        <v>-3</v>
      </c>
      <c r="J89" s="8" t="n">
        <v>152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NYM</t>
        </is>
      </c>
      <c r="C90" s="5" t="inlineStr">
        <is>
          <t>59762033302</t>
        </is>
      </c>
      <c r="D90" s="5" t="inlineStr">
        <is>
          <t>LATANOPROST 0.005 % OPHTHALMIC SOLUTION</t>
        </is>
      </c>
      <c r="E90" s="6" t="inlineStr">
        <is>
          <t>2.5</t>
        </is>
      </c>
      <c r="F90" s="7" t="n">
        <v>32.5</v>
      </c>
      <c r="G90" s="7" t="n">
        <v>13</v>
      </c>
      <c r="H90" s="7" t="n">
        <v>44</v>
      </c>
      <c r="I90" s="7" t="n">
        <v>31</v>
      </c>
      <c r="J90" s="8" t="n">
        <v>147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NYM</t>
        </is>
      </c>
      <c r="C91" s="5" t="inlineStr">
        <is>
          <t>66993007896</t>
        </is>
      </c>
      <c r="D91" s="5" t="inlineStr">
        <is>
          <t>FLUTICASONE PROPIONATE HFA 44 MCG/ACT INH AEROSOL</t>
        </is>
      </c>
      <c r="E91" s="6" t="inlineStr">
        <is>
          <t>10.6</t>
        </is>
      </c>
      <c r="F91" s="7" t="n">
        <v>10.6</v>
      </c>
      <c r="G91" s="7" t="n">
        <v>1</v>
      </c>
      <c r="H91" s="7" t="n">
        <v>4</v>
      </c>
      <c r="I91" s="7" t="n">
        <v>3</v>
      </c>
      <c r="J91" s="8" t="n">
        <v>143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NYM</t>
        </is>
      </c>
      <c r="C92" s="5" t="inlineStr">
        <is>
          <t>70377007813</t>
        </is>
      </c>
      <c r="D92" s="5" t="inlineStr">
        <is>
          <t>ATORVASTATIN 20MG TABLET</t>
        </is>
      </c>
      <c r="E92" s="6" t="inlineStr">
        <is>
          <t>1000.0</t>
        </is>
      </c>
      <c r="F92" s="7" t="n">
        <v>930</v>
      </c>
      <c r="G92" s="7" t="n">
        <v>0.93</v>
      </c>
      <c r="H92" s="7" t="n">
        <v>1</v>
      </c>
      <c r="I92" s="7" t="n">
        <v>0.06999999999999995</v>
      </c>
      <c r="J92" s="8" t="n">
        <v>134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NYM</t>
        </is>
      </c>
      <c r="C93" s="5" t="inlineStr">
        <is>
          <t>72205028060</t>
        </is>
      </c>
      <c r="D93" s="5" t="inlineStr">
        <is>
          <t>SACUBITRIL-VALSARTAN 24-26 MG ORAL TABLET</t>
        </is>
      </c>
      <c r="E93" s="6" t="inlineStr">
        <is>
          <t>60.0</t>
        </is>
      </c>
      <c r="F93" s="7" t="n">
        <v>180</v>
      </c>
      <c r="G93" s="7" t="n">
        <v>3</v>
      </c>
      <c r="H93" s="7" t="n">
        <v>0</v>
      </c>
      <c r="I93" s="7" t="n">
        <v>-3</v>
      </c>
      <c r="J93" s="8" t="n">
        <v>132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NYM</t>
        </is>
      </c>
      <c r="C94" s="5" t="inlineStr">
        <is>
          <t>69315012710</t>
        </is>
      </c>
      <c r="D94" s="5" t="inlineStr">
        <is>
          <t xml:space="preserve">FOLIC ACID 1MG TABLET </t>
        </is>
      </c>
      <c r="E94" s="6" t="inlineStr">
        <is>
          <t>1000.0</t>
        </is>
      </c>
      <c r="F94" s="7" t="n">
        <v>690</v>
      </c>
      <c r="G94" s="7" t="n">
        <v>0.6899999999999999</v>
      </c>
      <c r="H94" s="7" t="n">
        <v>0</v>
      </c>
      <c r="I94" s="7" t="n">
        <v>-0.6899999999999999</v>
      </c>
      <c r="J94" s="8" t="n">
        <v>126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NYM</t>
        </is>
      </c>
      <c r="C95" s="5" t="inlineStr">
        <is>
          <t>00832022500</t>
        </is>
      </c>
      <c r="D95" s="5" t="inlineStr">
        <is>
          <t>MORPHINE SULFATE ER 10 MG CAPSULE</t>
        </is>
      </c>
      <c r="E95" s="6" t="inlineStr">
        <is>
          <t>100.0</t>
        </is>
      </c>
      <c r="F95" s="7" t="n">
        <v>30</v>
      </c>
      <c r="G95" s="7" t="n">
        <v>0.3</v>
      </c>
      <c r="H95" s="7" t="n">
        <v>0</v>
      </c>
      <c r="I95" s="7" t="n">
        <v>-0.3</v>
      </c>
      <c r="J95" s="8" t="n">
        <v>124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NYM</t>
        </is>
      </c>
      <c r="C96" s="5" t="inlineStr">
        <is>
          <t>67877072592</t>
        </is>
      </c>
      <c r="D96" s="5" t="inlineStr">
        <is>
          <t>NA SULFATE-K SULFATE-MG SULF 17.5-3.13-1.6 GM/177ML ORAL SOLUTION</t>
        </is>
      </c>
      <c r="E96" s="6" t="inlineStr">
        <is>
          <t>354.0</t>
        </is>
      </c>
      <c r="F96" s="7" t="n">
        <v>708</v>
      </c>
      <c r="G96" s="7" t="n">
        <v>2</v>
      </c>
      <c r="H96" s="7" t="n">
        <v>3</v>
      </c>
      <c r="I96" s="7" t="n">
        <v>1</v>
      </c>
      <c r="J96" s="8" t="n">
        <v>123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NYM</t>
        </is>
      </c>
      <c r="C97" s="5" t="inlineStr">
        <is>
          <t>00074740113</t>
        </is>
      </c>
      <c r="D97" s="5" t="inlineStr">
        <is>
          <t>DEPAKOTE ER 250 MG TABLET</t>
        </is>
      </c>
      <c r="E97" s="6" t="inlineStr">
        <is>
          <t>100.0</t>
        </is>
      </c>
      <c r="F97" s="7" t="n">
        <v>30</v>
      </c>
      <c r="G97" s="7" t="n">
        <v>0.3</v>
      </c>
      <c r="H97" s="7" t="n">
        <v>0</v>
      </c>
      <c r="I97" s="7" t="n">
        <v>-0.3</v>
      </c>
      <c r="J97" s="8" t="n">
        <v>121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NYM</t>
        </is>
      </c>
      <c r="C98" s="5" t="inlineStr">
        <is>
          <t>00904731427</t>
        </is>
      </c>
      <c r="D98" s="5" t="inlineStr">
        <is>
          <t>ACETAMINOPHEN ER 650MG TABLET ER</t>
        </is>
      </c>
      <c r="E98" s="6" t="inlineStr">
        <is>
          <t>400.0</t>
        </is>
      </c>
      <c r="F98" s="7" t="n">
        <v>548</v>
      </c>
      <c r="G98" s="7" t="n">
        <v>1.37</v>
      </c>
      <c r="H98" s="7" t="n">
        <v>2</v>
      </c>
      <c r="I98" s="7" t="n">
        <v>0.6299999999999999</v>
      </c>
      <c r="J98" s="8" t="n">
        <v>117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NYM</t>
        </is>
      </c>
      <c r="C99" s="5" t="inlineStr">
        <is>
          <t>00023079815</t>
        </is>
      </c>
      <c r="D99" s="5" t="inlineStr">
        <is>
          <t>REFRESH TEARS 0.5 % OPHTHALMIC SOLUTION</t>
        </is>
      </c>
      <c r="E99" s="6" t="inlineStr">
        <is>
          <t>15.0</t>
        </is>
      </c>
      <c r="F99" s="7" t="n">
        <v>120</v>
      </c>
      <c r="G99" s="7" t="n">
        <v>8</v>
      </c>
      <c r="H99" s="7" t="n">
        <v>10</v>
      </c>
      <c r="I99" s="7" t="n">
        <v>2</v>
      </c>
      <c r="J99" s="8" t="n">
        <v>115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NYM</t>
        </is>
      </c>
      <c r="C100" s="5" t="inlineStr">
        <is>
          <t>29300022010</t>
        </is>
      </c>
      <c r="D100" s="5" t="inlineStr">
        <is>
          <t xml:space="preserve">MONTELUKAST 10MG TAB </t>
        </is>
      </c>
      <c r="E100" s="6" t="inlineStr">
        <is>
          <t>1000.0</t>
        </is>
      </c>
      <c r="F100" s="7" t="n">
        <v>630</v>
      </c>
      <c r="G100" s="7" t="n">
        <v>0.63</v>
      </c>
      <c r="H100" s="7" t="n">
        <v>0</v>
      </c>
      <c r="I100" s="7" t="n">
        <v>-0.63</v>
      </c>
      <c r="J100" s="8" t="n">
        <v>110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NYM</t>
        </is>
      </c>
      <c r="C101" s="5" t="inlineStr">
        <is>
          <t>47781023001</t>
        </is>
      </c>
      <c r="D101" s="5" t="inlineStr">
        <is>
          <t>OXYCODONE-ACETAMINOPHEN 10-325MG TABLET</t>
        </is>
      </c>
      <c r="E101" s="6" t="inlineStr">
        <is>
          <t>100.0</t>
        </is>
      </c>
      <c r="F101" s="7" t="n">
        <v>397</v>
      </c>
      <c r="G101" s="7" t="n">
        <v>3.97</v>
      </c>
      <c r="H101" s="7" t="n">
        <v>8</v>
      </c>
      <c r="I101" s="7" t="n">
        <v>4.029999999999999</v>
      </c>
      <c r="J101" s="8" t="n">
        <v>106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NYM</t>
        </is>
      </c>
      <c r="C102" s="5" t="inlineStr">
        <is>
          <t>65162035803</t>
        </is>
      </c>
      <c r="D102" s="5" t="inlineStr">
        <is>
          <t>ZAFEMY 150-35 MCG/24HR TRANSDERMAL PATCH WEEKLY</t>
        </is>
      </c>
      <c r="E102" s="6" t="inlineStr">
        <is>
          <t>3.0</t>
        </is>
      </c>
      <c r="F102" s="7" t="n">
        <v>3</v>
      </c>
      <c r="G102" s="7" t="n">
        <v>1</v>
      </c>
      <c r="H102" s="7" t="n">
        <v>0</v>
      </c>
      <c r="I102" s="7" t="n">
        <v>-1</v>
      </c>
      <c r="J102" s="8" t="n">
        <v>105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NYM</t>
        </is>
      </c>
      <c r="C103" s="5" t="inlineStr">
        <is>
          <t>51672140709</t>
        </is>
      </c>
      <c r="D103" s="5" t="inlineStr">
        <is>
          <t>TRETINOIN 0.025 % EXTERNAL CREAM</t>
        </is>
      </c>
      <c r="E103" s="6" t="inlineStr">
        <is>
          <t>45.0</t>
        </is>
      </c>
      <c r="F103" s="7" t="n">
        <v>90</v>
      </c>
      <c r="G103" s="7" t="n">
        <v>2</v>
      </c>
      <c r="H103" s="7" t="n">
        <v>0</v>
      </c>
      <c r="I103" s="7" t="n">
        <v>-2</v>
      </c>
      <c r="J103" s="8" t="n">
        <v>104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NYM</t>
        </is>
      </c>
      <c r="C104" s="5" t="inlineStr">
        <is>
          <t>68462039710</t>
        </is>
      </c>
      <c r="D104" s="5" t="inlineStr">
        <is>
          <t>OMEPRAZOLE 40MG CAPSULE DR</t>
        </is>
      </c>
      <c r="E104" s="6" t="inlineStr">
        <is>
          <t>1000.0</t>
        </is>
      </c>
      <c r="F104" s="7" t="n">
        <v>420</v>
      </c>
      <c r="G104" s="7" t="n">
        <v>0.42</v>
      </c>
      <c r="H104" s="7" t="n">
        <v>1</v>
      </c>
      <c r="I104" s="7" t="n">
        <v>0.5800000000000001</v>
      </c>
      <c r="J104" s="8" t="n">
        <v>103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NYM</t>
        </is>
      </c>
      <c r="C105" s="5" t="inlineStr">
        <is>
          <t>43547046009</t>
        </is>
      </c>
      <c r="D105" s="5" t="inlineStr">
        <is>
          <t>CANDESARTAN CILEXETIL-HCTZ 32-12.5 MG ORAL TABLET</t>
        </is>
      </c>
      <c r="E105" s="6" t="inlineStr">
        <is>
          <t>90.0</t>
        </is>
      </c>
      <c r="F105" s="7" t="n">
        <v>90</v>
      </c>
      <c r="G105" s="7" t="n">
        <v>1</v>
      </c>
      <c r="H105" s="7" t="n">
        <v>0</v>
      </c>
      <c r="I105" s="7" t="n">
        <v>-1</v>
      </c>
      <c r="J105" s="8" t="n">
        <v>102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NYM</t>
        </is>
      </c>
      <c r="C106" s="5" t="inlineStr">
        <is>
          <t>70954066210</t>
        </is>
      </c>
      <c r="D106" s="5" t="inlineStr">
        <is>
          <t>KETOCONAZOLE 2 % EXTERNAL SHAMPOO</t>
        </is>
      </c>
      <c r="E106" s="6" t="inlineStr">
        <is>
          <t>120.0</t>
        </is>
      </c>
      <c r="F106" s="7" t="n">
        <v>600</v>
      </c>
      <c r="G106" s="7" t="n">
        <v>5</v>
      </c>
      <c r="H106" s="7" t="n">
        <v>6</v>
      </c>
      <c r="I106" s="7" t="n">
        <v>1</v>
      </c>
      <c r="J106" s="8" t="n">
        <v>100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NYM</t>
        </is>
      </c>
      <c r="C107" s="5" t="inlineStr">
        <is>
          <t>69097012715</t>
        </is>
      </c>
      <c r="D107" s="5" t="inlineStr">
        <is>
          <t xml:space="preserve">AMLODIPINE 5MG TABLET </t>
        </is>
      </c>
      <c r="E107" s="6" t="inlineStr">
        <is>
          <t>1000.0</t>
        </is>
      </c>
      <c r="F107" s="7" t="n">
        <v>690</v>
      </c>
      <c r="G107" s="7" t="n">
        <v>0.6899999999999999</v>
      </c>
      <c r="H107" s="7" t="n">
        <v>0</v>
      </c>
      <c r="I107" s="7" t="n">
        <v>-0.6899999999999999</v>
      </c>
      <c r="J107" s="8" t="n">
        <v>97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NYM</t>
        </is>
      </c>
      <c r="C108" s="5" t="inlineStr">
        <is>
          <t>54092018981</t>
        </is>
      </c>
      <c r="D108" s="5" t="inlineStr">
        <is>
          <t>PENTASA 250 MG ORAL CAPSULE EXTENDED RELEASE</t>
        </is>
      </c>
      <c r="E108" s="6" t="inlineStr">
        <is>
          <t>240.0</t>
        </is>
      </c>
      <c r="F108" s="7" t="n">
        <v>30</v>
      </c>
      <c r="G108" s="7" t="n">
        <v>0.125</v>
      </c>
      <c r="H108" s="7" t="n">
        <v>0</v>
      </c>
      <c r="I108" s="7" t="n">
        <v>-0.125</v>
      </c>
      <c r="J108" s="8" t="n">
        <v>97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NYM</t>
        </is>
      </c>
      <c r="C109" s="5" t="inlineStr">
        <is>
          <t>00087040203</t>
        </is>
      </c>
      <c r="D109" s="5" t="inlineStr">
        <is>
          <t>POLY-VI-SOL ORAL SOLUTION</t>
        </is>
      </c>
      <c r="E109" s="6" t="inlineStr">
        <is>
          <t>50.0</t>
        </is>
      </c>
      <c r="F109" s="7" t="n">
        <v>250</v>
      </c>
      <c r="G109" s="7" t="n">
        <v>5</v>
      </c>
      <c r="H109" s="7" t="n">
        <v>0</v>
      </c>
      <c r="I109" s="7" t="n">
        <v>-5</v>
      </c>
      <c r="J109" s="8" t="n">
        <v>91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NYM</t>
        </is>
      </c>
      <c r="C110" s="5" t="inlineStr">
        <is>
          <t>70512052005</t>
        </is>
      </c>
      <c r="D110" s="5" t="inlineStr">
        <is>
          <t>OLOPATADINE HCL 0.1 % OPHTHALMIC SOLUTION</t>
        </is>
      </c>
      <c r="E110" s="6" t="inlineStr">
        <is>
          <t>5.0</t>
        </is>
      </c>
      <c r="F110" s="7" t="n">
        <v>30</v>
      </c>
      <c r="G110" s="7" t="n">
        <v>6</v>
      </c>
      <c r="H110" s="7" t="n">
        <v>0</v>
      </c>
      <c r="I110" s="7" t="n">
        <v>-6</v>
      </c>
      <c r="J110" s="8" t="n">
        <v>91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NYM</t>
        </is>
      </c>
      <c r="C111" s="5" t="inlineStr">
        <is>
          <t>57237004390</t>
        </is>
      </c>
      <c r="D111" s="5" t="inlineStr">
        <is>
          <t>VALACYCLOVIR 1GM TABLET</t>
        </is>
      </c>
      <c r="E111" s="6" t="inlineStr">
        <is>
          <t>90.0</t>
        </is>
      </c>
      <c r="F111" s="7" t="n">
        <v>135</v>
      </c>
      <c r="G111" s="7" t="n">
        <v>1.5</v>
      </c>
      <c r="H111" s="7" t="n">
        <v>0</v>
      </c>
      <c r="I111" s="7" t="n">
        <v>-1.5</v>
      </c>
      <c r="J111" s="8" t="n">
        <v>89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NYM</t>
        </is>
      </c>
      <c r="C112" s="5" t="inlineStr">
        <is>
          <t>33342033380</t>
        </is>
      </c>
      <c r="D112" s="5" t="inlineStr">
        <is>
          <t>TRIAMCINOLONE ACETONIDE 0.1 % EXTERNAL OINTMENT</t>
        </is>
      </c>
      <c r="E112" s="6" t="inlineStr">
        <is>
          <t>80.0</t>
        </is>
      </c>
      <c r="F112" s="7" t="n">
        <v>480</v>
      </c>
      <c r="G112" s="7" t="n">
        <v>6</v>
      </c>
      <c r="H112" s="7" t="n">
        <v>8</v>
      </c>
      <c r="I112" s="7" t="n">
        <v>2</v>
      </c>
      <c r="J112" s="8" t="n">
        <v>89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NYM</t>
        </is>
      </c>
      <c r="C113" s="5" t="inlineStr">
        <is>
          <t>69230020201</t>
        </is>
      </c>
      <c r="D113" s="5" t="inlineStr">
        <is>
          <t xml:space="preserve">FEXOFENADINE (CAMBER) 180MG TAB </t>
        </is>
      </c>
      <c r="E113" s="6" t="inlineStr">
        <is>
          <t>100.0</t>
        </is>
      </c>
      <c r="F113" s="7" t="n">
        <v>240</v>
      </c>
      <c r="G113" s="7" t="n">
        <v>2.4</v>
      </c>
      <c r="H113" s="7" t="n">
        <v>0</v>
      </c>
      <c r="I113" s="7" t="n">
        <v>-2.4</v>
      </c>
      <c r="J113" s="8" t="n">
        <v>88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NYM</t>
        </is>
      </c>
      <c r="C114" s="5" t="inlineStr">
        <is>
          <t>61314063705</t>
        </is>
      </c>
      <c r="D114" s="5" t="inlineStr">
        <is>
          <t>PREDNISOLONE ACETATE 1% SUSPENSION</t>
        </is>
      </c>
      <c r="E114" s="6" t="inlineStr">
        <is>
          <t>5.0</t>
        </is>
      </c>
      <c r="F114" s="7" t="n">
        <v>15</v>
      </c>
      <c r="G114" s="7" t="n">
        <v>3</v>
      </c>
      <c r="H114" s="7" t="n">
        <v>0</v>
      </c>
      <c r="I114" s="7" t="n">
        <v>-3</v>
      </c>
      <c r="J114" s="8" t="n">
        <v>84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NYM</t>
        </is>
      </c>
      <c r="C115" s="5" t="inlineStr">
        <is>
          <t>80681009600</t>
        </is>
      </c>
      <c r="D115" s="5" t="inlineStr">
        <is>
          <t>REGULOID 28.3 % ORAL POWDER</t>
        </is>
      </c>
      <c r="E115" s="6" t="inlineStr">
        <is>
          <t>369.0</t>
        </is>
      </c>
      <c r="F115" s="7" t="n">
        <v>4059</v>
      </c>
      <c r="G115" s="7" t="n">
        <v>11</v>
      </c>
      <c r="H115" s="7" t="n">
        <v>6</v>
      </c>
      <c r="I115" s="7" t="n">
        <v>-5</v>
      </c>
      <c r="J115" s="8" t="n">
        <v>84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NYM</t>
        </is>
      </c>
      <c r="C116" s="5" t="inlineStr">
        <is>
          <t>91237000160</t>
        </is>
      </c>
      <c r="D116" s="5" t="inlineStr">
        <is>
          <t>NEBULIZER EASY AIR COMPRESSOR</t>
        </is>
      </c>
      <c r="E116" s="6" t="inlineStr">
        <is>
          <t>1.0</t>
        </is>
      </c>
      <c r="F116" s="7" t="n">
        <v>3</v>
      </c>
      <c r="G116" s="7" t="n">
        <v>3</v>
      </c>
      <c r="H116" s="7" t="n">
        <v>0</v>
      </c>
      <c r="I116" s="7" t="n">
        <v>-3</v>
      </c>
      <c r="J116" s="8" t="n">
        <v>84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NYM</t>
        </is>
      </c>
      <c r="C117" s="5" t="inlineStr">
        <is>
          <t>45802057884</t>
        </is>
      </c>
      <c r="D117" s="5" t="inlineStr">
        <is>
          <t>NALOXONE HCL 4 MG/0.1ML NASAL LIQUID</t>
        </is>
      </c>
      <c r="E117" s="6" t="inlineStr">
        <is>
          <t>2.0</t>
        </is>
      </c>
      <c r="F117" s="7" t="n">
        <v>4</v>
      </c>
      <c r="G117" s="7" t="n">
        <v>2</v>
      </c>
      <c r="H117" s="7" t="n">
        <v>0</v>
      </c>
      <c r="I117" s="7" t="n">
        <v>-2</v>
      </c>
      <c r="J117" s="8" t="n">
        <v>81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NYM</t>
        </is>
      </c>
      <c r="C118" s="5" t="inlineStr">
        <is>
          <t>70010006599</t>
        </is>
      </c>
      <c r="D118" s="5" t="inlineStr">
        <is>
          <t>METFORMIN 1000MG TABLET</t>
        </is>
      </c>
      <c r="E118" s="6" t="inlineStr">
        <is>
          <t>1000.0</t>
        </is>
      </c>
      <c r="F118" s="7" t="n">
        <v>690</v>
      </c>
      <c r="G118" s="7" t="n">
        <v>0.6899999999999999</v>
      </c>
      <c r="H118" s="7" t="n">
        <v>3</v>
      </c>
      <c r="I118" s="7" t="n">
        <v>2.31</v>
      </c>
      <c r="J118" s="8" t="n">
        <v>81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NYM</t>
        </is>
      </c>
      <c r="C119" s="5" t="inlineStr">
        <is>
          <t>65862052205</t>
        </is>
      </c>
      <c r="D119" s="5" t="inlineStr">
        <is>
          <t>NAPROXEN 500MG TABLET</t>
        </is>
      </c>
      <c r="E119" s="6" t="inlineStr">
        <is>
          <t>500.0</t>
        </is>
      </c>
      <c r="F119" s="7" t="n">
        <v>338</v>
      </c>
      <c r="G119" s="7" t="n">
        <v>0.676</v>
      </c>
      <c r="H119" s="7" t="n">
        <v>0</v>
      </c>
      <c r="I119" s="7" t="n">
        <v>-0.676</v>
      </c>
      <c r="J119" s="8" t="n">
        <v>81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NYM</t>
        </is>
      </c>
      <c r="C120" s="5" t="inlineStr">
        <is>
          <t>00536132710</t>
        </is>
      </c>
      <c r="D120" s="5" t="inlineStr">
        <is>
          <t>ACETAMINOPHEN 325MG TABLET</t>
        </is>
      </c>
      <c r="E120" s="6" t="inlineStr">
        <is>
          <t>1000.0</t>
        </is>
      </c>
      <c r="F120" s="7" t="n">
        <v>578</v>
      </c>
      <c r="G120" s="7" t="n">
        <v>0.578</v>
      </c>
      <c r="H120" s="7" t="n">
        <v>0</v>
      </c>
      <c r="I120" s="7" t="n">
        <v>-0.578</v>
      </c>
      <c r="J120" s="8" t="n">
        <v>79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NYM</t>
        </is>
      </c>
      <c r="C121" s="5" t="inlineStr">
        <is>
          <t>69097012815</t>
        </is>
      </c>
      <c r="D121" s="5" t="inlineStr">
        <is>
          <t>AMLODIPINE 10MG TABLET</t>
        </is>
      </c>
      <c r="E121" s="6" t="inlineStr">
        <is>
          <t>1000.0</t>
        </is>
      </c>
      <c r="F121" s="7" t="n">
        <v>450</v>
      </c>
      <c r="G121" s="7" t="n">
        <v>0.45</v>
      </c>
      <c r="H121" s="7" t="n">
        <v>0</v>
      </c>
      <c r="I121" s="7" t="n">
        <v>-0.45</v>
      </c>
      <c r="J121" s="8" t="n">
        <v>77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NYM</t>
        </is>
      </c>
      <c r="C122" s="5" t="inlineStr">
        <is>
          <t>70377008013</t>
        </is>
      </c>
      <c r="D122" s="5" t="inlineStr">
        <is>
          <t>ATORVASTATIN 80MG  TABLET</t>
        </is>
      </c>
      <c r="E122" s="6" t="inlineStr">
        <is>
          <t>1000.0</t>
        </is>
      </c>
      <c r="F122" s="7" t="n">
        <v>420</v>
      </c>
      <c r="G122" s="7" t="n">
        <v>0.42</v>
      </c>
      <c r="H122" s="7" t="n">
        <v>0</v>
      </c>
      <c r="I122" s="7" t="n">
        <v>-0.42</v>
      </c>
      <c r="J122" s="8" t="n">
        <v>75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NYM</t>
        </is>
      </c>
      <c r="C123" s="5" t="inlineStr">
        <is>
          <t>70010006310</t>
        </is>
      </c>
      <c r="D123" s="5" t="inlineStr">
        <is>
          <t>METFORMIN HCL 500 MG TABLET</t>
        </is>
      </c>
      <c r="E123" s="6" t="inlineStr">
        <is>
          <t>1000.0</t>
        </is>
      </c>
      <c r="F123" s="7" t="n">
        <v>900</v>
      </c>
      <c r="G123" s="7" t="n">
        <v>0.9</v>
      </c>
      <c r="H123" s="7" t="n">
        <v>2</v>
      </c>
      <c r="I123" s="7" t="n">
        <v>1.1</v>
      </c>
      <c r="J123" s="8" t="n">
        <v>74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NYM</t>
        </is>
      </c>
      <c r="C124" s="5" t="inlineStr">
        <is>
          <t>42192071506</t>
        </is>
      </c>
      <c r="D124" s="5" t="inlineStr">
        <is>
          <t>CICLOPIROX 8 % EXTERNAL SOLUTION</t>
        </is>
      </c>
      <c r="E124" s="6" t="inlineStr">
        <is>
          <t>6.6</t>
        </is>
      </c>
      <c r="F124" s="7" t="n">
        <v>26.4</v>
      </c>
      <c r="G124" s="7" t="n">
        <v>4</v>
      </c>
      <c r="H124" s="7" t="n">
        <v>8</v>
      </c>
      <c r="I124" s="7" t="n">
        <v>4</v>
      </c>
      <c r="J124" s="8" t="n">
        <v>74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NYM</t>
        </is>
      </c>
      <c r="C125" s="5" t="inlineStr">
        <is>
          <t>45963067696</t>
        </is>
      </c>
      <c r="D125" s="5" t="inlineStr">
        <is>
          <t>METOPROLOL SUCCINATE 50MG TABLET ER</t>
        </is>
      </c>
      <c r="E125" s="6" t="inlineStr">
        <is>
          <t>1000.0</t>
        </is>
      </c>
      <c r="F125" s="7" t="n">
        <v>450</v>
      </c>
      <c r="G125" s="7" t="n">
        <v>0.45</v>
      </c>
      <c r="H125" s="7" t="n">
        <v>0</v>
      </c>
      <c r="I125" s="7" t="n">
        <v>-0.45</v>
      </c>
      <c r="J125" s="8" t="n">
        <v>74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NYM</t>
        </is>
      </c>
      <c r="C126" s="5" t="inlineStr">
        <is>
          <t>00591352530</t>
        </is>
      </c>
      <c r="D126" s="5" t="inlineStr">
        <is>
          <t xml:space="preserve">LIDOCAINE 5% PATCH </t>
        </is>
      </c>
      <c r="E126" s="6" t="inlineStr">
        <is>
          <t>30.0</t>
        </is>
      </c>
      <c r="F126" s="7" t="n">
        <v>30</v>
      </c>
      <c r="G126" s="7" t="n">
        <v>1</v>
      </c>
      <c r="H126" s="7" t="n">
        <v>0</v>
      </c>
      <c r="I126" s="7" t="n">
        <v>-1</v>
      </c>
      <c r="J126" s="8" t="n">
        <v>74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NYM</t>
        </is>
      </c>
      <c r="C127" s="5" t="inlineStr">
        <is>
          <t>70000052201</t>
        </is>
      </c>
      <c r="D127" s="5" t="inlineStr">
        <is>
          <t>EYE ITCH RELIEF 0.025 % OPHTHALMIC SOLUTION</t>
        </is>
      </c>
      <c r="E127" s="6" t="inlineStr">
        <is>
          <t>5.0</t>
        </is>
      </c>
      <c r="F127" s="7" t="n">
        <v>15</v>
      </c>
      <c r="G127" s="7" t="n">
        <v>3</v>
      </c>
      <c r="H127" s="7" t="n">
        <v>0</v>
      </c>
      <c r="I127" s="7" t="n">
        <v>-3</v>
      </c>
      <c r="J127" s="8" t="n">
        <v>73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NYM</t>
        </is>
      </c>
      <c r="C128" s="5" t="inlineStr">
        <is>
          <t>00002771559</t>
        </is>
      </c>
      <c r="D128" s="5" t="inlineStr">
        <is>
          <t>BASAGLAR KWIKPEN 100UNIT/ML INJECTION</t>
        </is>
      </c>
      <c r="E128" s="6" t="inlineStr">
        <is>
          <t>15.0</t>
        </is>
      </c>
      <c r="F128" s="7" t="n">
        <v>3</v>
      </c>
      <c r="G128" s="7" t="n">
        <v>0.2</v>
      </c>
      <c r="H128" s="7" t="n">
        <v>23</v>
      </c>
      <c r="I128" s="7" t="n">
        <v>22.8</v>
      </c>
      <c r="J128" s="8" t="n">
        <v>73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NYM</t>
        </is>
      </c>
      <c r="C129" s="5" t="inlineStr">
        <is>
          <t>67877031905</t>
        </is>
      </c>
      <c r="D129" s="5" t="inlineStr">
        <is>
          <t>IBUPROFEN 400MG TABLET</t>
        </is>
      </c>
      <c r="E129" s="6" t="inlineStr">
        <is>
          <t>500.0</t>
        </is>
      </c>
      <c r="F129" s="7" t="n">
        <v>190</v>
      </c>
      <c r="G129" s="7" t="n">
        <v>0.38</v>
      </c>
      <c r="H129" s="7" t="n">
        <v>2</v>
      </c>
      <c r="I129" s="7" t="n">
        <v>1.62</v>
      </c>
      <c r="J129" s="8" t="n">
        <v>68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NYM</t>
        </is>
      </c>
      <c r="C130" s="5" t="inlineStr">
        <is>
          <t>00023050601</t>
        </is>
      </c>
      <c r="D130" s="5" t="inlineStr">
        <is>
          <t>REFRESH 1.4-0.6 % OPHTHALMIC SOLUTION</t>
        </is>
      </c>
      <c r="E130" s="6" t="inlineStr">
        <is>
          <t>30.0</t>
        </is>
      </c>
      <c r="F130" s="7" t="n">
        <v>120</v>
      </c>
      <c r="G130" s="7" t="n">
        <v>4</v>
      </c>
      <c r="H130" s="7" t="n">
        <v>6</v>
      </c>
      <c r="I130" s="7" t="n">
        <v>2</v>
      </c>
      <c r="J130" s="8" t="n">
        <v>67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NYM</t>
        </is>
      </c>
      <c r="C131" s="5" t="inlineStr">
        <is>
          <t>62332017260</t>
        </is>
      </c>
      <c r="D131" s="5" t="inlineStr">
        <is>
          <t>LACOSAMIDE 100MG TABLET</t>
        </is>
      </c>
      <c r="E131" s="6" t="inlineStr">
        <is>
          <t>60.0</t>
        </is>
      </c>
      <c r="F131" s="7" t="n">
        <v>240</v>
      </c>
      <c r="G131" s="7" t="n">
        <v>4</v>
      </c>
      <c r="H131" s="7" t="n">
        <v>5</v>
      </c>
      <c r="I131" s="7" t="n">
        <v>1</v>
      </c>
      <c r="J131" s="8" t="n">
        <v>67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NYM</t>
        </is>
      </c>
      <c r="C132" s="5" t="inlineStr">
        <is>
          <t>59651003212</t>
        </is>
      </c>
      <c r="D132" s="5" t="inlineStr">
        <is>
          <t>IBUPROFEN 100 MG/5ML SUSPENSION</t>
        </is>
      </c>
      <c r="E132" s="6" t="inlineStr">
        <is>
          <t>120.0</t>
        </is>
      </c>
      <c r="F132" s="7" t="n">
        <v>840</v>
      </c>
      <c r="G132" s="7" t="n">
        <v>7</v>
      </c>
      <c r="H132" s="7" t="n">
        <v>10</v>
      </c>
      <c r="I132" s="7" t="n">
        <v>3</v>
      </c>
      <c r="J132" s="8" t="n">
        <v>66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NYM</t>
        </is>
      </c>
      <c r="C133" s="5" t="inlineStr">
        <is>
          <t>08470104201</t>
        </is>
      </c>
      <c r="D133" s="5" t="inlineStr">
        <is>
          <t>LANCET UNISTIK 3 COMFORT (NYM)</t>
        </is>
      </c>
      <c r="E133" s="6" t="inlineStr">
        <is>
          <t>100.0</t>
        </is>
      </c>
      <c r="F133" s="7" t="n">
        <v>1200</v>
      </c>
      <c r="G133" s="7" t="n">
        <v>12</v>
      </c>
      <c r="H133" s="7" t="n">
        <v>0</v>
      </c>
      <c r="I133" s="7" t="n">
        <v>-12</v>
      </c>
      <c r="J133" s="8" t="n">
        <v>65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NYM</t>
        </is>
      </c>
      <c r="C134" s="5" t="inlineStr">
        <is>
          <t>51672300701</t>
        </is>
      </c>
      <c r="D134" s="5" t="inlineStr">
        <is>
          <t>HYDROCORTISONE-ACETIC ACID 1-2 % OTIC SOLUTION</t>
        </is>
      </c>
      <c r="E134" s="6" t="inlineStr">
        <is>
          <t>10.0</t>
        </is>
      </c>
      <c r="F134" s="7" t="n">
        <v>10</v>
      </c>
      <c r="G134" s="7" t="n">
        <v>1</v>
      </c>
      <c r="H134" s="7" t="n">
        <v>0</v>
      </c>
      <c r="I134" s="7" t="n">
        <v>-1</v>
      </c>
      <c r="J134" s="8" t="n">
        <v>64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NYM</t>
        </is>
      </c>
      <c r="C135" s="5" t="inlineStr">
        <is>
          <t>00168009960</t>
        </is>
      </c>
      <c r="D135" s="5" t="inlineStr">
        <is>
          <t>KETOCONAZOLE 2% CREAM</t>
        </is>
      </c>
      <c r="E135" s="6" t="inlineStr">
        <is>
          <t>60.0</t>
        </is>
      </c>
      <c r="F135" s="7" t="n">
        <v>180</v>
      </c>
      <c r="G135" s="7" t="n">
        <v>3</v>
      </c>
      <c r="H135" s="7" t="n">
        <v>0</v>
      </c>
      <c r="I135" s="7" t="n">
        <v>-3</v>
      </c>
      <c r="J135" s="8" t="n">
        <v>63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NYM</t>
        </is>
      </c>
      <c r="C136" s="5" t="inlineStr">
        <is>
          <t>00904701420</t>
        </is>
      </c>
      <c r="D136" s="5" t="inlineStr">
        <is>
          <t>ACETAMINOPHEN CHILDRENS 160 MG/5ML ORAL SOLUTION</t>
        </is>
      </c>
      <c r="E136" s="6" t="inlineStr">
        <is>
          <t>118.0</t>
        </is>
      </c>
      <c r="F136" s="7" t="n">
        <v>1180</v>
      </c>
      <c r="G136" s="7" t="n">
        <v>10</v>
      </c>
      <c r="H136" s="7" t="n">
        <v>0</v>
      </c>
      <c r="I136" s="7" t="n">
        <v>-10</v>
      </c>
      <c r="J136" s="8" t="n">
        <v>63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NYM</t>
        </is>
      </c>
      <c r="C137" s="5" t="inlineStr">
        <is>
          <t>51672210208</t>
        </is>
      </c>
      <c r="D137" s="5" t="inlineStr">
        <is>
          <t>CETIRIZINE HCL 5MG/5ML SOLUTION</t>
        </is>
      </c>
      <c r="E137" s="6" t="inlineStr">
        <is>
          <t>120.0</t>
        </is>
      </c>
      <c r="F137" s="7" t="n">
        <v>960</v>
      </c>
      <c r="G137" s="7" t="n">
        <v>8</v>
      </c>
      <c r="H137" s="7" t="n">
        <v>0</v>
      </c>
      <c r="I137" s="7" t="n">
        <v>-8</v>
      </c>
      <c r="J137" s="8" t="n">
        <v>61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NYM</t>
        </is>
      </c>
      <c r="C138" s="5" t="inlineStr">
        <is>
          <t>50742050510</t>
        </is>
      </c>
      <c r="D138" s="5" t="inlineStr">
        <is>
          <t>SCOPOLAMINE 1 MG/3DAYS TRANSDERMAL PATCH 72 HOUR</t>
        </is>
      </c>
      <c r="E138" s="6" t="inlineStr">
        <is>
          <t>10.0</t>
        </is>
      </c>
      <c r="F138" s="7" t="n">
        <v>10</v>
      </c>
      <c r="G138" s="7" t="n">
        <v>1</v>
      </c>
      <c r="H138" s="7" t="n">
        <v>0</v>
      </c>
      <c r="I138" s="7" t="n">
        <v>-1</v>
      </c>
      <c r="J138" s="8" t="n">
        <v>60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NYM</t>
        </is>
      </c>
      <c r="C139" s="5" t="inlineStr">
        <is>
          <t>43547028211</t>
        </is>
      </c>
      <c r="D139" s="5" t="inlineStr">
        <is>
          <t>ESCITALOPRAM 20MG TABLET</t>
        </is>
      </c>
      <c r="E139" s="6" t="inlineStr">
        <is>
          <t>1000.0</t>
        </is>
      </c>
      <c r="F139" s="7" t="n">
        <v>135</v>
      </c>
      <c r="G139" s="7" t="n">
        <v>0.135</v>
      </c>
      <c r="H139" s="7" t="n">
        <v>0</v>
      </c>
      <c r="I139" s="7" t="n">
        <v>-0.135</v>
      </c>
      <c r="J139" s="8" t="n">
        <v>59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NYM</t>
        </is>
      </c>
      <c r="C140" s="5" t="inlineStr">
        <is>
          <t>65862056099</t>
        </is>
      </c>
      <c r="D140" s="5" t="inlineStr">
        <is>
          <t xml:space="preserve">PANTOPRAZOLE 40MG TAB </t>
        </is>
      </c>
      <c r="E140" s="6" t="inlineStr">
        <is>
          <t>1000.0</t>
        </is>
      </c>
      <c r="F140" s="7" t="n">
        <v>390</v>
      </c>
      <c r="G140" s="7" t="n">
        <v>0.39</v>
      </c>
      <c r="H140" s="7" t="n">
        <v>2</v>
      </c>
      <c r="I140" s="7" t="n">
        <v>1.61</v>
      </c>
      <c r="J140" s="8" t="n">
        <v>59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NYM</t>
        </is>
      </c>
      <c r="C141" s="5" t="inlineStr">
        <is>
          <t>10702005601</t>
        </is>
      </c>
      <c r="D141" s="5" t="inlineStr">
        <is>
          <t>OXYCODONE HCL 10 MG ORAL TABLET</t>
        </is>
      </c>
      <c r="E141" s="6" t="inlineStr">
        <is>
          <t>100.0</t>
        </is>
      </c>
      <c r="F141" s="7" t="n">
        <v>224</v>
      </c>
      <c r="G141" s="7" t="n">
        <v>2.24</v>
      </c>
      <c r="H141" s="7" t="n">
        <v>6</v>
      </c>
      <c r="I141" s="7" t="n">
        <v>3.76</v>
      </c>
      <c r="J141" s="8" t="n">
        <v>57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NYM</t>
        </is>
      </c>
      <c r="C142" s="5" t="inlineStr">
        <is>
          <t>67877084210</t>
        </is>
      </c>
      <c r="D142" s="5" t="inlineStr">
        <is>
          <t>FAMOTIDINE 20MG TABLET</t>
        </is>
      </c>
      <c r="E142" s="6" t="inlineStr">
        <is>
          <t>1000.0</t>
        </is>
      </c>
      <c r="F142" s="7" t="n">
        <v>380</v>
      </c>
      <c r="G142" s="7" t="n">
        <v>0.38</v>
      </c>
      <c r="H142" s="7" t="n">
        <v>0</v>
      </c>
      <c r="I142" s="7" t="n">
        <v>-0.38</v>
      </c>
      <c r="J142" s="8" t="n">
        <v>57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NYM</t>
        </is>
      </c>
      <c r="C143" s="5" t="inlineStr">
        <is>
          <t>00168025846</t>
        </is>
      </c>
      <c r="D143" s="5" t="inlineStr">
        <is>
          <t>CLOTRIMAZOLE-BETAMETHASONE 1-0.05 % EXTERNAL CREAM</t>
        </is>
      </c>
      <c r="E143" s="6" t="inlineStr">
        <is>
          <t>45.0</t>
        </is>
      </c>
      <c r="F143" s="7" t="n">
        <v>135</v>
      </c>
      <c r="G143" s="7" t="n">
        <v>3</v>
      </c>
      <c r="H143" s="7" t="n">
        <v>6</v>
      </c>
      <c r="I143" s="7" t="n">
        <v>3</v>
      </c>
      <c r="J143" s="8" t="n">
        <v>56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NYM</t>
        </is>
      </c>
      <c r="C144" s="5" t="inlineStr">
        <is>
          <t>59651030501</t>
        </is>
      </c>
      <c r="D144" s="5" t="inlineStr">
        <is>
          <t>CHLORZOXAZONE 375 MG ORAL TABLET</t>
        </is>
      </c>
      <c r="E144" s="6" t="inlineStr">
        <is>
          <t>100.0</t>
        </is>
      </c>
      <c r="F144" s="7" t="n">
        <v>90</v>
      </c>
      <c r="G144" s="7" t="n">
        <v>0.9</v>
      </c>
      <c r="H144" s="7" t="n">
        <v>0</v>
      </c>
      <c r="I144" s="7" t="n">
        <v>-0.9</v>
      </c>
      <c r="J144" s="8" t="n">
        <v>56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NYM</t>
        </is>
      </c>
      <c r="C145" s="5" t="inlineStr">
        <is>
          <t>00574220545</t>
        </is>
      </c>
      <c r="D145" s="5" t="inlineStr">
        <is>
          <t>TRETINOIN 0.05% CREAM</t>
        </is>
      </c>
      <c r="E145" s="6" t="inlineStr">
        <is>
          <t>45.0</t>
        </is>
      </c>
      <c r="F145" s="7" t="n">
        <v>45</v>
      </c>
      <c r="G145" s="7" t="n">
        <v>1</v>
      </c>
      <c r="H145" s="7" t="n">
        <v>0</v>
      </c>
      <c r="I145" s="7" t="n">
        <v>-1</v>
      </c>
      <c r="J145" s="8" t="n">
        <v>56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NYM</t>
        </is>
      </c>
      <c r="C146" s="5" t="inlineStr">
        <is>
          <t>70000009801</t>
        </is>
      </c>
      <c r="D146" s="5" t="inlineStr">
        <is>
          <t>LIDOCAINE 4 % CREAM</t>
        </is>
      </c>
      <c r="E146" s="6" t="inlineStr">
        <is>
          <t>76.5</t>
        </is>
      </c>
      <c r="F146" s="7" t="n">
        <v>306</v>
      </c>
      <c r="G146" s="7" t="n">
        <v>4</v>
      </c>
      <c r="H146" s="7" t="n">
        <v>0</v>
      </c>
      <c r="I146" s="7" t="n">
        <v>-4</v>
      </c>
      <c r="J146" s="8" t="n">
        <v>56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NYM</t>
        </is>
      </c>
      <c r="C147" s="5" t="inlineStr">
        <is>
          <t>00168009930</t>
        </is>
      </c>
      <c r="D147" s="5" t="inlineStr">
        <is>
          <t>KETOCONAZOLE 2 % EXTERNAL CREAM</t>
        </is>
      </c>
      <c r="E147" s="6" t="inlineStr">
        <is>
          <t>30.0</t>
        </is>
      </c>
      <c r="F147" s="7" t="n">
        <v>90</v>
      </c>
      <c r="G147" s="7" t="n">
        <v>3</v>
      </c>
      <c r="H147" s="7" t="n">
        <v>0</v>
      </c>
      <c r="I147" s="7" t="n">
        <v>-3</v>
      </c>
      <c r="J147" s="8" t="n">
        <v>55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NYM</t>
        </is>
      </c>
      <c r="C148" s="5" t="inlineStr">
        <is>
          <t>43386009019</t>
        </is>
      </c>
      <c r="D148" s="5" t="inlineStr">
        <is>
          <t xml:space="preserve">GAVILYTE G SOLUTION </t>
        </is>
      </c>
      <c r="E148" s="6" t="inlineStr">
        <is>
          <t>4000.0</t>
        </is>
      </c>
      <c r="F148" s="7" t="n">
        <v>8000</v>
      </c>
      <c r="G148" s="7" t="n">
        <v>2</v>
      </c>
      <c r="H148" s="7" t="n">
        <v>6</v>
      </c>
      <c r="I148" s="7" t="n">
        <v>4</v>
      </c>
      <c r="J148" s="8" t="n">
        <v>55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NYM</t>
        </is>
      </c>
      <c r="C149" s="5" t="inlineStr">
        <is>
          <t>68382066010</t>
        </is>
      </c>
      <c r="D149" s="5" t="inlineStr">
        <is>
          <t>SPIRONOLACTONE 25MG TABLET</t>
        </is>
      </c>
      <c r="E149" s="6" t="inlineStr">
        <is>
          <t>1000.0</t>
        </is>
      </c>
      <c r="F149" s="7" t="n">
        <v>300</v>
      </c>
      <c r="G149" s="7" t="n">
        <v>0.3</v>
      </c>
      <c r="H149" s="7" t="n">
        <v>0</v>
      </c>
      <c r="I149" s="7" t="n">
        <v>-0.3</v>
      </c>
      <c r="J149" s="8" t="n">
        <v>54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NYM</t>
        </is>
      </c>
      <c r="C150" s="5" t="inlineStr">
        <is>
          <t>53746054501</t>
        </is>
      </c>
      <c r="D150" s="5" t="inlineStr">
        <is>
          <t>PRIMIDONE 250 MG ORAL TABLET</t>
        </is>
      </c>
      <c r="E150" s="6" t="inlineStr">
        <is>
          <t>100.0</t>
        </is>
      </c>
      <c r="F150" s="7" t="n">
        <v>180</v>
      </c>
      <c r="G150" s="7" t="n">
        <v>1.8</v>
      </c>
      <c r="H150" s="7" t="n">
        <v>2</v>
      </c>
      <c r="I150" s="7" t="n">
        <v>0.2</v>
      </c>
      <c r="J150" s="8" t="n">
        <v>53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NYM</t>
        </is>
      </c>
      <c r="C151" s="5" t="inlineStr">
        <is>
          <t>70756005212</t>
        </is>
      </c>
      <c r="D151" s="5" t="inlineStr">
        <is>
          <t>FAMOTIDINE 40MG TABLET</t>
        </is>
      </c>
      <c r="E151" s="6" t="inlineStr">
        <is>
          <t>1000.0</t>
        </is>
      </c>
      <c r="F151" s="7" t="n">
        <v>240</v>
      </c>
      <c r="G151" s="7" t="n">
        <v>0.24</v>
      </c>
      <c r="H151" s="7" t="n">
        <v>0</v>
      </c>
      <c r="I151" s="7" t="n">
        <v>-0.24</v>
      </c>
      <c r="J151" s="8" t="n">
        <v>52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NYM</t>
        </is>
      </c>
      <c r="C152" s="5" t="inlineStr">
        <is>
          <t>42806071501</t>
        </is>
      </c>
      <c r="D152" s="5" t="inlineStr">
        <is>
          <t>BENZONATATE 200MG CAPSULE</t>
        </is>
      </c>
      <c r="E152" s="6" t="inlineStr">
        <is>
          <t>100.0</t>
        </is>
      </c>
      <c r="F152" s="7" t="n">
        <v>112</v>
      </c>
      <c r="G152" s="7" t="n">
        <v>1.12</v>
      </c>
      <c r="H152" s="7" t="n">
        <v>0</v>
      </c>
      <c r="I152" s="7" t="n">
        <v>-1.12</v>
      </c>
      <c r="J152" s="8" t="n">
        <v>52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NYM</t>
        </is>
      </c>
      <c r="C153" s="5" t="inlineStr">
        <is>
          <t>52817080030</t>
        </is>
      </c>
      <c r="D153" s="5" t="inlineStr">
        <is>
          <t xml:space="preserve">CLOTRIMAZOLE 1 % SOLUTION </t>
        </is>
      </c>
      <c r="E153" s="6" t="inlineStr">
        <is>
          <t>30.0</t>
        </is>
      </c>
      <c r="F153" s="7" t="n">
        <v>60</v>
      </c>
      <c r="G153" s="7" t="n">
        <v>2</v>
      </c>
      <c r="H153" s="7" t="n">
        <v>0</v>
      </c>
      <c r="I153" s="7" t="n">
        <v>-2</v>
      </c>
      <c r="J153" s="8" t="n">
        <v>51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NYM</t>
        </is>
      </c>
      <c r="C154" s="5" t="inlineStr">
        <is>
          <t>00904719260</t>
        </is>
      </c>
      <c r="D154" s="5" t="inlineStr">
        <is>
          <t>FEXOFENADINE 60MG TABLET</t>
        </is>
      </c>
      <c r="E154" s="6" t="inlineStr">
        <is>
          <t>100.0</t>
        </is>
      </c>
      <c r="F154" s="7" t="n">
        <v>200</v>
      </c>
      <c r="G154" s="7" t="n">
        <v>2</v>
      </c>
      <c r="H154" s="7" t="n">
        <v>2</v>
      </c>
      <c r="I154" s="7" t="n">
        <v>0</v>
      </c>
      <c r="J154" s="8" t="n">
        <v>51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NYM</t>
        </is>
      </c>
      <c r="C155" s="5" t="inlineStr">
        <is>
          <t>67877032105</t>
        </is>
      </c>
      <c r="D155" s="5" t="inlineStr">
        <is>
          <t xml:space="preserve">IBUPROFEN 800MG TAB </t>
        </is>
      </c>
      <c r="E155" s="6" t="inlineStr">
        <is>
          <t>500.0</t>
        </is>
      </c>
      <c r="F155" s="7" t="n">
        <v>181</v>
      </c>
      <c r="G155" s="7" t="n">
        <v>0.362</v>
      </c>
      <c r="H155" s="7" t="n">
        <v>0</v>
      </c>
      <c r="I155" s="7" t="n">
        <v>-0.362</v>
      </c>
      <c r="J155" s="8" t="n">
        <v>49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NYM</t>
        </is>
      </c>
      <c r="C156" s="5" t="inlineStr">
        <is>
          <t>69367039505</t>
        </is>
      </c>
      <c r="D156" s="5" t="inlineStr">
        <is>
          <t>IBUPROFEN 600 MG TABLET</t>
        </is>
      </c>
      <c r="E156" s="6" t="inlineStr">
        <is>
          <t>500.0</t>
        </is>
      </c>
      <c r="F156" s="7" t="n">
        <v>210</v>
      </c>
      <c r="G156" s="7" t="n">
        <v>0.42</v>
      </c>
      <c r="H156" s="7" t="n">
        <v>2</v>
      </c>
      <c r="I156" s="7" t="n">
        <v>1.58</v>
      </c>
      <c r="J156" s="8" t="n">
        <v>49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NYM</t>
        </is>
      </c>
      <c r="C157" s="5" t="inlineStr">
        <is>
          <t>65862001205</t>
        </is>
      </c>
      <c r="D157" s="5" t="inlineStr">
        <is>
          <t>SERTRALINE 50MG TABLET</t>
        </is>
      </c>
      <c r="E157" s="6" t="inlineStr">
        <is>
          <t>500.0</t>
        </is>
      </c>
      <c r="F157" s="7" t="n">
        <v>180</v>
      </c>
      <c r="G157" s="7" t="n">
        <v>0.36</v>
      </c>
      <c r="H157" s="7" t="n">
        <v>2</v>
      </c>
      <c r="I157" s="7" t="n">
        <v>1.64</v>
      </c>
      <c r="J157" s="8" t="n">
        <v>46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NYM</t>
        </is>
      </c>
      <c r="C158" s="5" t="inlineStr">
        <is>
          <t>62332017460</t>
        </is>
      </c>
      <c r="D158" s="5" t="inlineStr">
        <is>
          <t>LACOSAMIDE 200 MG ORAL TABLET</t>
        </is>
      </c>
      <c r="E158" s="6" t="inlineStr">
        <is>
          <t>60.0</t>
        </is>
      </c>
      <c r="F158" s="7" t="n">
        <v>120</v>
      </c>
      <c r="G158" s="7" t="n">
        <v>2</v>
      </c>
      <c r="H158" s="7" t="n">
        <v>4</v>
      </c>
      <c r="I158" s="7" t="n">
        <v>2</v>
      </c>
      <c r="J158" s="8" t="n">
        <v>46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NYM</t>
        </is>
      </c>
      <c r="C159" s="5" t="inlineStr">
        <is>
          <t>00904404073</t>
        </is>
      </c>
      <c r="D159" s="5" t="inlineStr">
        <is>
          <t>ASPIRIN 81 MG ORAL TABLET CHEWABLE</t>
        </is>
      </c>
      <c r="E159" s="6" t="inlineStr">
        <is>
          <t>36.0</t>
        </is>
      </c>
      <c r="F159" s="7" t="n">
        <v>206</v>
      </c>
      <c r="G159" s="7" t="n">
        <v>5.722222222222222</v>
      </c>
      <c r="H159" s="7" t="n">
        <v>0</v>
      </c>
      <c r="I159" s="7" t="n">
        <v>-5.722222222222222</v>
      </c>
      <c r="J159" s="8" t="n">
        <v>46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NYM</t>
        </is>
      </c>
      <c r="C160" s="5" t="inlineStr">
        <is>
          <t>00536129710</t>
        </is>
      </c>
      <c r="D160" s="5" t="inlineStr">
        <is>
          <t>MECLIZINE 12.5MG TABLET</t>
        </is>
      </c>
      <c r="E160" s="6" t="inlineStr">
        <is>
          <t>1000.0</t>
        </is>
      </c>
      <c r="F160" s="7" t="n">
        <v>270</v>
      </c>
      <c r="G160" s="7" t="n">
        <v>0.27</v>
      </c>
      <c r="H160" s="7" t="n">
        <v>0</v>
      </c>
      <c r="I160" s="7" t="n">
        <v>-0.27</v>
      </c>
      <c r="J160" s="8" t="n">
        <v>45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NYM</t>
        </is>
      </c>
      <c r="C161" s="5" t="inlineStr">
        <is>
          <t>13668013610</t>
        </is>
      </c>
      <c r="D161" s="5" t="inlineStr">
        <is>
          <t>ESCITALOPRAM 10MG TABLET</t>
        </is>
      </c>
      <c r="E161" s="6" t="inlineStr">
        <is>
          <t>1000.0</t>
        </is>
      </c>
      <c r="F161" s="7" t="n">
        <v>135</v>
      </c>
      <c r="G161" s="7" t="n">
        <v>0.135</v>
      </c>
      <c r="H161" s="7" t="n">
        <v>0</v>
      </c>
      <c r="I161" s="7" t="n">
        <v>-0.135</v>
      </c>
      <c r="J161" s="8" t="n">
        <v>45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NYM</t>
        </is>
      </c>
      <c r="C162" s="5" t="inlineStr">
        <is>
          <t>72578000805</t>
        </is>
      </c>
      <c r="D162" s="5" t="inlineStr">
        <is>
          <t>METRONIDAZOLE 500MG TABLET</t>
        </is>
      </c>
      <c r="E162" s="6" t="inlineStr">
        <is>
          <t>500.0</t>
        </is>
      </c>
      <c r="F162" s="7" t="n">
        <v>48</v>
      </c>
      <c r="G162" s="7" t="n">
        <v>0.096</v>
      </c>
      <c r="H162" s="7" t="n">
        <v>0</v>
      </c>
      <c r="I162" s="7" t="n">
        <v>-0.096</v>
      </c>
      <c r="J162" s="8" t="n">
        <v>45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NYM</t>
        </is>
      </c>
      <c r="C163" s="5" t="inlineStr">
        <is>
          <t>00713063437</t>
        </is>
      </c>
      <c r="D163" s="5" t="inlineStr">
        <is>
          <t>MOMETASONE FUROATE 0.1 % EXTERNAL CREAM</t>
        </is>
      </c>
      <c r="E163" s="6" t="inlineStr">
        <is>
          <t>45.0</t>
        </is>
      </c>
      <c r="F163" s="7" t="n">
        <v>90</v>
      </c>
      <c r="G163" s="7" t="n">
        <v>2</v>
      </c>
      <c r="H163" s="7" t="n">
        <v>0</v>
      </c>
      <c r="I163" s="7" t="n">
        <v>-2</v>
      </c>
      <c r="J163" s="8" t="n">
        <v>45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NYM</t>
        </is>
      </c>
      <c r="C164" s="5" t="inlineStr">
        <is>
          <t>00904722320</t>
        </is>
      </c>
      <c r="D164" s="5" t="inlineStr">
        <is>
          <t>ROBAFEN DM 20-200 MG/20ML ORAL LIQUID</t>
        </is>
      </c>
      <c r="E164" s="6" t="inlineStr">
        <is>
          <t>118.0</t>
        </is>
      </c>
      <c r="F164" s="7" t="n">
        <v>1180</v>
      </c>
      <c r="G164" s="7" t="n">
        <v>10</v>
      </c>
      <c r="H164" s="7" t="n">
        <v>0</v>
      </c>
      <c r="I164" s="7" t="n">
        <v>-10</v>
      </c>
      <c r="J164" s="8" t="n">
        <v>45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NYM</t>
        </is>
      </c>
      <c r="C165" s="5" t="inlineStr">
        <is>
          <t>70377007713</t>
        </is>
      </c>
      <c r="D165" s="5" t="inlineStr">
        <is>
          <t>ATORVASTATIN 10MG TABLET</t>
        </is>
      </c>
      <c r="E165" s="6" t="inlineStr">
        <is>
          <t>1000.0</t>
        </is>
      </c>
      <c r="F165" s="7" t="n">
        <v>180</v>
      </c>
      <c r="G165" s="7" t="n">
        <v>0.18</v>
      </c>
      <c r="H165" s="7" t="n">
        <v>0</v>
      </c>
      <c r="I165" s="7" t="n">
        <v>-0.18</v>
      </c>
      <c r="J165" s="8" t="n">
        <v>44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NYM</t>
        </is>
      </c>
      <c r="C166" s="5" t="inlineStr">
        <is>
          <t>72888001400</t>
        </is>
      </c>
      <c r="D166" s="5" t="inlineStr">
        <is>
          <t>CYCLOBENZAPRINE 10MG TABLET</t>
        </is>
      </c>
      <c r="E166" s="6" t="inlineStr">
        <is>
          <t>1000.0</t>
        </is>
      </c>
      <c r="F166" s="7" t="n">
        <v>180</v>
      </c>
      <c r="G166" s="7" t="n">
        <v>0.18</v>
      </c>
      <c r="H166" s="7" t="n">
        <v>0</v>
      </c>
      <c r="I166" s="7" t="n">
        <v>-0.18</v>
      </c>
      <c r="J166" s="8" t="n">
        <v>44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NYM</t>
        </is>
      </c>
      <c r="C167" s="5" t="inlineStr">
        <is>
          <t>57237000511</t>
        </is>
      </c>
      <c r="D167" s="5" t="inlineStr">
        <is>
          <t xml:space="preserve">FLUCONAZOLE 150MG TAB </t>
        </is>
      </c>
      <c r="E167" s="6" t="inlineStr">
        <is>
          <t>12.0</t>
        </is>
      </c>
      <c r="F167" s="7" t="n">
        <v>9</v>
      </c>
      <c r="G167" s="7" t="n">
        <v>0.75</v>
      </c>
      <c r="H167" s="7" t="n">
        <v>3</v>
      </c>
      <c r="I167" s="7" t="n">
        <v>2.25</v>
      </c>
      <c r="J167" s="8" t="n">
        <v>44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NYM</t>
        </is>
      </c>
      <c r="C168" s="5" t="inlineStr">
        <is>
          <t>67877049005</t>
        </is>
      </c>
      <c r="D168" s="5" t="inlineStr">
        <is>
          <t>EZETIMIBE 10MG TABLET</t>
        </is>
      </c>
      <c r="E168" s="6" t="inlineStr">
        <is>
          <t>500.0</t>
        </is>
      </c>
      <c r="F168" s="7" t="n">
        <v>270</v>
      </c>
      <c r="G168" s="7" t="n">
        <v>0.54</v>
      </c>
      <c r="H168" s="7" t="n">
        <v>3</v>
      </c>
      <c r="I168" s="7" t="n">
        <v>2.46</v>
      </c>
      <c r="J168" s="8" t="n">
        <v>43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NYM</t>
        </is>
      </c>
      <c r="C169" s="5" t="inlineStr">
        <is>
          <t>00555902658</t>
        </is>
      </c>
      <c r="D169" s="5" t="inlineStr">
        <is>
          <t>JUNEL FE 1/20 1-20MG TABLET</t>
        </is>
      </c>
      <c r="E169" s="6" t="inlineStr">
        <is>
          <t>28.0</t>
        </is>
      </c>
      <c r="F169" s="7" t="n">
        <v>168</v>
      </c>
      <c r="G169" s="7" t="n">
        <v>6</v>
      </c>
      <c r="H169" s="7" t="n">
        <v>3</v>
      </c>
      <c r="I169" s="7" t="n">
        <v>-3</v>
      </c>
      <c r="J169" s="8" t="n">
        <v>43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NYM</t>
        </is>
      </c>
      <c r="C170" s="5" t="inlineStr">
        <is>
          <t>67877022305</t>
        </is>
      </c>
      <c r="D170" s="5" t="inlineStr">
        <is>
          <t>GABAPENTIN 300 MG CAPSULE</t>
        </is>
      </c>
      <c r="E170" s="6" t="inlineStr">
        <is>
          <t>500.0</t>
        </is>
      </c>
      <c r="F170" s="7" t="n">
        <v>180</v>
      </c>
      <c r="G170" s="7" t="n">
        <v>0.36</v>
      </c>
      <c r="H170" s="7" t="n">
        <v>0</v>
      </c>
      <c r="I170" s="7" t="n">
        <v>-0.36</v>
      </c>
      <c r="J170" s="8" t="n">
        <v>43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NYM</t>
        </is>
      </c>
      <c r="C171" s="5" t="inlineStr">
        <is>
          <t>60505057804</t>
        </is>
      </c>
      <c r="D171" s="5" t="inlineStr">
        <is>
          <t>AZELASTINE 0.05% OPHTHALMIC SOLUTION</t>
        </is>
      </c>
      <c r="E171" s="6" t="inlineStr">
        <is>
          <t>6.0</t>
        </is>
      </c>
      <c r="F171" s="7" t="n">
        <v>24</v>
      </c>
      <c r="G171" s="7" t="n">
        <v>4</v>
      </c>
      <c r="H171" s="7" t="n">
        <v>0</v>
      </c>
      <c r="I171" s="7" t="n">
        <v>-4</v>
      </c>
      <c r="J171" s="8" t="n">
        <v>43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NYM</t>
        </is>
      </c>
      <c r="C172" s="5" t="inlineStr">
        <is>
          <t>70010078005</t>
        </is>
      </c>
      <c r="D172" s="5" t="inlineStr">
        <is>
          <t>METOPROLOL SUCCINATE ER 25MG TABLET</t>
        </is>
      </c>
      <c r="E172" s="6" t="inlineStr">
        <is>
          <t>500.0</t>
        </is>
      </c>
      <c r="F172" s="7" t="n">
        <v>270</v>
      </c>
      <c r="G172" s="7" t="n">
        <v>0.54</v>
      </c>
      <c r="H172" s="7" t="n">
        <v>4</v>
      </c>
      <c r="I172" s="7" t="n">
        <v>3.46</v>
      </c>
      <c r="J172" s="8" t="n">
        <v>42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NYM</t>
        </is>
      </c>
      <c r="C173" s="5" t="inlineStr">
        <is>
          <t>70377005612</t>
        </is>
      </c>
      <c r="D173" s="5" t="inlineStr">
        <is>
          <t>ESOMEPRAZOLE 40MG CAPSULE DR</t>
        </is>
      </c>
      <c r="E173" s="6" t="inlineStr">
        <is>
          <t>90.0</t>
        </is>
      </c>
      <c r="F173" s="7" t="n">
        <v>150</v>
      </c>
      <c r="G173" s="7" t="n">
        <v>1.666666666666667</v>
      </c>
      <c r="H173" s="7" t="n">
        <v>0</v>
      </c>
      <c r="I173" s="7" t="n">
        <v>-1.666666666666667</v>
      </c>
      <c r="J173" s="8" t="n">
        <v>42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NYM</t>
        </is>
      </c>
      <c r="C174" s="5" t="inlineStr">
        <is>
          <t>00093172101</t>
        </is>
      </c>
      <c r="D174" s="5" t="inlineStr">
        <is>
          <t xml:space="preserve">WARFARIN SODIUM 5MG TAB </t>
        </is>
      </c>
      <c r="E174" s="6" t="inlineStr">
        <is>
          <t>100.0</t>
        </is>
      </c>
      <c r="F174" s="7" t="n">
        <v>150</v>
      </c>
      <c r="G174" s="7" t="n">
        <v>1.5</v>
      </c>
      <c r="H174" s="7" t="n">
        <v>2</v>
      </c>
      <c r="I174" s="7" t="n">
        <v>0.5</v>
      </c>
      <c r="J174" s="8" t="n">
        <v>42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NYM</t>
        </is>
      </c>
      <c r="C175" s="5" t="inlineStr">
        <is>
          <t>00536131698</t>
        </is>
      </c>
      <c r="D175" s="5" t="inlineStr">
        <is>
          <t>ZINC OXIDE 20 % EXTERNAL OINTMENT</t>
        </is>
      </c>
      <c r="E175" s="6" t="inlineStr">
        <is>
          <t>454.0</t>
        </is>
      </c>
      <c r="F175" s="7" t="n">
        <v>1362</v>
      </c>
      <c r="G175" s="7" t="n">
        <v>3</v>
      </c>
      <c r="H175" s="7" t="n">
        <v>4</v>
      </c>
      <c r="I175" s="7" t="n">
        <v>1</v>
      </c>
      <c r="J175" s="8" t="n">
        <v>41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NYM</t>
        </is>
      </c>
      <c r="C176" s="5" t="inlineStr">
        <is>
          <t>75907002448</t>
        </is>
      </c>
      <c r="D176" s="5" t="inlineStr">
        <is>
          <t>CLONIDINE 0.2 MG/24HR TRANSDERMAL PATCH WEEKLY</t>
        </is>
      </c>
      <c r="E176" s="6" t="inlineStr">
        <is>
          <t>4.0</t>
        </is>
      </c>
      <c r="F176" s="7" t="n">
        <v>4</v>
      </c>
      <c r="G176" s="7" t="n">
        <v>1</v>
      </c>
      <c r="H176" s="7" t="n">
        <v>2</v>
      </c>
      <c r="I176" s="7" t="n">
        <v>1</v>
      </c>
      <c r="J176" s="8" t="n">
        <v>41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NYM</t>
        </is>
      </c>
      <c r="C177" s="5" t="inlineStr">
        <is>
          <t>62332018203</t>
        </is>
      </c>
      <c r="D177" s="5" t="inlineStr">
        <is>
          <t>ZOLMITRIPTAN 5 MG ORAL TABLET DISINTEGRATING</t>
        </is>
      </c>
      <c r="E177" s="6" t="inlineStr">
        <is>
          <t>3.0</t>
        </is>
      </c>
      <c r="F177" s="7" t="n">
        <v>9</v>
      </c>
      <c r="G177" s="7" t="n">
        <v>3</v>
      </c>
      <c r="H177" s="7" t="n">
        <v>3</v>
      </c>
      <c r="I177" s="7" t="n">
        <v>0</v>
      </c>
      <c r="J177" s="8" t="n">
        <v>41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NYM</t>
        </is>
      </c>
      <c r="C178" s="5" t="inlineStr">
        <is>
          <t>00245010811</t>
        </is>
      </c>
      <c r="D178" s="5" t="inlineStr">
        <is>
          <t>FERROUS SULFATE 325MG TABLET (NYM)</t>
        </is>
      </c>
      <c r="E178" s="6" t="inlineStr">
        <is>
          <t>100.0</t>
        </is>
      </c>
      <c r="F178" s="7" t="n">
        <v>1269</v>
      </c>
      <c r="G178" s="7" t="n">
        <v>12.69</v>
      </c>
      <c r="H178" s="7" t="n">
        <v>0</v>
      </c>
      <c r="I178" s="7" t="n">
        <v>-12.69</v>
      </c>
      <c r="J178" s="8" t="n">
        <v>40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NYM</t>
        </is>
      </c>
      <c r="C179" s="5" t="inlineStr">
        <is>
          <t>00168041630</t>
        </is>
      </c>
      <c r="D179" s="5" t="inlineStr">
        <is>
          <t>TACROLIMUS 0.1 % OINTMENT</t>
        </is>
      </c>
      <c r="E179" s="6" t="inlineStr">
        <is>
          <t>30.0</t>
        </is>
      </c>
      <c r="F179" s="7" t="n">
        <v>30</v>
      </c>
      <c r="G179" s="7" t="n">
        <v>1</v>
      </c>
      <c r="H179" s="7" t="n">
        <v>0</v>
      </c>
      <c r="I179" s="7" t="n">
        <v>-1</v>
      </c>
      <c r="J179" s="8" t="n">
        <v>40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NYM</t>
        </is>
      </c>
      <c r="C180" s="5" t="inlineStr">
        <is>
          <t>72205020090</t>
        </is>
      </c>
      <c r="D180" s="5" t="inlineStr">
        <is>
          <t>ROFLUMILAST 500 MCG ORAL TABLET</t>
        </is>
      </c>
      <c r="E180" s="6" t="inlineStr">
        <is>
          <t>90.0</t>
        </is>
      </c>
      <c r="F180" s="7" t="n">
        <v>90</v>
      </c>
      <c r="G180" s="7" t="n">
        <v>1</v>
      </c>
      <c r="H180" s="7" t="n">
        <v>0</v>
      </c>
      <c r="I180" s="7" t="n">
        <v>-1</v>
      </c>
      <c r="J180" s="8" t="n">
        <v>40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NYM</t>
        </is>
      </c>
      <c r="C181" s="5" t="inlineStr">
        <is>
          <t>51672408104</t>
        </is>
      </c>
      <c r="D181" s="5" t="inlineStr">
        <is>
          <t>CLINDAMYCIN PHOSPHATE 1 % EXTERNAL SOLUTION</t>
        </is>
      </c>
      <c r="E181" s="6" t="inlineStr">
        <is>
          <t>60.0</t>
        </is>
      </c>
      <c r="F181" s="7" t="n">
        <v>120</v>
      </c>
      <c r="G181" s="7" t="n">
        <v>2</v>
      </c>
      <c r="H181" s="7" t="n">
        <v>0</v>
      </c>
      <c r="I181" s="7" t="n">
        <v>-2</v>
      </c>
      <c r="J181" s="8" t="n">
        <v>40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NYM</t>
        </is>
      </c>
      <c r="C182" s="5" t="inlineStr">
        <is>
          <t>68180031902</t>
        </is>
      </c>
      <c r="D182" s="5" t="inlineStr">
        <is>
          <t>BUPROPION HCL ER (XL) 150MG</t>
        </is>
      </c>
      <c r="E182" s="6" t="inlineStr">
        <is>
          <t>500.0</t>
        </is>
      </c>
      <c r="F182" s="7" t="n">
        <v>111</v>
      </c>
      <c r="G182" s="7" t="n">
        <v>0.222</v>
      </c>
      <c r="H182" s="7" t="n">
        <v>0</v>
      </c>
      <c r="I182" s="7" t="n">
        <v>-0.222</v>
      </c>
      <c r="J182" s="8" t="n">
        <v>39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NYM</t>
        </is>
      </c>
      <c r="C183" s="5" t="inlineStr">
        <is>
          <t>65862020399</t>
        </is>
      </c>
      <c r="D183" s="5" t="inlineStr">
        <is>
          <t>LOSARTAN 100MG TABLET</t>
        </is>
      </c>
      <c r="E183" s="6" t="inlineStr">
        <is>
          <t>1000.0</t>
        </is>
      </c>
      <c r="F183" s="7" t="n">
        <v>270</v>
      </c>
      <c r="G183" s="7" t="n">
        <v>0.27</v>
      </c>
      <c r="H183" s="7" t="n">
        <v>0</v>
      </c>
      <c r="I183" s="7" t="n">
        <v>-0.27</v>
      </c>
      <c r="J183" s="8" t="n">
        <v>39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NYM</t>
        </is>
      </c>
      <c r="C184" s="5" t="inlineStr">
        <is>
          <t>57664068788</t>
        </is>
      </c>
      <c r="D184" s="5" t="inlineStr">
        <is>
          <t>AMITRIPTYLINE 10 MG TABLET</t>
        </is>
      </c>
      <c r="E184" s="6" t="inlineStr">
        <is>
          <t>100.0</t>
        </is>
      </c>
      <c r="F184" s="7" t="n">
        <v>240</v>
      </c>
      <c r="G184" s="7" t="n">
        <v>2.4</v>
      </c>
      <c r="H184" s="7" t="n">
        <v>0</v>
      </c>
      <c r="I184" s="7" t="n">
        <v>-2.4</v>
      </c>
      <c r="J184" s="8" t="n">
        <v>39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NYM</t>
        </is>
      </c>
      <c r="C185" s="5" t="inlineStr">
        <is>
          <t>61442010305</t>
        </is>
      </c>
      <c r="D185" s="5" t="inlineStr">
        <is>
          <t xml:space="preserve">DICLOFENAC SOD 75MG TAB DR </t>
        </is>
      </c>
      <c r="E185" s="6" t="inlineStr">
        <is>
          <t>500.0</t>
        </is>
      </c>
      <c r="F185" s="7" t="n">
        <v>120</v>
      </c>
      <c r="G185" s="7" t="n">
        <v>0.24</v>
      </c>
      <c r="H185" s="7" t="n">
        <v>0</v>
      </c>
      <c r="I185" s="7" t="n">
        <v>-0.24</v>
      </c>
      <c r="J185" s="8" t="n">
        <v>38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NYM</t>
        </is>
      </c>
      <c r="C186" s="5" t="inlineStr">
        <is>
          <t>67877024910</t>
        </is>
      </c>
      <c r="D186" s="5" t="inlineStr">
        <is>
          <t>QUETIAPINE 50MG TABLET</t>
        </is>
      </c>
      <c r="E186" s="6" t="inlineStr">
        <is>
          <t>1000.0</t>
        </is>
      </c>
      <c r="F186" s="7" t="n">
        <v>210</v>
      </c>
      <c r="G186" s="7" t="n">
        <v>0.21</v>
      </c>
      <c r="H186" s="7" t="n">
        <v>0</v>
      </c>
      <c r="I186" s="7" t="n">
        <v>-0.21</v>
      </c>
      <c r="J186" s="8" t="n">
        <v>38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NYM</t>
        </is>
      </c>
      <c r="C187" s="5" t="inlineStr">
        <is>
          <t>68180096903</t>
        </is>
      </c>
      <c r="D187" s="5" t="inlineStr">
        <is>
          <t>LEVOTHYROXINE 100MCG TABLET</t>
        </is>
      </c>
      <c r="E187" s="6" t="inlineStr">
        <is>
          <t>1000.0</t>
        </is>
      </c>
      <c r="F187" s="7" t="n">
        <v>150</v>
      </c>
      <c r="G187" s="7" t="n">
        <v>0.15</v>
      </c>
      <c r="H187" s="7" t="n">
        <v>0</v>
      </c>
      <c r="I187" s="7" t="n">
        <v>-0.15</v>
      </c>
      <c r="J187" s="8" t="n">
        <v>38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NYM</t>
        </is>
      </c>
      <c r="C188" s="5" t="inlineStr">
        <is>
          <t>59651072405</t>
        </is>
      </c>
      <c r="D188" s="5" t="inlineStr">
        <is>
          <t>CLONAZEPAM 2MG TABLET</t>
        </is>
      </c>
      <c r="E188" s="6" t="inlineStr">
        <is>
          <t>500.0</t>
        </is>
      </c>
      <c r="F188" s="7" t="n">
        <v>200</v>
      </c>
      <c r="G188" s="7" t="n">
        <v>0.4</v>
      </c>
      <c r="H188" s="7" t="n">
        <v>1</v>
      </c>
      <c r="I188" s="7" t="n">
        <v>0.6</v>
      </c>
      <c r="J188" s="8" t="n">
        <v>37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NYM</t>
        </is>
      </c>
      <c r="C189" s="5" t="inlineStr">
        <is>
          <t>57237004230</t>
        </is>
      </c>
      <c r="D189" s="5" t="inlineStr">
        <is>
          <t>VALACYCLOVIR 500MG TABLET</t>
        </is>
      </c>
      <c r="E189" s="6" t="inlineStr">
        <is>
          <t>30.0</t>
        </is>
      </c>
      <c r="F189" s="7" t="n">
        <v>30</v>
      </c>
      <c r="G189" s="7" t="n">
        <v>1</v>
      </c>
      <c r="H189" s="7" t="n">
        <v>0</v>
      </c>
      <c r="I189" s="7" t="n">
        <v>-1</v>
      </c>
      <c r="J189" s="8" t="n">
        <v>37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NYM</t>
        </is>
      </c>
      <c r="C190" s="5" t="inlineStr">
        <is>
          <t>00406117001</t>
        </is>
      </c>
      <c r="D190" s="5" t="inlineStr">
        <is>
          <t>NALTREXONE 50MG TABLET</t>
        </is>
      </c>
      <c r="E190" s="6" t="inlineStr">
        <is>
          <t>100.0</t>
        </is>
      </c>
      <c r="F190" s="7" t="n">
        <v>30</v>
      </c>
      <c r="G190" s="7" t="n">
        <v>0.3</v>
      </c>
      <c r="H190" s="7" t="n">
        <v>0</v>
      </c>
      <c r="I190" s="7" t="n">
        <v>-0.3</v>
      </c>
      <c r="J190" s="8" t="n">
        <v>37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NYM</t>
        </is>
      </c>
      <c r="C191" s="5" t="inlineStr">
        <is>
          <t>69097007212</t>
        </is>
      </c>
      <c r="D191" s="5" t="inlineStr">
        <is>
          <t>BUPROPION HCL ER (XL) 300MG TABLET</t>
        </is>
      </c>
      <c r="E191" s="6" t="inlineStr">
        <is>
          <t>500.0</t>
        </is>
      </c>
      <c r="F191" s="7" t="n">
        <v>90</v>
      </c>
      <c r="G191" s="7" t="n">
        <v>0.18</v>
      </c>
      <c r="H191" s="7" t="n">
        <v>0</v>
      </c>
      <c r="I191" s="7" t="n">
        <v>-0.18</v>
      </c>
      <c r="J191" s="8" t="n">
        <v>37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NYM</t>
        </is>
      </c>
      <c r="C192" s="5" t="inlineStr">
        <is>
          <t>00143980305</t>
        </is>
      </c>
      <c r="D192" s="5" t="inlineStr">
        <is>
          <t>DOXYCYCLINE HYCLATE 100MG CAPSULE</t>
        </is>
      </c>
      <c r="E192" s="6" t="inlineStr">
        <is>
          <t>500.0</t>
        </is>
      </c>
      <c r="F192" s="7" t="n">
        <v>70</v>
      </c>
      <c r="G192" s="7" t="n">
        <v>0.14</v>
      </c>
      <c r="H192" s="7" t="n">
        <v>0</v>
      </c>
      <c r="I192" s="7" t="n">
        <v>-0.14</v>
      </c>
      <c r="J192" s="8" t="n">
        <v>37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NYM</t>
        </is>
      </c>
      <c r="C193" s="5" t="inlineStr">
        <is>
          <t>65162067684</t>
        </is>
      </c>
      <c r="D193" s="5" t="inlineStr">
        <is>
          <t>AZELASTINE HCL 137 MCG/SPRAY NASAL SOLUTION</t>
        </is>
      </c>
      <c r="E193" s="6" t="inlineStr">
        <is>
          <t>30.0</t>
        </is>
      </c>
      <c r="F193" s="7" t="n">
        <v>60</v>
      </c>
      <c r="G193" s="7" t="n">
        <v>2</v>
      </c>
      <c r="H193" s="7" t="n">
        <v>0</v>
      </c>
      <c r="I193" s="7" t="n">
        <v>-2</v>
      </c>
      <c r="J193" s="8" t="n">
        <v>37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NYM</t>
        </is>
      </c>
      <c r="C194" s="5" t="inlineStr">
        <is>
          <t>00023455430</t>
        </is>
      </c>
      <c r="D194" s="5" t="inlineStr">
        <is>
          <t>REFRESH CELLUVISC 1 % OPHTHALMIC GEL</t>
        </is>
      </c>
      <c r="E194" s="6" t="inlineStr">
        <is>
          <t>30.0</t>
        </is>
      </c>
      <c r="F194" s="7" t="n">
        <v>60</v>
      </c>
      <c r="G194" s="7" t="n">
        <v>2</v>
      </c>
      <c r="H194" s="7" t="n">
        <v>0</v>
      </c>
      <c r="I194" s="7" t="n">
        <v>-2</v>
      </c>
      <c r="J194" s="8" t="n">
        <v>36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NYM</t>
        </is>
      </c>
      <c r="C195" s="5" t="inlineStr">
        <is>
          <t>00536100715</t>
        </is>
      </c>
      <c r="D195" s="5" t="inlineStr">
        <is>
          <t>CALCIUM CARBONATE 500MG TABLET CHEWABLE</t>
        </is>
      </c>
      <c r="E195" s="6" t="inlineStr">
        <is>
          <t>150.0</t>
        </is>
      </c>
      <c r="F195" s="7" t="n">
        <v>390</v>
      </c>
      <c r="G195" s="7" t="n">
        <v>2.6</v>
      </c>
      <c r="H195" s="7" t="n">
        <v>6</v>
      </c>
      <c r="I195" s="7" t="n">
        <v>3.4</v>
      </c>
      <c r="J195" s="8" t="n">
        <v>36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NYM</t>
        </is>
      </c>
      <c r="C196" s="5" t="inlineStr">
        <is>
          <t>51672407008</t>
        </is>
      </c>
      <c r="D196" s="5" t="inlineStr">
        <is>
          <t>CETIRIZINE HCL 1 MG/ML ORAL SOLUTION</t>
        </is>
      </c>
      <c r="E196" s="6" t="inlineStr">
        <is>
          <t>120.0</t>
        </is>
      </c>
      <c r="F196" s="7" t="n">
        <v>720</v>
      </c>
      <c r="G196" s="7" t="n">
        <v>6</v>
      </c>
      <c r="H196" s="7" t="n">
        <v>0</v>
      </c>
      <c r="I196" s="7" t="n">
        <v>-6</v>
      </c>
      <c r="J196" s="8" t="n">
        <v>36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NYM</t>
        </is>
      </c>
      <c r="C197" s="5" t="inlineStr">
        <is>
          <t>76204020030</t>
        </is>
      </c>
      <c r="D197" s="5" t="inlineStr">
        <is>
          <t>ALBUTEROL SULFATE (2.5 MG/3ML) 0.083% INHALATION NEBULIZATION SOLUTION</t>
        </is>
      </c>
      <c r="E197" s="6" t="inlineStr">
        <is>
          <t>90.0</t>
        </is>
      </c>
      <c r="F197" s="7" t="n">
        <v>270</v>
      </c>
      <c r="G197" s="7" t="n">
        <v>3</v>
      </c>
      <c r="H197" s="7" t="n">
        <v>0</v>
      </c>
      <c r="I197" s="7" t="n">
        <v>-3</v>
      </c>
      <c r="J197" s="8" t="n">
        <v>36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NYM</t>
        </is>
      </c>
      <c r="C198" s="5" t="inlineStr">
        <is>
          <t>50111056003</t>
        </is>
      </c>
      <c r="D198" s="5" t="inlineStr">
        <is>
          <t>TRAZODONE 50MG TABLET</t>
        </is>
      </c>
      <c r="E198" s="6" t="inlineStr">
        <is>
          <t>1000.0</t>
        </is>
      </c>
      <c r="F198" s="7" t="n">
        <v>141</v>
      </c>
      <c r="G198" s="7" t="n">
        <v>0.141</v>
      </c>
      <c r="H198" s="7" t="n">
        <v>0</v>
      </c>
      <c r="I198" s="7" t="n">
        <v>-0.141</v>
      </c>
      <c r="J198" s="8" t="n">
        <v>35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NYM</t>
        </is>
      </c>
      <c r="C199" s="5" t="inlineStr">
        <is>
          <t>67877025001</t>
        </is>
      </c>
      <c r="D199" s="5" t="inlineStr">
        <is>
          <t>QUETIAPINE FUMARATE 100MG TABLET</t>
        </is>
      </c>
      <c r="E199" s="6" t="inlineStr">
        <is>
          <t>100.0</t>
        </is>
      </c>
      <c r="F199" s="7" t="n">
        <v>105</v>
      </c>
      <c r="G199" s="7" t="n">
        <v>1.05</v>
      </c>
      <c r="H199" s="7" t="n">
        <v>0</v>
      </c>
      <c r="I199" s="7" t="n">
        <v>-1.05</v>
      </c>
      <c r="J199" s="8" t="n">
        <v>35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NYM</t>
        </is>
      </c>
      <c r="C200" s="5" t="inlineStr">
        <is>
          <t>57664050289</t>
        </is>
      </c>
      <c r="D200" s="5" t="inlineStr">
        <is>
          <t>TIZANIDINE 2MG TABLET</t>
        </is>
      </c>
      <c r="E200" s="6" t="inlineStr">
        <is>
          <t>150.0</t>
        </is>
      </c>
      <c r="F200" s="7" t="n">
        <v>150</v>
      </c>
      <c r="G200" s="7" t="n">
        <v>1</v>
      </c>
      <c r="H200" s="7" t="n">
        <v>0</v>
      </c>
      <c r="I200" s="7" t="n">
        <v>-1</v>
      </c>
      <c r="J200" s="8" t="n">
        <v>35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NYM</t>
        </is>
      </c>
      <c r="C201" s="5" t="inlineStr">
        <is>
          <t>80681013900</t>
        </is>
      </c>
      <c r="D201" s="5" t="inlineStr">
        <is>
          <t xml:space="preserve">CALCIUM-VIT D 600-400MG TAB </t>
        </is>
      </c>
      <c r="E201" s="6" t="inlineStr">
        <is>
          <t>150.0</t>
        </is>
      </c>
      <c r="F201" s="7" t="n">
        <v>1380</v>
      </c>
      <c r="G201" s="7" t="n">
        <v>9.199999999999999</v>
      </c>
      <c r="H201" s="7" t="n">
        <v>0</v>
      </c>
      <c r="I201" s="7" t="n">
        <v>-9.199999999999999</v>
      </c>
      <c r="J201" s="8" t="n">
        <v>35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NYM</t>
        </is>
      </c>
      <c r="C202" s="5" t="inlineStr">
        <is>
          <t>00904673080</t>
        </is>
      </c>
      <c r="D202" s="5" t="inlineStr">
        <is>
          <t>ACETAMINOPHEN EXTRA STRENGTH 500 MG ORAL TABLET</t>
        </is>
      </c>
      <c r="E202" s="6" t="inlineStr">
        <is>
          <t>1000.0</t>
        </is>
      </c>
      <c r="F202" s="7" t="n">
        <v>320</v>
      </c>
      <c r="G202" s="7" t="n">
        <v>0.32</v>
      </c>
      <c r="H202" s="7" t="n">
        <v>5</v>
      </c>
      <c r="I202" s="7" t="n">
        <v>4.68</v>
      </c>
      <c r="J202" s="8" t="n">
        <v>35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NYM</t>
        </is>
      </c>
      <c r="C203" s="5" t="inlineStr">
        <is>
          <t>67877022405</t>
        </is>
      </c>
      <c r="D203" s="5" t="inlineStr">
        <is>
          <t xml:space="preserve">GABAPENTIN 400MG CAP </t>
        </is>
      </c>
      <c r="E203" s="6" t="inlineStr">
        <is>
          <t>500.0</t>
        </is>
      </c>
      <c r="F203" s="7" t="n">
        <v>180</v>
      </c>
      <c r="G203" s="7" t="n">
        <v>0.36</v>
      </c>
      <c r="H203" s="7" t="n">
        <v>0</v>
      </c>
      <c r="I203" s="7" t="n">
        <v>-0.36</v>
      </c>
      <c r="J203" s="8" t="n">
        <v>34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NYM</t>
        </is>
      </c>
      <c r="C204" s="5" t="inlineStr">
        <is>
          <t>42571031501</t>
        </is>
      </c>
      <c r="D204" s="5" t="inlineStr">
        <is>
          <t>CLOBAZAM 10MG TABLET</t>
        </is>
      </c>
      <c r="E204" s="6" t="inlineStr">
        <is>
          <t>100.0</t>
        </is>
      </c>
      <c r="F204" s="7" t="n">
        <v>90</v>
      </c>
      <c r="G204" s="7" t="n">
        <v>0.9</v>
      </c>
      <c r="H204" s="7" t="n">
        <v>0</v>
      </c>
      <c r="I204" s="7" t="n">
        <v>-0.9</v>
      </c>
      <c r="J204" s="8" t="n">
        <v>34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NYM</t>
        </is>
      </c>
      <c r="C205" s="5" t="inlineStr">
        <is>
          <t>00536130723</t>
        </is>
      </c>
      <c r="D205" s="5" t="inlineStr">
        <is>
          <t>OLOPATADINE HCL 0.2 % OPHTHALMIC SOLUTION</t>
        </is>
      </c>
      <c r="E205" s="6" t="inlineStr">
        <is>
          <t>2.5</t>
        </is>
      </c>
      <c r="F205" s="7" t="n">
        <v>5</v>
      </c>
      <c r="G205" s="7" t="n">
        <v>2</v>
      </c>
      <c r="H205" s="7" t="n">
        <v>0</v>
      </c>
      <c r="I205" s="7" t="n">
        <v>-2</v>
      </c>
      <c r="J205" s="8" t="n">
        <v>34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NYM</t>
        </is>
      </c>
      <c r="C206" s="5" t="inlineStr">
        <is>
          <t>00536126659</t>
        </is>
      </c>
      <c r="D206" s="5" t="inlineStr">
        <is>
          <t>SENNA 8.8 MG/5ML ORAL LIQUID</t>
        </is>
      </c>
      <c r="E206" s="6" t="inlineStr">
        <is>
          <t>237.0</t>
        </is>
      </c>
      <c r="F206" s="7" t="n">
        <v>387</v>
      </c>
      <c r="G206" s="7" t="n">
        <v>1.632911392405063</v>
      </c>
      <c r="H206" s="7" t="n">
        <v>2</v>
      </c>
      <c r="I206" s="7" t="n">
        <v>0.3670886075949367</v>
      </c>
      <c r="J206" s="8" t="n">
        <v>34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NYM</t>
        </is>
      </c>
      <c r="C207" s="5" t="inlineStr">
        <is>
          <t>71800005819</t>
        </is>
      </c>
      <c r="D207" s="5" t="inlineStr">
        <is>
          <t>DIPHENHYDRAMINE HCL 12.5 MG/5ML(BENADRYL)LIQ-NYM</t>
        </is>
      </c>
      <c r="E207" s="6" t="inlineStr">
        <is>
          <t>119.0</t>
        </is>
      </c>
      <c r="F207" s="7" t="n">
        <v>119</v>
      </c>
      <c r="G207" s="7" t="n">
        <v>1</v>
      </c>
      <c r="H207" s="7" t="n">
        <v>0</v>
      </c>
      <c r="I207" s="7" t="n">
        <v>-1</v>
      </c>
      <c r="J207" s="8" t="n">
        <v>34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NYM</t>
        </is>
      </c>
      <c r="C208" s="5" t="inlineStr">
        <is>
          <t>59630075050</t>
        </is>
      </c>
      <c r="D208" s="5" t="inlineStr">
        <is>
          <t>METHYLIN 5 MG/5ML ORAL SOLUTION</t>
        </is>
      </c>
      <c r="E208" s="6" t="inlineStr">
        <is>
          <t>500.0</t>
        </is>
      </c>
      <c r="F208" s="7" t="n">
        <v>300</v>
      </c>
      <c r="G208" s="7" t="n">
        <v>0.6</v>
      </c>
      <c r="H208" s="7" t="n">
        <v>0</v>
      </c>
      <c r="I208" s="7" t="n">
        <v>-0.6</v>
      </c>
      <c r="J208" s="8" t="n">
        <v>33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NYM</t>
        </is>
      </c>
      <c r="C209" s="5" t="inlineStr">
        <is>
          <t>52817018010</t>
        </is>
      </c>
      <c r="D209" s="5" t="inlineStr">
        <is>
          <t xml:space="preserve">CLONIDINE 0.1MG TAB </t>
        </is>
      </c>
      <c r="E209" s="6" t="inlineStr">
        <is>
          <t>100.0</t>
        </is>
      </c>
      <c r="F209" s="7" t="n">
        <v>103</v>
      </c>
      <c r="G209" s="7" t="n">
        <v>1.03</v>
      </c>
      <c r="H209" s="7" t="n">
        <v>0</v>
      </c>
      <c r="I209" s="7" t="n">
        <v>-1.03</v>
      </c>
      <c r="J209" s="8" t="n">
        <v>33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NYM</t>
        </is>
      </c>
      <c r="C210" s="5" t="inlineStr">
        <is>
          <t>65862001105</t>
        </is>
      </c>
      <c r="D210" s="5" t="inlineStr">
        <is>
          <t>SERTRALINE 25MG TABLET</t>
        </is>
      </c>
      <c r="E210" s="6" t="inlineStr">
        <is>
          <t>500.0</t>
        </is>
      </c>
      <c r="F210" s="7" t="n">
        <v>90</v>
      </c>
      <c r="G210" s="7" t="n">
        <v>0.18</v>
      </c>
      <c r="H210" s="7" t="n">
        <v>0</v>
      </c>
      <c r="I210" s="7" t="n">
        <v>-0.18</v>
      </c>
      <c r="J210" s="8" t="n">
        <v>33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NYM</t>
        </is>
      </c>
      <c r="C211" s="5" t="inlineStr">
        <is>
          <t>67877019710</t>
        </is>
      </c>
      <c r="D211" s="5" t="inlineStr">
        <is>
          <t>AMLODIPINE 2.5MG TABLET</t>
        </is>
      </c>
      <c r="E211" s="6" t="inlineStr">
        <is>
          <t>1000.0</t>
        </is>
      </c>
      <c r="F211" s="7" t="n">
        <v>210</v>
      </c>
      <c r="G211" s="7" t="n">
        <v>0.21</v>
      </c>
      <c r="H211" s="7" t="n">
        <v>1</v>
      </c>
      <c r="I211" s="7" t="n">
        <v>0.79</v>
      </c>
      <c r="J211" s="8" t="n">
        <v>33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NYM</t>
        </is>
      </c>
      <c r="C212" s="5" t="inlineStr">
        <is>
          <t>51672125903</t>
        </is>
      </c>
      <c r="D212" s="5" t="inlineStr">
        <is>
          <t>CLOBETASOL PROPIONATE 0.05% OINTMENT</t>
        </is>
      </c>
      <c r="E212" s="6" t="inlineStr">
        <is>
          <t>60.0</t>
        </is>
      </c>
      <c r="F212" s="7" t="n">
        <v>120</v>
      </c>
      <c r="G212" s="7" t="n">
        <v>2</v>
      </c>
      <c r="H212" s="7" t="n">
        <v>0</v>
      </c>
      <c r="I212" s="7" t="n">
        <v>-2</v>
      </c>
      <c r="J212" s="8" t="n">
        <v>33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NYM</t>
        </is>
      </c>
      <c r="C213" s="5" t="inlineStr">
        <is>
          <t>61314014305</t>
        </is>
      </c>
      <c r="D213" s="5" t="inlineStr">
        <is>
          <t>BRIMONIDINE TARTRATE 0.2% SOLUTION</t>
        </is>
      </c>
      <c r="E213" s="6" t="inlineStr">
        <is>
          <t>5.0</t>
        </is>
      </c>
      <c r="F213" s="7" t="n">
        <v>20</v>
      </c>
      <c r="G213" s="7" t="n">
        <v>4</v>
      </c>
      <c r="H213" s="7" t="n">
        <v>0</v>
      </c>
      <c r="I213" s="7" t="n">
        <v>-4</v>
      </c>
      <c r="J213" s="8" t="n">
        <v>33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NYM</t>
        </is>
      </c>
      <c r="C214" s="5" t="inlineStr">
        <is>
          <t>00536132701</t>
        </is>
      </c>
      <c r="D214" s="5" t="inlineStr">
        <is>
          <t>ACETAMINOPHEN 325 MG TABLET * TYLENOL REGULAR</t>
        </is>
      </c>
      <c r="E214" s="6" t="inlineStr">
        <is>
          <t>100.0</t>
        </is>
      </c>
      <c r="F214" s="7" t="n">
        <v>160</v>
      </c>
      <c r="G214" s="7" t="n">
        <v>1.6</v>
      </c>
      <c r="H214" s="7" t="n">
        <v>0</v>
      </c>
      <c r="I214" s="7" t="n">
        <v>-1.6</v>
      </c>
      <c r="J214" s="8" t="n">
        <v>33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NYM</t>
        </is>
      </c>
      <c r="C215" s="5" t="inlineStr">
        <is>
          <t>00172409680</t>
        </is>
      </c>
      <c r="D215" s="5" t="inlineStr">
        <is>
          <t xml:space="preserve">BACLOFEN 10MG TAB </t>
        </is>
      </c>
      <c r="E215" s="6" t="inlineStr">
        <is>
          <t>1000.0</t>
        </is>
      </c>
      <c r="F215" s="7" t="n">
        <v>180</v>
      </c>
      <c r="G215" s="7" t="n">
        <v>0.18</v>
      </c>
      <c r="H215" s="7" t="n">
        <v>0</v>
      </c>
      <c r="I215" s="7" t="n">
        <v>-0.18</v>
      </c>
      <c r="J215" s="8" t="n">
        <v>33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NYM</t>
        </is>
      </c>
      <c r="C216" s="5" t="inlineStr">
        <is>
          <t>70700011685</t>
        </is>
      </c>
      <c r="D216" s="5" t="inlineStr">
        <is>
          <t>ALTAVERA 0.15-30MG TABLET</t>
        </is>
      </c>
      <c r="E216" s="6" t="inlineStr">
        <is>
          <t>28.0</t>
        </is>
      </c>
      <c r="F216" s="7" t="n">
        <v>112</v>
      </c>
      <c r="G216" s="7" t="n">
        <v>4</v>
      </c>
      <c r="H216" s="7" t="n">
        <v>1</v>
      </c>
      <c r="I216" s="7" t="n">
        <v>-3</v>
      </c>
      <c r="J216" s="8" t="n">
        <v>33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NYM</t>
        </is>
      </c>
      <c r="C217" s="5" t="inlineStr">
        <is>
          <t>69238207701</t>
        </is>
      </c>
      <c r="D217" s="5" t="inlineStr">
        <is>
          <t xml:space="preserve">PROPRANOLOL 10MG TABLET </t>
        </is>
      </c>
      <c r="E217" s="6" t="inlineStr">
        <is>
          <t>100.0</t>
        </is>
      </c>
      <c r="F217" s="7" t="n">
        <v>240</v>
      </c>
      <c r="G217" s="7" t="n">
        <v>2.4</v>
      </c>
      <c r="H217" s="7" t="n">
        <v>0</v>
      </c>
      <c r="I217" s="7" t="n">
        <v>-2.4</v>
      </c>
      <c r="J217" s="8" t="n">
        <v>32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NYM</t>
        </is>
      </c>
      <c r="C218" s="5" t="inlineStr">
        <is>
          <t>45802012932</t>
        </is>
      </c>
      <c r="D218" s="5" t="inlineStr">
        <is>
          <t>HALOBETASOL PROPIONATE 0.05 % EXTERNAL CREAM</t>
        </is>
      </c>
      <c r="E218" s="6" t="inlineStr">
        <is>
          <t>50.0</t>
        </is>
      </c>
      <c r="F218" s="7" t="n">
        <v>50</v>
      </c>
      <c r="G218" s="7" t="n">
        <v>1</v>
      </c>
      <c r="H218" s="7" t="n">
        <v>3</v>
      </c>
      <c r="I218" s="7" t="n">
        <v>2</v>
      </c>
      <c r="J218" s="8" t="n">
        <v>32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NYM</t>
        </is>
      </c>
      <c r="C219" s="5" t="inlineStr">
        <is>
          <t>00168041730</t>
        </is>
      </c>
      <c r="D219" s="5" t="inlineStr">
        <is>
          <t>TACROLIMUS 0.03 % EXTERNAL OINTMENT</t>
        </is>
      </c>
      <c r="E219" s="6" t="inlineStr">
        <is>
          <t>30.0</t>
        </is>
      </c>
      <c r="F219" s="7" t="n">
        <v>30</v>
      </c>
      <c r="G219" s="7" t="n">
        <v>1</v>
      </c>
      <c r="H219" s="7" t="n">
        <v>0</v>
      </c>
      <c r="I219" s="7" t="n">
        <v>-1</v>
      </c>
      <c r="J219" s="8" t="n">
        <v>32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NYM</t>
        </is>
      </c>
      <c r="C220" s="5" t="inlineStr">
        <is>
          <t>75907002348</t>
        </is>
      </c>
      <c r="D220" s="5" t="inlineStr">
        <is>
          <t>CLONIDINE 0.1 MG/24HR TRANSDERMAL PATCH WEEKLY</t>
        </is>
      </c>
      <c r="E220" s="6" t="inlineStr">
        <is>
          <t>4.0</t>
        </is>
      </c>
      <c r="F220" s="7" t="n">
        <v>4</v>
      </c>
      <c r="G220" s="7" t="n">
        <v>1</v>
      </c>
      <c r="H220" s="7" t="n">
        <v>2</v>
      </c>
      <c r="I220" s="7" t="n">
        <v>1</v>
      </c>
      <c r="J220" s="8" t="n">
        <v>32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NYM</t>
        </is>
      </c>
      <c r="C221" s="5" t="inlineStr">
        <is>
          <t>59651072299</t>
        </is>
      </c>
      <c r="D221" s="5" t="inlineStr">
        <is>
          <t>CLONAZEPAM 0.5MG TABLET</t>
        </is>
      </c>
      <c r="E221" s="6" t="inlineStr">
        <is>
          <t>1000.0</t>
        </is>
      </c>
      <c r="F221" s="7" t="n">
        <v>90</v>
      </c>
      <c r="G221" s="7" t="n">
        <v>0.09</v>
      </c>
      <c r="H221" s="7" t="n">
        <v>0</v>
      </c>
      <c r="I221" s="7" t="n">
        <v>-0.09</v>
      </c>
      <c r="J221" s="8" t="n">
        <v>32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NYM</t>
        </is>
      </c>
      <c r="C222" s="5" t="inlineStr">
        <is>
          <t>67877049160</t>
        </is>
      </c>
      <c r="D222" s="5" t="inlineStr">
        <is>
          <t>TICAGRELOR 90 MG ORAL TABLET</t>
        </is>
      </c>
      <c r="E222" s="6" t="inlineStr">
        <is>
          <t>60.0</t>
        </is>
      </c>
      <c r="F222" s="7" t="n">
        <v>60</v>
      </c>
      <c r="G222" s="7" t="n">
        <v>1</v>
      </c>
      <c r="H222" s="7" t="n">
        <v>10</v>
      </c>
      <c r="I222" s="7" t="n">
        <v>9</v>
      </c>
      <c r="J222" s="8" t="n">
        <v>31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NYM</t>
        </is>
      </c>
      <c r="C223" s="5" t="inlineStr">
        <is>
          <t>51672127506</t>
        </is>
      </c>
      <c r="D223" s="5" t="inlineStr">
        <is>
          <t xml:space="preserve">CLOTRIMAZOLE 1% CREAM </t>
        </is>
      </c>
      <c r="E223" s="6" t="inlineStr">
        <is>
          <t>45.0</t>
        </is>
      </c>
      <c r="F223" s="7" t="n">
        <v>90</v>
      </c>
      <c r="G223" s="7" t="n">
        <v>2</v>
      </c>
      <c r="H223" s="7" t="n">
        <v>0</v>
      </c>
      <c r="I223" s="7" t="n">
        <v>-2</v>
      </c>
      <c r="J223" s="8" t="n">
        <v>31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NYM</t>
        </is>
      </c>
      <c r="C224" s="5" t="inlineStr">
        <is>
          <t>64380078508</t>
        </is>
      </c>
      <c r="D224" s="5" t="inlineStr">
        <is>
          <t>PREDNISONE 20MG TABLET</t>
        </is>
      </c>
      <c r="E224" s="6" t="inlineStr">
        <is>
          <t>1000.0</t>
        </is>
      </c>
      <c r="F224" s="7" t="n">
        <v>21</v>
      </c>
      <c r="G224" s="7" t="n">
        <v>0.021</v>
      </c>
      <c r="H224" s="7" t="n">
        <v>0</v>
      </c>
      <c r="I224" s="7" t="n">
        <v>-0.021</v>
      </c>
      <c r="J224" s="8" t="n">
        <v>31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NYM</t>
        </is>
      </c>
      <c r="C225" s="5" t="inlineStr">
        <is>
          <t>59651029701</t>
        </is>
      </c>
      <c r="D225" s="5" t="inlineStr">
        <is>
          <t>NIFEDIPINE 90MG TABLET ER</t>
        </is>
      </c>
      <c r="E225" s="6" t="inlineStr">
        <is>
          <t>100.0</t>
        </is>
      </c>
      <c r="F225" s="7" t="n">
        <v>90</v>
      </c>
      <c r="G225" s="7" t="n">
        <v>0.9</v>
      </c>
      <c r="H225" s="7" t="n">
        <v>0</v>
      </c>
      <c r="I225" s="7" t="n">
        <v>-0.9</v>
      </c>
      <c r="J225" s="8" t="n">
        <v>30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NYM</t>
        </is>
      </c>
      <c r="C226" s="5" t="inlineStr">
        <is>
          <t>45802040049</t>
        </is>
      </c>
      <c r="D226" s="5" t="inlineStr">
        <is>
          <t>CICLOPIROX 0.77 % EXTERNAL SUSPENSION</t>
        </is>
      </c>
      <c r="E226" s="6" t="inlineStr">
        <is>
          <t>30.0</t>
        </is>
      </c>
      <c r="F226" s="7" t="n">
        <v>30</v>
      </c>
      <c r="G226" s="7" t="n">
        <v>1</v>
      </c>
      <c r="H226" s="7" t="n">
        <v>0</v>
      </c>
      <c r="I226" s="7" t="n">
        <v>-1</v>
      </c>
      <c r="J226" s="8" t="n">
        <v>30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NYM</t>
        </is>
      </c>
      <c r="C227" s="5" t="inlineStr">
        <is>
          <t>00904676520</t>
        </is>
      </c>
      <c r="D227" s="5" t="inlineStr">
        <is>
          <t>CETIRIZINE 5 MG/5ML SOLUTION</t>
        </is>
      </c>
      <c r="E227" s="6" t="inlineStr">
        <is>
          <t>118.0</t>
        </is>
      </c>
      <c r="F227" s="7" t="n">
        <v>472</v>
      </c>
      <c r="G227" s="7" t="n">
        <v>4</v>
      </c>
      <c r="H227" s="7" t="n">
        <v>0</v>
      </c>
      <c r="I227" s="7" t="n">
        <v>-4</v>
      </c>
      <c r="J227" s="8" t="n">
        <v>30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NYM</t>
        </is>
      </c>
      <c r="C228" s="5" t="inlineStr">
        <is>
          <t>00193755301</t>
        </is>
      </c>
      <c r="D228" s="5" t="inlineStr">
        <is>
          <t>CONTOUR NEXT EZ W/DEVICE KIT</t>
        </is>
      </c>
      <c r="E228" s="6" t="inlineStr">
        <is>
          <t>1.0</t>
        </is>
      </c>
      <c r="F228" s="7" t="n">
        <v>2</v>
      </c>
      <c r="G228" s="7" t="n">
        <v>2</v>
      </c>
      <c r="H228" s="7" t="n">
        <v>12</v>
      </c>
      <c r="I228" s="7" t="n">
        <v>10</v>
      </c>
      <c r="J228" s="8" t="n">
        <v>30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NYM</t>
        </is>
      </c>
      <c r="C229" s="5" t="inlineStr">
        <is>
          <t>33342005144</t>
        </is>
      </c>
      <c r="D229" s="5" t="inlineStr">
        <is>
          <t>LOSARTANHCTZ 100-12.5 MG TABLET</t>
        </is>
      </c>
      <c r="E229" s="6" t="inlineStr">
        <is>
          <t>1000.0</t>
        </is>
      </c>
      <c r="F229" s="7" t="n">
        <v>180</v>
      </c>
      <c r="G229" s="7" t="n">
        <v>0.18</v>
      </c>
      <c r="H229" s="7" t="n">
        <v>0</v>
      </c>
      <c r="I229" s="7" t="n">
        <v>-0.18</v>
      </c>
      <c r="J229" s="8" t="n">
        <v>30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NYM</t>
        </is>
      </c>
      <c r="C230" s="5" t="inlineStr">
        <is>
          <t>10006070022</t>
        </is>
      </c>
      <c r="D230" s="5" t="inlineStr">
        <is>
          <t>VITAMIN B-12 1000MCG TABLET</t>
        </is>
      </c>
      <c r="E230" s="6" t="inlineStr">
        <is>
          <t>130.0</t>
        </is>
      </c>
      <c r="F230" s="7" t="n">
        <v>1200</v>
      </c>
      <c r="G230" s="7" t="n">
        <v>9.23076923076923</v>
      </c>
      <c r="H230" s="7" t="n">
        <v>0</v>
      </c>
      <c r="I230" s="7" t="n">
        <v>-9.23076923076923</v>
      </c>
      <c r="J230" s="8" t="n">
        <v>30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NYM</t>
        </is>
      </c>
      <c r="C231" s="5" t="inlineStr">
        <is>
          <t>59746012110</t>
        </is>
      </c>
      <c r="D231" s="5" t="inlineStr">
        <is>
          <t>MECLIZINE HCL 25MG TABLET</t>
        </is>
      </c>
      <c r="E231" s="6" t="inlineStr">
        <is>
          <t>1000.0</t>
        </is>
      </c>
      <c r="F231" s="7" t="n">
        <v>120</v>
      </c>
      <c r="G231" s="7" t="n">
        <v>0.12</v>
      </c>
      <c r="H231" s="7" t="n">
        <v>0</v>
      </c>
      <c r="I231" s="7" t="n">
        <v>-0.12</v>
      </c>
      <c r="J231" s="8" t="n">
        <v>30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NYM</t>
        </is>
      </c>
      <c r="C232" s="5" t="inlineStr">
        <is>
          <t>00168034720</t>
        </is>
      </c>
      <c r="D232" s="5" t="inlineStr">
        <is>
          <t>TERCONAZOLE 0.8 % VAGINAL CREAM</t>
        </is>
      </c>
      <c r="E232" s="6" t="inlineStr">
        <is>
          <t>20.0</t>
        </is>
      </c>
      <c r="F232" s="7" t="n">
        <v>20</v>
      </c>
      <c r="G232" s="7" t="n">
        <v>1</v>
      </c>
      <c r="H232" s="7" t="n">
        <v>3</v>
      </c>
      <c r="I232" s="7" t="n">
        <v>2</v>
      </c>
      <c r="J232" s="8" t="n">
        <v>30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NYM</t>
        </is>
      </c>
      <c r="C233" s="5" t="inlineStr">
        <is>
          <t>59651030901</t>
        </is>
      </c>
      <c r="D233" s="5" t="inlineStr">
        <is>
          <t>FLUOXETINE HCL 20MG TABLET</t>
        </is>
      </c>
      <c r="E233" s="6" t="inlineStr">
        <is>
          <t>100.0</t>
        </is>
      </c>
      <c r="F233" s="7" t="n">
        <v>90</v>
      </c>
      <c r="G233" s="7" t="n">
        <v>0.9</v>
      </c>
      <c r="H233" s="7" t="n">
        <v>0</v>
      </c>
      <c r="I233" s="7" t="n">
        <v>-0.9</v>
      </c>
      <c r="J233" s="8" t="n">
        <v>29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NYM</t>
        </is>
      </c>
      <c r="C234" s="5" t="inlineStr">
        <is>
          <t>72516001201</t>
        </is>
      </c>
      <c r="D234" s="5" t="inlineStr">
        <is>
          <t>AMPHETAMINE-DEXTROAMPHETAMINE 20MG TABLET</t>
        </is>
      </c>
      <c r="E234" s="6" t="inlineStr">
        <is>
          <t>100.0</t>
        </is>
      </c>
      <c r="F234" s="7" t="n">
        <v>60</v>
      </c>
      <c r="G234" s="7" t="n">
        <v>0.6</v>
      </c>
      <c r="H234" s="7" t="n">
        <v>0</v>
      </c>
      <c r="I234" s="7" t="n">
        <v>-0.6</v>
      </c>
      <c r="J234" s="8" t="n">
        <v>29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NYM</t>
        </is>
      </c>
      <c r="C235" s="5" t="inlineStr">
        <is>
          <t>68382066105</t>
        </is>
      </c>
      <c r="D235" s="5" t="inlineStr">
        <is>
          <t>SPIRONOLACTONE 50MG TABLET</t>
        </is>
      </c>
      <c r="E235" s="6" t="inlineStr">
        <is>
          <t>500.0</t>
        </is>
      </c>
      <c r="F235" s="7" t="n">
        <v>120</v>
      </c>
      <c r="G235" s="7" t="n">
        <v>0.24</v>
      </c>
      <c r="H235" s="7" t="n">
        <v>0</v>
      </c>
      <c r="I235" s="7" t="n">
        <v>-0.24</v>
      </c>
      <c r="J235" s="8" t="n">
        <v>29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NYM</t>
        </is>
      </c>
      <c r="C236" s="5" t="inlineStr">
        <is>
          <t>45802006336</t>
        </is>
      </c>
      <c r="D236" s="5" t="inlineStr">
        <is>
          <t xml:space="preserve">TRIAMCINOLONE ACETONIDE 0.025 % EXTERNAL CREAM </t>
        </is>
      </c>
      <c r="E236" s="6" t="inlineStr">
        <is>
          <t>80.0</t>
        </is>
      </c>
      <c r="F236" s="7" t="n">
        <v>160</v>
      </c>
      <c r="G236" s="7" t="n">
        <v>2</v>
      </c>
      <c r="H236" s="7" t="n">
        <v>0</v>
      </c>
      <c r="I236" s="7" t="n">
        <v>-2</v>
      </c>
      <c r="J236" s="8" t="n">
        <v>29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NYM</t>
        </is>
      </c>
      <c r="C237" s="5" t="inlineStr">
        <is>
          <t>31722053960</t>
        </is>
      </c>
      <c r="D237" s="5" t="inlineStr">
        <is>
          <t xml:space="preserve">LEVETIRACETAM 1000MG TAB </t>
        </is>
      </c>
      <c r="E237" s="6" t="inlineStr">
        <is>
          <t>60.0</t>
        </is>
      </c>
      <c r="F237" s="7" t="n">
        <v>120</v>
      </c>
      <c r="G237" s="7" t="n">
        <v>2</v>
      </c>
      <c r="H237" s="7" t="n">
        <v>0</v>
      </c>
      <c r="I237" s="7" t="n">
        <v>-2</v>
      </c>
      <c r="J237" s="8" t="n">
        <v>29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NYM</t>
        </is>
      </c>
      <c r="C238" s="5" t="inlineStr">
        <is>
          <t>55111025660</t>
        </is>
      </c>
      <c r="D238" s="5" t="inlineStr">
        <is>
          <t xml:space="preserve">ZIPRASIDONE 20MG CAP </t>
        </is>
      </c>
      <c r="E238" s="6" t="inlineStr">
        <is>
          <t>60.0</t>
        </is>
      </c>
      <c r="F238" s="7" t="n">
        <v>60</v>
      </c>
      <c r="G238" s="7" t="n">
        <v>1</v>
      </c>
      <c r="H238" s="7" t="n">
        <v>0</v>
      </c>
      <c r="I238" s="7" t="n">
        <v>-1</v>
      </c>
      <c r="J238" s="8" t="n">
        <v>29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NYM</t>
        </is>
      </c>
      <c r="C239" s="5" t="inlineStr">
        <is>
          <t>00093745601</t>
        </is>
      </c>
      <c r="D239" s="5" t="inlineStr">
        <is>
          <t>GLIPIZIDE-METFORMIN 2.5-500MG TABLET</t>
        </is>
      </c>
      <c r="E239" s="6" t="inlineStr">
        <is>
          <t>100.0</t>
        </is>
      </c>
      <c r="F239" s="7" t="n">
        <v>60</v>
      </c>
      <c r="G239" s="7" t="n">
        <v>0.6</v>
      </c>
      <c r="H239" s="7" t="n">
        <v>0</v>
      </c>
      <c r="I239" s="7" t="n">
        <v>-0.6</v>
      </c>
      <c r="J239" s="8" t="n">
        <v>28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NYM</t>
        </is>
      </c>
      <c r="C240" s="5" t="inlineStr">
        <is>
          <t>00143924920</t>
        </is>
      </c>
      <c r="D240" s="5" t="inlineStr">
        <is>
          <t xml:space="preserve">AMOXICILLIN-POT CLAVULANATE 875-125 MG TABLET </t>
        </is>
      </c>
      <c r="E240" s="6" t="inlineStr">
        <is>
          <t>20.0</t>
        </is>
      </c>
      <c r="F240" s="7" t="n">
        <v>34</v>
      </c>
      <c r="G240" s="7" t="n">
        <v>1.7</v>
      </c>
      <c r="H240" s="7" t="n">
        <v>0</v>
      </c>
      <c r="I240" s="7" t="n">
        <v>-1.7</v>
      </c>
      <c r="J240" s="8" t="n">
        <v>28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NYM</t>
        </is>
      </c>
      <c r="C241" s="5" t="inlineStr">
        <is>
          <t>65862052305</t>
        </is>
      </c>
      <c r="D241" s="5" t="inlineStr">
        <is>
          <t>GABAPENTIN 600MG TABLET</t>
        </is>
      </c>
      <c r="E241" s="6" t="inlineStr">
        <is>
          <t>500.0</t>
        </is>
      </c>
      <c r="F241" s="7" t="n">
        <v>150</v>
      </c>
      <c r="G241" s="7" t="n">
        <v>0.3</v>
      </c>
      <c r="H241" s="7" t="n">
        <v>1</v>
      </c>
      <c r="I241" s="7" t="n">
        <v>0.7</v>
      </c>
      <c r="J241" s="8" t="n">
        <v>28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NYM</t>
        </is>
      </c>
      <c r="C242" s="5" t="inlineStr">
        <is>
          <t>72888003700</t>
        </is>
      </c>
      <c r="D242" s="5" t="inlineStr">
        <is>
          <t xml:space="preserve">CARVEDILOL 25 MG TABLET </t>
        </is>
      </c>
      <c r="E242" s="6" t="inlineStr">
        <is>
          <t>1000.0</t>
        </is>
      </c>
      <c r="F242" s="7" t="n">
        <v>240</v>
      </c>
      <c r="G242" s="7" t="n">
        <v>0.24</v>
      </c>
      <c r="H242" s="7" t="n">
        <v>0</v>
      </c>
      <c r="I242" s="7" t="n">
        <v>-0.24</v>
      </c>
      <c r="J242" s="8" t="n">
        <v>28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NYM</t>
        </is>
      </c>
      <c r="C243" s="5" t="inlineStr">
        <is>
          <t>69097082112</t>
        </is>
      </c>
      <c r="D243" s="5" t="inlineStr">
        <is>
          <t xml:space="preserve">GEMFIBROZIL 600MG TAB </t>
        </is>
      </c>
      <c r="E243" s="6" t="inlineStr">
        <is>
          <t>500.0</t>
        </is>
      </c>
      <c r="F243" s="7" t="n">
        <v>180</v>
      </c>
      <c r="G243" s="7" t="n">
        <v>0.36</v>
      </c>
      <c r="H243" s="7" t="n">
        <v>0</v>
      </c>
      <c r="I243" s="7" t="n">
        <v>-0.36</v>
      </c>
      <c r="J243" s="8" t="n">
        <v>28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NYM</t>
        </is>
      </c>
      <c r="C244" s="5" t="inlineStr">
        <is>
          <t>45802021696</t>
        </is>
      </c>
      <c r="D244" s="5" t="inlineStr">
        <is>
          <t>BENZOYL PEROXIDE 5 % EXTERNAL GEL</t>
        </is>
      </c>
      <c r="E244" s="6" t="inlineStr">
        <is>
          <t>60.0</t>
        </is>
      </c>
      <c r="F244" s="7" t="n">
        <v>120</v>
      </c>
      <c r="G244" s="7" t="n">
        <v>2</v>
      </c>
      <c r="H244" s="7" t="n">
        <v>0</v>
      </c>
      <c r="I244" s="7" t="n">
        <v>-2</v>
      </c>
      <c r="J244" s="8" t="n">
        <v>28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NYM</t>
        </is>
      </c>
      <c r="C245" s="5" t="inlineStr">
        <is>
          <t>00574022901</t>
        </is>
      </c>
      <c r="D245" s="5" t="inlineStr">
        <is>
          <t>BENAZEPRIL-HCTZ 20-12.5MG TABLET</t>
        </is>
      </c>
      <c r="E245" s="6" t="inlineStr">
        <is>
          <t>100.0</t>
        </is>
      </c>
      <c r="F245" s="7" t="n">
        <v>90</v>
      </c>
      <c r="G245" s="7" t="n">
        <v>0.9</v>
      </c>
      <c r="H245" s="7" t="n">
        <v>0</v>
      </c>
      <c r="I245" s="7" t="n">
        <v>-0.9</v>
      </c>
      <c r="J245" s="8" t="n">
        <v>28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NYM</t>
        </is>
      </c>
      <c r="C246" s="5" t="inlineStr">
        <is>
          <t>00093354143</t>
        </is>
      </c>
      <c r="D246" s="5" t="inlineStr">
        <is>
          <t>ESTRADIOL 0.1MG/GM CREAM</t>
        </is>
      </c>
      <c r="E246" s="6" t="inlineStr">
        <is>
          <t>42.5</t>
        </is>
      </c>
      <c r="F246" s="7" t="n">
        <v>42.5</v>
      </c>
      <c r="G246" s="7" t="n">
        <v>1</v>
      </c>
      <c r="H246" s="7" t="n">
        <v>0</v>
      </c>
      <c r="I246" s="7" t="n">
        <v>-1</v>
      </c>
      <c r="J246" s="8" t="n">
        <v>28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NYM</t>
        </is>
      </c>
      <c r="C247" s="5" t="inlineStr">
        <is>
          <t>65162003416</t>
        </is>
      </c>
      <c r="D247" s="5" t="inlineStr">
        <is>
          <t>OMEGA-3-ACID ETHYL ESTERS 1 GM ORAL CAPSULE</t>
        </is>
      </c>
      <c r="E247" s="6" t="inlineStr">
        <is>
          <t>120.0</t>
        </is>
      </c>
      <c r="F247" s="7" t="n">
        <v>120</v>
      </c>
      <c r="G247" s="7" t="n">
        <v>1</v>
      </c>
      <c r="H247" s="7" t="n">
        <v>0</v>
      </c>
      <c r="I247" s="7" t="n">
        <v>-1</v>
      </c>
      <c r="J247" s="8" t="n">
        <v>27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NYM</t>
        </is>
      </c>
      <c r="C248" s="5" t="inlineStr">
        <is>
          <t>69315031228</t>
        </is>
      </c>
      <c r="D248" s="5" t="inlineStr">
        <is>
          <t>PROCTO-MED HC 2.5 % EXTERNAL CREAM</t>
        </is>
      </c>
      <c r="E248" s="6" t="inlineStr">
        <is>
          <t>28.0</t>
        </is>
      </c>
      <c r="F248" s="7" t="n">
        <v>84</v>
      </c>
      <c r="G248" s="7" t="n">
        <v>3</v>
      </c>
      <c r="H248" s="7" t="n">
        <v>5</v>
      </c>
      <c r="I248" s="7" t="n">
        <v>2</v>
      </c>
      <c r="J248" s="8" t="n">
        <v>27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NYM</t>
        </is>
      </c>
      <c r="C249" s="5" t="inlineStr">
        <is>
          <t>65862001305</t>
        </is>
      </c>
      <c r="D249" s="5" t="inlineStr">
        <is>
          <t>SERTRALINE 100MG TABLET</t>
        </is>
      </c>
      <c r="E249" s="6" t="inlineStr">
        <is>
          <t>500.0</t>
        </is>
      </c>
      <c r="F249" s="7" t="n">
        <v>180</v>
      </c>
      <c r="G249" s="7" t="n">
        <v>0.36</v>
      </c>
      <c r="H249" s="7" t="n">
        <v>0</v>
      </c>
      <c r="I249" s="7" t="n">
        <v>-0.36</v>
      </c>
      <c r="J249" s="8" t="n">
        <v>27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NYM</t>
        </is>
      </c>
      <c r="C250" s="5" t="inlineStr">
        <is>
          <t>21922003601</t>
        </is>
      </c>
      <c r="D250" s="5" t="inlineStr">
        <is>
          <t>CLINDAMYCIN PHOSPHATE 1 % EXTERNAL LOTION</t>
        </is>
      </c>
      <c r="E250" s="6" t="inlineStr">
        <is>
          <t>60.0</t>
        </is>
      </c>
      <c r="F250" s="7" t="n">
        <v>60</v>
      </c>
      <c r="G250" s="7" t="n">
        <v>1</v>
      </c>
      <c r="H250" s="7" t="n">
        <v>3</v>
      </c>
      <c r="I250" s="7" t="n">
        <v>2</v>
      </c>
      <c r="J250" s="8" t="n">
        <v>27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NYM</t>
        </is>
      </c>
      <c r="C251" s="5" t="inlineStr">
        <is>
          <t>33342033354</t>
        </is>
      </c>
      <c r="D251" s="5" t="inlineStr">
        <is>
          <t>TRIAMCINOLONE 0.1% EXTERNAL OINTMENT</t>
        </is>
      </c>
      <c r="E251" s="6" t="inlineStr">
        <is>
          <t>454.0</t>
        </is>
      </c>
      <c r="F251" s="7" t="n">
        <v>454</v>
      </c>
      <c r="G251" s="7" t="n">
        <v>1</v>
      </c>
      <c r="H251" s="7" t="n">
        <v>0</v>
      </c>
      <c r="I251" s="7" t="n">
        <v>-1</v>
      </c>
      <c r="J251" s="8" t="n">
        <v>26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NYM</t>
        </is>
      </c>
      <c r="C252" s="5" t="inlineStr">
        <is>
          <t>68462015713</t>
        </is>
      </c>
      <c r="D252" s="5" t="inlineStr">
        <is>
          <t xml:space="preserve">ONDANSETRON ODT  4MG TAB </t>
        </is>
      </c>
      <c r="E252" s="6" t="inlineStr">
        <is>
          <t>30.0</t>
        </is>
      </c>
      <c r="F252" s="7" t="n">
        <v>40</v>
      </c>
      <c r="G252" s="7" t="n">
        <v>1.333333333333333</v>
      </c>
      <c r="H252" s="7" t="n">
        <v>0</v>
      </c>
      <c r="I252" s="7" t="n">
        <v>-1.333333333333333</v>
      </c>
      <c r="J252" s="8" t="n">
        <v>26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NYM</t>
        </is>
      </c>
      <c r="C253" s="5" t="inlineStr">
        <is>
          <t>49483070350</t>
        </is>
      </c>
      <c r="D253" s="5" t="inlineStr">
        <is>
          <t>FLUOXETINE 40MG CAPSULE</t>
        </is>
      </c>
      <c r="E253" s="6" t="inlineStr">
        <is>
          <t>500.0</t>
        </is>
      </c>
      <c r="F253" s="7" t="n">
        <v>90</v>
      </c>
      <c r="G253" s="7" t="n">
        <v>0.18</v>
      </c>
      <c r="H253" s="7" t="n">
        <v>0</v>
      </c>
      <c r="I253" s="7" t="n">
        <v>-0.18</v>
      </c>
      <c r="J253" s="8" t="n">
        <v>26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NYM</t>
        </is>
      </c>
      <c r="C254" s="5" t="inlineStr">
        <is>
          <t>61442010201</t>
        </is>
      </c>
      <c r="D254" s="5" t="inlineStr">
        <is>
          <t xml:space="preserve">DICLOFENAC SOD 50MG TAB DR </t>
        </is>
      </c>
      <c r="E254" s="6" t="inlineStr">
        <is>
          <t>100.0</t>
        </is>
      </c>
      <c r="F254" s="7" t="n">
        <v>90</v>
      </c>
      <c r="G254" s="7" t="n">
        <v>0.9</v>
      </c>
      <c r="H254" s="7" t="n">
        <v>0</v>
      </c>
      <c r="I254" s="7" t="n">
        <v>-0.9</v>
      </c>
      <c r="J254" s="8" t="n">
        <v>26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NYM</t>
        </is>
      </c>
      <c r="C255" s="5" t="inlineStr">
        <is>
          <t>65862059805</t>
        </is>
      </c>
      <c r="D255" s="5" t="inlineStr">
        <is>
          <t>TAMSULOSIN 0.4MG CAPSULE</t>
        </is>
      </c>
      <c r="E255" s="6" t="inlineStr">
        <is>
          <t>500.0</t>
        </is>
      </c>
      <c r="F255" s="7" t="n">
        <v>210</v>
      </c>
      <c r="G255" s="7" t="n">
        <v>0.42</v>
      </c>
      <c r="H255" s="7" t="n">
        <v>0</v>
      </c>
      <c r="I255" s="7" t="n">
        <v>-0.42</v>
      </c>
      <c r="J255" s="8" t="n">
        <v>26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NYM</t>
        </is>
      </c>
      <c r="C256" s="5" t="inlineStr">
        <is>
          <t>65862052890</t>
        </is>
      </c>
      <c r="D256" s="5" t="inlineStr">
        <is>
          <t>VENLAFAXINE HCL ER 75 MG CAPSULE</t>
        </is>
      </c>
      <c r="E256" s="6" t="inlineStr">
        <is>
          <t>90.0</t>
        </is>
      </c>
      <c r="F256" s="7" t="n">
        <v>60</v>
      </c>
      <c r="G256" s="7" t="n">
        <v>0.6666666666666666</v>
      </c>
      <c r="H256" s="7" t="n">
        <v>0</v>
      </c>
      <c r="I256" s="7" t="n">
        <v>-0.6666666666666666</v>
      </c>
      <c r="J256" s="8" t="n">
        <v>26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NYM</t>
        </is>
      </c>
      <c r="C257" s="5" t="inlineStr">
        <is>
          <t>00536478701</t>
        </is>
      </c>
      <c r="D257" s="5" t="inlineStr">
        <is>
          <t>VITAMIN B COMPLEX  CAPSULE * NYM</t>
        </is>
      </c>
      <c r="E257" s="6" t="inlineStr">
        <is>
          <t>100.0</t>
        </is>
      </c>
      <c r="F257" s="7" t="n">
        <v>360</v>
      </c>
      <c r="G257" s="7" t="n">
        <v>3.6</v>
      </c>
      <c r="H257" s="7" t="n">
        <v>0</v>
      </c>
      <c r="I257" s="7" t="n">
        <v>-3.6</v>
      </c>
      <c r="J257" s="8" t="n">
        <v>26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NYM</t>
        </is>
      </c>
      <c r="C258" s="5" t="inlineStr">
        <is>
          <t>68180052002</t>
        </is>
      </c>
      <c r="D258" s="5" t="inlineStr">
        <is>
          <t xml:space="preserve">LISINOPRIL-HCTZ 20-25MG TAB </t>
        </is>
      </c>
      <c r="E258" s="6" t="inlineStr">
        <is>
          <t>500.0</t>
        </is>
      </c>
      <c r="F258" s="7" t="n">
        <v>150</v>
      </c>
      <c r="G258" s="7" t="n">
        <v>0.3</v>
      </c>
      <c r="H258" s="7" t="n">
        <v>2</v>
      </c>
      <c r="I258" s="7" t="n">
        <v>1.7</v>
      </c>
      <c r="J258" s="8" t="n">
        <v>26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NYM</t>
        </is>
      </c>
      <c r="C259" s="5" t="inlineStr">
        <is>
          <t>70010006405</t>
        </is>
      </c>
      <c r="D259" s="5" t="inlineStr">
        <is>
          <t>METFORMIN HCL 850 MG ORAL TABLET</t>
        </is>
      </c>
      <c r="E259" s="6" t="inlineStr">
        <is>
          <t>500.0</t>
        </is>
      </c>
      <c r="F259" s="7" t="n">
        <v>240</v>
      </c>
      <c r="G259" s="7" t="n">
        <v>0.48</v>
      </c>
      <c r="H259" s="7" t="n">
        <v>3</v>
      </c>
      <c r="I259" s="7" t="n">
        <v>2.52</v>
      </c>
      <c r="J259" s="8" t="n">
        <v>26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NYM</t>
        </is>
      </c>
      <c r="C260" s="5" t="inlineStr">
        <is>
          <t>00378705752</t>
        </is>
      </c>
      <c r="D260" s="5" t="inlineStr">
        <is>
          <t>ALBUTEROL SULFATE 0.63 MG/3ML INHALATION NEBULIZATION SOLUTION</t>
        </is>
      </c>
      <c r="E260" s="6" t="inlineStr">
        <is>
          <t>75.0</t>
        </is>
      </c>
      <c r="F260" s="7" t="n">
        <v>75</v>
      </c>
      <c r="G260" s="7" t="n">
        <v>1</v>
      </c>
      <c r="H260" s="7" t="n">
        <v>0</v>
      </c>
      <c r="I260" s="7" t="n">
        <v>-1</v>
      </c>
      <c r="J260" s="8" t="n">
        <v>25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NYM</t>
        </is>
      </c>
      <c r="C261" s="5" t="inlineStr">
        <is>
          <t>68180051802</t>
        </is>
      </c>
      <c r="D261" s="5" t="inlineStr">
        <is>
          <t xml:space="preserve">LISINOPRIL-HCTZ 10-12.5MG TAB </t>
        </is>
      </c>
      <c r="E261" s="6" t="inlineStr">
        <is>
          <t>500.0</t>
        </is>
      </c>
      <c r="F261" s="7" t="n">
        <v>150</v>
      </c>
      <c r="G261" s="7" t="n">
        <v>0.3</v>
      </c>
      <c r="H261" s="7" t="n">
        <v>2</v>
      </c>
      <c r="I261" s="7" t="n">
        <v>1.7</v>
      </c>
      <c r="J261" s="8" t="n">
        <v>25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NYM</t>
        </is>
      </c>
      <c r="C262" s="5" t="inlineStr">
        <is>
          <t>13107003105</t>
        </is>
      </c>
      <c r="D262" s="5" t="inlineStr">
        <is>
          <t>MIRTAZAPINE 15MG TABLET</t>
        </is>
      </c>
      <c r="E262" s="6" t="inlineStr">
        <is>
          <t>500.0</t>
        </is>
      </c>
      <c r="F262" s="7" t="n">
        <v>60</v>
      </c>
      <c r="G262" s="7" t="n">
        <v>0.12</v>
      </c>
      <c r="H262" s="7" t="n">
        <v>0</v>
      </c>
      <c r="I262" s="7" t="n">
        <v>-0.12</v>
      </c>
      <c r="J262" s="8" t="n">
        <v>25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NYM</t>
        </is>
      </c>
      <c r="C263" s="5" t="inlineStr">
        <is>
          <t>70000049101</t>
        </is>
      </c>
      <c r="D263" s="5" t="inlineStr">
        <is>
          <t>MUCUS RELIEF DM 30-600MG TABLET</t>
        </is>
      </c>
      <c r="E263" s="6" t="inlineStr">
        <is>
          <t>20.0</t>
        </is>
      </c>
      <c r="F263" s="7" t="n">
        <v>42</v>
      </c>
      <c r="G263" s="7" t="n">
        <v>2.1</v>
      </c>
      <c r="H263" s="7" t="n">
        <v>0</v>
      </c>
      <c r="I263" s="7" t="n">
        <v>-2.1</v>
      </c>
      <c r="J263" s="8" t="n">
        <v>25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NYM</t>
        </is>
      </c>
      <c r="C264" s="5" t="inlineStr">
        <is>
          <t>65862020299</t>
        </is>
      </c>
      <c r="D264" s="5" t="inlineStr">
        <is>
          <t>LOSARTAN 50MG TABLET</t>
        </is>
      </c>
      <c r="E264" s="6" t="inlineStr">
        <is>
          <t>1000.0</t>
        </is>
      </c>
      <c r="F264" s="7" t="n">
        <v>180</v>
      </c>
      <c r="G264" s="7" t="n">
        <v>0.18</v>
      </c>
      <c r="H264" s="7" t="n">
        <v>0</v>
      </c>
      <c r="I264" s="7" t="n">
        <v>-0.18</v>
      </c>
      <c r="J264" s="8" t="n">
        <v>25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NYM</t>
        </is>
      </c>
      <c r="C265" s="5" t="inlineStr">
        <is>
          <t>65162069179</t>
        </is>
      </c>
      <c r="D265" s="5" t="inlineStr">
        <is>
          <t>ONDANSETRON HCL 4 MG/5ML SOLUTION</t>
        </is>
      </c>
      <c r="E265" s="6" t="inlineStr">
        <is>
          <t>50.0</t>
        </is>
      </c>
      <c r="F265" s="7" t="n">
        <v>50</v>
      </c>
      <c r="G265" s="7" t="n">
        <v>1</v>
      </c>
      <c r="H265" s="7" t="n">
        <v>3</v>
      </c>
      <c r="I265" s="7" t="n">
        <v>2</v>
      </c>
      <c r="J265" s="8" t="n">
        <v>24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NYM</t>
        </is>
      </c>
      <c r="C266" s="5" t="inlineStr">
        <is>
          <t>57237003105</t>
        </is>
      </c>
      <c r="D266" s="5" t="inlineStr">
        <is>
          <t>AMOXICILLIN 500 MG CAPSULE</t>
        </is>
      </c>
      <c r="E266" s="6" t="inlineStr">
        <is>
          <t>500.0</t>
        </is>
      </c>
      <c r="F266" s="7" t="n">
        <v>42</v>
      </c>
      <c r="G266" s="7" t="n">
        <v>0.08400000000000001</v>
      </c>
      <c r="H266" s="7" t="n">
        <v>0</v>
      </c>
      <c r="I266" s="7" t="n">
        <v>-0.08400000000000001</v>
      </c>
      <c r="J266" s="8" t="n">
        <v>24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NYM</t>
        </is>
      </c>
      <c r="C267" s="5" t="inlineStr">
        <is>
          <t>00168014630</t>
        </is>
      </c>
      <c r="D267" s="5" t="inlineStr">
        <is>
          <t>HYDROCORTISONE 2.5% OINTMENT</t>
        </is>
      </c>
      <c r="E267" s="6" t="inlineStr">
        <is>
          <t>28.35</t>
        </is>
      </c>
      <c r="F267" s="7" t="n">
        <v>56.7</v>
      </c>
      <c r="G267" s="7" t="n">
        <v>2</v>
      </c>
      <c r="H267" s="7" t="n">
        <v>0</v>
      </c>
      <c r="I267" s="7" t="n">
        <v>-2</v>
      </c>
      <c r="J267" s="8" t="n">
        <v>24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NYM</t>
        </is>
      </c>
      <c r="C268" s="5" t="inlineStr">
        <is>
          <t>68382013905</t>
        </is>
      </c>
      <c r="D268" s="5" t="inlineStr">
        <is>
          <t xml:space="preserve">TOPIRAMATE 50MG TAB </t>
        </is>
      </c>
      <c r="E268" s="6" t="inlineStr">
        <is>
          <t>500.0</t>
        </is>
      </c>
      <c r="F268" s="7" t="n">
        <v>90</v>
      </c>
      <c r="G268" s="7" t="n">
        <v>0.18</v>
      </c>
      <c r="H268" s="7" t="n">
        <v>0</v>
      </c>
      <c r="I268" s="7" t="n">
        <v>-0.18</v>
      </c>
      <c r="J268" s="8" t="n">
        <v>24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NYM</t>
        </is>
      </c>
      <c r="C269" s="5" t="inlineStr">
        <is>
          <t>50111056103</t>
        </is>
      </c>
      <c r="D269" s="5" t="inlineStr">
        <is>
          <t>TRAZODONE 100MG TABLET</t>
        </is>
      </c>
      <c r="E269" s="6" t="inlineStr">
        <is>
          <t>1000.0</t>
        </is>
      </c>
      <c r="F269" s="7" t="n">
        <v>90</v>
      </c>
      <c r="G269" s="7" t="n">
        <v>0.09</v>
      </c>
      <c r="H269" s="7" t="n">
        <v>0</v>
      </c>
      <c r="I269" s="7" t="n">
        <v>-0.09</v>
      </c>
      <c r="J269" s="8" t="n">
        <v>24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NYM</t>
        </is>
      </c>
      <c r="C270" s="5" t="inlineStr">
        <is>
          <t>59651002988</t>
        </is>
      </c>
      <c r="D270" s="5" t="inlineStr">
        <is>
          <t>LO-ZUMANDIMINE 3-0.02 MG ORAL TABLET</t>
        </is>
      </c>
      <c r="E270" s="6" t="inlineStr">
        <is>
          <t>84.0</t>
        </is>
      </c>
      <c r="F270" s="7" t="n">
        <v>84</v>
      </c>
      <c r="G270" s="7" t="n">
        <v>1</v>
      </c>
      <c r="H270" s="7" t="n">
        <v>0</v>
      </c>
      <c r="I270" s="7" t="n">
        <v>-1</v>
      </c>
      <c r="J270" s="8" t="n">
        <v>24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NYM</t>
        </is>
      </c>
      <c r="C271" s="5" t="inlineStr">
        <is>
          <t>70010078305</t>
        </is>
      </c>
      <c r="D271" s="5" t="inlineStr">
        <is>
          <t>METOPROLOL SUCCINATE ER 200MG TABLET</t>
        </is>
      </c>
      <c r="E271" s="6" t="inlineStr">
        <is>
          <t>500.0</t>
        </is>
      </c>
      <c r="F271" s="7" t="n">
        <v>90</v>
      </c>
      <c r="G271" s="7" t="n">
        <v>0.18</v>
      </c>
      <c r="H271" s="7" t="n">
        <v>0</v>
      </c>
      <c r="I271" s="7" t="n">
        <v>-0.18</v>
      </c>
      <c r="J271" s="8" t="n">
        <v>24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NYM</t>
        </is>
      </c>
      <c r="C272" s="5" t="inlineStr">
        <is>
          <t>23155050110</t>
        </is>
      </c>
      <c r="D272" s="5" t="inlineStr">
        <is>
          <t>HYDROXYZINE HCL 25MG TABLET</t>
        </is>
      </c>
      <c r="E272" s="6" t="inlineStr">
        <is>
          <t>1000.0</t>
        </is>
      </c>
      <c r="F272" s="7" t="n">
        <v>120</v>
      </c>
      <c r="G272" s="7" t="n">
        <v>0.12</v>
      </c>
      <c r="H272" s="7" t="n">
        <v>0</v>
      </c>
      <c r="I272" s="7" t="n">
        <v>-0.12</v>
      </c>
      <c r="J272" s="8" t="n">
        <v>24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NYM</t>
        </is>
      </c>
      <c r="C273" s="5" t="inlineStr">
        <is>
          <t>42806071405</t>
        </is>
      </c>
      <c r="D273" s="5" t="inlineStr">
        <is>
          <t>BENZONATATE 100MG CAPSULE NYM</t>
        </is>
      </c>
      <c r="E273" s="6" t="inlineStr">
        <is>
          <t>500.0</t>
        </is>
      </c>
      <c r="F273" s="7" t="n">
        <v>32</v>
      </c>
      <c r="G273" s="7" t="n">
        <v>0.064</v>
      </c>
      <c r="H273" s="7" t="n">
        <v>1</v>
      </c>
      <c r="I273" s="7" t="n">
        <v>0.9359999999999999</v>
      </c>
      <c r="J273" s="8" t="n">
        <v>23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NYM</t>
        </is>
      </c>
      <c r="C274" s="5" t="inlineStr">
        <is>
          <t>33342005044</t>
        </is>
      </c>
      <c r="D274" s="5" t="inlineStr">
        <is>
          <t>LOSARTAN-HCTZ 50-12.5 MG TABLET</t>
        </is>
      </c>
      <c r="E274" s="6" t="inlineStr">
        <is>
          <t>1000.0</t>
        </is>
      </c>
      <c r="F274" s="7" t="n">
        <v>60</v>
      </c>
      <c r="G274" s="7" t="n">
        <v>0.06</v>
      </c>
      <c r="H274" s="7" t="n">
        <v>1</v>
      </c>
      <c r="I274" s="7" t="n">
        <v>0.9399999999999999</v>
      </c>
      <c r="J274" s="8" t="n">
        <v>23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NYM</t>
        </is>
      </c>
      <c r="C275" s="5" t="inlineStr">
        <is>
          <t>68382013805</t>
        </is>
      </c>
      <c r="D275" s="5" t="inlineStr">
        <is>
          <t>TOPIRAMATE 25MG TABLET</t>
        </is>
      </c>
      <c r="E275" s="6" t="inlineStr">
        <is>
          <t>500.0</t>
        </is>
      </c>
      <c r="F275" s="7" t="n">
        <v>90</v>
      </c>
      <c r="G275" s="7" t="n">
        <v>0.18</v>
      </c>
      <c r="H275" s="7" t="n">
        <v>0</v>
      </c>
      <c r="I275" s="7" t="n">
        <v>-0.18</v>
      </c>
      <c r="J275" s="8" t="n">
        <v>23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NYM</t>
        </is>
      </c>
      <c r="C276" s="5" t="inlineStr">
        <is>
          <t>00228212910</t>
        </is>
      </c>
      <c r="D276" s="5" t="inlineStr">
        <is>
          <t xml:space="preserve">CLONIDINE 0.3MG TAB </t>
        </is>
      </c>
      <c r="E276" s="6" t="inlineStr">
        <is>
          <t>100.0</t>
        </is>
      </c>
      <c r="F276" s="7" t="n">
        <v>60</v>
      </c>
      <c r="G276" s="7" t="n">
        <v>0.6</v>
      </c>
      <c r="H276" s="7" t="n">
        <v>3</v>
      </c>
      <c r="I276" s="7" t="n">
        <v>2.4</v>
      </c>
      <c r="J276" s="8" t="n">
        <v>23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NYM</t>
        </is>
      </c>
      <c r="C277" s="5" t="inlineStr">
        <is>
          <t>62756014202</t>
        </is>
      </c>
      <c r="D277" s="5" t="inlineStr">
        <is>
          <t xml:space="preserve">METFORMIN ER 500MG TAB </t>
        </is>
      </c>
      <c r="E277" s="6" t="inlineStr">
        <is>
          <t>500.0</t>
        </is>
      </c>
      <c r="F277" s="7" t="n">
        <v>120</v>
      </c>
      <c r="G277" s="7" t="n">
        <v>0.24</v>
      </c>
      <c r="H277" s="7" t="n">
        <v>0</v>
      </c>
      <c r="I277" s="7" t="n">
        <v>-0.24</v>
      </c>
      <c r="J277" s="8" t="n">
        <v>23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NYM</t>
        </is>
      </c>
      <c r="C278" s="5" t="inlineStr">
        <is>
          <t>00378632177</t>
        </is>
      </c>
      <c r="D278" s="5" t="inlineStr">
        <is>
          <t>VALSARTAN-HYDROCHLOROTHIAZIDE 80-12.5 MG ORAL TABLET</t>
        </is>
      </c>
      <c r="E278" s="6" t="inlineStr">
        <is>
          <t>90.0</t>
        </is>
      </c>
      <c r="F278" s="7" t="n">
        <v>90</v>
      </c>
      <c r="G278" s="7" t="n">
        <v>1</v>
      </c>
      <c r="H278" s="7" t="n">
        <v>2</v>
      </c>
      <c r="I278" s="7" t="n">
        <v>1</v>
      </c>
      <c r="J278" s="8" t="n">
        <v>23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NYM</t>
        </is>
      </c>
      <c r="C279" s="5" t="inlineStr">
        <is>
          <t>69680011225</t>
        </is>
      </c>
      <c r="D279" s="5" t="inlineStr">
        <is>
          <t>CYANOCOBALAMIN 1000 MCG/ML INJECTION SOLUTION</t>
        </is>
      </c>
      <c r="E279" s="6" t="inlineStr">
        <is>
          <t>25.0</t>
        </is>
      </c>
      <c r="F279" s="7" t="n">
        <v>6</v>
      </c>
      <c r="G279" s="7" t="n">
        <v>0.24</v>
      </c>
      <c r="H279" s="7" t="n">
        <v>0</v>
      </c>
      <c r="I279" s="7" t="n">
        <v>-0.24</v>
      </c>
      <c r="J279" s="8" t="n">
        <v>23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NYM</t>
        </is>
      </c>
      <c r="C280" s="5" t="inlineStr">
        <is>
          <t>31722072250</t>
        </is>
      </c>
      <c r="D280" s="5" t="inlineStr">
        <is>
          <t xml:space="preserve">LEVOFLOXACIN 500MG TAB </t>
        </is>
      </c>
      <c r="E280" s="6" t="inlineStr">
        <is>
          <t>50.0</t>
        </is>
      </c>
      <c r="F280" s="7" t="n">
        <v>20</v>
      </c>
      <c r="G280" s="7" t="n">
        <v>0.4</v>
      </c>
      <c r="H280" s="7" t="n">
        <v>0</v>
      </c>
      <c r="I280" s="7" t="n">
        <v>-0.4</v>
      </c>
      <c r="J280" s="8" t="n">
        <v>23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NYM</t>
        </is>
      </c>
      <c r="C281" s="5" t="inlineStr">
        <is>
          <t>23155066201</t>
        </is>
      </c>
      <c r="D281" s="5" t="inlineStr">
        <is>
          <t xml:space="preserve">CALCITRIOL 0.25MCG CAP </t>
        </is>
      </c>
      <c r="E281" s="6" t="inlineStr">
        <is>
          <t>100.0</t>
        </is>
      </c>
      <c r="F281" s="7" t="n">
        <v>90</v>
      </c>
      <c r="G281" s="7" t="n">
        <v>0.9</v>
      </c>
      <c r="H281" s="7" t="n">
        <v>3</v>
      </c>
      <c r="I281" s="7" t="n">
        <v>2.1</v>
      </c>
      <c r="J281" s="8" t="n">
        <v>23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NYM</t>
        </is>
      </c>
      <c r="C282" s="5" t="inlineStr">
        <is>
          <t>00536142704</t>
        </is>
      </c>
      <c r="D282" s="5" t="inlineStr">
        <is>
          <t>DOCOSANOL 10 % EXTERNAL CREAM</t>
        </is>
      </c>
      <c r="E282" s="6" t="inlineStr">
        <is>
          <t>2.0</t>
        </is>
      </c>
      <c r="F282" s="7" t="n">
        <v>2</v>
      </c>
      <c r="G282" s="7" t="n">
        <v>1</v>
      </c>
      <c r="H282" s="7" t="n">
        <v>1</v>
      </c>
      <c r="I282" s="7" t="n">
        <v>0</v>
      </c>
      <c r="J282" s="8" t="n">
        <v>23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NYM</t>
        </is>
      </c>
      <c r="C283" s="5" t="inlineStr">
        <is>
          <t>00536430608</t>
        </is>
      </c>
      <c r="D283" s="5" t="inlineStr">
        <is>
          <t>FIBER-LAX 625MG TABLET</t>
        </is>
      </c>
      <c r="E283" s="6" t="inlineStr">
        <is>
          <t>60.0</t>
        </is>
      </c>
      <c r="F283" s="7" t="n">
        <v>120</v>
      </c>
      <c r="G283" s="7" t="n">
        <v>2</v>
      </c>
      <c r="H283" s="7" t="n">
        <v>3</v>
      </c>
      <c r="I283" s="7" t="n">
        <v>1</v>
      </c>
      <c r="J283" s="8" t="n">
        <v>23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NYM</t>
        </is>
      </c>
      <c r="C284" s="5" t="inlineStr">
        <is>
          <t>57237010099</t>
        </is>
      </c>
      <c r="D284" s="5" t="inlineStr">
        <is>
          <t>METOPROLOL TARTRATE 25MG TABLET</t>
        </is>
      </c>
      <c r="E284" s="6" t="inlineStr">
        <is>
          <t>1000.0</t>
        </is>
      </c>
      <c r="F284" s="7" t="n">
        <v>150</v>
      </c>
      <c r="G284" s="7" t="n">
        <v>0.15</v>
      </c>
      <c r="H284" s="7" t="n">
        <v>0</v>
      </c>
      <c r="I284" s="7" t="n">
        <v>-0.15</v>
      </c>
      <c r="J284" s="8" t="n">
        <v>22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NYM</t>
        </is>
      </c>
      <c r="C285" s="5" t="inlineStr">
        <is>
          <t>31722053812</t>
        </is>
      </c>
      <c r="D285" s="5" t="inlineStr">
        <is>
          <t>LEVETIRACETAM 750MG TABLET</t>
        </is>
      </c>
      <c r="E285" s="6" t="inlineStr">
        <is>
          <t>120.0</t>
        </is>
      </c>
      <c r="F285" s="7" t="n">
        <v>120</v>
      </c>
      <c r="G285" s="7" t="n">
        <v>1</v>
      </c>
      <c r="H285" s="7" t="n">
        <v>0</v>
      </c>
      <c r="I285" s="7" t="n">
        <v>-1</v>
      </c>
      <c r="J285" s="8" t="n">
        <v>22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NYM</t>
        </is>
      </c>
      <c r="C286" s="5" t="inlineStr">
        <is>
          <t>68180098103</t>
        </is>
      </c>
      <c r="D286" s="5" t="inlineStr">
        <is>
          <t>LISINOPRIL 20MG TABLET</t>
        </is>
      </c>
      <c r="E286" s="6" t="inlineStr">
        <is>
          <t>1000.0</t>
        </is>
      </c>
      <c r="F286" s="7" t="n">
        <v>60</v>
      </c>
      <c r="G286" s="7" t="n">
        <v>0.06</v>
      </c>
      <c r="H286" s="7" t="n">
        <v>0</v>
      </c>
      <c r="I286" s="7" t="n">
        <v>-0.06</v>
      </c>
      <c r="J286" s="8" t="n">
        <v>22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NYM</t>
        </is>
      </c>
      <c r="C287" s="5" t="inlineStr">
        <is>
          <t>00781196260</t>
        </is>
      </c>
      <c r="D287" s="5" t="inlineStr">
        <is>
          <t xml:space="preserve">CLARITHROMYCIN 500MG TAB </t>
        </is>
      </c>
      <c r="E287" s="6" t="inlineStr">
        <is>
          <t>60.0</t>
        </is>
      </c>
      <c r="F287" s="7" t="n">
        <v>28</v>
      </c>
      <c r="G287" s="7" t="n">
        <v>0.4666666666666667</v>
      </c>
      <c r="H287" s="7" t="n">
        <v>0</v>
      </c>
      <c r="I287" s="7" t="n">
        <v>-0.4666666666666667</v>
      </c>
      <c r="J287" s="8" t="n">
        <v>22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NYM</t>
        </is>
      </c>
      <c r="C288" s="5" t="inlineStr">
        <is>
          <t>00555902858</t>
        </is>
      </c>
      <c r="D288" s="5" t="inlineStr">
        <is>
          <t>JUNEL FE 1.5/30 1.5-30 MG-MCG ORAL TABLET</t>
        </is>
      </c>
      <c r="E288" s="6" t="inlineStr">
        <is>
          <t>168.0</t>
        </is>
      </c>
      <c r="F288" s="7" t="n">
        <v>84</v>
      </c>
      <c r="G288" s="7" t="n">
        <v>0.5</v>
      </c>
      <c r="H288" s="7" t="n">
        <v>0</v>
      </c>
      <c r="I288" s="7" t="n">
        <v>-0.5</v>
      </c>
      <c r="J288" s="8" t="n">
        <v>22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NYM</t>
        </is>
      </c>
      <c r="C289" s="5" t="inlineStr">
        <is>
          <t>51672127304</t>
        </is>
      </c>
      <c r="D289" s="5" t="inlineStr">
        <is>
          <t>FLUOCINONIDE 0.05% EXTERNAL SOLUTION</t>
        </is>
      </c>
      <c r="E289" s="6" t="inlineStr">
        <is>
          <t>60.0</t>
        </is>
      </c>
      <c r="F289" s="7" t="n">
        <v>60</v>
      </c>
      <c r="G289" s="7" t="n">
        <v>1</v>
      </c>
      <c r="H289" s="7" t="n">
        <v>3</v>
      </c>
      <c r="I289" s="7" t="n">
        <v>2</v>
      </c>
      <c r="J289" s="8" t="n">
        <v>22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NYM</t>
        </is>
      </c>
      <c r="C290" s="5" t="inlineStr">
        <is>
          <t>49483060450</t>
        </is>
      </c>
      <c r="D290" s="5" t="inlineStr">
        <is>
          <t>IBUPROFEN 800MG TABLET</t>
        </is>
      </c>
      <c r="E290" s="6" t="inlineStr">
        <is>
          <t>500.0</t>
        </is>
      </c>
      <c r="F290" s="7" t="n">
        <v>41</v>
      </c>
      <c r="G290" s="7" t="n">
        <v>0.082</v>
      </c>
      <c r="H290" s="7" t="n">
        <v>0</v>
      </c>
      <c r="I290" s="7" t="n">
        <v>-0.082</v>
      </c>
      <c r="J290" s="8" t="n">
        <v>22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NYM</t>
        </is>
      </c>
      <c r="C291" s="5" t="inlineStr">
        <is>
          <t>00536104710</t>
        </is>
      </c>
      <c r="D291" s="5" t="inlineStr">
        <is>
          <t>SODIUM BICARBONATE 650MG TABLET</t>
        </is>
      </c>
      <c r="E291" s="6" t="inlineStr">
        <is>
          <t>1000.0</t>
        </is>
      </c>
      <c r="F291" s="7" t="n">
        <v>150</v>
      </c>
      <c r="G291" s="7" t="n">
        <v>0.15</v>
      </c>
      <c r="H291" s="7" t="n">
        <v>0</v>
      </c>
      <c r="I291" s="7" t="n">
        <v>-0.15</v>
      </c>
      <c r="J291" s="8" t="n">
        <v>22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NYM</t>
        </is>
      </c>
      <c r="C292" s="5" t="inlineStr">
        <is>
          <t>73473030370</t>
        </is>
      </c>
      <c r="D292" s="5" t="inlineStr">
        <is>
          <t>METRONIDAZOLE 0.75% VAGINAL GEL</t>
        </is>
      </c>
      <c r="E292" s="6" t="inlineStr">
        <is>
          <t>70.0</t>
        </is>
      </c>
      <c r="F292" s="7" t="n">
        <v>70</v>
      </c>
      <c r="G292" s="7" t="n">
        <v>1</v>
      </c>
      <c r="H292" s="7" t="n">
        <v>0</v>
      </c>
      <c r="I292" s="7" t="n">
        <v>-1</v>
      </c>
      <c r="J292" s="8" t="n">
        <v>22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NYM</t>
        </is>
      </c>
      <c r="C293" s="5" t="inlineStr">
        <is>
          <t>00054253125</t>
        </is>
      </c>
      <c r="D293" s="5" t="inlineStr">
        <is>
          <t>LITHIUM CARBONATE 600MG CAPSULE</t>
        </is>
      </c>
      <c r="E293" s="6" t="inlineStr">
        <is>
          <t>100.0</t>
        </is>
      </c>
      <c r="F293" s="7" t="n">
        <v>60</v>
      </c>
      <c r="G293" s="7" t="n">
        <v>0.6</v>
      </c>
      <c r="H293" s="7" t="n">
        <v>0</v>
      </c>
      <c r="I293" s="7" t="n">
        <v>-0.6</v>
      </c>
      <c r="J293" s="8" t="n">
        <v>22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NYM</t>
        </is>
      </c>
      <c r="C294" s="5" t="inlineStr">
        <is>
          <t>00904723780</t>
        </is>
      </c>
      <c r="D294" s="5" t="inlineStr">
        <is>
          <t>BANOPHEN 25MG CAPSULE</t>
        </is>
      </c>
      <c r="E294" s="6" t="inlineStr">
        <is>
          <t>1000.0</t>
        </is>
      </c>
      <c r="F294" s="7" t="n">
        <v>99</v>
      </c>
      <c r="G294" s="7" t="n">
        <v>0.099</v>
      </c>
      <c r="H294" s="7" t="n">
        <v>0</v>
      </c>
      <c r="I294" s="7" t="n">
        <v>-0.099</v>
      </c>
      <c r="J294" s="8" t="n">
        <v>22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NYM</t>
        </is>
      </c>
      <c r="C295" s="5" t="inlineStr">
        <is>
          <t>71930005012</t>
        </is>
      </c>
      <c r="D295" s="5" t="inlineStr">
        <is>
          <t>POTASSIUM CITRATE 15MEQ TABLET EXTENDED RELEASE</t>
        </is>
      </c>
      <c r="E295" s="6" t="inlineStr">
        <is>
          <t>100.0</t>
        </is>
      </c>
      <c r="F295" s="7" t="n">
        <v>60</v>
      </c>
      <c r="G295" s="7" t="n">
        <v>0.6</v>
      </c>
      <c r="H295" s="7" t="n">
        <v>0</v>
      </c>
      <c r="I295" s="7" t="n">
        <v>-0.6</v>
      </c>
      <c r="J295" s="8" t="n">
        <v>22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NYM</t>
        </is>
      </c>
      <c r="C296" s="5" t="inlineStr">
        <is>
          <t>64980032430</t>
        </is>
      </c>
      <c r="D296" s="5" t="inlineStr">
        <is>
          <t>PROCTOZONE-HC 2.5% CREAM</t>
        </is>
      </c>
      <c r="E296" s="6" t="inlineStr">
        <is>
          <t>30.0</t>
        </is>
      </c>
      <c r="F296" s="7" t="n">
        <v>60</v>
      </c>
      <c r="G296" s="7" t="n">
        <v>2</v>
      </c>
      <c r="H296" s="7" t="n">
        <v>0</v>
      </c>
      <c r="I296" s="7" t="n">
        <v>-2</v>
      </c>
      <c r="J296" s="8" t="n">
        <v>22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NYM</t>
        </is>
      </c>
      <c r="C297" s="5" t="inlineStr">
        <is>
          <t>69097045805</t>
        </is>
      </c>
      <c r="D297" s="5" t="inlineStr">
        <is>
          <t xml:space="preserve">FENOFIBRATE 145MG TAB </t>
        </is>
      </c>
      <c r="E297" s="6" t="inlineStr">
        <is>
          <t>90.0</t>
        </is>
      </c>
      <c r="F297" s="7" t="n">
        <v>90</v>
      </c>
      <c r="G297" s="7" t="n">
        <v>1</v>
      </c>
      <c r="H297" s="7" t="n">
        <v>0</v>
      </c>
      <c r="I297" s="7" t="n">
        <v>-1</v>
      </c>
      <c r="J297" s="8" t="n">
        <v>21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NYM</t>
        </is>
      </c>
      <c r="C298" s="5" t="inlineStr">
        <is>
          <t>47781026305</t>
        </is>
      </c>
      <c r="D298" s="5" t="inlineStr">
        <is>
          <t>OXYCODONE HCL 5 MG TABLET</t>
        </is>
      </c>
      <c r="E298" s="6" t="inlineStr">
        <is>
          <t>500.0</t>
        </is>
      </c>
      <c r="F298" s="7" t="n">
        <v>10</v>
      </c>
      <c r="G298" s="7" t="n">
        <v>0.02</v>
      </c>
      <c r="H298" s="7" t="n">
        <v>0</v>
      </c>
      <c r="I298" s="7" t="n">
        <v>-0.02</v>
      </c>
      <c r="J298" s="8" t="n">
        <v>21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NYM</t>
        </is>
      </c>
      <c r="C299" s="5" t="inlineStr">
        <is>
          <t>00904674860</t>
        </is>
      </c>
      <c r="D299" s="5" t="inlineStr">
        <is>
          <t>BISACODYL 5MG TABLET DR</t>
        </is>
      </c>
      <c r="E299" s="6" t="inlineStr">
        <is>
          <t>100.0</t>
        </is>
      </c>
      <c r="F299" s="7" t="n">
        <v>29</v>
      </c>
      <c r="G299" s="7" t="n">
        <v>0.29</v>
      </c>
      <c r="H299" s="7" t="n">
        <v>13</v>
      </c>
      <c r="I299" s="7" t="n">
        <v>12.71</v>
      </c>
      <c r="J299" s="8" t="n">
        <v>21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NYM</t>
        </is>
      </c>
      <c r="C300" s="5" t="inlineStr">
        <is>
          <t>24208091055</t>
        </is>
      </c>
      <c r="D300" s="5" t="inlineStr">
        <is>
          <t>ERYTHROMYCIN 5MG/GM OINTMENT</t>
        </is>
      </c>
      <c r="E300" s="6" t="inlineStr">
        <is>
          <t>3.5</t>
        </is>
      </c>
      <c r="F300" s="7" t="n">
        <v>3.5</v>
      </c>
      <c r="G300" s="7" t="n">
        <v>1</v>
      </c>
      <c r="H300" s="7" t="n">
        <v>0</v>
      </c>
      <c r="I300" s="7" t="n">
        <v>-1</v>
      </c>
      <c r="J300" s="8" t="n">
        <v>21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NYM</t>
        </is>
      </c>
      <c r="C301" s="5" t="inlineStr">
        <is>
          <t>00536125240</t>
        </is>
      </c>
      <c r="D301" s="5" t="inlineStr">
        <is>
          <t>EYE ITCH RELIEF 0.035 % OPHTHALMIC SOLUTION</t>
        </is>
      </c>
      <c r="E301" s="6" t="inlineStr">
        <is>
          <t>5.0</t>
        </is>
      </c>
      <c r="F301" s="7" t="n">
        <v>5</v>
      </c>
      <c r="G301" s="7" t="n">
        <v>1</v>
      </c>
      <c r="H301" s="7" t="n">
        <v>0</v>
      </c>
      <c r="I301" s="7" t="n">
        <v>-1</v>
      </c>
      <c r="J301" s="8" t="n">
        <v>21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NYM</t>
        </is>
      </c>
      <c r="C302" s="5" t="inlineStr">
        <is>
          <t>23155000810</t>
        </is>
      </c>
      <c r="D302" s="5" t="inlineStr">
        <is>
          <t>HYDROCHLOROTHIAZIDE 25MG TABLET</t>
        </is>
      </c>
      <c r="E302" s="6" t="inlineStr">
        <is>
          <t>1000.0</t>
        </is>
      </c>
      <c r="F302" s="7" t="n">
        <v>120</v>
      </c>
      <c r="G302" s="7" t="n">
        <v>0.12</v>
      </c>
      <c r="H302" s="7" t="n">
        <v>0</v>
      </c>
      <c r="I302" s="7" t="n">
        <v>-0.12</v>
      </c>
      <c r="J302" s="8" t="n">
        <v>21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NYM</t>
        </is>
      </c>
      <c r="C303" s="5" t="inlineStr">
        <is>
          <t>67877015905</t>
        </is>
      </c>
      <c r="D303" s="5" t="inlineStr">
        <is>
          <t xml:space="preserve">METFORMIN ER 500MG TABLET </t>
        </is>
      </c>
      <c r="E303" s="6" t="inlineStr">
        <is>
          <t>500.0</t>
        </is>
      </c>
      <c r="F303" s="7" t="n">
        <v>60</v>
      </c>
      <c r="G303" s="7" t="n">
        <v>0.12</v>
      </c>
      <c r="H303" s="7" t="n">
        <v>0</v>
      </c>
      <c r="I303" s="7" t="n">
        <v>-0.12</v>
      </c>
      <c r="J303" s="8" t="n">
        <v>21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NYM</t>
        </is>
      </c>
      <c r="C304" s="5" t="inlineStr">
        <is>
          <t>00781286810</t>
        </is>
      </c>
      <c r="D304" s="5" t="inlineStr">
        <is>
          <t>OMEPRAZOLE 20MG CAPSULE DR</t>
        </is>
      </c>
      <c r="E304" s="6" t="inlineStr">
        <is>
          <t>1000.0</t>
        </is>
      </c>
      <c r="F304" s="7" t="n">
        <v>60</v>
      </c>
      <c r="G304" s="7" t="n">
        <v>0.06</v>
      </c>
      <c r="H304" s="7" t="n">
        <v>0</v>
      </c>
      <c r="I304" s="7" t="n">
        <v>-0.06</v>
      </c>
      <c r="J304" s="8" t="n">
        <v>21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NYM</t>
        </is>
      </c>
      <c r="C305" s="5" t="inlineStr">
        <is>
          <t>57237023301</t>
        </is>
      </c>
      <c r="D305" s="5" t="inlineStr">
        <is>
          <t>SULFAMETHOXAZOLE-TRIMETHOPRIM 800-160MG TABLET</t>
        </is>
      </c>
      <c r="E305" s="6" t="inlineStr">
        <is>
          <t>100.0</t>
        </is>
      </c>
      <c r="F305" s="7" t="n">
        <v>28</v>
      </c>
      <c r="G305" s="7" t="n">
        <v>0.28</v>
      </c>
      <c r="H305" s="7" t="n">
        <v>1</v>
      </c>
      <c r="I305" s="7" t="n">
        <v>0.72</v>
      </c>
      <c r="J305" s="8" t="n">
        <v>20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NYM</t>
        </is>
      </c>
      <c r="C306" s="5" t="inlineStr">
        <is>
          <t>24208048610</t>
        </is>
      </c>
      <c r="D306" s="5" t="inlineStr">
        <is>
          <t xml:space="preserve">DORZOLAMID-TIMOLO 22.3-6.8MG/ML (EYE) </t>
        </is>
      </c>
      <c r="E306" s="6" t="inlineStr">
        <is>
          <t>10.0</t>
        </is>
      </c>
      <c r="F306" s="7" t="n">
        <v>10</v>
      </c>
      <c r="G306" s="7" t="n">
        <v>1</v>
      </c>
      <c r="H306" s="7" t="n">
        <v>0</v>
      </c>
      <c r="I306" s="7" t="n">
        <v>-1</v>
      </c>
      <c r="J306" s="8" t="n">
        <v>20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NYM</t>
        </is>
      </c>
      <c r="C307" s="5" t="inlineStr">
        <is>
          <t>27241015608</t>
        </is>
      </c>
      <c r="D307" s="5" t="inlineStr">
        <is>
          <t>OXYBUTYNIN 10MG TABLET ER</t>
        </is>
      </c>
      <c r="E307" s="6" t="inlineStr">
        <is>
          <t>500.0</t>
        </is>
      </c>
      <c r="F307" s="7" t="n">
        <v>90</v>
      </c>
      <c r="G307" s="7" t="n">
        <v>0.18</v>
      </c>
      <c r="H307" s="7" t="n">
        <v>0</v>
      </c>
      <c r="I307" s="7" t="n">
        <v>-0.18</v>
      </c>
      <c r="J307" s="8" t="n">
        <v>20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NYM</t>
        </is>
      </c>
      <c r="C308" s="5" t="inlineStr">
        <is>
          <t>00023040370</t>
        </is>
      </c>
      <c r="D308" s="5" t="inlineStr">
        <is>
          <t>REFRESH PLUS 0.5 % OPHTHALMIC SOLUTION</t>
        </is>
      </c>
      <c r="E308" s="6" t="inlineStr">
        <is>
          <t>70.0</t>
        </is>
      </c>
      <c r="F308" s="7" t="n">
        <v>70</v>
      </c>
      <c r="G308" s="7" t="n">
        <v>1</v>
      </c>
      <c r="H308" s="7" t="n">
        <v>2</v>
      </c>
      <c r="I308" s="7" t="n">
        <v>1</v>
      </c>
      <c r="J308" s="8" t="n">
        <v>20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NYM</t>
        </is>
      </c>
      <c r="C309" s="5" t="inlineStr">
        <is>
          <t>70954025220</t>
        </is>
      </c>
      <c r="D309" s="5" t="inlineStr">
        <is>
          <t>FLUDROCORTISONE ACETATE 0.1 MG ORAL TABLET</t>
        </is>
      </c>
      <c r="E309" s="6" t="inlineStr">
        <is>
          <t>100.0</t>
        </is>
      </c>
      <c r="F309" s="7" t="n">
        <v>30</v>
      </c>
      <c r="G309" s="7" t="n">
        <v>0.3</v>
      </c>
      <c r="H309" s="7" t="n">
        <v>0</v>
      </c>
      <c r="I309" s="7" t="n">
        <v>-0.3</v>
      </c>
      <c r="J309" s="8" t="n">
        <v>20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NYM</t>
        </is>
      </c>
      <c r="C310" s="5" t="inlineStr">
        <is>
          <t>76204030003</t>
        </is>
      </c>
      <c r="D310" s="5" t="inlineStr">
        <is>
          <t>SODIUM CHLORIDE 0.9 % INHALATION NEBULIZATION SOLUTION</t>
        </is>
      </c>
      <c r="E310" s="6" t="inlineStr">
        <is>
          <t>300.0</t>
        </is>
      </c>
      <c r="F310" s="7" t="n">
        <v>300</v>
      </c>
      <c r="G310" s="7" t="n">
        <v>1</v>
      </c>
      <c r="H310" s="7" t="n">
        <v>0</v>
      </c>
      <c r="I310" s="7" t="n">
        <v>-1</v>
      </c>
      <c r="J310" s="8" t="n">
        <v>20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NYM</t>
        </is>
      </c>
      <c r="C311" s="5" t="inlineStr">
        <is>
          <t>00065806401</t>
        </is>
      </c>
      <c r="D311" s="5" t="inlineStr">
        <is>
          <t>GENTEAL SEVERE 0.3 % OPHTHALMIC GEL</t>
        </is>
      </c>
      <c r="E311" s="6" t="inlineStr">
        <is>
          <t>10.0</t>
        </is>
      </c>
      <c r="F311" s="7" t="n">
        <v>10</v>
      </c>
      <c r="G311" s="7" t="n">
        <v>1</v>
      </c>
      <c r="H311" s="7" t="n">
        <v>0</v>
      </c>
      <c r="I311" s="7" t="n">
        <v>-1</v>
      </c>
      <c r="J311" s="8" t="n">
        <v>19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NYM</t>
        </is>
      </c>
      <c r="C312" s="5" t="inlineStr">
        <is>
          <t>00116400516</t>
        </is>
      </c>
      <c r="D312" s="5" t="inlineStr">
        <is>
          <t>LACTULOSE 10 GM/15ML ORAL SOLUTION</t>
        </is>
      </c>
      <c r="E312" s="6" t="inlineStr">
        <is>
          <t>473.0</t>
        </is>
      </c>
      <c r="F312" s="7" t="n">
        <v>473</v>
      </c>
      <c r="G312" s="7" t="n">
        <v>1</v>
      </c>
      <c r="H312" s="7" t="n">
        <v>5</v>
      </c>
      <c r="I312" s="7" t="n">
        <v>4</v>
      </c>
      <c r="J312" s="8" t="n">
        <v>19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NYM</t>
        </is>
      </c>
      <c r="C313" s="5" t="inlineStr">
        <is>
          <t>51672208002</t>
        </is>
      </c>
      <c r="D313" s="5" t="inlineStr">
        <is>
          <t>TERBINAFINE HCL 1% CREAM</t>
        </is>
      </c>
      <c r="E313" s="6" t="inlineStr">
        <is>
          <t>30.0</t>
        </is>
      </c>
      <c r="F313" s="7" t="n">
        <v>30</v>
      </c>
      <c r="G313" s="7" t="n">
        <v>1</v>
      </c>
      <c r="H313" s="7" t="n">
        <v>0</v>
      </c>
      <c r="I313" s="7" t="n">
        <v>-1</v>
      </c>
      <c r="J313" s="8" t="n">
        <v>19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NYM</t>
        </is>
      </c>
      <c r="C314" s="5" t="inlineStr">
        <is>
          <t>00121076616</t>
        </is>
      </c>
      <c r="D314" s="5" t="inlineStr">
        <is>
          <t>CALCIUM CARBONATE ANTACID 1250 MG/5ML ORAL SUSPENSION</t>
        </is>
      </c>
      <c r="E314" s="6" t="inlineStr">
        <is>
          <t>473.0</t>
        </is>
      </c>
      <c r="F314" s="7" t="n">
        <v>473</v>
      </c>
      <c r="G314" s="7" t="n">
        <v>1</v>
      </c>
      <c r="H314" s="7" t="n">
        <v>0</v>
      </c>
      <c r="I314" s="7" t="n">
        <v>-1</v>
      </c>
      <c r="J314" s="8" t="n">
        <v>19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NYM</t>
        </is>
      </c>
      <c r="C315" s="5" t="inlineStr">
        <is>
          <t>57237022005</t>
        </is>
      </c>
      <c r="D315" s="5" t="inlineStr">
        <is>
          <t>PIOGLITAZONE 30MG TABLET</t>
        </is>
      </c>
      <c r="E315" s="6" t="inlineStr">
        <is>
          <t>500.0</t>
        </is>
      </c>
      <c r="F315" s="7" t="n">
        <v>90</v>
      </c>
      <c r="G315" s="7" t="n">
        <v>0.18</v>
      </c>
      <c r="H315" s="7" t="n">
        <v>1</v>
      </c>
      <c r="I315" s="7" t="n">
        <v>0.8200000000000001</v>
      </c>
      <c r="J315" s="8" t="n">
        <v>19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NYM</t>
        </is>
      </c>
      <c r="C316" s="5" t="inlineStr">
        <is>
          <t>24208038555</t>
        </is>
      </c>
      <c r="D316" s="5" t="inlineStr">
        <is>
          <t>MURO 128 5% OINTMENT</t>
        </is>
      </c>
      <c r="E316" s="6" t="inlineStr">
        <is>
          <t>3.5</t>
        </is>
      </c>
      <c r="F316" s="7" t="n">
        <v>3.5</v>
      </c>
      <c r="G316" s="7" t="n">
        <v>1</v>
      </c>
      <c r="H316" s="7" t="n">
        <v>0</v>
      </c>
      <c r="I316" s="7" t="n">
        <v>-1</v>
      </c>
      <c r="J316" s="8" t="n">
        <v>19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NYM</t>
        </is>
      </c>
      <c r="C317" s="5" t="inlineStr">
        <is>
          <t>42571013725</t>
        </is>
      </c>
      <c r="D317" s="5" t="inlineStr">
        <is>
          <t>KETOROLAC 0.5 % OPHTHALMIC SOLUTION</t>
        </is>
      </c>
      <c r="E317" s="6" t="inlineStr">
        <is>
          <t>5.0</t>
        </is>
      </c>
      <c r="F317" s="7" t="n">
        <v>5</v>
      </c>
      <c r="G317" s="7" t="n">
        <v>1</v>
      </c>
      <c r="H317" s="7" t="n">
        <v>0</v>
      </c>
      <c r="I317" s="7" t="n">
        <v>-1</v>
      </c>
      <c r="J317" s="8" t="n">
        <v>18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NYM</t>
        </is>
      </c>
      <c r="C318" s="5" t="inlineStr">
        <is>
          <t>69315030805</t>
        </is>
      </c>
      <c r="D318" s="5" t="inlineStr">
        <is>
          <t>CIPROFLOXACIN HCL 0.3 % OPHTHALMIC SOLUTION</t>
        </is>
      </c>
      <c r="E318" s="6" t="inlineStr">
        <is>
          <t>5.0</t>
        </is>
      </c>
      <c r="F318" s="7" t="n">
        <v>5</v>
      </c>
      <c r="G318" s="7" t="n">
        <v>1</v>
      </c>
      <c r="H318" s="7" t="n">
        <v>8</v>
      </c>
      <c r="I318" s="7" t="n">
        <v>7</v>
      </c>
      <c r="J318" s="8" t="n">
        <v>18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NYM</t>
        </is>
      </c>
      <c r="C319" s="5" t="inlineStr">
        <is>
          <t>67877012405</t>
        </is>
      </c>
      <c r="D319" s="5" t="inlineStr">
        <is>
          <t>SILVER SULFADIAZINE 1 % EXTERNAL CREAM</t>
        </is>
      </c>
      <c r="E319" s="6" t="inlineStr">
        <is>
          <t>50.0</t>
        </is>
      </c>
      <c r="F319" s="7" t="n">
        <v>50</v>
      </c>
      <c r="G319" s="7" t="n">
        <v>1</v>
      </c>
      <c r="H319" s="7" t="n">
        <v>0</v>
      </c>
      <c r="I319" s="7" t="n">
        <v>-1</v>
      </c>
      <c r="J319" s="8" t="n">
        <v>18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NYM</t>
        </is>
      </c>
      <c r="C320" s="5" t="inlineStr">
        <is>
          <t>65862022960</t>
        </is>
      </c>
      <c r="D320" s="5" t="inlineStr">
        <is>
          <t>LAMOTRIGINE 150MG  TABLET</t>
        </is>
      </c>
      <c r="E320" s="6" t="inlineStr">
        <is>
          <t>60.0</t>
        </is>
      </c>
      <c r="F320" s="7" t="n">
        <v>120</v>
      </c>
      <c r="G320" s="7" t="n">
        <v>2</v>
      </c>
      <c r="H320" s="7" t="n">
        <v>0</v>
      </c>
      <c r="I320" s="7" t="n">
        <v>-2</v>
      </c>
      <c r="J320" s="8" t="n">
        <v>18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NYM</t>
        </is>
      </c>
      <c r="C321" s="5" t="inlineStr">
        <is>
          <t>00093171401</t>
        </is>
      </c>
      <c r="D321" s="5" t="inlineStr">
        <is>
          <t>WARFARIN 2.5MG TABLET</t>
        </is>
      </c>
      <c r="E321" s="6" t="inlineStr">
        <is>
          <t>100.0</t>
        </is>
      </c>
      <c r="F321" s="7" t="n">
        <v>90</v>
      </c>
      <c r="G321" s="7" t="n">
        <v>0.9</v>
      </c>
      <c r="H321" s="7" t="n">
        <v>2</v>
      </c>
      <c r="I321" s="7" t="n">
        <v>1.1</v>
      </c>
      <c r="J321" s="8" t="n">
        <v>18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NYM</t>
        </is>
      </c>
      <c r="C322" s="5" t="inlineStr">
        <is>
          <t>65862052405</t>
        </is>
      </c>
      <c r="D322" s="5" t="inlineStr">
        <is>
          <t>GABAPENTIN 800 MG TABLET</t>
        </is>
      </c>
      <c r="E322" s="6" t="inlineStr">
        <is>
          <t>500.0</t>
        </is>
      </c>
      <c r="F322" s="7" t="n">
        <v>120</v>
      </c>
      <c r="G322" s="7" t="n">
        <v>0.24</v>
      </c>
      <c r="H322" s="7" t="n">
        <v>2</v>
      </c>
      <c r="I322" s="7" t="n">
        <v>1.76</v>
      </c>
      <c r="J322" s="8" t="n">
        <v>18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NYM</t>
        </is>
      </c>
      <c r="C323" s="5" t="inlineStr">
        <is>
          <t>65862014836</t>
        </is>
      </c>
      <c r="D323" s="5" t="inlineStr">
        <is>
          <t xml:space="preserve">SUMATRIPTAN SUCCINATE 100MG TAB </t>
        </is>
      </c>
      <c r="E323" s="6" t="inlineStr">
        <is>
          <t>9.0</t>
        </is>
      </c>
      <c r="F323" s="7" t="n">
        <v>18</v>
      </c>
      <c r="G323" s="7" t="n">
        <v>2</v>
      </c>
      <c r="H323" s="7" t="n">
        <v>0</v>
      </c>
      <c r="I323" s="7" t="n">
        <v>-2</v>
      </c>
      <c r="J323" s="8" t="n">
        <v>18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NYM</t>
        </is>
      </c>
      <c r="C324" s="5" t="inlineStr">
        <is>
          <t>70752010406</t>
        </is>
      </c>
      <c r="D324" s="5" t="inlineStr">
        <is>
          <t>CETIRIZINE HCL CHILDRENS ALRGY 1 MG/ML ORAL SOLUTION</t>
        </is>
      </c>
      <c r="E324" s="6" t="inlineStr">
        <is>
          <t>118.0</t>
        </is>
      </c>
      <c r="F324" s="7" t="n">
        <v>354</v>
      </c>
      <c r="G324" s="7" t="n">
        <v>3</v>
      </c>
      <c r="H324" s="7" t="n">
        <v>0</v>
      </c>
      <c r="I324" s="7" t="n">
        <v>-3</v>
      </c>
      <c r="J324" s="8" t="n">
        <v>18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NYM</t>
        </is>
      </c>
      <c r="C325" s="5" t="inlineStr">
        <is>
          <t>60258016001</t>
        </is>
      </c>
      <c r="D325" s="5" t="inlineStr">
        <is>
          <t>RENA-VITE  TABLET</t>
        </is>
      </c>
      <c r="E325" s="6" t="inlineStr">
        <is>
          <t>100.0</t>
        </is>
      </c>
      <c r="F325" s="7" t="n">
        <v>598</v>
      </c>
      <c r="G325" s="7" t="n">
        <v>5.98</v>
      </c>
      <c r="H325" s="7" t="n">
        <v>0</v>
      </c>
      <c r="I325" s="7" t="n">
        <v>-5.98</v>
      </c>
      <c r="J325" s="8" t="n">
        <v>18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NYM</t>
        </is>
      </c>
      <c r="C326" s="5" t="inlineStr">
        <is>
          <t>70377006611</t>
        </is>
      </c>
      <c r="D326" s="5" t="inlineStr">
        <is>
          <t>PRAZOSIN HCL 1 MG ORAL CAPSULE</t>
        </is>
      </c>
      <c r="E326" s="6" t="inlineStr">
        <is>
          <t>100.0</t>
        </is>
      </c>
      <c r="F326" s="7" t="n">
        <v>90</v>
      </c>
      <c r="G326" s="7" t="n">
        <v>0.9</v>
      </c>
      <c r="H326" s="7" t="n">
        <v>0</v>
      </c>
      <c r="I326" s="7" t="n">
        <v>-0.9</v>
      </c>
      <c r="J326" s="8" t="n">
        <v>17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NYM</t>
        </is>
      </c>
      <c r="C327" s="5" t="inlineStr">
        <is>
          <t>21922001606</t>
        </is>
      </c>
      <c r="D327" s="5" t="inlineStr">
        <is>
          <t>CLOBETASOL PROPIONATE 0.05% CREAM</t>
        </is>
      </c>
      <c r="E327" s="6" t="inlineStr">
        <is>
          <t>45.0</t>
        </is>
      </c>
      <c r="F327" s="7" t="n">
        <v>45</v>
      </c>
      <c r="G327" s="7" t="n">
        <v>1</v>
      </c>
      <c r="H327" s="7" t="n">
        <v>0</v>
      </c>
      <c r="I327" s="7" t="n">
        <v>-1</v>
      </c>
      <c r="J327" s="8" t="n">
        <v>17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NYM</t>
        </is>
      </c>
      <c r="C328" s="5" t="inlineStr">
        <is>
          <t>72888006605</t>
        </is>
      </c>
      <c r="D328" s="5" t="inlineStr">
        <is>
          <t>BUSPIRONE HCL 30 MG ORAL TABLET</t>
        </is>
      </c>
      <c r="E328" s="6" t="inlineStr">
        <is>
          <t>500.0</t>
        </is>
      </c>
      <c r="F328" s="7" t="n">
        <v>60</v>
      </c>
      <c r="G328" s="7" t="n">
        <v>0.12</v>
      </c>
      <c r="H328" s="7" t="n">
        <v>0</v>
      </c>
      <c r="I328" s="7" t="n">
        <v>-0.12</v>
      </c>
      <c r="J328" s="8" t="n">
        <v>17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NYM</t>
        </is>
      </c>
      <c r="C329" s="5" t="inlineStr">
        <is>
          <t>00168025815</t>
        </is>
      </c>
      <c r="D329" s="5" t="inlineStr">
        <is>
          <t>CLOTRIMAZOLE-BETAMETHASONE 1-0.05 % EXTERNAL CREAM</t>
        </is>
      </c>
      <c r="E329" s="6" t="inlineStr">
        <is>
          <t>15.0</t>
        </is>
      </c>
      <c r="F329" s="7" t="n">
        <v>30</v>
      </c>
      <c r="G329" s="7" t="n">
        <v>2</v>
      </c>
      <c r="H329" s="7" t="n">
        <v>0</v>
      </c>
      <c r="I329" s="7" t="n">
        <v>-2</v>
      </c>
      <c r="J329" s="8" t="n">
        <v>17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NYM</t>
        </is>
      </c>
      <c r="C330" s="5" t="inlineStr">
        <is>
          <t>23155077310</t>
        </is>
      </c>
      <c r="D330" s="5" t="inlineStr">
        <is>
          <t>ENALAPRIL 20MG TABLET</t>
        </is>
      </c>
      <c r="E330" s="6" t="inlineStr">
        <is>
          <t>1000.0</t>
        </is>
      </c>
      <c r="F330" s="7" t="n">
        <v>90</v>
      </c>
      <c r="G330" s="7" t="n">
        <v>0.09</v>
      </c>
      <c r="H330" s="7" t="n">
        <v>0</v>
      </c>
      <c r="I330" s="7" t="n">
        <v>-0.09</v>
      </c>
      <c r="J330" s="8" t="n">
        <v>17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NYM</t>
        </is>
      </c>
      <c r="C331" s="5" t="inlineStr">
        <is>
          <t>23155000310</t>
        </is>
      </c>
      <c r="D331" s="5" t="inlineStr">
        <is>
          <t>HYDRALAZINE HCL 50MG TABLET</t>
        </is>
      </c>
      <c r="E331" s="6" t="inlineStr">
        <is>
          <t>1000.0</t>
        </is>
      </c>
      <c r="F331" s="7" t="n">
        <v>180</v>
      </c>
      <c r="G331" s="7" t="n">
        <v>0.18</v>
      </c>
      <c r="H331" s="7" t="n">
        <v>0</v>
      </c>
      <c r="I331" s="7" t="n">
        <v>-0.18</v>
      </c>
      <c r="J331" s="8" t="n">
        <v>17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NYM</t>
        </is>
      </c>
      <c r="C332" s="5" t="inlineStr">
        <is>
          <t>54838000650</t>
        </is>
      </c>
      <c r="D332" s="5" t="inlineStr">
        <is>
          <t>VITAMIN D 10MCG/ML LIQUID</t>
        </is>
      </c>
      <c r="E332" s="6" t="inlineStr">
        <is>
          <t>50.0</t>
        </is>
      </c>
      <c r="F332" s="7" t="n">
        <v>350</v>
      </c>
      <c r="G332" s="7" t="n">
        <v>7</v>
      </c>
      <c r="H332" s="7" t="n">
        <v>0</v>
      </c>
      <c r="I332" s="7" t="n">
        <v>-7</v>
      </c>
      <c r="J332" s="8" t="n">
        <v>17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NYM</t>
        </is>
      </c>
      <c r="C333" s="5" t="inlineStr">
        <is>
          <t>68180097203</t>
        </is>
      </c>
      <c r="D333" s="5" t="inlineStr">
        <is>
          <t>LEVOTHYROXINE SODIUM 137 MCG ORAL TABLET</t>
        </is>
      </c>
      <c r="E333" s="6" t="inlineStr">
        <is>
          <t>1000.0</t>
        </is>
      </c>
      <c r="F333" s="7" t="n">
        <v>90</v>
      </c>
      <c r="G333" s="7" t="n">
        <v>0.09</v>
      </c>
      <c r="H333" s="7" t="n">
        <v>1</v>
      </c>
      <c r="I333" s="7" t="n">
        <v>0.91</v>
      </c>
      <c r="J333" s="8" t="n">
        <v>17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NYM</t>
        </is>
      </c>
      <c r="C334" s="5" t="inlineStr">
        <is>
          <t>33342040550</t>
        </is>
      </c>
      <c r="D334" s="5" t="inlineStr">
        <is>
          <t>LIDOCAINE 5 % EXTERNAL OINTMENT</t>
        </is>
      </c>
      <c r="E334" s="6" t="inlineStr">
        <is>
          <t>50.0</t>
        </is>
      </c>
      <c r="F334" s="7" t="n">
        <v>50</v>
      </c>
      <c r="G334" s="7" t="n">
        <v>1</v>
      </c>
      <c r="H334" s="7" t="n">
        <v>0</v>
      </c>
      <c r="I334" s="7" t="n">
        <v>-1</v>
      </c>
      <c r="J334" s="8" t="n">
        <v>17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NYM</t>
        </is>
      </c>
      <c r="C335" s="5" t="inlineStr">
        <is>
          <t>00093720110</t>
        </is>
      </c>
      <c r="D335" s="5" t="inlineStr">
        <is>
          <t>PRAVASTATIN 20MG TABLET</t>
        </is>
      </c>
      <c r="E335" s="6" t="inlineStr">
        <is>
          <t>1000.0</t>
        </is>
      </c>
      <c r="F335" s="7" t="n">
        <v>90</v>
      </c>
      <c r="G335" s="7" t="n">
        <v>0.09</v>
      </c>
      <c r="H335" s="7" t="n">
        <v>0</v>
      </c>
      <c r="I335" s="7" t="n">
        <v>-0.09</v>
      </c>
      <c r="J335" s="8" t="n">
        <v>16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NYM</t>
        </is>
      </c>
      <c r="C336" s="5" t="inlineStr">
        <is>
          <t>45802024494</t>
        </is>
      </c>
      <c r="D336" s="5" t="inlineStr">
        <is>
          <t>NYSTATIN-TRIAMCINOLONE 100000-0.1 U/GM OINTMENT</t>
        </is>
      </c>
      <c r="E336" s="6" t="inlineStr">
        <is>
          <t>30.0</t>
        </is>
      </c>
      <c r="F336" s="7" t="n">
        <v>30</v>
      </c>
      <c r="G336" s="7" t="n">
        <v>1</v>
      </c>
      <c r="H336" s="7" t="n">
        <v>0</v>
      </c>
      <c r="I336" s="7" t="n">
        <v>-1</v>
      </c>
      <c r="J336" s="8" t="n">
        <v>16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NYM</t>
        </is>
      </c>
      <c r="C337" s="5" t="inlineStr">
        <is>
          <t>68180061307</t>
        </is>
      </c>
      <c r="D337" s="5" t="inlineStr">
        <is>
          <t>QUETIAPINE 150MG TABLET ER</t>
        </is>
      </c>
      <c r="E337" s="6" t="inlineStr">
        <is>
          <t>60.0</t>
        </is>
      </c>
      <c r="F337" s="7" t="n">
        <v>28</v>
      </c>
      <c r="G337" s="7" t="n">
        <v>0.4666666666666667</v>
      </c>
      <c r="H337" s="7" t="n">
        <v>0</v>
      </c>
      <c r="I337" s="7" t="n">
        <v>-0.4666666666666667</v>
      </c>
      <c r="J337" s="8" t="n">
        <v>16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NYM</t>
        </is>
      </c>
      <c r="C338" s="5" t="inlineStr">
        <is>
          <t>33342032186</t>
        </is>
      </c>
      <c r="D338" s="5" t="inlineStr">
        <is>
          <t>CLOBETASOL PROPIONATE 0.05 % SOLUTION</t>
        </is>
      </c>
      <c r="E338" s="6" t="inlineStr">
        <is>
          <t>50.0</t>
        </is>
      </c>
      <c r="F338" s="7" t="n">
        <v>50</v>
      </c>
      <c r="G338" s="7" t="n">
        <v>1</v>
      </c>
      <c r="H338" s="7" t="n">
        <v>0</v>
      </c>
      <c r="I338" s="7" t="n">
        <v>-1</v>
      </c>
      <c r="J338" s="8" t="n">
        <v>16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NYM</t>
        </is>
      </c>
      <c r="C339" s="5" t="inlineStr">
        <is>
          <t>00093736810</t>
        </is>
      </c>
      <c r="D339" s="5" t="inlineStr">
        <is>
          <t>LOSARTAN HCTZ 100-25MG TABLET</t>
        </is>
      </c>
      <c r="E339" s="6" t="inlineStr">
        <is>
          <t>1000.0</t>
        </is>
      </c>
      <c r="F339" s="7" t="n">
        <v>90</v>
      </c>
      <c r="G339" s="7" t="n">
        <v>0.09</v>
      </c>
      <c r="H339" s="7" t="n">
        <v>0</v>
      </c>
      <c r="I339" s="7" t="n">
        <v>-0.09</v>
      </c>
      <c r="J339" s="8" t="n">
        <v>16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NYM</t>
        </is>
      </c>
      <c r="C340" s="5" t="inlineStr">
        <is>
          <t>60505015801</t>
        </is>
      </c>
      <c r="D340" s="5" t="inlineStr">
        <is>
          <t>BUPROPION HCL 75MG TABLET</t>
        </is>
      </c>
      <c r="E340" s="6" t="inlineStr">
        <is>
          <t>100.0</t>
        </is>
      </c>
      <c r="F340" s="7" t="n">
        <v>60</v>
      </c>
      <c r="G340" s="7" t="n">
        <v>0.6</v>
      </c>
      <c r="H340" s="7" t="n">
        <v>0</v>
      </c>
      <c r="I340" s="7" t="n">
        <v>-0.6</v>
      </c>
      <c r="J340" s="8" t="n">
        <v>16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NYM</t>
        </is>
      </c>
      <c r="C341" s="5" t="inlineStr">
        <is>
          <t>00093227434</t>
        </is>
      </c>
      <c r="D341" s="5" t="inlineStr">
        <is>
          <t>AMOXICILLIN-CLAVULANATE 500-125MG TABLET</t>
        </is>
      </c>
      <c r="E341" s="6" t="inlineStr">
        <is>
          <t>20.0</t>
        </is>
      </c>
      <c r="F341" s="7" t="n">
        <v>20</v>
      </c>
      <c r="G341" s="7" t="n">
        <v>1</v>
      </c>
      <c r="H341" s="7" t="n">
        <v>5</v>
      </c>
      <c r="I341" s="7" t="n">
        <v>4</v>
      </c>
      <c r="J341" s="8" t="n">
        <v>16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NYM</t>
        </is>
      </c>
      <c r="C342" s="5" t="inlineStr">
        <is>
          <t>64980059248</t>
        </is>
      </c>
      <c r="D342" s="5" t="inlineStr">
        <is>
          <t>LACTULOSE ENCEPHALOPATHY 10 GM/15ML ORAL SOLUTION</t>
        </is>
      </c>
      <c r="E342" s="6" t="inlineStr">
        <is>
          <t>473.0</t>
        </is>
      </c>
      <c r="F342" s="7" t="n">
        <v>473</v>
      </c>
      <c r="G342" s="7" t="n">
        <v>1</v>
      </c>
      <c r="H342" s="7" t="n">
        <v>0</v>
      </c>
      <c r="I342" s="7" t="n">
        <v>-1</v>
      </c>
      <c r="J342" s="8" t="n">
        <v>16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NYM</t>
        </is>
      </c>
      <c r="C343" s="5" t="inlineStr">
        <is>
          <t>68180097103</t>
        </is>
      </c>
      <c r="D343" s="5" t="inlineStr">
        <is>
          <t>LEVOTHYROXINE 125MCG TABLET</t>
        </is>
      </c>
      <c r="E343" s="6" t="inlineStr">
        <is>
          <t>1000.0</t>
        </is>
      </c>
      <c r="F343" s="7" t="n">
        <v>90</v>
      </c>
      <c r="G343" s="7" t="n">
        <v>0.09</v>
      </c>
      <c r="H343" s="7" t="n">
        <v>0</v>
      </c>
      <c r="I343" s="7" t="n">
        <v>-0.09</v>
      </c>
      <c r="J343" s="8" t="n">
        <v>16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NYM</t>
        </is>
      </c>
      <c r="C344" s="5" t="inlineStr">
        <is>
          <t>23155051901</t>
        </is>
      </c>
      <c r="D344" s="5" t="inlineStr">
        <is>
          <t>ISOSORBIDE MONONITRATE 30MG TABLET ER</t>
        </is>
      </c>
      <c r="E344" s="6" t="inlineStr">
        <is>
          <t>100.0</t>
        </is>
      </c>
      <c r="F344" s="7" t="n">
        <v>90</v>
      </c>
      <c r="G344" s="7" t="n">
        <v>0.9</v>
      </c>
      <c r="H344" s="7" t="n">
        <v>0</v>
      </c>
      <c r="I344" s="7" t="n">
        <v>-0.9</v>
      </c>
      <c r="J344" s="8" t="n">
        <v>16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NYM</t>
        </is>
      </c>
      <c r="C345" s="5" t="inlineStr">
        <is>
          <t>69097017353</t>
        </is>
      </c>
      <c r="D345" s="5" t="inlineStr">
        <is>
          <t>IPRATROPIUM-ALBUTEROL 0.5-2.5 (3)MG/3ML SOLUTION</t>
        </is>
      </c>
      <c r="E345" s="6" t="inlineStr">
        <is>
          <t>90.0</t>
        </is>
      </c>
      <c r="F345" s="7" t="n">
        <v>90</v>
      </c>
      <c r="G345" s="7" t="n">
        <v>1</v>
      </c>
      <c r="H345" s="7" t="n">
        <v>0</v>
      </c>
      <c r="I345" s="7" t="n">
        <v>-1</v>
      </c>
      <c r="J345" s="8" t="n">
        <v>16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NYM</t>
        </is>
      </c>
      <c r="C346" s="5" t="inlineStr">
        <is>
          <t>72888000901</t>
        </is>
      </c>
      <c r="D346" s="5" t="inlineStr">
        <is>
          <t>BACLOFEN 5 MG ORAL TABLET</t>
        </is>
      </c>
      <c r="E346" s="6" t="inlineStr">
        <is>
          <t>100.0</t>
        </is>
      </c>
      <c r="F346" s="7" t="n">
        <v>60</v>
      </c>
      <c r="G346" s="7" t="n">
        <v>0.6</v>
      </c>
      <c r="H346" s="7" t="n">
        <v>0</v>
      </c>
      <c r="I346" s="7" t="n">
        <v>-0.6</v>
      </c>
      <c r="J346" s="8" t="n">
        <v>16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NYM</t>
        </is>
      </c>
      <c r="C347" s="5" t="inlineStr">
        <is>
          <t>47781026405</t>
        </is>
      </c>
      <c r="D347" s="5" t="inlineStr">
        <is>
          <t xml:space="preserve">OXYCODONE 15 MG TABLET </t>
        </is>
      </c>
      <c r="E347" s="6" t="inlineStr">
        <is>
          <t>500.0</t>
        </is>
      </c>
      <c r="F347" s="7" t="n">
        <v>90</v>
      </c>
      <c r="G347" s="7" t="n">
        <v>0.18</v>
      </c>
      <c r="H347" s="7" t="n">
        <v>0</v>
      </c>
      <c r="I347" s="7" t="n">
        <v>-0.18</v>
      </c>
      <c r="J347" s="8" t="n">
        <v>16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NYM</t>
        </is>
      </c>
      <c r="C348" s="5" t="inlineStr">
        <is>
          <t>67877024801</t>
        </is>
      </c>
      <c r="D348" s="5" t="inlineStr">
        <is>
          <t>QUETIAPINE FUMARATE 400 MG ORAL TABLET</t>
        </is>
      </c>
      <c r="E348" s="6" t="inlineStr">
        <is>
          <t>100.0</t>
        </is>
      </c>
      <c r="F348" s="7" t="n">
        <v>30</v>
      </c>
      <c r="G348" s="7" t="n">
        <v>0.3</v>
      </c>
      <c r="H348" s="7" t="n">
        <v>0</v>
      </c>
      <c r="I348" s="7" t="n">
        <v>-0.3</v>
      </c>
      <c r="J348" s="8" t="n">
        <v>16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NYM</t>
        </is>
      </c>
      <c r="C349" s="5" t="inlineStr">
        <is>
          <t>00093117701</t>
        </is>
      </c>
      <c r="D349" s="5" t="inlineStr">
        <is>
          <t>NEOMYCIN SULFATE 500 MG ORAL TABLET</t>
        </is>
      </c>
      <c r="E349" s="6" t="inlineStr">
        <is>
          <t>100.0</t>
        </is>
      </c>
      <c r="F349" s="7" t="n">
        <v>6</v>
      </c>
      <c r="G349" s="7" t="n">
        <v>0.06</v>
      </c>
      <c r="H349" s="7" t="n">
        <v>0</v>
      </c>
      <c r="I349" s="7" t="n">
        <v>-0.06</v>
      </c>
      <c r="J349" s="8" t="n">
        <v>16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NYM</t>
        </is>
      </c>
      <c r="C350" s="5" t="inlineStr">
        <is>
          <t>69238112309</t>
        </is>
      </c>
      <c r="D350" s="5" t="inlineStr">
        <is>
          <t>NADOLOL 20MG TABLET</t>
        </is>
      </c>
      <c r="E350" s="6" t="inlineStr">
        <is>
          <t>90.0</t>
        </is>
      </c>
      <c r="F350" s="7" t="n">
        <v>30</v>
      </c>
      <c r="G350" s="7" t="n">
        <v>0.3333333333333333</v>
      </c>
      <c r="H350" s="7" t="n">
        <v>0</v>
      </c>
      <c r="I350" s="7" t="n">
        <v>-0.3333333333333333</v>
      </c>
      <c r="J350" s="8" t="n">
        <v>16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NYM</t>
        </is>
      </c>
      <c r="C351" s="5" t="inlineStr">
        <is>
          <t>70377006711</t>
        </is>
      </c>
      <c r="D351" s="5" t="inlineStr">
        <is>
          <t>PRAZOSIN HCL 2 MG ORAL CAPSULE</t>
        </is>
      </c>
      <c r="E351" s="6" t="inlineStr">
        <is>
          <t>100.0</t>
        </is>
      </c>
      <c r="F351" s="7" t="n">
        <v>90</v>
      </c>
      <c r="G351" s="7" t="n">
        <v>0.9</v>
      </c>
      <c r="H351" s="7" t="n">
        <v>0</v>
      </c>
      <c r="I351" s="7" t="n">
        <v>-0.9</v>
      </c>
      <c r="J351" s="8" t="n">
        <v>15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NYM</t>
        </is>
      </c>
      <c r="C352" s="5" t="inlineStr">
        <is>
          <t>51672213108</t>
        </is>
      </c>
      <c r="D352" s="5" t="inlineStr">
        <is>
          <t>LORATADINE CHILDRENS 5 MG/5ML ORAL SOLUTION</t>
        </is>
      </c>
      <c r="E352" s="6" t="inlineStr">
        <is>
          <t>120.0</t>
        </is>
      </c>
      <c r="F352" s="7" t="n">
        <v>120</v>
      </c>
      <c r="G352" s="7" t="n">
        <v>1</v>
      </c>
      <c r="H352" s="7" t="n">
        <v>0</v>
      </c>
      <c r="I352" s="7" t="n">
        <v>-1</v>
      </c>
      <c r="J352" s="8" t="n">
        <v>15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NYM</t>
        </is>
      </c>
      <c r="C353" s="5" t="inlineStr">
        <is>
          <t>68462026310</t>
        </is>
      </c>
      <c r="D353" s="5" t="inlineStr">
        <is>
          <t>ROSUVASTATIN 20MG TABLET</t>
        </is>
      </c>
      <c r="E353" s="6" t="inlineStr">
        <is>
          <t>1000.0</t>
        </is>
      </c>
      <c r="F353" s="7" t="n">
        <v>90</v>
      </c>
      <c r="G353" s="7" t="n">
        <v>0.09</v>
      </c>
      <c r="H353" s="7" t="n">
        <v>2</v>
      </c>
      <c r="I353" s="7" t="n">
        <v>1.91</v>
      </c>
      <c r="J353" s="8" t="n">
        <v>15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NYM</t>
        </is>
      </c>
      <c r="C354" s="5" t="inlineStr">
        <is>
          <t>47335070352</t>
        </is>
      </c>
      <c r="D354" s="5" t="inlineStr">
        <is>
          <t>ALBUTEROL SULFATE (2.5 MG/3ML) 0.083% INHALATION NEBULIZATION SOLUTION</t>
        </is>
      </c>
      <c r="E354" s="6" t="inlineStr">
        <is>
          <t>90.0</t>
        </is>
      </c>
      <c r="F354" s="7" t="n">
        <v>90</v>
      </c>
      <c r="G354" s="7" t="n">
        <v>1</v>
      </c>
      <c r="H354" s="7" t="n">
        <v>0</v>
      </c>
      <c r="I354" s="7" t="n">
        <v>-1</v>
      </c>
      <c r="J354" s="8" t="n">
        <v>15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NYM</t>
        </is>
      </c>
      <c r="C355" s="5" t="inlineStr">
        <is>
          <t>24979053301</t>
        </is>
      </c>
      <c r="D355" s="5" t="inlineStr">
        <is>
          <t xml:space="preserve">GUANFACINE ER 1MG TAB </t>
        </is>
      </c>
      <c r="E355" s="6" t="inlineStr">
        <is>
          <t>100.0</t>
        </is>
      </c>
      <c r="F355" s="7" t="n">
        <v>30</v>
      </c>
      <c r="G355" s="7" t="n">
        <v>0.3</v>
      </c>
      <c r="H355" s="7" t="n">
        <v>0</v>
      </c>
      <c r="I355" s="7" t="n">
        <v>-0.3</v>
      </c>
      <c r="J355" s="8" t="n">
        <v>15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NYM</t>
        </is>
      </c>
      <c r="C356" s="5" t="inlineStr">
        <is>
          <t>23155050210</t>
        </is>
      </c>
      <c r="D356" s="5" t="inlineStr">
        <is>
          <t>HYDROXYZINE HCL 50MG TABLET</t>
        </is>
      </c>
      <c r="E356" s="6" t="inlineStr">
        <is>
          <t>1000.0</t>
        </is>
      </c>
      <c r="F356" s="7" t="n">
        <v>90</v>
      </c>
      <c r="G356" s="7" t="n">
        <v>0.09</v>
      </c>
      <c r="H356" s="7" t="n">
        <v>0</v>
      </c>
      <c r="I356" s="7" t="n">
        <v>-0.09</v>
      </c>
      <c r="J356" s="8" t="n">
        <v>15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NYM</t>
        </is>
      </c>
      <c r="C357" s="5" t="inlineStr">
        <is>
          <t>00536144540</t>
        </is>
      </c>
      <c r="D357" s="5" t="inlineStr">
        <is>
          <t>OLOPATADINE HCL 0.1 % OPHTHALMIC SOLUTION</t>
        </is>
      </c>
      <c r="E357" s="6" t="inlineStr">
        <is>
          <t>5.0</t>
        </is>
      </c>
      <c r="F357" s="7" t="n">
        <v>5</v>
      </c>
      <c r="G357" s="7" t="n">
        <v>1</v>
      </c>
      <c r="H357" s="7" t="n">
        <v>0</v>
      </c>
      <c r="I357" s="7" t="n">
        <v>-1</v>
      </c>
      <c r="J357" s="8" t="n">
        <v>15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NYM</t>
        </is>
      </c>
      <c r="C358" s="5" t="inlineStr">
        <is>
          <t>68180096703</t>
        </is>
      </c>
      <c r="D358" s="5" t="inlineStr">
        <is>
          <t>LEVOTHYROXINE 75MCG TABLET</t>
        </is>
      </c>
      <c r="E358" s="6" t="inlineStr">
        <is>
          <t>1000.0</t>
        </is>
      </c>
      <c r="F358" s="7" t="n">
        <v>90</v>
      </c>
      <c r="G358" s="7" t="n">
        <v>0.09</v>
      </c>
      <c r="H358" s="7" t="n">
        <v>0</v>
      </c>
      <c r="I358" s="7" t="n">
        <v>-0.09</v>
      </c>
      <c r="J358" s="8" t="n">
        <v>15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NYM</t>
        </is>
      </c>
      <c r="C359" s="5" t="inlineStr">
        <is>
          <t>57237030412</t>
        </is>
      </c>
      <c r="D359" s="5" t="inlineStr">
        <is>
          <t>ACETAMINOPHEN 160 MG/5ML ORAL SOLUTION</t>
        </is>
      </c>
      <c r="E359" s="6" t="inlineStr">
        <is>
          <t>118.0</t>
        </is>
      </c>
      <c r="F359" s="7" t="n">
        <v>354</v>
      </c>
      <c r="G359" s="7" t="n">
        <v>3</v>
      </c>
      <c r="H359" s="7" t="n">
        <v>10</v>
      </c>
      <c r="I359" s="7" t="n">
        <v>7</v>
      </c>
      <c r="J359" s="8" t="n">
        <v>14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NYM</t>
        </is>
      </c>
      <c r="C360" s="5" t="inlineStr">
        <is>
          <t>45802027603</t>
        </is>
      </c>
      <c r="D360" s="5" t="inlineStr">
        <is>
          <t>HYDROCORTISONE 1 % OINTMENT</t>
        </is>
      </c>
      <c r="E360" s="6" t="inlineStr">
        <is>
          <t>28.0</t>
        </is>
      </c>
      <c r="F360" s="7" t="n">
        <v>56</v>
      </c>
      <c r="G360" s="7" t="n">
        <v>2</v>
      </c>
      <c r="H360" s="7" t="n">
        <v>0</v>
      </c>
      <c r="I360" s="7" t="n">
        <v>-2</v>
      </c>
      <c r="J360" s="8" t="n">
        <v>14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NYM</t>
        </is>
      </c>
      <c r="C361" s="5" t="inlineStr">
        <is>
          <t>45802004935</t>
        </is>
      </c>
      <c r="D361" s="5" t="inlineStr">
        <is>
          <t>TRIAMCINOLONE ACETONIDE 0.5 % EXTERNAL OINTMENT</t>
        </is>
      </c>
      <c r="E361" s="6" t="inlineStr">
        <is>
          <t>15.0</t>
        </is>
      </c>
      <c r="F361" s="7" t="n">
        <v>15</v>
      </c>
      <c r="G361" s="7" t="n">
        <v>1</v>
      </c>
      <c r="H361" s="7" t="n">
        <v>6</v>
      </c>
      <c r="I361" s="7" t="n">
        <v>5</v>
      </c>
      <c r="J361" s="8" t="n">
        <v>14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NYM</t>
        </is>
      </c>
      <c r="C362" s="5" t="inlineStr">
        <is>
          <t>53746051501</t>
        </is>
      </c>
      <c r="D362" s="5" t="inlineStr">
        <is>
          <t>SPIRONOLACTONE 100MG TABLET</t>
        </is>
      </c>
      <c r="E362" s="6" t="inlineStr">
        <is>
          <t>100.0</t>
        </is>
      </c>
      <c r="F362" s="7" t="n">
        <v>30</v>
      </c>
      <c r="G362" s="7" t="n">
        <v>0.3</v>
      </c>
      <c r="H362" s="7" t="n">
        <v>0</v>
      </c>
      <c r="I362" s="7" t="n">
        <v>-0.3</v>
      </c>
      <c r="J362" s="8" t="n">
        <v>14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NYM</t>
        </is>
      </c>
      <c r="C363" s="5" t="inlineStr">
        <is>
          <t>70954020210</t>
        </is>
      </c>
      <c r="D363" s="5" t="inlineStr">
        <is>
          <t xml:space="preserve">DIGOXIN 250MCG TABLET </t>
        </is>
      </c>
      <c r="E363" s="6" t="inlineStr">
        <is>
          <t>100.0</t>
        </is>
      </c>
      <c r="F363" s="7" t="n">
        <v>30</v>
      </c>
      <c r="G363" s="7" t="n">
        <v>0.3</v>
      </c>
      <c r="H363" s="7" t="n">
        <v>0</v>
      </c>
      <c r="I363" s="7" t="n">
        <v>-0.3</v>
      </c>
      <c r="J363" s="8" t="n">
        <v>14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NYM</t>
        </is>
      </c>
      <c r="C364" s="5" t="inlineStr">
        <is>
          <t>68382008001</t>
        </is>
      </c>
      <c r="D364" s="5" t="inlineStr">
        <is>
          <t>HALOPERIDOL 10MG TABLET</t>
        </is>
      </c>
      <c r="E364" s="6" t="inlineStr">
        <is>
          <t>100.0</t>
        </is>
      </c>
      <c r="F364" s="7" t="n">
        <v>30</v>
      </c>
      <c r="G364" s="7" t="n">
        <v>0.3</v>
      </c>
      <c r="H364" s="7" t="n">
        <v>0</v>
      </c>
      <c r="I364" s="7" t="n">
        <v>-0.3</v>
      </c>
      <c r="J364" s="8" t="n">
        <v>14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NYM</t>
        </is>
      </c>
      <c r="C365" s="5" t="inlineStr">
        <is>
          <t>00536125494</t>
        </is>
      </c>
      <c r="D365" s="5" t="inlineStr">
        <is>
          <t>SODIUM CHLORIDE (HYPERTONIC) 5 % OPHTHALMIC SOLUTION</t>
        </is>
      </c>
      <c r="E365" s="6" t="inlineStr">
        <is>
          <t>15.0</t>
        </is>
      </c>
      <c r="F365" s="7" t="n">
        <v>15</v>
      </c>
      <c r="G365" s="7" t="n">
        <v>1</v>
      </c>
      <c r="H365" s="7" t="n">
        <v>0</v>
      </c>
      <c r="I365" s="7" t="n">
        <v>-1</v>
      </c>
      <c r="J365" s="8" t="n">
        <v>14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NYM</t>
        </is>
      </c>
      <c r="C366" s="5" t="inlineStr">
        <is>
          <t>43598012105</t>
        </is>
      </c>
      <c r="D366" s="5" t="inlineStr">
        <is>
          <t>CLOPIDOGREL BISULFATE 75 MG ORAL TABLET</t>
        </is>
      </c>
      <c r="E366" s="6" t="inlineStr">
        <is>
          <t>500.0</t>
        </is>
      </c>
      <c r="F366" s="7" t="n">
        <v>90</v>
      </c>
      <c r="G366" s="7" t="n">
        <v>0.18</v>
      </c>
      <c r="H366" s="7" t="n">
        <v>0</v>
      </c>
      <c r="I366" s="7" t="n">
        <v>-0.18</v>
      </c>
      <c r="J366" s="8" t="n">
        <v>14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NYM</t>
        </is>
      </c>
      <c r="C367" s="5" t="inlineStr">
        <is>
          <t>31722053705</t>
        </is>
      </c>
      <c r="D367" s="5" t="inlineStr">
        <is>
          <t xml:space="preserve">LEVETIRACETAM 500MG TAB </t>
        </is>
      </c>
      <c r="E367" s="6" t="inlineStr">
        <is>
          <t>500.0</t>
        </is>
      </c>
      <c r="F367" s="7" t="n">
        <v>60</v>
      </c>
      <c r="G367" s="7" t="n">
        <v>0.12</v>
      </c>
      <c r="H367" s="7" t="n">
        <v>0</v>
      </c>
      <c r="I367" s="7" t="n">
        <v>-0.12</v>
      </c>
      <c r="J367" s="8" t="n">
        <v>14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NYM</t>
        </is>
      </c>
      <c r="C368" s="5" t="inlineStr">
        <is>
          <t>33342029815</t>
        </is>
      </c>
      <c r="D368" s="5" t="inlineStr">
        <is>
          <t>MEMANTINE 10MG TABLET</t>
        </is>
      </c>
      <c r="E368" s="6" t="inlineStr">
        <is>
          <t>500.0</t>
        </is>
      </c>
      <c r="F368" s="7" t="n">
        <v>60</v>
      </c>
      <c r="G368" s="7" t="n">
        <v>0.12</v>
      </c>
      <c r="H368" s="7" t="n">
        <v>0</v>
      </c>
      <c r="I368" s="7" t="n">
        <v>-0.12</v>
      </c>
      <c r="J368" s="8" t="n">
        <v>14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NYM</t>
        </is>
      </c>
      <c r="C369" s="5" t="inlineStr">
        <is>
          <t>69367036005</t>
        </is>
      </c>
      <c r="D369" s="5" t="inlineStr">
        <is>
          <t>ROSUVASTATIN 10 MG ORAL TABLET</t>
        </is>
      </c>
      <c r="E369" s="6" t="inlineStr">
        <is>
          <t>500.0</t>
        </is>
      </c>
      <c r="F369" s="7" t="n">
        <v>90</v>
      </c>
      <c r="G369" s="7" t="n">
        <v>0.18</v>
      </c>
      <c r="H369" s="7" t="n">
        <v>0</v>
      </c>
      <c r="I369" s="7" t="n">
        <v>-0.18</v>
      </c>
      <c r="J369" s="8" t="n">
        <v>14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NYM</t>
        </is>
      </c>
      <c r="C370" s="5" t="inlineStr">
        <is>
          <t>51672131201</t>
        </is>
      </c>
      <c r="D370" s="5" t="inlineStr">
        <is>
          <t>MUPIROCIN 2 % EXTERNAL OINTMENT</t>
        </is>
      </c>
      <c r="E370" s="6" t="inlineStr">
        <is>
          <t>15.0</t>
        </is>
      </c>
      <c r="F370" s="7" t="n">
        <v>30</v>
      </c>
      <c r="G370" s="7" t="n">
        <v>2</v>
      </c>
      <c r="H370" s="7" t="n">
        <v>3</v>
      </c>
      <c r="I370" s="7" t="n">
        <v>1</v>
      </c>
      <c r="J370" s="8" t="n">
        <v>14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NYM</t>
        </is>
      </c>
      <c r="C371" s="5" t="inlineStr">
        <is>
          <t>68180086106</t>
        </is>
      </c>
      <c r="D371" s="5" t="inlineStr">
        <is>
          <t>AZITHROMYCIN 250 MG ORAL TABLET</t>
        </is>
      </c>
      <c r="E371" s="6" t="inlineStr">
        <is>
          <t>30.0</t>
        </is>
      </c>
      <c r="F371" s="7" t="n">
        <v>20</v>
      </c>
      <c r="G371" s="7" t="n">
        <v>0.6666666666666666</v>
      </c>
      <c r="H371" s="7" t="n">
        <v>0</v>
      </c>
      <c r="I371" s="7" t="n">
        <v>-0.6666666666666666</v>
      </c>
      <c r="J371" s="8" t="n">
        <v>14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NYM</t>
        </is>
      </c>
      <c r="C372" s="5" t="inlineStr">
        <is>
          <t>51672400301</t>
        </is>
      </c>
      <c r="D372" s="5" t="inlineStr">
        <is>
          <t>NORTRIPTYLINE 50MG CAPSULE</t>
        </is>
      </c>
      <c r="E372" s="6" t="inlineStr">
        <is>
          <t>100.0</t>
        </is>
      </c>
      <c r="F372" s="7" t="n">
        <v>30</v>
      </c>
      <c r="G372" s="7" t="n">
        <v>0.3</v>
      </c>
      <c r="H372" s="7" t="n">
        <v>0</v>
      </c>
      <c r="I372" s="7" t="n">
        <v>-0.3</v>
      </c>
      <c r="J372" s="8" t="n">
        <v>14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NYM</t>
        </is>
      </c>
      <c r="C373" s="5" t="inlineStr">
        <is>
          <t>69238207807</t>
        </is>
      </c>
      <c r="D373" s="5" t="inlineStr">
        <is>
          <t>PROPRANOLOL HCL 20 MG ORAL TABLET</t>
        </is>
      </c>
      <c r="E373" s="6" t="inlineStr">
        <is>
          <t>1000.0</t>
        </is>
      </c>
      <c r="F373" s="7" t="n">
        <v>60</v>
      </c>
      <c r="G373" s="7" t="n">
        <v>0.06</v>
      </c>
      <c r="H373" s="7" t="n">
        <v>0</v>
      </c>
      <c r="I373" s="7" t="n">
        <v>-0.06</v>
      </c>
      <c r="J373" s="8" t="n">
        <v>14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NYM</t>
        </is>
      </c>
      <c r="C374" s="5" t="inlineStr">
        <is>
          <t>65862067901</t>
        </is>
      </c>
      <c r="D374" s="5" t="inlineStr">
        <is>
          <t>ALPRAZOLAM 2 MG ORAL TABLET</t>
        </is>
      </c>
      <c r="E374" s="6" t="inlineStr">
        <is>
          <t>100.0</t>
        </is>
      </c>
      <c r="F374" s="7" t="n">
        <v>90</v>
      </c>
      <c r="G374" s="7" t="n">
        <v>0.9</v>
      </c>
      <c r="H374" s="7" t="n">
        <v>3</v>
      </c>
      <c r="I374" s="7" t="n">
        <v>2.1</v>
      </c>
      <c r="J374" s="8" t="n">
        <v>14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NYM</t>
        </is>
      </c>
      <c r="C375" s="5" t="inlineStr">
        <is>
          <t>00832532510</t>
        </is>
      </c>
      <c r="D375" s="5" t="inlineStr">
        <is>
          <t>POTASSIUM ER 20MEQ TABLET</t>
        </is>
      </c>
      <c r="E375" s="6" t="inlineStr">
        <is>
          <t>1000.0</t>
        </is>
      </c>
      <c r="F375" s="7" t="n">
        <v>30</v>
      </c>
      <c r="G375" s="7" t="n">
        <v>0.03</v>
      </c>
      <c r="H375" s="7" t="n">
        <v>1</v>
      </c>
      <c r="I375" s="7" t="n">
        <v>0.97</v>
      </c>
      <c r="J375" s="8" t="n">
        <v>14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NYM</t>
        </is>
      </c>
      <c r="C376" s="5" t="inlineStr">
        <is>
          <t>65862017501</t>
        </is>
      </c>
      <c r="D376" s="5" t="inlineStr">
        <is>
          <t>PENICILLIN V POTASSIUM 250MG TABLET</t>
        </is>
      </c>
      <c r="E376" s="6" t="inlineStr">
        <is>
          <t>100.0</t>
        </is>
      </c>
      <c r="F376" s="7" t="n">
        <v>60</v>
      </c>
      <c r="G376" s="7" t="n">
        <v>0.6</v>
      </c>
      <c r="H376" s="7" t="n">
        <v>0</v>
      </c>
      <c r="I376" s="7" t="n">
        <v>-0.6</v>
      </c>
      <c r="J376" s="8" t="n">
        <v>14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NYM</t>
        </is>
      </c>
      <c r="C377" s="5" t="inlineStr">
        <is>
          <t>00093171201</t>
        </is>
      </c>
      <c r="D377" s="5" t="inlineStr">
        <is>
          <t xml:space="preserve">WARFARIN SODIUM 1MG TAB </t>
        </is>
      </c>
      <c r="E377" s="6" t="inlineStr">
        <is>
          <t>100.0</t>
        </is>
      </c>
      <c r="F377" s="7" t="n">
        <v>60</v>
      </c>
      <c r="G377" s="7" t="n">
        <v>0.6</v>
      </c>
      <c r="H377" s="7" t="n">
        <v>1</v>
      </c>
      <c r="I377" s="7" t="n">
        <v>0.4</v>
      </c>
      <c r="J377" s="8" t="n">
        <v>14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NYM</t>
        </is>
      </c>
      <c r="C378" s="5" t="inlineStr">
        <is>
          <t>00093172001</t>
        </is>
      </c>
      <c r="D378" s="5" t="inlineStr">
        <is>
          <t>WARFARIN SODIUM 10 MG ORAL TABLET</t>
        </is>
      </c>
      <c r="E378" s="6" t="inlineStr">
        <is>
          <t>100.0</t>
        </is>
      </c>
      <c r="F378" s="7" t="n">
        <v>30</v>
      </c>
      <c r="G378" s="7" t="n">
        <v>0.3</v>
      </c>
      <c r="H378" s="7" t="n">
        <v>0</v>
      </c>
      <c r="I378" s="7" t="n">
        <v>-0.3</v>
      </c>
      <c r="J378" s="8" t="n">
        <v>13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NYM</t>
        </is>
      </c>
      <c r="C379" s="5" t="inlineStr">
        <is>
          <t>80681013200</t>
        </is>
      </c>
      <c r="D379" s="5" t="inlineStr">
        <is>
          <t>VITAMIN D 2 000 U TABLET</t>
        </is>
      </c>
      <c r="E379" s="6" t="inlineStr">
        <is>
          <t>500.0</t>
        </is>
      </c>
      <c r="F379" s="7" t="n">
        <v>510</v>
      </c>
      <c r="G379" s="7" t="n">
        <v>1.02</v>
      </c>
      <c r="H379" s="7" t="n">
        <v>0</v>
      </c>
      <c r="I379" s="7" t="n">
        <v>-1.02</v>
      </c>
      <c r="J379" s="8" t="n">
        <v>13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NYM</t>
        </is>
      </c>
      <c r="C380" s="5" t="inlineStr">
        <is>
          <t>67877024601</t>
        </is>
      </c>
      <c r="D380" s="5" t="inlineStr">
        <is>
          <t>QUETIAPINE FUMARATE 200 MG ORAL TABLET</t>
        </is>
      </c>
      <c r="E380" s="6" t="inlineStr">
        <is>
          <t>100.0</t>
        </is>
      </c>
      <c r="F380" s="7" t="n">
        <v>30</v>
      </c>
      <c r="G380" s="7" t="n">
        <v>0.3</v>
      </c>
      <c r="H380" s="7" t="n">
        <v>0</v>
      </c>
      <c r="I380" s="7" t="n">
        <v>-0.3</v>
      </c>
      <c r="J380" s="8" t="n">
        <v>13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NYM</t>
        </is>
      </c>
      <c r="C381" s="5" t="inlineStr">
        <is>
          <t>70010078205</t>
        </is>
      </c>
      <c r="D381" s="5" t="inlineStr">
        <is>
          <t>METOPROLOL SUCCINATE ER 100MG TABLET</t>
        </is>
      </c>
      <c r="E381" s="6" t="inlineStr">
        <is>
          <t>500.0</t>
        </is>
      </c>
      <c r="F381" s="7" t="n">
        <v>30</v>
      </c>
      <c r="G381" s="7" t="n">
        <v>0.06</v>
      </c>
      <c r="H381" s="7" t="n">
        <v>2</v>
      </c>
      <c r="I381" s="7" t="n">
        <v>1.94</v>
      </c>
      <c r="J381" s="8" t="n">
        <v>13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NYM</t>
        </is>
      </c>
      <c r="C382" s="5" t="inlineStr">
        <is>
          <t>00093171301</t>
        </is>
      </c>
      <c r="D382" s="5" t="inlineStr">
        <is>
          <t>WARFARIN SODIUM 2 MG TABLET</t>
        </is>
      </c>
      <c r="E382" s="6" t="inlineStr">
        <is>
          <t>100.0</t>
        </is>
      </c>
      <c r="F382" s="7" t="n">
        <v>30</v>
      </c>
      <c r="G382" s="7" t="n">
        <v>0.3</v>
      </c>
      <c r="H382" s="7" t="n">
        <v>0</v>
      </c>
      <c r="I382" s="7" t="n">
        <v>-0.3</v>
      </c>
      <c r="J382" s="8" t="n">
        <v>13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NYM</t>
        </is>
      </c>
      <c r="C383" s="5" t="inlineStr">
        <is>
          <t>67877024201</t>
        </is>
      </c>
      <c r="D383" s="5" t="inlineStr">
        <is>
          <t>QUETIAPINE 25MG TABLET</t>
        </is>
      </c>
      <c r="E383" s="6" t="inlineStr">
        <is>
          <t>100.0</t>
        </is>
      </c>
      <c r="F383" s="7" t="n">
        <v>90</v>
      </c>
      <c r="G383" s="7" t="n">
        <v>0.9</v>
      </c>
      <c r="H383" s="7" t="n">
        <v>0</v>
      </c>
      <c r="I383" s="7" t="n">
        <v>-0.9</v>
      </c>
      <c r="J383" s="8" t="n">
        <v>13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NYM</t>
        </is>
      </c>
      <c r="C384" s="5" t="inlineStr">
        <is>
          <t>51672131200</t>
        </is>
      </c>
      <c r="D384" s="5" t="inlineStr">
        <is>
          <t>MUPIROCIN 2% OINTMENT</t>
        </is>
      </c>
      <c r="E384" s="6" t="inlineStr">
        <is>
          <t>22.0</t>
        </is>
      </c>
      <c r="F384" s="7" t="n">
        <v>22</v>
      </c>
      <c r="G384" s="7" t="n">
        <v>1</v>
      </c>
      <c r="H384" s="7" t="n">
        <v>0</v>
      </c>
      <c r="I384" s="7" t="n">
        <v>-1</v>
      </c>
      <c r="J384" s="8" t="n">
        <v>13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NYM</t>
        </is>
      </c>
      <c r="C385" s="5" t="inlineStr">
        <is>
          <t>59746000103</t>
        </is>
      </c>
      <c r="D385" s="5" t="inlineStr">
        <is>
          <t xml:space="preserve">METHYLPREDNISOLONE 4MG (MEDROL) </t>
        </is>
      </c>
      <c r="E385" s="6" t="inlineStr">
        <is>
          <t>21.0</t>
        </is>
      </c>
      <c r="F385" s="7" t="n">
        <v>21</v>
      </c>
      <c r="G385" s="7" t="n">
        <v>1</v>
      </c>
      <c r="H385" s="7" t="n">
        <v>0</v>
      </c>
      <c r="I385" s="7" t="n">
        <v>-1</v>
      </c>
      <c r="J385" s="8" t="n">
        <v>13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NYM</t>
        </is>
      </c>
      <c r="C386" s="5" t="inlineStr">
        <is>
          <t>67877043405</t>
        </is>
      </c>
      <c r="D386" s="5" t="inlineStr">
        <is>
          <t>ARIPIPRAZOLE 20 MG ORAL TABLET</t>
        </is>
      </c>
      <c r="E386" s="6" t="inlineStr">
        <is>
          <t>500.0</t>
        </is>
      </c>
      <c r="F386" s="7" t="n">
        <v>30</v>
      </c>
      <c r="G386" s="7" t="n">
        <v>0.06</v>
      </c>
      <c r="H386" s="7" t="n">
        <v>0</v>
      </c>
      <c r="I386" s="7" t="n">
        <v>-0.06</v>
      </c>
      <c r="J386" s="8" t="n">
        <v>13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NYM</t>
        </is>
      </c>
      <c r="C387" s="5" t="inlineStr">
        <is>
          <t>65862016999</t>
        </is>
      </c>
      <c r="D387" s="5" t="inlineStr">
        <is>
          <t>ATENOLOL 50MG TABLET</t>
        </is>
      </c>
      <c r="E387" s="6" t="inlineStr">
        <is>
          <t>1000.0</t>
        </is>
      </c>
      <c r="F387" s="7" t="n">
        <v>90</v>
      </c>
      <c r="G387" s="7" t="n">
        <v>0.09</v>
      </c>
      <c r="H387" s="7" t="n">
        <v>0</v>
      </c>
      <c r="I387" s="7" t="n">
        <v>-0.09</v>
      </c>
      <c r="J387" s="8" t="n">
        <v>13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NYM</t>
        </is>
      </c>
      <c r="C388" s="5" t="inlineStr">
        <is>
          <t>00116200116</t>
        </is>
      </c>
      <c r="D388" s="5" t="inlineStr">
        <is>
          <t xml:space="preserve">CHLORHEXIDINE 0.12% SOLUTION </t>
        </is>
      </c>
      <c r="E388" s="6" t="inlineStr">
        <is>
          <t>473.0</t>
        </is>
      </c>
      <c r="F388" s="7" t="n">
        <v>473</v>
      </c>
      <c r="G388" s="7" t="n">
        <v>1</v>
      </c>
      <c r="H388" s="7" t="n">
        <v>0</v>
      </c>
      <c r="I388" s="7" t="n">
        <v>-1</v>
      </c>
      <c r="J388" s="8" t="n">
        <v>13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NYM</t>
        </is>
      </c>
      <c r="C389" s="5" t="inlineStr">
        <is>
          <t>00168008031</t>
        </is>
      </c>
      <c r="D389" s="5" t="inlineStr">
        <is>
          <t>HYDROCORTISONE 2.5% CREAM</t>
        </is>
      </c>
      <c r="E389" s="6" t="inlineStr">
        <is>
          <t>30.0</t>
        </is>
      </c>
      <c r="F389" s="7" t="n">
        <v>30</v>
      </c>
      <c r="G389" s="7" t="n">
        <v>1</v>
      </c>
      <c r="H389" s="7" t="n">
        <v>7</v>
      </c>
      <c r="I389" s="7" t="n">
        <v>6</v>
      </c>
      <c r="J389" s="8" t="n">
        <v>13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NYM</t>
        </is>
      </c>
      <c r="C390" s="5" t="inlineStr">
        <is>
          <t>23155070510</t>
        </is>
      </c>
      <c r="D390" s="5" t="inlineStr">
        <is>
          <t>ENALAPRIL 5MG TABLET</t>
        </is>
      </c>
      <c r="E390" s="6" t="inlineStr">
        <is>
          <t>1000.0</t>
        </is>
      </c>
      <c r="F390" s="7" t="n">
        <v>60</v>
      </c>
      <c r="G390" s="7" t="n">
        <v>0.06</v>
      </c>
      <c r="H390" s="7" t="n">
        <v>0</v>
      </c>
      <c r="I390" s="7" t="n">
        <v>-0.06</v>
      </c>
      <c r="J390" s="8" t="n">
        <v>13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NYM</t>
        </is>
      </c>
      <c r="C391" s="5" t="inlineStr">
        <is>
          <t>68180029407</t>
        </is>
      </c>
      <c r="D391" s="5" t="inlineStr">
        <is>
          <t>DULOXETINE 20MG CAPSULE DR</t>
        </is>
      </c>
      <c r="E391" s="6" t="inlineStr">
        <is>
          <t>60.0</t>
        </is>
      </c>
      <c r="F391" s="7" t="n">
        <v>30</v>
      </c>
      <c r="G391" s="7" t="n">
        <v>0.5</v>
      </c>
      <c r="H391" s="7" t="n">
        <v>0</v>
      </c>
      <c r="I391" s="7" t="n">
        <v>-0.5</v>
      </c>
      <c r="J391" s="8" t="n">
        <v>13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NYM</t>
        </is>
      </c>
      <c r="C392" s="5" t="inlineStr">
        <is>
          <t>00093321201</t>
        </is>
      </c>
      <c r="D392" s="5" t="inlineStr">
        <is>
          <t>CLONAZEPAM 1MG TABLET</t>
        </is>
      </c>
      <c r="E392" s="6" t="inlineStr">
        <is>
          <t>100.0</t>
        </is>
      </c>
      <c r="F392" s="7" t="n">
        <v>90</v>
      </c>
      <c r="G392" s="7" t="n">
        <v>0.9</v>
      </c>
      <c r="H392" s="7" t="n">
        <v>0</v>
      </c>
      <c r="I392" s="7" t="n">
        <v>-0.9</v>
      </c>
      <c r="J392" s="8" t="n">
        <v>13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NYM</t>
        </is>
      </c>
      <c r="C393" s="5" t="inlineStr">
        <is>
          <t>70756042511</t>
        </is>
      </c>
      <c r="D393" s="5" t="inlineStr">
        <is>
          <t>DOXEPIN HCL 25 MG ORAL CAPSULE</t>
        </is>
      </c>
      <c r="E393" s="6" t="inlineStr">
        <is>
          <t>100.0</t>
        </is>
      </c>
      <c r="F393" s="7" t="n">
        <v>30</v>
      </c>
      <c r="G393" s="7" t="n">
        <v>0.3</v>
      </c>
      <c r="H393" s="7" t="n">
        <v>0</v>
      </c>
      <c r="I393" s="7" t="n">
        <v>-0.3</v>
      </c>
      <c r="J393" s="8" t="n">
        <v>13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NYM</t>
        </is>
      </c>
      <c r="C394" s="5" t="inlineStr">
        <is>
          <t>69315015501</t>
        </is>
      </c>
      <c r="D394" s="5" t="inlineStr">
        <is>
          <t>HYDROCHLOROTHIAZIDE 12.5MG TABLET</t>
        </is>
      </c>
      <c r="E394" s="6" t="inlineStr">
        <is>
          <t>100.0</t>
        </is>
      </c>
      <c r="F394" s="7" t="n">
        <v>90</v>
      </c>
      <c r="G394" s="7" t="n">
        <v>0.9</v>
      </c>
      <c r="H394" s="7" t="n">
        <v>0</v>
      </c>
      <c r="I394" s="7" t="n">
        <v>-0.9</v>
      </c>
      <c r="J394" s="8" t="n">
        <v>13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NYM</t>
        </is>
      </c>
      <c r="C395" s="5" t="inlineStr">
        <is>
          <t>72578010092</t>
        </is>
      </c>
      <c r="D395" s="5" t="inlineStr">
        <is>
          <t>LEVOFLOXACIN 750MG TABLET</t>
        </is>
      </c>
      <c r="E395" s="6" t="inlineStr">
        <is>
          <t>20.0</t>
        </is>
      </c>
      <c r="F395" s="7" t="n">
        <v>14</v>
      </c>
      <c r="G395" s="7" t="n">
        <v>0.7</v>
      </c>
      <c r="H395" s="7" t="n">
        <v>0</v>
      </c>
      <c r="I395" s="7" t="n">
        <v>-0.7</v>
      </c>
      <c r="J395" s="8" t="n">
        <v>13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NYM</t>
        </is>
      </c>
      <c r="C396" s="5" t="inlineStr">
        <is>
          <t>00168000215</t>
        </is>
      </c>
      <c r="D396" s="5" t="inlineStr">
        <is>
          <t>TRIAMCINOLONE ACETONIDE 0.5 % CREAM</t>
        </is>
      </c>
      <c r="E396" s="6" t="inlineStr">
        <is>
          <t>15.0</t>
        </is>
      </c>
      <c r="F396" s="7" t="n">
        <v>15</v>
      </c>
      <c r="G396" s="7" t="n">
        <v>1</v>
      </c>
      <c r="H396" s="7" t="n">
        <v>0</v>
      </c>
      <c r="I396" s="7" t="n">
        <v>-1</v>
      </c>
      <c r="J396" s="8" t="n">
        <v>13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NYM</t>
        </is>
      </c>
      <c r="C397" s="5" t="inlineStr">
        <is>
          <t>21922006215</t>
        </is>
      </c>
      <c r="D397" s="5" t="inlineStr">
        <is>
          <t>TRIAMCINOLONE ACETONIDE 0.1 % EXTERNAL CREAM</t>
        </is>
      </c>
      <c r="E397" s="6" t="inlineStr">
        <is>
          <t>80.0</t>
        </is>
      </c>
      <c r="F397" s="7" t="n">
        <v>80</v>
      </c>
      <c r="G397" s="7" t="n">
        <v>1</v>
      </c>
      <c r="H397" s="7" t="n">
        <v>6</v>
      </c>
      <c r="I397" s="7" t="n">
        <v>5</v>
      </c>
      <c r="J397" s="8" t="n">
        <v>13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NYM</t>
        </is>
      </c>
      <c r="C398" s="5" t="inlineStr">
        <is>
          <t>68180029503</t>
        </is>
      </c>
      <c r="D398" s="5" t="inlineStr">
        <is>
          <t>DULOXETINE 30MG  CAPSULE DR</t>
        </is>
      </c>
      <c r="E398" s="6" t="inlineStr">
        <is>
          <t>1000.0</t>
        </is>
      </c>
      <c r="F398" s="7" t="n">
        <v>30</v>
      </c>
      <c r="G398" s="7" t="n">
        <v>0.03</v>
      </c>
      <c r="H398" s="7" t="n">
        <v>0</v>
      </c>
      <c r="I398" s="7" t="n">
        <v>-0.03</v>
      </c>
      <c r="J398" s="8" t="n">
        <v>12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NYM</t>
        </is>
      </c>
      <c r="C399" s="5" t="inlineStr">
        <is>
          <t>57237004701</t>
        </is>
      </c>
      <c r="D399" s="5" t="inlineStr">
        <is>
          <t>DIVALPROEX SODIUM 250MG TABLET DR</t>
        </is>
      </c>
      <c r="E399" s="6" t="inlineStr">
        <is>
          <t>100.0</t>
        </is>
      </c>
      <c r="F399" s="7" t="n">
        <v>30</v>
      </c>
      <c r="G399" s="7" t="n">
        <v>0.3</v>
      </c>
      <c r="H399" s="7" t="n">
        <v>0</v>
      </c>
      <c r="I399" s="7" t="n">
        <v>-0.3</v>
      </c>
      <c r="J399" s="8" t="n">
        <v>12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NYM</t>
        </is>
      </c>
      <c r="C400" s="5" t="inlineStr">
        <is>
          <t>68180097303</t>
        </is>
      </c>
      <c r="D400" s="5" t="inlineStr">
        <is>
          <t>LEVOTHYROXINE 150 MCG TABLET</t>
        </is>
      </c>
      <c r="E400" s="6" t="inlineStr">
        <is>
          <t>1000.0</t>
        </is>
      </c>
      <c r="F400" s="7" t="n">
        <v>40</v>
      </c>
      <c r="G400" s="7" t="n">
        <v>0.04</v>
      </c>
      <c r="H400" s="7" t="n">
        <v>0</v>
      </c>
      <c r="I400" s="7" t="n">
        <v>-0.04</v>
      </c>
      <c r="J400" s="8" t="n">
        <v>12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NYM</t>
        </is>
      </c>
      <c r="C401" s="5" t="inlineStr">
        <is>
          <t>69315011710</t>
        </is>
      </c>
      <c r="D401" s="5" t="inlineStr">
        <is>
          <t>FUROSEMIDE 40 MG TABLET</t>
        </is>
      </c>
      <c r="E401" s="6" t="inlineStr">
        <is>
          <t>1000.0</t>
        </is>
      </c>
      <c r="F401" s="7" t="n">
        <v>90</v>
      </c>
      <c r="G401" s="7" t="n">
        <v>0.09</v>
      </c>
      <c r="H401" s="7" t="n">
        <v>0</v>
      </c>
      <c r="I401" s="7" t="n">
        <v>-0.09</v>
      </c>
      <c r="J401" s="8" t="n">
        <v>12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NYM</t>
        </is>
      </c>
      <c r="C402" s="5" t="inlineStr">
        <is>
          <t>70010013801</t>
        </is>
      </c>
      <c r="D402" s="5" t="inlineStr">
        <is>
          <t>NAPROXEN 375 MG TABLET</t>
        </is>
      </c>
      <c r="E402" s="6" t="inlineStr">
        <is>
          <t>100.0</t>
        </is>
      </c>
      <c r="F402" s="7" t="n">
        <v>28</v>
      </c>
      <c r="G402" s="7" t="n">
        <v>0.28</v>
      </c>
      <c r="H402" s="7" t="n">
        <v>3</v>
      </c>
      <c r="I402" s="7" t="n">
        <v>2.72</v>
      </c>
      <c r="J402" s="8" t="n">
        <v>12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NYM</t>
        </is>
      </c>
      <c r="C403" s="5" t="inlineStr">
        <is>
          <t>31722077801</t>
        </is>
      </c>
      <c r="D403" s="5" t="inlineStr">
        <is>
          <t>ACYCLOVIR 800 MG TABLET</t>
        </is>
      </c>
      <c r="E403" s="6" t="inlineStr">
        <is>
          <t>100.0</t>
        </is>
      </c>
      <c r="F403" s="7" t="n">
        <v>20</v>
      </c>
      <c r="G403" s="7" t="n">
        <v>0.2</v>
      </c>
      <c r="H403" s="7" t="n">
        <v>0</v>
      </c>
      <c r="I403" s="7" t="n">
        <v>-0.2</v>
      </c>
      <c r="J403" s="8" t="n">
        <v>12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NYM</t>
        </is>
      </c>
      <c r="C404" s="5" t="inlineStr">
        <is>
          <t>69367061101</t>
        </is>
      </c>
      <c r="D404" s="5" t="inlineStr">
        <is>
          <t>PHENAZOPYRIDINE HCL 100MG TABLET</t>
        </is>
      </c>
      <c r="E404" s="6" t="inlineStr">
        <is>
          <t>100.0</t>
        </is>
      </c>
      <c r="F404" s="7" t="n">
        <v>15</v>
      </c>
      <c r="G404" s="7" t="n">
        <v>0.15</v>
      </c>
      <c r="H404" s="7" t="n">
        <v>0</v>
      </c>
      <c r="I404" s="7" t="n">
        <v>-0.15</v>
      </c>
      <c r="J404" s="8" t="n">
        <v>12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NYM</t>
        </is>
      </c>
      <c r="C405" s="5" t="inlineStr">
        <is>
          <t>13107015530</t>
        </is>
      </c>
      <c r="D405" s="5" t="inlineStr">
        <is>
          <t xml:space="preserve">PAROXETINE 20MG TABLET </t>
        </is>
      </c>
      <c r="E405" s="6" t="inlineStr">
        <is>
          <t>30.0</t>
        </is>
      </c>
      <c r="F405" s="7" t="n">
        <v>30</v>
      </c>
      <c r="G405" s="7" t="n">
        <v>1</v>
      </c>
      <c r="H405" s="7" t="n">
        <v>0</v>
      </c>
      <c r="I405" s="7" t="n">
        <v>-1</v>
      </c>
      <c r="J405" s="8" t="n">
        <v>12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NYM</t>
        </is>
      </c>
      <c r="C406" s="5" t="inlineStr">
        <is>
          <t>70756040411</t>
        </is>
      </c>
      <c r="D406" s="5" t="inlineStr">
        <is>
          <t>NITROFURANTOIN MONOHYD MACRO 100 MG ORAL CAPSULE</t>
        </is>
      </c>
      <c r="E406" s="6" t="inlineStr">
        <is>
          <t>100.0</t>
        </is>
      </c>
      <c r="F406" s="7" t="n">
        <v>10</v>
      </c>
      <c r="G406" s="7" t="n">
        <v>0.1</v>
      </c>
      <c r="H406" s="7" t="n">
        <v>2</v>
      </c>
      <c r="I406" s="7" t="n">
        <v>1.9</v>
      </c>
      <c r="J406" s="8" t="n">
        <v>12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NYM</t>
        </is>
      </c>
      <c r="C407" s="5" t="inlineStr">
        <is>
          <t>57237002801</t>
        </is>
      </c>
      <c r="D407" s="5" t="inlineStr">
        <is>
          <t>AMOXICILLIN 500MG TABLET</t>
        </is>
      </c>
      <c r="E407" s="6" t="inlineStr">
        <is>
          <t>100.0</t>
        </is>
      </c>
      <c r="F407" s="7" t="n">
        <v>21</v>
      </c>
      <c r="G407" s="7" t="n">
        <v>0.21</v>
      </c>
      <c r="H407" s="7" t="n">
        <v>0</v>
      </c>
      <c r="I407" s="7" t="n">
        <v>-0.21</v>
      </c>
      <c r="J407" s="8" t="n">
        <v>12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NYM</t>
        </is>
      </c>
      <c r="C408" s="5" t="inlineStr">
        <is>
          <t>16571010701</t>
        </is>
      </c>
      <c r="D408" s="5" t="inlineStr">
        <is>
          <t>AMITRIPTYLINE HCL 50 MG ORAL TABLET</t>
        </is>
      </c>
      <c r="E408" s="6" t="inlineStr">
        <is>
          <t>100.0</t>
        </is>
      </c>
      <c r="F408" s="7" t="n">
        <v>30</v>
      </c>
      <c r="G408" s="7" t="n">
        <v>0.3</v>
      </c>
      <c r="H408" s="7" t="n">
        <v>0</v>
      </c>
      <c r="I408" s="7" t="n">
        <v>-0.3</v>
      </c>
      <c r="J408" s="8" t="n">
        <v>12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NYM</t>
        </is>
      </c>
      <c r="C409" s="5" t="inlineStr">
        <is>
          <t>67877043103</t>
        </is>
      </c>
      <c r="D409" s="5" t="inlineStr">
        <is>
          <t>ARIPIPRAZOLE 5MG TABLET</t>
        </is>
      </c>
      <c r="E409" s="6" t="inlineStr">
        <is>
          <t>30.0</t>
        </is>
      </c>
      <c r="F409" s="7" t="n">
        <v>30</v>
      </c>
      <c r="G409" s="7" t="n">
        <v>1</v>
      </c>
      <c r="H409" s="7" t="n">
        <v>0</v>
      </c>
      <c r="I409" s="7" t="n">
        <v>-1</v>
      </c>
      <c r="J409" s="8" t="n">
        <v>12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NYM</t>
        </is>
      </c>
      <c r="C410" s="5" t="inlineStr">
        <is>
          <t>33342033315</t>
        </is>
      </c>
      <c r="D410" s="5" t="inlineStr">
        <is>
          <t>TRIAMCINOLONE ACETONIDE 0.1 % EXTERNAL OINTMENT</t>
        </is>
      </c>
      <c r="E410" s="6" t="inlineStr">
        <is>
          <t>15.0</t>
        </is>
      </c>
      <c r="F410" s="7" t="n">
        <v>30</v>
      </c>
      <c r="G410" s="7" t="n">
        <v>2</v>
      </c>
      <c r="H410" s="7" t="n">
        <v>3</v>
      </c>
      <c r="I410" s="7" t="n">
        <v>1</v>
      </c>
      <c r="J410" s="8" t="n">
        <v>12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NYM</t>
        </is>
      </c>
      <c r="C411" s="5" t="inlineStr">
        <is>
          <t>51672200306</t>
        </is>
      </c>
      <c r="D411" s="5" t="inlineStr">
        <is>
          <t xml:space="preserve">CLOTRIMAZOLE 1% VAGINAL CREAM </t>
        </is>
      </c>
      <c r="E411" s="6" t="inlineStr">
        <is>
          <t>45.0</t>
        </is>
      </c>
      <c r="F411" s="7" t="n">
        <v>45</v>
      </c>
      <c r="G411" s="7" t="n">
        <v>1</v>
      </c>
      <c r="H411" s="7" t="n">
        <v>0</v>
      </c>
      <c r="I411" s="7" t="n">
        <v>-1</v>
      </c>
      <c r="J411" s="8" t="n">
        <v>12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NYM</t>
        </is>
      </c>
      <c r="C412" s="5" t="inlineStr">
        <is>
          <t>60505014101</t>
        </is>
      </c>
      <c r="D412" s="5" t="inlineStr">
        <is>
          <t xml:space="preserve">GLIPIZIDE 5MG TAB </t>
        </is>
      </c>
      <c r="E412" s="6" t="inlineStr">
        <is>
          <t>1000.0</t>
        </is>
      </c>
      <c r="F412" s="7" t="n">
        <v>90</v>
      </c>
      <c r="G412" s="7" t="n">
        <v>0.09</v>
      </c>
      <c r="H412" s="7" t="n">
        <v>0</v>
      </c>
      <c r="I412" s="7" t="n">
        <v>-0.09</v>
      </c>
      <c r="J412" s="8" t="n">
        <v>12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NYM</t>
        </is>
      </c>
      <c r="C413" s="5" t="inlineStr">
        <is>
          <t>00065048110</t>
        </is>
      </c>
      <c r="D413" s="5" t="inlineStr">
        <is>
          <t>SYSTANE COMPLETE 0.6 % OPHTHALMIC SOLUTION</t>
        </is>
      </c>
      <c r="E413" s="6" t="inlineStr">
        <is>
          <t>10.0</t>
        </is>
      </c>
      <c r="F413" s="7" t="n">
        <v>10</v>
      </c>
      <c r="G413" s="7" t="n">
        <v>1</v>
      </c>
      <c r="H413" s="7" t="n">
        <v>0</v>
      </c>
      <c r="I413" s="7" t="n">
        <v>-1</v>
      </c>
      <c r="J413" s="8" t="n">
        <v>12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NYM</t>
        </is>
      </c>
      <c r="C414" s="5" t="inlineStr">
        <is>
          <t>16729000517</t>
        </is>
      </c>
      <c r="D414" s="5" t="inlineStr">
        <is>
          <t>SIMVASTATIN 20MG TABLET</t>
        </is>
      </c>
      <c r="E414" s="6" t="inlineStr">
        <is>
          <t>1000.0</t>
        </is>
      </c>
      <c r="F414" s="7" t="n">
        <v>90</v>
      </c>
      <c r="G414" s="7" t="n">
        <v>0.09</v>
      </c>
      <c r="H414" s="7" t="n">
        <v>0</v>
      </c>
      <c r="I414" s="7" t="n">
        <v>-0.09</v>
      </c>
      <c r="J414" s="8" t="n">
        <v>12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NYM</t>
        </is>
      </c>
      <c r="C415" s="5" t="inlineStr">
        <is>
          <t>16729017201</t>
        </is>
      </c>
      <c r="D415" s="5" t="inlineStr">
        <is>
          <t xml:space="preserve">AMITRIPTYLINE 25MG TAB </t>
        </is>
      </c>
      <c r="E415" s="6" t="inlineStr">
        <is>
          <t>100.0</t>
        </is>
      </c>
      <c r="F415" s="7" t="n">
        <v>30</v>
      </c>
      <c r="G415" s="7" t="n">
        <v>0.3</v>
      </c>
      <c r="H415" s="7" t="n">
        <v>0</v>
      </c>
      <c r="I415" s="7" t="n">
        <v>-0.3</v>
      </c>
      <c r="J415" s="8" t="n">
        <v>12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NYM</t>
        </is>
      </c>
      <c r="C416" s="5" t="inlineStr">
        <is>
          <t>45802073230</t>
        </is>
      </c>
      <c r="D416" s="5" t="inlineStr">
        <is>
          <t>ACETAMINOPHEN 120 MG RECTAL SUPPOSITORY</t>
        </is>
      </c>
      <c r="E416" s="6" t="inlineStr">
        <is>
          <t>12.0</t>
        </is>
      </c>
      <c r="F416" s="7" t="n">
        <v>12</v>
      </c>
      <c r="G416" s="7" t="n">
        <v>1</v>
      </c>
      <c r="H416" s="7" t="n">
        <v>0</v>
      </c>
      <c r="I416" s="7" t="n">
        <v>-1</v>
      </c>
      <c r="J416" s="8" t="n">
        <v>12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NYM</t>
        </is>
      </c>
      <c r="C417" s="5" t="inlineStr">
        <is>
          <t>70000035801</t>
        </is>
      </c>
      <c r="D417" s="5" t="inlineStr">
        <is>
          <t>A&amp;D EXTERNAL OINTMENT</t>
        </is>
      </c>
      <c r="E417" s="6" t="inlineStr">
        <is>
          <t>425.0</t>
        </is>
      </c>
      <c r="F417" s="7" t="n">
        <v>425</v>
      </c>
      <c r="G417" s="7" t="n">
        <v>1</v>
      </c>
      <c r="H417" s="7" t="n">
        <v>0</v>
      </c>
      <c r="I417" s="7" t="n">
        <v>-1</v>
      </c>
      <c r="J417" s="8" t="n">
        <v>12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NYM</t>
        </is>
      </c>
      <c r="C418" s="5" t="inlineStr">
        <is>
          <t>00904555159</t>
        </is>
      </c>
      <c r="D418" s="5" t="inlineStr">
        <is>
          <t>BANOPHEN 25 MG TABLET</t>
        </is>
      </c>
      <c r="E418" s="6" t="inlineStr">
        <is>
          <t>100.0</t>
        </is>
      </c>
      <c r="F418" s="7" t="n">
        <v>30</v>
      </c>
      <c r="G418" s="7" t="n">
        <v>0.3</v>
      </c>
      <c r="H418" s="7" t="n">
        <v>0</v>
      </c>
      <c r="I418" s="7" t="n">
        <v>-0.3</v>
      </c>
      <c r="J418" s="8" t="n">
        <v>11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NYM</t>
        </is>
      </c>
      <c r="C419" s="5" t="inlineStr">
        <is>
          <t>67877043003</t>
        </is>
      </c>
      <c r="D419" s="5" t="inlineStr">
        <is>
          <t>ARIPIPRAZOLE 2MG TABLET</t>
        </is>
      </c>
      <c r="E419" s="6" t="inlineStr">
        <is>
          <t>30.0</t>
        </is>
      </c>
      <c r="F419" s="7" t="n">
        <v>30</v>
      </c>
      <c r="G419" s="7" t="n">
        <v>1</v>
      </c>
      <c r="H419" s="7" t="n">
        <v>0</v>
      </c>
      <c r="I419" s="7" t="n">
        <v>-1</v>
      </c>
      <c r="J419" s="8" t="n">
        <v>11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NYM</t>
        </is>
      </c>
      <c r="C420" s="5" t="inlineStr">
        <is>
          <t>13668000805</t>
        </is>
      </c>
      <c r="D420" s="5" t="inlineStr">
        <is>
          <t xml:space="preserve">ZOLPIDEM TARTRATE 10MG TAB </t>
        </is>
      </c>
      <c r="E420" s="6" t="inlineStr">
        <is>
          <t>500.0</t>
        </is>
      </c>
      <c r="F420" s="7" t="n">
        <v>30</v>
      </c>
      <c r="G420" s="7" t="n">
        <v>0.06</v>
      </c>
      <c r="H420" s="7" t="n">
        <v>0</v>
      </c>
      <c r="I420" s="7" t="n">
        <v>-0.06</v>
      </c>
      <c r="J420" s="8" t="n">
        <v>11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NYM</t>
        </is>
      </c>
      <c r="C421" s="5" t="inlineStr">
        <is>
          <t>00172409760</t>
        </is>
      </c>
      <c r="D421" s="5" t="inlineStr">
        <is>
          <t>BACLOFEN 20MG TABLET</t>
        </is>
      </c>
      <c r="E421" s="6" t="inlineStr">
        <is>
          <t>100.0</t>
        </is>
      </c>
      <c r="F421" s="7" t="n">
        <v>30</v>
      </c>
      <c r="G421" s="7" t="n">
        <v>0.3</v>
      </c>
      <c r="H421" s="7" t="n">
        <v>0</v>
      </c>
      <c r="I421" s="7" t="n">
        <v>-0.3</v>
      </c>
      <c r="J421" s="8" t="n">
        <v>11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NYM</t>
        </is>
      </c>
      <c r="C422" s="5" t="inlineStr">
        <is>
          <t>00904679480</t>
        </is>
      </c>
      <c r="D422" s="5" t="inlineStr">
        <is>
          <t>ASPIRIN LOW DOSE 81 MG TABLET CHEWABLE</t>
        </is>
      </c>
      <c r="E422" s="6" t="inlineStr">
        <is>
          <t>1000.0</t>
        </is>
      </c>
      <c r="F422" s="7" t="n">
        <v>30</v>
      </c>
      <c r="G422" s="7" t="n">
        <v>0.03</v>
      </c>
      <c r="H422" s="7" t="n">
        <v>0</v>
      </c>
      <c r="I422" s="7" t="n">
        <v>-0.03</v>
      </c>
      <c r="J422" s="8" t="n">
        <v>11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NYM</t>
        </is>
      </c>
      <c r="C423" s="5" t="inlineStr">
        <is>
          <t>70954044420</t>
        </is>
      </c>
      <c r="D423" s="5" t="inlineStr">
        <is>
          <t>MISOPROSTOL 200 MCG ORAL TABLET</t>
        </is>
      </c>
      <c r="E423" s="6" t="inlineStr">
        <is>
          <t>100.0</t>
        </is>
      </c>
      <c r="F423" s="7" t="n">
        <v>2</v>
      </c>
      <c r="G423" s="7" t="n">
        <v>0.02</v>
      </c>
      <c r="H423" s="7" t="n">
        <v>0</v>
      </c>
      <c r="I423" s="7" t="n">
        <v>-0.02</v>
      </c>
      <c r="J423" s="8" t="n">
        <v>11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NYM</t>
        </is>
      </c>
      <c r="C424" s="5" t="inlineStr">
        <is>
          <t>70010077001</t>
        </is>
      </c>
      <c r="D424" s="5" t="inlineStr">
        <is>
          <t>METHOCARBAMOL 750 MG ORAL TABLET</t>
        </is>
      </c>
      <c r="E424" s="6" t="inlineStr">
        <is>
          <t>100.0</t>
        </is>
      </c>
      <c r="F424" s="7" t="n">
        <v>28</v>
      </c>
      <c r="G424" s="7" t="n">
        <v>0.28</v>
      </c>
      <c r="H424" s="7" t="n">
        <v>0</v>
      </c>
      <c r="I424" s="7" t="n">
        <v>-0.28</v>
      </c>
      <c r="J424" s="8" t="n">
        <v>11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NYM</t>
        </is>
      </c>
      <c r="C425" s="5" t="inlineStr">
        <is>
          <t>68382011214</t>
        </is>
      </c>
      <c r="D425" s="5" t="inlineStr">
        <is>
          <t>RISPERIDONE 0.25MG TABLET</t>
        </is>
      </c>
      <c r="E425" s="6" t="inlineStr">
        <is>
          <t>60.0</t>
        </is>
      </c>
      <c r="F425" s="7" t="n">
        <v>30</v>
      </c>
      <c r="G425" s="7" t="n">
        <v>0.5</v>
      </c>
      <c r="H425" s="7" t="n">
        <v>0</v>
      </c>
      <c r="I425" s="7" t="n">
        <v>-0.5</v>
      </c>
      <c r="J425" s="8" t="n">
        <v>11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NYM</t>
        </is>
      </c>
      <c r="C426" s="5" t="inlineStr">
        <is>
          <t>68382011414</t>
        </is>
      </c>
      <c r="D426" s="5" t="inlineStr">
        <is>
          <t>RISPERIDONE 1MG TABLET</t>
        </is>
      </c>
      <c r="E426" s="6" t="inlineStr">
        <is>
          <t>60.0</t>
        </is>
      </c>
      <c r="F426" s="7" t="n">
        <v>30</v>
      </c>
      <c r="G426" s="7" t="n">
        <v>0.5</v>
      </c>
      <c r="H426" s="7" t="n">
        <v>0</v>
      </c>
      <c r="I426" s="7" t="n">
        <v>-0.5</v>
      </c>
      <c r="J426" s="8" t="n">
        <v>11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NYM</t>
        </is>
      </c>
      <c r="C427" s="5" t="inlineStr">
        <is>
          <t>68180037603</t>
        </is>
      </c>
      <c r="D427" s="5" t="inlineStr">
        <is>
          <t>LOSARTAN POTASSIUM 25MG TABLET</t>
        </is>
      </c>
      <c r="E427" s="6" t="inlineStr">
        <is>
          <t>1000.0</t>
        </is>
      </c>
      <c r="F427" s="7" t="n">
        <v>90</v>
      </c>
      <c r="G427" s="7" t="n">
        <v>0.09</v>
      </c>
      <c r="H427" s="7" t="n">
        <v>0</v>
      </c>
      <c r="I427" s="7" t="n">
        <v>-0.09</v>
      </c>
      <c r="J427" s="8" t="n">
        <v>11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NYM</t>
        </is>
      </c>
      <c r="C428" s="5" t="inlineStr">
        <is>
          <t>64380078306</t>
        </is>
      </c>
      <c r="D428" s="5" t="inlineStr">
        <is>
          <t>PREDNISONE 5MG TABLET</t>
        </is>
      </c>
      <c r="E428" s="6" t="inlineStr">
        <is>
          <t>100.0</t>
        </is>
      </c>
      <c r="F428" s="7" t="n">
        <v>30</v>
      </c>
      <c r="G428" s="7" t="n">
        <v>0.3</v>
      </c>
      <c r="H428" s="7" t="n">
        <v>0</v>
      </c>
      <c r="I428" s="7" t="n">
        <v>-0.3</v>
      </c>
      <c r="J428" s="8" t="n">
        <v>11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NYM</t>
        </is>
      </c>
      <c r="C429" s="5" t="inlineStr">
        <is>
          <t>68462018801</t>
        </is>
      </c>
      <c r="D429" s="5" t="inlineStr">
        <is>
          <t>NAPROXEN 250MG TABLET</t>
        </is>
      </c>
      <c r="E429" s="6" t="inlineStr">
        <is>
          <t>100.0</t>
        </is>
      </c>
      <c r="F429" s="7" t="n">
        <v>20</v>
      </c>
      <c r="G429" s="7" t="n">
        <v>0.2</v>
      </c>
      <c r="H429" s="7" t="n">
        <v>0</v>
      </c>
      <c r="I429" s="7" t="n">
        <v>-0.2</v>
      </c>
      <c r="J429" s="8" t="n">
        <v>11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NYM</t>
        </is>
      </c>
      <c r="C430" s="5" t="inlineStr">
        <is>
          <t>00904505359</t>
        </is>
      </c>
      <c r="D430" s="5" t="inlineStr">
        <is>
          <t>PSEUDOEPHEDRINE(SUDOGEST) 30MG TABLET</t>
        </is>
      </c>
      <c r="E430" s="6" t="inlineStr">
        <is>
          <t>100.0</t>
        </is>
      </c>
      <c r="F430" s="7" t="n">
        <v>50</v>
      </c>
      <c r="G430" s="7" t="n">
        <v>0.5</v>
      </c>
      <c r="H430" s="7" t="n">
        <v>3</v>
      </c>
      <c r="I430" s="7" t="n">
        <v>2.5</v>
      </c>
      <c r="J430" s="8" t="n">
        <v>11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NYM</t>
        </is>
      </c>
      <c r="C431" s="5" t="inlineStr">
        <is>
          <t>00904546080</t>
        </is>
      </c>
      <c r="D431" s="5" t="inlineStr">
        <is>
          <t>OYSTER SHELL CALCIUM/D TABLET</t>
        </is>
      </c>
      <c r="E431" s="6" t="inlineStr">
        <is>
          <t>1000.0</t>
        </is>
      </c>
      <c r="F431" s="7" t="n">
        <v>450</v>
      </c>
      <c r="G431" s="7" t="n">
        <v>0.45</v>
      </c>
      <c r="H431" s="7" t="n">
        <v>0</v>
      </c>
      <c r="I431" s="7" t="n">
        <v>-0.45</v>
      </c>
      <c r="J431" s="8" t="n">
        <v>11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NYM</t>
        </is>
      </c>
      <c r="C432" s="5" t="inlineStr">
        <is>
          <t>45802020126</t>
        </is>
      </c>
      <c r="D432" s="5" t="inlineStr">
        <is>
          <t>ACETAMINOPHEN CHILDRENS 160 MG/5ML ORAL SUSPENSION</t>
        </is>
      </c>
      <c r="E432" s="6" t="inlineStr">
        <is>
          <t>118.0</t>
        </is>
      </c>
      <c r="F432" s="7" t="n">
        <v>118</v>
      </c>
      <c r="G432" s="7" t="n">
        <v>1</v>
      </c>
      <c r="H432" s="7" t="n">
        <v>3</v>
      </c>
      <c r="I432" s="7" t="n">
        <v>2</v>
      </c>
      <c r="J432" s="8" t="n">
        <v>11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NYM</t>
        </is>
      </c>
      <c r="C433" s="5" t="inlineStr">
        <is>
          <t>68462010230</t>
        </is>
      </c>
      <c r="D433" s="5" t="inlineStr">
        <is>
          <t>FLUCONAZOLE 100 MG ORAL TABLET</t>
        </is>
      </c>
      <c r="E433" s="6" t="inlineStr">
        <is>
          <t>30.0</t>
        </is>
      </c>
      <c r="F433" s="7" t="n">
        <v>6</v>
      </c>
      <c r="G433" s="7" t="n">
        <v>0.2</v>
      </c>
      <c r="H433" s="7" t="n">
        <v>0</v>
      </c>
      <c r="I433" s="7" t="n">
        <v>-0.2</v>
      </c>
      <c r="J433" s="8" t="n">
        <v>11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NYM</t>
        </is>
      </c>
      <c r="C434" s="5" t="inlineStr">
        <is>
          <t>65862019399</t>
        </is>
      </c>
      <c r="D434" s="5" t="inlineStr">
        <is>
          <t>FLUOXETINE 20MG CAPSULE</t>
        </is>
      </c>
      <c r="E434" s="6" t="inlineStr">
        <is>
          <t>1000.0</t>
        </is>
      </c>
      <c r="F434" s="7" t="n">
        <v>30</v>
      </c>
      <c r="G434" s="7" t="n">
        <v>0.03</v>
      </c>
      <c r="H434" s="7" t="n">
        <v>0</v>
      </c>
      <c r="I434" s="7" t="n">
        <v>-0.03</v>
      </c>
      <c r="J434" s="8" t="n">
        <v>11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NYM</t>
        </is>
      </c>
      <c r="C435" s="5" t="inlineStr">
        <is>
          <t>67877022210</t>
        </is>
      </c>
      <c r="D435" s="5" t="inlineStr">
        <is>
          <t>GABAPENTIN 100MG CAPSULE</t>
        </is>
      </c>
      <c r="E435" s="6" t="inlineStr">
        <is>
          <t>1000.0</t>
        </is>
      </c>
      <c r="F435" s="7" t="n">
        <v>90</v>
      </c>
      <c r="G435" s="7" t="n">
        <v>0.09</v>
      </c>
      <c r="H435" s="7" t="n">
        <v>0</v>
      </c>
      <c r="I435" s="7" t="n">
        <v>-0.09</v>
      </c>
      <c r="J435" s="8" t="n">
        <v>11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NYM</t>
        </is>
      </c>
      <c r="C436" s="5" t="inlineStr">
        <is>
          <t>23155050005</t>
        </is>
      </c>
      <c r="D436" s="5" t="inlineStr">
        <is>
          <t xml:space="preserve">HYDROXYZINE HCL 10MG TAB </t>
        </is>
      </c>
      <c r="E436" s="6" t="inlineStr">
        <is>
          <t>500.0</t>
        </is>
      </c>
      <c r="F436" s="7" t="n">
        <v>30</v>
      </c>
      <c r="G436" s="7" t="n">
        <v>0.06</v>
      </c>
      <c r="H436" s="7" t="n">
        <v>0</v>
      </c>
      <c r="I436" s="7" t="n">
        <v>-0.06</v>
      </c>
      <c r="J436" s="8" t="n">
        <v>11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NYM</t>
        </is>
      </c>
      <c r="C437" s="5" t="inlineStr">
        <is>
          <t>31722053612</t>
        </is>
      </c>
      <c r="D437" s="5" t="inlineStr">
        <is>
          <t>LEVETIRACETAM 250 MG TABLET</t>
        </is>
      </c>
      <c r="E437" s="6" t="inlineStr">
        <is>
          <t>120.0</t>
        </is>
      </c>
      <c r="F437" s="7" t="n">
        <v>30</v>
      </c>
      <c r="G437" s="7" t="n">
        <v>0.25</v>
      </c>
      <c r="H437" s="7" t="n">
        <v>0</v>
      </c>
      <c r="I437" s="7" t="n">
        <v>-0.25</v>
      </c>
      <c r="J437" s="8" t="n">
        <v>11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NYM</t>
        </is>
      </c>
      <c r="C438" s="5" t="inlineStr">
        <is>
          <t>68180097903</t>
        </is>
      </c>
      <c r="D438" s="5" t="inlineStr">
        <is>
          <t>LISINOPRIL 40MG TABLET</t>
        </is>
      </c>
      <c r="E438" s="6" t="inlineStr">
        <is>
          <t>1000.0</t>
        </is>
      </c>
      <c r="F438" s="7" t="n">
        <v>30</v>
      </c>
      <c r="G438" s="7" t="n">
        <v>0.03</v>
      </c>
      <c r="H438" s="7" t="n">
        <v>0</v>
      </c>
      <c r="I438" s="7" t="n">
        <v>-0.03</v>
      </c>
      <c r="J438" s="8" t="n">
        <v>11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NYM</t>
        </is>
      </c>
      <c r="C439" s="5" t="inlineStr">
        <is>
          <t>00168001531</t>
        </is>
      </c>
      <c r="D439" s="5" t="inlineStr">
        <is>
          <t>HYDROCORTISONE 1% CREAM</t>
        </is>
      </c>
      <c r="E439" s="6" t="inlineStr">
        <is>
          <t>28.35</t>
        </is>
      </c>
      <c r="F439" s="7" t="n">
        <v>28.35</v>
      </c>
      <c r="G439" s="7" t="n">
        <v>1</v>
      </c>
      <c r="H439" s="7" t="n">
        <v>0</v>
      </c>
      <c r="I439" s="7" t="n">
        <v>-1</v>
      </c>
      <c r="J439" s="8" t="n">
        <v>11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NYM</t>
        </is>
      </c>
      <c r="C440" s="5" t="inlineStr">
        <is>
          <t>68180098003</t>
        </is>
      </c>
      <c r="D440" s="5" t="inlineStr">
        <is>
          <t>LISINOPRIL 10MG TABLET</t>
        </is>
      </c>
      <c r="E440" s="6" t="inlineStr">
        <is>
          <t>1000.0</t>
        </is>
      </c>
      <c r="F440" s="7" t="n">
        <v>90</v>
      </c>
      <c r="G440" s="7" t="n">
        <v>0.09</v>
      </c>
      <c r="H440" s="7" t="n">
        <v>0</v>
      </c>
      <c r="I440" s="7" t="n">
        <v>-0.09</v>
      </c>
      <c r="J440" s="8" t="n">
        <v>11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NYM</t>
        </is>
      </c>
      <c r="C441" s="5" t="inlineStr">
        <is>
          <t>69315011610</t>
        </is>
      </c>
      <c r="D441" s="5" t="inlineStr">
        <is>
          <t xml:space="preserve">FUROSEMIDE 20MG TAB </t>
        </is>
      </c>
      <c r="E441" s="6" t="inlineStr">
        <is>
          <t>1000.0</t>
        </is>
      </c>
      <c r="F441" s="7" t="n">
        <v>30</v>
      </c>
      <c r="G441" s="7" t="n">
        <v>0.03</v>
      </c>
      <c r="H441" s="7" t="n">
        <v>0</v>
      </c>
      <c r="I441" s="7" t="n">
        <v>-0.03</v>
      </c>
      <c r="J441" s="8" t="n">
        <v>11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NYM</t>
        </is>
      </c>
      <c r="C442" s="5" t="inlineStr">
        <is>
          <t>68180051202</t>
        </is>
      </c>
      <c r="D442" s="5" t="inlineStr">
        <is>
          <t>LISINOPRIL 2.5MG TABLET</t>
        </is>
      </c>
      <c r="E442" s="6" t="inlineStr">
        <is>
          <t>500.0</t>
        </is>
      </c>
      <c r="F442" s="7" t="n">
        <v>90</v>
      </c>
      <c r="G442" s="7" t="n">
        <v>0.18</v>
      </c>
      <c r="H442" s="7" t="n">
        <v>0</v>
      </c>
      <c r="I442" s="7" t="n">
        <v>-0.18</v>
      </c>
      <c r="J442" s="8" t="n">
        <v>11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NYM</t>
        </is>
      </c>
      <c r="C443" s="5" t="inlineStr">
        <is>
          <t>69097015912</t>
        </is>
      </c>
      <c r="D443" s="5" t="inlineStr">
        <is>
          <t xml:space="preserve">MELOXICAM 15MG TAB </t>
        </is>
      </c>
      <c r="E443" s="6" t="inlineStr">
        <is>
          <t>500.0</t>
        </is>
      </c>
      <c r="F443" s="7" t="n">
        <v>30</v>
      </c>
      <c r="G443" s="7" t="n">
        <v>0.06</v>
      </c>
      <c r="H443" s="7" t="n">
        <v>0</v>
      </c>
      <c r="I443" s="7" t="n">
        <v>-0.06</v>
      </c>
      <c r="J443" s="8" t="n">
        <v>11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NYM</t>
        </is>
      </c>
      <c r="C444" s="5" t="inlineStr">
        <is>
          <t>57664050318</t>
        </is>
      </c>
      <c r="D444" s="5" t="inlineStr">
        <is>
          <t>TIZANIDINE 4MG TABLET</t>
        </is>
      </c>
      <c r="E444" s="6" t="inlineStr">
        <is>
          <t>1000.0</t>
        </is>
      </c>
      <c r="F444" s="7" t="n">
        <v>30</v>
      </c>
      <c r="G444" s="7" t="n">
        <v>0.03</v>
      </c>
      <c r="H444" s="7" t="n">
        <v>0</v>
      </c>
      <c r="I444" s="7" t="n">
        <v>-0.03</v>
      </c>
      <c r="J444" s="8" t="n">
        <v>11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NYM</t>
        </is>
      </c>
      <c r="C445" s="5" t="inlineStr">
        <is>
          <t>00378013710</t>
        </is>
      </c>
      <c r="D445" s="5" t="inlineStr">
        <is>
          <t>ALLOPURINOL 100 MG TABLET</t>
        </is>
      </c>
      <c r="E445" s="6" t="inlineStr">
        <is>
          <t>1000.0</t>
        </is>
      </c>
      <c r="F445" s="7" t="n">
        <v>30</v>
      </c>
      <c r="G445" s="7" t="n">
        <v>0.03</v>
      </c>
      <c r="H445" s="7" t="n">
        <v>0</v>
      </c>
      <c r="I445" s="7" t="n">
        <v>-0.03</v>
      </c>
      <c r="J445" s="8" t="n">
        <v>11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NYM</t>
        </is>
      </c>
      <c r="C446" s="5" t="inlineStr">
        <is>
          <t>23155002405</t>
        </is>
      </c>
      <c r="D446" s="5" t="inlineStr">
        <is>
          <t>BUSPIRONE 10MG TABLET</t>
        </is>
      </c>
      <c r="E446" s="6" t="inlineStr">
        <is>
          <t>500.0</t>
        </is>
      </c>
      <c r="F446" s="7" t="n">
        <v>30</v>
      </c>
      <c r="G446" s="7" t="n">
        <v>0.06</v>
      </c>
      <c r="H446" s="7" t="n">
        <v>0</v>
      </c>
      <c r="I446" s="7" t="n">
        <v>-0.06</v>
      </c>
      <c r="J446" s="8" t="n">
        <v>11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NYM</t>
        </is>
      </c>
      <c r="C447" s="5" t="inlineStr">
        <is>
          <t>68180051303</t>
        </is>
      </c>
      <c r="D447" s="5" t="inlineStr">
        <is>
          <t>LISINOPRIL 5MG TABLET</t>
        </is>
      </c>
      <c r="E447" s="6" t="inlineStr">
        <is>
          <t>1000.0</t>
        </is>
      </c>
      <c r="F447" s="7" t="n">
        <v>90</v>
      </c>
      <c r="G447" s="7" t="n">
        <v>0.09</v>
      </c>
      <c r="H447" s="7" t="n">
        <v>0</v>
      </c>
      <c r="I447" s="7" t="n">
        <v>-0.09</v>
      </c>
      <c r="J447" s="8" t="n">
        <v>11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NYM</t>
        </is>
      </c>
      <c r="C448" s="5" t="inlineStr">
        <is>
          <t>53746010901</t>
        </is>
      </c>
      <c r="D448" s="5" t="inlineStr">
        <is>
          <t>HYDROCODONE-ACETAMINOPHEN 5-325 MG ORAL TABLET</t>
        </is>
      </c>
      <c r="E448" s="6" t="inlineStr">
        <is>
          <t>100.0</t>
        </is>
      </c>
      <c r="F448" s="7" t="n">
        <v>32</v>
      </c>
      <c r="G448" s="7" t="n">
        <v>0.32</v>
      </c>
      <c r="H448" s="7" t="n">
        <v>0</v>
      </c>
      <c r="I448" s="7" t="n">
        <v>-0.32</v>
      </c>
      <c r="J448" s="8" t="n">
        <v>11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NYM</t>
        </is>
      </c>
      <c r="C449" s="5" t="inlineStr">
        <is>
          <t>00904530780</t>
        </is>
      </c>
      <c r="D449" s="5" t="inlineStr">
        <is>
          <t>BANOPHEN 50MG CAPSULE</t>
        </is>
      </c>
      <c r="E449" s="6" t="inlineStr">
        <is>
          <t>1000.0</t>
        </is>
      </c>
      <c r="F449" s="7" t="n">
        <v>30</v>
      </c>
      <c r="G449" s="7" t="n">
        <v>0.03</v>
      </c>
      <c r="H449" s="7" t="n">
        <v>0</v>
      </c>
      <c r="I449" s="7" t="n">
        <v>-0.03</v>
      </c>
      <c r="J449" s="8" t="n">
        <v>11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NYM</t>
        </is>
      </c>
      <c r="C450" s="5" t="inlineStr">
        <is>
          <t>68180086111</t>
        </is>
      </c>
      <c r="D450" s="5" t="inlineStr">
        <is>
          <t>AZITHROMYCIN 250 MG TABLET</t>
        </is>
      </c>
      <c r="E450" s="6" t="inlineStr">
        <is>
          <t>6.0</t>
        </is>
      </c>
      <c r="F450" s="7" t="n">
        <v>4</v>
      </c>
      <c r="G450" s="7" t="n">
        <v>0.6666666666666666</v>
      </c>
      <c r="H450" s="7" t="n">
        <v>12</v>
      </c>
      <c r="I450" s="7" t="n">
        <v>11.33333333333333</v>
      </c>
      <c r="J450" s="8" t="n">
        <v>11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NYM</t>
        </is>
      </c>
      <c r="C451" s="5" t="inlineStr">
        <is>
          <t>69097015815</t>
        </is>
      </c>
      <c r="D451" s="5" t="inlineStr">
        <is>
          <t xml:space="preserve">MELOXICAM 7.5MG TAB </t>
        </is>
      </c>
      <c r="E451" s="6" t="inlineStr">
        <is>
          <t>1000.0</t>
        </is>
      </c>
      <c r="F451" s="7" t="n">
        <v>30</v>
      </c>
      <c r="G451" s="7" t="n">
        <v>0.03</v>
      </c>
      <c r="H451" s="7" t="n">
        <v>0</v>
      </c>
      <c r="I451" s="7" t="n">
        <v>-0.03</v>
      </c>
      <c r="J451" s="8" t="n">
        <v>10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NYM</t>
        </is>
      </c>
      <c r="C452" s="5" t="inlineStr">
        <is>
          <t>45802035758</t>
        </is>
      </c>
      <c r="D452" s="5" t="inlineStr">
        <is>
          <t>SALINE MIST SPRAY 0.65 % NASAL SOLUTION *NYM</t>
        </is>
      </c>
      <c r="E452" s="6" t="inlineStr">
        <is>
          <t>45.0</t>
        </is>
      </c>
      <c r="F452" s="7" t="n">
        <v>270</v>
      </c>
      <c r="G452" s="7" t="n">
        <v>6</v>
      </c>
      <c r="H452" s="7" t="n">
        <v>0</v>
      </c>
      <c r="I452" s="7" t="n">
        <v>-6</v>
      </c>
      <c r="J452" s="8" t="n">
        <v>10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NYM</t>
        </is>
      </c>
      <c r="C453" s="5" t="inlineStr">
        <is>
          <t>00603020922</t>
        </is>
      </c>
      <c r="D453" s="5" t="inlineStr">
        <is>
          <t>MAGNESIUM OXIDE 400MG TABLET</t>
        </is>
      </c>
      <c r="E453" s="6" t="inlineStr">
        <is>
          <t>120.0</t>
        </is>
      </c>
      <c r="F453" s="7" t="n">
        <v>30</v>
      </c>
      <c r="G453" s="7" t="n">
        <v>0.25</v>
      </c>
      <c r="H453" s="7" t="n">
        <v>0</v>
      </c>
      <c r="I453" s="7" t="n">
        <v>-0.25</v>
      </c>
      <c r="J453" s="8" t="n">
        <v>10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NYM</t>
        </is>
      </c>
      <c r="C454" s="5" t="inlineStr">
        <is>
          <t>70954000530</t>
        </is>
      </c>
      <c r="D454" s="5" t="inlineStr">
        <is>
          <t>OXYBUTYNIN CHLORIDE 5MG TABLET</t>
        </is>
      </c>
      <c r="E454" s="6" t="inlineStr">
        <is>
          <t>1000.0</t>
        </is>
      </c>
      <c r="F454" s="7" t="n">
        <v>30</v>
      </c>
      <c r="G454" s="7" t="n">
        <v>0.03</v>
      </c>
      <c r="H454" s="7" t="n">
        <v>0</v>
      </c>
      <c r="I454" s="7" t="n">
        <v>-0.03</v>
      </c>
      <c r="J454" s="8" t="n">
        <v>10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NYM</t>
        </is>
      </c>
      <c r="C455" s="5" t="inlineStr">
        <is>
          <t>00904539561</t>
        </is>
      </c>
      <c r="D455" s="5" t="inlineStr">
        <is>
          <t>FERREX 150 150 MG ORAL CAPSULE</t>
        </is>
      </c>
      <c r="E455" s="6" t="inlineStr">
        <is>
          <t>100.0</t>
        </is>
      </c>
      <c r="F455" s="7" t="n">
        <v>90</v>
      </c>
      <c r="G455" s="7" t="n">
        <v>0.9</v>
      </c>
      <c r="H455" s="7" t="n">
        <v>2</v>
      </c>
      <c r="I455" s="7" t="n">
        <v>1.1</v>
      </c>
      <c r="J455" s="8" t="n">
        <v>10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NYM</t>
        </is>
      </c>
      <c r="C456" s="5" t="inlineStr">
        <is>
          <t>00904546052</t>
        </is>
      </c>
      <c r="D456" s="5" t="inlineStr">
        <is>
          <t>CALCIUM W/D 500-5 MG-MCG ORAL TABLET</t>
        </is>
      </c>
      <c r="E456" s="6" t="inlineStr">
        <is>
          <t>60.0</t>
        </is>
      </c>
      <c r="F456" s="7" t="n">
        <v>360</v>
      </c>
      <c r="G456" s="7" t="n">
        <v>6</v>
      </c>
      <c r="H456" s="7" t="n">
        <v>0</v>
      </c>
      <c r="I456" s="7" t="n">
        <v>-6</v>
      </c>
      <c r="J456" s="8" t="n">
        <v>9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NYM</t>
        </is>
      </c>
      <c r="C457" s="5" t="inlineStr">
        <is>
          <t>80681000500</t>
        </is>
      </c>
      <c r="D457" s="5" t="inlineStr">
        <is>
          <t>CALCIUM 600MG TABLET</t>
        </is>
      </c>
      <c r="E457" s="6" t="inlineStr">
        <is>
          <t>60.0</t>
        </is>
      </c>
      <c r="F457" s="7" t="n">
        <v>120</v>
      </c>
      <c r="G457" s="7" t="n">
        <v>2</v>
      </c>
      <c r="H457" s="7" t="n">
        <v>0</v>
      </c>
      <c r="I457" s="7" t="n">
        <v>-2</v>
      </c>
      <c r="J457" s="8" t="n">
        <v>7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NYM</t>
        </is>
      </c>
      <c r="C458" s="5" t="inlineStr">
        <is>
          <t>80681016800</t>
        </is>
      </c>
      <c r="D458" s="5" t="inlineStr">
        <is>
          <t>VITAMIN D3 25MCG (1000 UT) TABLET *NYM</t>
        </is>
      </c>
      <c r="E458" s="6" t="inlineStr">
        <is>
          <t>90.0</t>
        </is>
      </c>
      <c r="F458" s="7" t="n">
        <v>840</v>
      </c>
      <c r="G458" s="7" t="n">
        <v>9.333333333333334</v>
      </c>
      <c r="H458" s="7" t="n">
        <v>0</v>
      </c>
      <c r="I458" s="7" t="n">
        <v>-9.333333333333334</v>
      </c>
      <c r="J458" s="8" t="n">
        <v>6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NYM</t>
        </is>
      </c>
      <c r="C459" s="5" t="inlineStr">
        <is>
          <t>10006073038</t>
        </is>
      </c>
      <c r="D459" s="5" t="inlineStr">
        <is>
          <t>MAGNESIUM OXIDE 400MG TABLET</t>
        </is>
      </c>
      <c r="E459" s="6" t="inlineStr">
        <is>
          <t>120.0</t>
        </is>
      </c>
      <c r="F459" s="7" t="n">
        <v>540</v>
      </c>
      <c r="G459" s="7" t="n">
        <v>4.5</v>
      </c>
      <c r="H459" s="7" t="n">
        <v>5</v>
      </c>
      <c r="I459" s="7" t="n">
        <v>0.5</v>
      </c>
      <c r="J459" s="8" t="n">
        <v>6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NYM</t>
        </is>
      </c>
      <c r="C460" s="5" t="inlineStr">
        <is>
          <t>70074080240</t>
        </is>
      </c>
      <c r="D460" s="5" t="inlineStr">
        <is>
          <t>PEDIALYTE ORAL SOLUTION</t>
        </is>
      </c>
      <c r="E460" s="6" t="inlineStr">
        <is>
          <t>1000.0</t>
        </is>
      </c>
      <c r="F460" s="7" t="n">
        <v>1000</v>
      </c>
      <c r="G460" s="7" t="n">
        <v>1</v>
      </c>
      <c r="H460" s="7" t="n">
        <v>3</v>
      </c>
      <c r="I460" s="7" t="n">
        <v>2</v>
      </c>
      <c r="J460" s="8" t="n">
        <v>6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NYM</t>
        </is>
      </c>
      <c r="C461" s="5" t="inlineStr">
        <is>
          <t>00536408501</t>
        </is>
      </c>
      <c r="D461" s="5" t="inlineStr">
        <is>
          <t>PRENATAL VITAMINS 28-0.8 MG TABLET</t>
        </is>
      </c>
      <c r="E461" s="6" t="inlineStr">
        <is>
          <t>100.0</t>
        </is>
      </c>
      <c r="F461" s="7" t="n">
        <v>150</v>
      </c>
      <c r="G461" s="7" t="n">
        <v>1.5</v>
      </c>
      <c r="H461" s="7" t="n">
        <v>0</v>
      </c>
      <c r="I461" s="7" t="n">
        <v>-1.5</v>
      </c>
      <c r="J461" s="8" t="n">
        <v>5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NYM</t>
        </is>
      </c>
      <c r="C462" s="5" t="inlineStr">
        <is>
          <t>00904052360</t>
        </is>
      </c>
      <c r="D462" s="5" t="inlineStr">
        <is>
          <t>VITAMIN C 500MG TABLET</t>
        </is>
      </c>
      <c r="E462" s="6" t="inlineStr">
        <is>
          <t>100.0</t>
        </is>
      </c>
      <c r="F462" s="7" t="n">
        <v>285</v>
      </c>
      <c r="G462" s="7" t="n">
        <v>2.85</v>
      </c>
      <c r="H462" s="7" t="n">
        <v>0</v>
      </c>
      <c r="I462" s="7" t="n">
        <v>-2.85</v>
      </c>
      <c r="J462" s="8" t="n">
        <v>5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NYM</t>
        </is>
      </c>
      <c r="C463" s="5" t="inlineStr">
        <is>
          <t>98302014071</t>
        </is>
      </c>
      <c r="D463" s="5" t="inlineStr">
        <is>
          <t>LANCETS CHOICE [CVS]</t>
        </is>
      </c>
      <c r="E463" s="6" t="inlineStr">
        <is>
          <t>100.0</t>
        </is>
      </c>
      <c r="F463" s="7" t="n">
        <v>100</v>
      </c>
      <c r="G463" s="7" t="n">
        <v>1</v>
      </c>
      <c r="H463" s="7" t="n">
        <v>0</v>
      </c>
      <c r="I463" s="7" t="n">
        <v>-1</v>
      </c>
      <c r="J463" s="8" t="n">
        <v>5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NYM</t>
        </is>
      </c>
      <c r="C464" s="5" t="inlineStr">
        <is>
          <t>60258016101</t>
        </is>
      </c>
      <c r="D464" s="5" t="inlineStr">
        <is>
          <t>RENA-VITE RX 1MG TABLET</t>
        </is>
      </c>
      <c r="E464" s="6" t="inlineStr">
        <is>
          <t>100.0</t>
        </is>
      </c>
      <c r="F464" s="7" t="n">
        <v>30</v>
      </c>
      <c r="G464" s="7" t="n">
        <v>0.3</v>
      </c>
      <c r="H464" s="7" t="n">
        <v>1</v>
      </c>
      <c r="I464" s="7" t="n">
        <v>0.7</v>
      </c>
      <c r="J464" s="8" t="n">
        <v>5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NYM</t>
        </is>
      </c>
      <c r="C465" s="5" t="inlineStr">
        <is>
          <t>80681009800</t>
        </is>
      </c>
      <c r="D465" s="5" t="inlineStr">
        <is>
          <t>VITAMIN B-1 100MG TABLET</t>
        </is>
      </c>
      <c r="E465" s="6" t="inlineStr">
        <is>
          <t>100.0</t>
        </is>
      </c>
      <c r="F465" s="7" t="n">
        <v>150</v>
      </c>
      <c r="G465" s="7" t="n">
        <v>1.5</v>
      </c>
      <c r="H465" s="7" t="n">
        <v>0</v>
      </c>
      <c r="I465" s="7" t="n">
        <v>-1.5</v>
      </c>
      <c r="J465" s="8" t="n">
        <v>4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NYM</t>
        </is>
      </c>
      <c r="C466" s="5" t="inlineStr">
        <is>
          <t>08222440006</t>
        </is>
      </c>
      <c r="D466" s="5" t="inlineStr">
        <is>
          <t>ALCOHOL PADS ULTICARE</t>
        </is>
      </c>
      <c r="E466" s="6" t="inlineStr">
        <is>
          <t>100.0</t>
        </is>
      </c>
      <c r="F466" s="7" t="n">
        <v>300</v>
      </c>
      <c r="G466" s="7" t="n">
        <v>3</v>
      </c>
      <c r="H466" s="7" t="n">
        <v>0</v>
      </c>
      <c r="I466" s="7" t="n">
        <v>-3</v>
      </c>
      <c r="J466" s="8" t="n">
        <v>4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NYM</t>
        </is>
      </c>
      <c r="C467" s="5" t="inlineStr">
        <is>
          <t>80681004900</t>
        </is>
      </c>
      <c r="D467" s="5" t="inlineStr">
        <is>
          <t>MULTIVITAMIN CHILDRENS TABLET CHEWABLE</t>
        </is>
      </c>
      <c r="E467" s="6" t="inlineStr">
        <is>
          <t>100.0</t>
        </is>
      </c>
      <c r="F467" s="7" t="n">
        <v>118</v>
      </c>
      <c r="G467" s="7" t="n">
        <v>1.18</v>
      </c>
      <c r="H467" s="7" t="n">
        <v>0</v>
      </c>
      <c r="I467" s="7" t="n">
        <v>-1.18</v>
      </c>
      <c r="J467" s="8" t="n">
        <v>2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NYM</t>
        </is>
      </c>
      <c r="C468" s="5" t="inlineStr">
        <is>
          <t>80681016600</t>
        </is>
      </c>
      <c r="D468" s="5" t="inlineStr">
        <is>
          <t>VITAMIN C 1000MG TABLET</t>
        </is>
      </c>
      <c r="E468" s="6" t="inlineStr">
        <is>
          <t>100.0</t>
        </is>
      </c>
      <c r="F468" s="7" t="n">
        <v>60</v>
      </c>
      <c r="G468" s="7" t="n">
        <v>0.6</v>
      </c>
      <c r="H468" s="7" t="n">
        <v>0</v>
      </c>
      <c r="I468" s="7" t="n">
        <v>-0.6</v>
      </c>
      <c r="J468" s="8" t="n">
        <v>2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NYM</t>
        </is>
      </c>
      <c r="C469" s="5" t="inlineStr">
        <is>
          <t>10006073016</t>
        </is>
      </c>
      <c r="D469" s="5" t="inlineStr">
        <is>
          <t>VITAMIN B-6 50MG TABLET</t>
        </is>
      </c>
      <c r="E469" s="6" t="inlineStr">
        <is>
          <t>1000.0</t>
        </is>
      </c>
      <c r="F469" s="7" t="n">
        <v>120</v>
      </c>
      <c r="G469" s="7" t="n">
        <v>0.12</v>
      </c>
      <c r="H469" s="7" t="n">
        <v>0</v>
      </c>
      <c r="I469" s="7" t="n">
        <v>-0.12</v>
      </c>
      <c r="J469" s="8" t="n">
        <v>2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NYM</t>
        </is>
      </c>
      <c r="C470" s="5" t="inlineStr">
        <is>
          <t>00904546072</t>
        </is>
      </c>
      <c r="D470" s="5" t="inlineStr">
        <is>
          <t>OYSTER SHELL CALCIUM W/D 500-5 MG-MCG ORAL TABLET</t>
        </is>
      </c>
      <c r="E470" s="6" t="inlineStr">
        <is>
          <t>300.0</t>
        </is>
      </c>
      <c r="F470" s="7" t="n">
        <v>100</v>
      </c>
      <c r="G470" s="7" t="n">
        <v>0.3333333333333333</v>
      </c>
      <c r="H470" s="7" t="n">
        <v>0</v>
      </c>
      <c r="I470" s="7" t="n">
        <v>-0.3333333333333333</v>
      </c>
      <c r="J470" s="8" t="n">
        <v>2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NYM</t>
        </is>
      </c>
      <c r="C471" s="5" t="inlineStr">
        <is>
          <t>00536137801</t>
        </is>
      </c>
      <c r="D471" s="5" t="inlineStr">
        <is>
          <t>VITAMIN B COMPLEX CAPSULE</t>
        </is>
      </c>
      <c r="E471" s="6" t="inlineStr">
        <is>
          <t>100.0</t>
        </is>
      </c>
      <c r="F471" s="7" t="n">
        <v>30</v>
      </c>
      <c r="G471" s="7" t="n">
        <v>0.3</v>
      </c>
      <c r="H471" s="7" t="n">
        <v>0</v>
      </c>
      <c r="I471" s="7" t="n">
        <v>-0.3</v>
      </c>
      <c r="J471" s="8" t="n">
        <v>2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NYM</t>
        </is>
      </c>
      <c r="C472" s="5" t="inlineStr">
        <is>
          <t>80681002000</t>
        </is>
      </c>
      <c r="D472" s="5" t="inlineStr">
        <is>
          <t>MULTI-VITAMIN TABLET</t>
        </is>
      </c>
      <c r="E472" s="6" t="inlineStr">
        <is>
          <t>1000.0</t>
        </is>
      </c>
      <c r="F472" s="7" t="n">
        <v>60</v>
      </c>
      <c r="G472" s="7" t="n">
        <v>0.06</v>
      </c>
      <c r="H472" s="7" t="n">
        <v>0</v>
      </c>
      <c r="I472" s="7" t="n">
        <v>-0.06</v>
      </c>
      <c r="J472" s="8" t="n">
        <v>1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NYM</t>
        </is>
      </c>
      <c r="C473" s="5" t="inlineStr">
        <is>
          <t>91237000128</t>
        </is>
      </c>
      <c r="D473" s="5" t="inlineStr">
        <is>
          <t xml:space="preserve">ALCOHOL PADS EASY COMFORT  ALPINE </t>
        </is>
      </c>
      <c r="E473" s="6" t="inlineStr">
        <is>
          <t>100.0</t>
        </is>
      </c>
      <c r="F473" s="7" t="n">
        <v>100</v>
      </c>
      <c r="G473" s="7" t="n">
        <v>1</v>
      </c>
      <c r="H473" s="7" t="n">
        <v>0</v>
      </c>
      <c r="I473" s="7" t="n">
        <v>-1</v>
      </c>
      <c r="J473" s="8" t="n">
        <v>1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NYM</t>
        </is>
      </c>
      <c r="C474" s="5" t="inlineStr">
        <is>
          <t>80681009900</t>
        </is>
      </c>
      <c r="D474" s="5" t="inlineStr">
        <is>
          <t>FOLIC ACID 400 MCG ORAL TABLET</t>
        </is>
      </c>
      <c r="E474" s="6" t="inlineStr">
        <is>
          <t>100.0</t>
        </is>
      </c>
      <c r="F474" s="7" t="n">
        <v>90</v>
      </c>
      <c r="G474" s="7" t="n">
        <v>0.9</v>
      </c>
      <c r="H474" s="7" t="n">
        <v>0</v>
      </c>
      <c r="I474" s="7" t="n">
        <v>-0.9</v>
      </c>
      <c r="J474" s="8" t="n">
        <v>1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NYM</t>
        </is>
      </c>
      <c r="C475" s="5" t="inlineStr">
        <is>
          <t>00536440601</t>
        </is>
      </c>
      <c r="D475" s="5" t="inlineStr">
        <is>
          <t>VITAMIN B-6 25 MG TABLET</t>
        </is>
      </c>
      <c r="E475" s="6" t="inlineStr">
        <is>
          <t>100.0</t>
        </is>
      </c>
      <c r="F475" s="7" t="n">
        <v>60</v>
      </c>
      <c r="G475" s="7" t="n">
        <v>0.6</v>
      </c>
      <c r="H475" s="7" t="n">
        <v>0</v>
      </c>
      <c r="I475" s="7" t="n">
        <v>-0.6</v>
      </c>
      <c r="J475" s="8" t="n">
        <v>1</v>
      </c>
      <c r="K475" s="9">
        <f>IFERROR(IF((ROUND((J475/G475)*I475,1))&lt;0,(ROUND((J475/G475)*I475,1)),0),0)</f>
        <v/>
      </c>
    </row>
    <row r="476">
      <c r="E476" s="10" t="inlineStr">
        <is>
          <t>TOTAL</t>
        </is>
      </c>
      <c r="F476" s="11">
        <f>SUM(F4:F475)</f>
        <v/>
      </c>
      <c r="G476" s="11">
        <f>SUM(G4:G475)</f>
        <v/>
      </c>
      <c r="H476" s="11">
        <f>SUM(H4:H475)</f>
        <v/>
      </c>
      <c r="I476" s="11">
        <f>SUM(I4:I475)</f>
        <v/>
      </c>
      <c r="J476" s="12">
        <f>SUM(J4:J475)</f>
        <v/>
      </c>
      <c r="K476" s="13">
        <f>SUM(K4:K475)</f>
        <v/>
      </c>
    </row>
    <row r="477">
      <c r="J477" s="14" t="inlineStr">
        <is>
          <t>Audited Drugs Count</t>
        </is>
      </c>
      <c r="K477" s="15">
        <f>COUNTIF(K4:K475,"&lt;0")</f>
        <v/>
      </c>
    </row>
    <row r="478">
      <c r="J478" s="14" t="inlineStr">
        <is>
          <t>Total Audit Exposure</t>
        </is>
      </c>
      <c r="K478" s="16">
        <f>SUMIF(K4:K475,"&lt;0",K4:K475)</f>
        <v/>
      </c>
    </row>
  </sheetData>
  <autoFilter ref="A3:K475"/>
  <mergeCells count="2">
    <mergeCell ref="A2:K2"/>
    <mergeCell ref="A1:K1"/>
  </mergeCells>
  <conditionalFormatting sqref="E4:K47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7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trial4 — Feb 2026 - Feb 2026 — OPTUM</t>
        </is>
      </c>
    </row>
    <row r="2" ht="24" customHeight="1">
      <c r="A2" s="2" t="inlineStr">
        <is>
          <t>Overall OPTUM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OPTUM</t>
        </is>
      </c>
      <c r="G3" s="3" t="inlineStr">
        <is>
          <t>Packages Billed to OPTUM</t>
        </is>
      </c>
      <c r="H3" s="3" t="inlineStr">
        <is>
          <t>Total Qty Purchased</t>
        </is>
      </c>
      <c r="I3" s="3" t="inlineStr">
        <is>
          <t>Qty Difference for OPTUM</t>
        </is>
      </c>
      <c r="J3" s="3" t="inlineStr">
        <is>
          <t>Actual $ Paid by OPTUM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OPTUM</t>
        </is>
      </c>
      <c r="C4" s="5" t="inlineStr">
        <is>
          <t>00310461612</t>
        </is>
      </c>
      <c r="D4" s="5" t="inlineStr">
        <is>
          <t>BREZTRI AEROSPHERE 160-9-4.8 MCG/ACT INHALATION AEROSOL</t>
        </is>
      </c>
      <c r="E4" s="6" t="inlineStr">
        <is>
          <t>10.7</t>
        </is>
      </c>
      <c r="F4" s="7" t="n">
        <v>32.1</v>
      </c>
      <c r="G4" s="7" t="n">
        <v>3</v>
      </c>
      <c r="H4" s="7" t="n">
        <v>7</v>
      </c>
      <c r="I4" s="7" t="n">
        <v>4</v>
      </c>
      <c r="J4" s="8" t="n">
        <v>2058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OPTUM</t>
        </is>
      </c>
      <c r="C5" s="5" t="inlineStr">
        <is>
          <t>00187540008</t>
        </is>
      </c>
      <c r="D5" s="5" t="inlineStr">
        <is>
          <t>JUBLIA 10 % EXTERNAL SOLUTION</t>
        </is>
      </c>
      <c r="E5" s="6" t="inlineStr">
        <is>
          <t>8.0</t>
        </is>
      </c>
      <c r="F5" s="7" t="n">
        <v>8</v>
      </c>
      <c r="G5" s="7" t="n">
        <v>1</v>
      </c>
      <c r="H5" s="7" t="n">
        <v>2</v>
      </c>
      <c r="I5" s="7" t="n">
        <v>1</v>
      </c>
      <c r="J5" s="8" t="n">
        <v>1639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OPTUM</t>
        </is>
      </c>
      <c r="C6" s="5" t="inlineStr">
        <is>
          <t>00002150680</t>
        </is>
      </c>
      <c r="D6" s="5" t="inlineStr">
        <is>
          <t>MOUNJARO 2.5 MG/0.5ML PEN-INJECTOR</t>
        </is>
      </c>
      <c r="E6" s="6" t="inlineStr">
        <is>
          <t>2.0</t>
        </is>
      </c>
      <c r="F6" s="7" t="n">
        <v>2</v>
      </c>
      <c r="G6" s="7" t="n">
        <v>1</v>
      </c>
      <c r="H6" s="7" t="n">
        <v>3</v>
      </c>
      <c r="I6" s="7" t="n">
        <v>2</v>
      </c>
      <c r="J6" s="8" t="n">
        <v>1115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OPTUM</t>
        </is>
      </c>
      <c r="C7" s="5" t="inlineStr">
        <is>
          <t>00002247180</t>
        </is>
      </c>
      <c r="D7" s="5" t="inlineStr">
        <is>
          <t>ZEPBOUND 10 MG/0.5ML AUTO-INJECTOR</t>
        </is>
      </c>
      <c r="E7" s="6" t="inlineStr">
        <is>
          <t>2.0</t>
        </is>
      </c>
      <c r="F7" s="7" t="n">
        <v>2</v>
      </c>
      <c r="G7" s="7" t="n">
        <v>1</v>
      </c>
      <c r="H7" s="7" t="n">
        <v>2</v>
      </c>
      <c r="I7" s="7" t="n">
        <v>1</v>
      </c>
      <c r="J7" s="8" t="n">
        <v>1025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OPTUM</t>
        </is>
      </c>
      <c r="C8" s="5" t="inlineStr">
        <is>
          <t>00023916360</t>
        </is>
      </c>
      <c r="D8" s="5" t="inlineStr">
        <is>
          <t xml:space="preserve">RESTASIS 0.05% EMULSION </t>
        </is>
      </c>
      <c r="E8" s="6" t="inlineStr">
        <is>
          <t>60.0</t>
        </is>
      </c>
      <c r="F8" s="7" t="n">
        <v>120</v>
      </c>
      <c r="G8" s="7" t="n">
        <v>2</v>
      </c>
      <c r="H8" s="7" t="n">
        <v>32</v>
      </c>
      <c r="I8" s="7" t="n">
        <v>30</v>
      </c>
      <c r="J8" s="8" t="n">
        <v>1018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OPTUM</t>
        </is>
      </c>
      <c r="C9" s="5" t="inlineStr">
        <is>
          <t>00002246080</t>
        </is>
      </c>
      <c r="D9" s="5" t="inlineStr">
        <is>
          <t>ZEPBOUND 12.5 MG/0.5ML AUTO-INJECTOR</t>
        </is>
      </c>
      <c r="E9" s="6" t="inlineStr">
        <is>
          <t>2.0</t>
        </is>
      </c>
      <c r="F9" s="7" t="n">
        <v>2</v>
      </c>
      <c r="G9" s="7" t="n">
        <v>1</v>
      </c>
      <c r="H9" s="7" t="n">
        <v>1</v>
      </c>
      <c r="I9" s="7" t="n">
        <v>0</v>
      </c>
      <c r="J9" s="8" t="n">
        <v>960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OPTUM</t>
        </is>
      </c>
      <c r="C10" s="5" t="inlineStr">
        <is>
          <t>81968035101</t>
        </is>
      </c>
      <c r="D10" s="5" t="inlineStr">
        <is>
          <t>SUNOSI 150 MG ORAL TABLET</t>
        </is>
      </c>
      <c r="E10" s="6" t="inlineStr">
        <is>
          <t>30.0</t>
        </is>
      </c>
      <c r="F10" s="7" t="n">
        <v>30</v>
      </c>
      <c r="G10" s="7" t="n">
        <v>1</v>
      </c>
      <c r="H10" s="7" t="n">
        <v>1</v>
      </c>
      <c r="I10" s="7" t="n">
        <v>0</v>
      </c>
      <c r="J10" s="8" t="n">
        <v>847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OPTUM</t>
        </is>
      </c>
      <c r="C11" s="5" t="inlineStr">
        <is>
          <t>72511039302</t>
        </is>
      </c>
      <c r="D11" s="5" t="inlineStr">
        <is>
          <t>REPATHA SURECLICK 140 MG/ML SUBCUTANEOUS SOLUTION AUTO-INJECTOR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0</v>
      </c>
      <c r="I11" s="7" t="n">
        <v>-1</v>
      </c>
      <c r="J11" s="8" t="n">
        <v>528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OPTUM</t>
        </is>
      </c>
      <c r="C12" s="5" t="inlineStr">
        <is>
          <t>08627007701</t>
        </is>
      </c>
      <c r="D12" s="5" t="inlineStr">
        <is>
          <t>DEXCOM G7 SENSOR</t>
        </is>
      </c>
      <c r="E12" s="6" t="inlineStr">
        <is>
          <t>1.0</t>
        </is>
      </c>
      <c r="F12" s="7" t="n">
        <v>3</v>
      </c>
      <c r="G12" s="7" t="n">
        <v>3</v>
      </c>
      <c r="H12" s="7" t="n">
        <v>24</v>
      </c>
      <c r="I12" s="7" t="n">
        <v>21</v>
      </c>
      <c r="J12" s="8" t="n">
        <v>356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OPTUM</t>
        </is>
      </c>
      <c r="C13" s="5" t="inlineStr">
        <is>
          <t>00310621030</t>
        </is>
      </c>
      <c r="D13" s="5" t="inlineStr">
        <is>
          <t>FARXIGA 10MG TABLET</t>
        </is>
      </c>
      <c r="E13" s="6" t="inlineStr">
        <is>
          <t>30.0</t>
        </is>
      </c>
      <c r="F13" s="7" t="n">
        <v>30</v>
      </c>
      <c r="G13" s="7" t="n">
        <v>1</v>
      </c>
      <c r="H13" s="7" t="n">
        <v>13</v>
      </c>
      <c r="I13" s="7" t="n">
        <v>12</v>
      </c>
      <c r="J13" s="8" t="n">
        <v>331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OPTUM</t>
        </is>
      </c>
      <c r="C14" s="5" t="inlineStr">
        <is>
          <t>00193731150</t>
        </is>
      </c>
      <c r="D14" s="5" t="inlineStr">
        <is>
          <t>CONTOUR NEXT TEST  STRIPS</t>
        </is>
      </c>
      <c r="E14" s="6" t="inlineStr">
        <is>
          <t>50.0</t>
        </is>
      </c>
      <c r="F14" s="7" t="n">
        <v>300</v>
      </c>
      <c r="G14" s="7" t="n">
        <v>6</v>
      </c>
      <c r="H14" s="7" t="n">
        <v>0</v>
      </c>
      <c r="I14" s="7" t="n">
        <v>-6</v>
      </c>
      <c r="J14" s="8" t="n">
        <v>327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OPTUM</t>
        </is>
      </c>
      <c r="C15" s="5" t="inlineStr">
        <is>
          <t>00456120130</t>
        </is>
      </c>
      <c r="D15" s="5" t="inlineStr">
        <is>
          <t>LINZESS 145MCG CAPSULE</t>
        </is>
      </c>
      <c r="E15" s="6" t="inlineStr">
        <is>
          <t>30.0</t>
        </is>
      </c>
      <c r="F15" s="7" t="n">
        <v>30</v>
      </c>
      <c r="G15" s="7" t="n">
        <v>1</v>
      </c>
      <c r="H15" s="7" t="n">
        <v>12</v>
      </c>
      <c r="I15" s="7" t="n">
        <v>11</v>
      </c>
      <c r="J15" s="8" t="n">
        <v>279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OPTUM</t>
        </is>
      </c>
      <c r="C16" s="5" t="inlineStr">
        <is>
          <t>00065414727</t>
        </is>
      </c>
      <c r="D16" s="5" t="inlineStr">
        <is>
          <t>SIMBRINZA 1-0.2 % OPHTHALMIC SUSPENSION</t>
        </is>
      </c>
      <c r="E16" s="6" t="inlineStr">
        <is>
          <t>8.0</t>
        </is>
      </c>
      <c r="F16" s="7" t="n">
        <v>8</v>
      </c>
      <c r="G16" s="7" t="n">
        <v>1</v>
      </c>
      <c r="H16" s="7" t="n">
        <v>0</v>
      </c>
      <c r="I16" s="7" t="n">
        <v>-1</v>
      </c>
      <c r="J16" s="8" t="n">
        <v>219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OPTUM</t>
        </is>
      </c>
      <c r="C17" s="5" t="inlineStr">
        <is>
          <t>49884078711</t>
        </is>
      </c>
      <c r="D17" s="5" t="inlineStr">
        <is>
          <t>OLMESARTAN-AMLODIPINE-HCTZ 40-5-12.5 MG ORAL TABLET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0</v>
      </c>
      <c r="I17" s="7" t="n">
        <v>-3</v>
      </c>
      <c r="J17" s="8" t="n">
        <v>181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OPTUM</t>
        </is>
      </c>
      <c r="C18" s="5" t="inlineStr">
        <is>
          <t>64980032802</t>
        </is>
      </c>
      <c r="D18" s="5" t="inlineStr">
        <is>
          <t>BENZOYL PEROXIDE-ERYTHROMYCIN 5-3 % EXTERNAL GEL</t>
        </is>
      </c>
      <c r="E18" s="6" t="inlineStr">
        <is>
          <t>46.6</t>
        </is>
      </c>
      <c r="F18" s="7" t="n">
        <v>46.6</v>
      </c>
      <c r="G18" s="7" t="n">
        <v>1</v>
      </c>
      <c r="H18" s="7" t="n">
        <v>0</v>
      </c>
      <c r="I18" s="7" t="n">
        <v>-1</v>
      </c>
      <c r="J18" s="8" t="n">
        <v>150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OPTUM</t>
        </is>
      </c>
      <c r="C19" s="5" t="inlineStr">
        <is>
          <t>68180096301</t>
        </is>
      </c>
      <c r="D19" s="5" t="inlineStr">
        <is>
          <t>ALBUTEROL SULFATE HFA 108 (90 BASE)MCG/ACT AEROSOL</t>
        </is>
      </c>
      <c r="E19" s="6" t="inlineStr">
        <is>
          <t>8.5</t>
        </is>
      </c>
      <c r="F19" s="7" t="n">
        <v>51</v>
      </c>
      <c r="G19" s="7" t="n">
        <v>6</v>
      </c>
      <c r="H19" s="7" t="n">
        <v>48</v>
      </c>
      <c r="I19" s="7" t="n">
        <v>42</v>
      </c>
      <c r="J19" s="8" t="n">
        <v>138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OPTUM</t>
        </is>
      </c>
      <c r="C20" s="5" t="inlineStr">
        <is>
          <t>59467067901</t>
        </is>
      </c>
      <c r="D20" s="5" t="inlineStr">
        <is>
          <t>KLOXXADO 8 MG/0.1ML NASAL LIQUID</t>
        </is>
      </c>
      <c r="E20" s="6" t="inlineStr">
        <is>
          <t>2.0</t>
        </is>
      </c>
      <c r="F20" s="7" t="n">
        <v>2</v>
      </c>
      <c r="G20" s="7" t="n">
        <v>1</v>
      </c>
      <c r="H20" s="7" t="n">
        <v>3</v>
      </c>
      <c r="I20" s="7" t="n">
        <v>2</v>
      </c>
      <c r="J20" s="8" t="n">
        <v>126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OPTUM</t>
        </is>
      </c>
      <c r="C21" s="5" t="inlineStr">
        <is>
          <t>72205028160</t>
        </is>
      </c>
      <c r="D21" s="5" t="inlineStr">
        <is>
          <t>SACUBITRIL-VALSARTAN 49-51 MG ORAL TABLET</t>
        </is>
      </c>
      <c r="E21" s="6" t="inlineStr">
        <is>
          <t>60.0</t>
        </is>
      </c>
      <c r="F21" s="7" t="n">
        <v>60</v>
      </c>
      <c r="G21" s="7" t="n">
        <v>1</v>
      </c>
      <c r="H21" s="7" t="n">
        <v>6</v>
      </c>
      <c r="I21" s="7" t="n">
        <v>5</v>
      </c>
      <c r="J21" s="8" t="n">
        <v>106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OPTUM</t>
        </is>
      </c>
      <c r="C22" s="5" t="inlineStr">
        <is>
          <t>98302014071</t>
        </is>
      </c>
      <c r="D22" s="5" t="inlineStr">
        <is>
          <t>LANCETS CHOICE [CVS]</t>
        </is>
      </c>
      <c r="E22" s="6" t="inlineStr">
        <is>
          <t>100.0</t>
        </is>
      </c>
      <c r="F22" s="7" t="n">
        <v>200</v>
      </c>
      <c r="G22" s="7" t="n">
        <v>2</v>
      </c>
      <c r="H22" s="7" t="n">
        <v>0</v>
      </c>
      <c r="I22" s="7" t="n">
        <v>-2</v>
      </c>
      <c r="J22" s="8" t="n">
        <v>79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OPTUM</t>
        </is>
      </c>
      <c r="C23" s="5" t="inlineStr">
        <is>
          <t>61314063710</t>
        </is>
      </c>
      <c r="D23" s="5" t="inlineStr">
        <is>
          <t>PREDNISOLONE ACETATE 1% SUSPENSION</t>
        </is>
      </c>
      <c r="E23" s="6" t="inlineStr">
        <is>
          <t>10.0</t>
        </is>
      </c>
      <c r="F23" s="7" t="n">
        <v>10</v>
      </c>
      <c r="G23" s="7" t="n">
        <v>1</v>
      </c>
      <c r="H23" s="7" t="n">
        <v>8</v>
      </c>
      <c r="I23" s="7" t="n">
        <v>7</v>
      </c>
      <c r="J23" s="8" t="n">
        <v>68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OPTUM</t>
        </is>
      </c>
      <c r="C24" s="5" t="inlineStr">
        <is>
          <t>51672138903</t>
        </is>
      </c>
      <c r="D24" s="5" t="inlineStr">
        <is>
          <t>AZELAIC ACID 15 % EXTERNAL GEL</t>
        </is>
      </c>
      <c r="E24" s="6" t="inlineStr">
        <is>
          <t>50.0</t>
        </is>
      </c>
      <c r="F24" s="7" t="n">
        <v>50</v>
      </c>
      <c r="G24" s="7" t="n">
        <v>1</v>
      </c>
      <c r="H24" s="7" t="n">
        <v>1</v>
      </c>
      <c r="I24" s="7" t="n">
        <v>0</v>
      </c>
      <c r="J24" s="8" t="n">
        <v>46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OPTUM</t>
        </is>
      </c>
      <c r="C25" s="5" t="inlineStr">
        <is>
          <t>00406117001</t>
        </is>
      </c>
      <c r="D25" s="5" t="inlineStr">
        <is>
          <t>NALTREXONE 50MG TABLET</t>
        </is>
      </c>
      <c r="E25" s="6" t="inlineStr">
        <is>
          <t>100.0</t>
        </is>
      </c>
      <c r="F25" s="7" t="n">
        <v>30</v>
      </c>
      <c r="G25" s="7" t="n">
        <v>0.3</v>
      </c>
      <c r="H25" s="7" t="n">
        <v>0</v>
      </c>
      <c r="I25" s="7" t="n">
        <v>-0.3</v>
      </c>
      <c r="J25" s="8" t="n">
        <v>45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OPTUM</t>
        </is>
      </c>
      <c r="C26" s="5" t="inlineStr">
        <is>
          <t>24208034425</t>
        </is>
      </c>
      <c r="D26" s="5" t="inlineStr">
        <is>
          <t>FLUNISOLIDE 25 MCG/ACT (0.025%) NASAL SOLUTION</t>
        </is>
      </c>
      <c r="E26" s="6" t="inlineStr">
        <is>
          <t>25.0</t>
        </is>
      </c>
      <c r="F26" s="7" t="n">
        <v>25</v>
      </c>
      <c r="G26" s="7" t="n">
        <v>1</v>
      </c>
      <c r="H26" s="7" t="n">
        <v>1</v>
      </c>
      <c r="I26" s="7" t="n">
        <v>0</v>
      </c>
      <c r="J26" s="8" t="n">
        <v>41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OPTUM</t>
        </is>
      </c>
      <c r="C27" s="5" t="inlineStr">
        <is>
          <t>67877024201</t>
        </is>
      </c>
      <c r="D27" s="5" t="inlineStr">
        <is>
          <t>QUETIAPINE 25MG TABLET</t>
        </is>
      </c>
      <c r="E27" s="6" t="inlineStr">
        <is>
          <t>100.0</t>
        </is>
      </c>
      <c r="F27" s="7" t="n">
        <v>90</v>
      </c>
      <c r="G27" s="7" t="n">
        <v>0.9</v>
      </c>
      <c r="H27" s="7" t="n">
        <v>0</v>
      </c>
      <c r="I27" s="7" t="n">
        <v>-0.9</v>
      </c>
      <c r="J27" s="8" t="n">
        <v>26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OPTUM</t>
        </is>
      </c>
      <c r="C28" s="5" t="inlineStr">
        <is>
          <t>65862056099</t>
        </is>
      </c>
      <c r="D28" s="5" t="inlineStr">
        <is>
          <t xml:space="preserve">PANTOPRAZOLE 40MG TAB </t>
        </is>
      </c>
      <c r="E28" s="6" t="inlineStr">
        <is>
          <t>1000.0</t>
        </is>
      </c>
      <c r="F28" s="7" t="n">
        <v>240</v>
      </c>
      <c r="G28" s="7" t="n">
        <v>0.24</v>
      </c>
      <c r="H28" s="7" t="n">
        <v>2</v>
      </c>
      <c r="I28" s="7" t="n">
        <v>1.76</v>
      </c>
      <c r="J28" s="8" t="n">
        <v>25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OPTUM</t>
        </is>
      </c>
      <c r="C29" s="5" t="inlineStr">
        <is>
          <t>45963067696</t>
        </is>
      </c>
      <c r="D29" s="5" t="inlineStr">
        <is>
          <t>METOPROLOL SUCCINATE 50MG TABLET ER</t>
        </is>
      </c>
      <c r="E29" s="6" t="inlineStr">
        <is>
          <t>1000.0</t>
        </is>
      </c>
      <c r="F29" s="7" t="n">
        <v>270</v>
      </c>
      <c r="G29" s="7" t="n">
        <v>0.27</v>
      </c>
      <c r="H29" s="7" t="n">
        <v>0</v>
      </c>
      <c r="I29" s="7" t="n">
        <v>-0.27</v>
      </c>
      <c r="J29" s="8" t="n">
        <v>25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OPTUM</t>
        </is>
      </c>
      <c r="C30" s="5" t="inlineStr">
        <is>
          <t>21922003601</t>
        </is>
      </c>
      <c r="D30" s="5" t="inlineStr">
        <is>
          <t>CLINDAMYCIN PHOSPHATE 1 % EXTERNAL LOTION</t>
        </is>
      </c>
      <c r="E30" s="6" t="inlineStr">
        <is>
          <t>60.0</t>
        </is>
      </c>
      <c r="F30" s="7" t="n">
        <v>120</v>
      </c>
      <c r="G30" s="7" t="n">
        <v>2</v>
      </c>
      <c r="H30" s="7" t="n">
        <v>3</v>
      </c>
      <c r="I30" s="7" t="n">
        <v>1</v>
      </c>
      <c r="J30" s="8" t="n">
        <v>24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OPTUM</t>
        </is>
      </c>
      <c r="C31" s="5" t="inlineStr">
        <is>
          <t>47781023005</t>
        </is>
      </c>
      <c r="D31" s="5" t="inlineStr">
        <is>
          <t>OXYCODONE-APAP 10-325MG TABLET</t>
        </is>
      </c>
      <c r="E31" s="6" t="inlineStr">
        <is>
          <t>500.0</t>
        </is>
      </c>
      <c r="F31" s="7" t="n">
        <v>90</v>
      </c>
      <c r="G31" s="7" t="n">
        <v>0.18</v>
      </c>
      <c r="H31" s="7" t="n">
        <v>4</v>
      </c>
      <c r="I31" s="7" t="n">
        <v>3.82</v>
      </c>
      <c r="J31" s="8" t="n">
        <v>23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OPTUM</t>
        </is>
      </c>
      <c r="C32" s="5" t="inlineStr">
        <is>
          <t>65162044210</t>
        </is>
      </c>
      <c r="D32" s="5" t="inlineStr">
        <is>
          <t>MECLIZINE 25MG TABLET</t>
        </is>
      </c>
      <c r="E32" s="6" t="inlineStr">
        <is>
          <t>100.0</t>
        </is>
      </c>
      <c r="F32" s="7" t="n">
        <v>90</v>
      </c>
      <c r="G32" s="7" t="n">
        <v>0.9</v>
      </c>
      <c r="H32" s="7" t="n">
        <v>0</v>
      </c>
      <c r="I32" s="7" t="n">
        <v>-0.9</v>
      </c>
      <c r="J32" s="8" t="n">
        <v>20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OPTUM</t>
        </is>
      </c>
      <c r="C33" s="5" t="inlineStr">
        <is>
          <t>16729000517</t>
        </is>
      </c>
      <c r="D33" s="5" t="inlineStr">
        <is>
          <t>SIMVASTATIN 20MG TABLET</t>
        </is>
      </c>
      <c r="E33" s="6" t="inlineStr">
        <is>
          <t>1000.0</t>
        </is>
      </c>
      <c r="F33" s="7" t="n">
        <v>210</v>
      </c>
      <c r="G33" s="7" t="n">
        <v>0.21</v>
      </c>
      <c r="H33" s="7" t="n">
        <v>0</v>
      </c>
      <c r="I33" s="7" t="n">
        <v>-0.21</v>
      </c>
      <c r="J33" s="8" t="n">
        <v>20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OPTUM</t>
        </is>
      </c>
      <c r="C34" s="5" t="inlineStr">
        <is>
          <t>72888007715</t>
        </is>
      </c>
      <c r="D34" s="5" t="inlineStr">
        <is>
          <t>DORZOLAMIDE HCL 2 % OPHTHALMIC SOLUTION</t>
        </is>
      </c>
      <c r="E34" s="6" t="inlineStr">
        <is>
          <t>10.0</t>
        </is>
      </c>
      <c r="F34" s="7" t="n">
        <v>10</v>
      </c>
      <c r="G34" s="7" t="n">
        <v>1</v>
      </c>
      <c r="H34" s="7" t="n">
        <v>0</v>
      </c>
      <c r="I34" s="7" t="n">
        <v>-1</v>
      </c>
      <c r="J34" s="8" t="n">
        <v>19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OPTUM</t>
        </is>
      </c>
      <c r="C35" s="5" t="inlineStr">
        <is>
          <t>59746012110</t>
        </is>
      </c>
      <c r="D35" s="5" t="inlineStr">
        <is>
          <t>MECLIZINE HCL 25MG TABLET</t>
        </is>
      </c>
      <c r="E35" s="6" t="inlineStr">
        <is>
          <t>1000.0</t>
        </is>
      </c>
      <c r="F35" s="7" t="n">
        <v>90</v>
      </c>
      <c r="G35" s="7" t="n">
        <v>0.09</v>
      </c>
      <c r="H35" s="7" t="n">
        <v>0</v>
      </c>
      <c r="I35" s="7" t="n">
        <v>-0.09</v>
      </c>
      <c r="J35" s="8" t="n">
        <v>19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OPTUM</t>
        </is>
      </c>
      <c r="C36" s="5" t="inlineStr">
        <is>
          <t>91237000116</t>
        </is>
      </c>
      <c r="D36" s="5" t="inlineStr">
        <is>
          <t>LANCETS EASY COMFORT</t>
        </is>
      </c>
      <c r="E36" s="6" t="inlineStr">
        <is>
          <t>100.0</t>
        </is>
      </c>
      <c r="F36" s="7" t="n">
        <v>100</v>
      </c>
      <c r="G36" s="7" t="n">
        <v>1</v>
      </c>
      <c r="H36" s="7" t="n">
        <v>0</v>
      </c>
      <c r="I36" s="7" t="n">
        <v>-1</v>
      </c>
      <c r="J36" s="8" t="n">
        <v>15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OPTUM</t>
        </is>
      </c>
      <c r="C37" s="5" t="inlineStr">
        <is>
          <t>08222440006</t>
        </is>
      </c>
      <c r="D37" s="5" t="inlineStr">
        <is>
          <t>ALCOHOL PADS ULTICARE</t>
        </is>
      </c>
      <c r="E37" s="6" t="inlineStr">
        <is>
          <t>100.0</t>
        </is>
      </c>
      <c r="F37" s="7" t="n">
        <v>200</v>
      </c>
      <c r="G37" s="7" t="n">
        <v>2</v>
      </c>
      <c r="H37" s="7" t="n">
        <v>0</v>
      </c>
      <c r="I37" s="7" t="n">
        <v>-2</v>
      </c>
      <c r="J37" s="8" t="n">
        <v>13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OPTUM</t>
        </is>
      </c>
      <c r="C38" s="5" t="inlineStr">
        <is>
          <t>61442010201</t>
        </is>
      </c>
      <c r="D38" s="5" t="inlineStr">
        <is>
          <t xml:space="preserve">DICLOFENAC SOD 50MG TAB DR </t>
        </is>
      </c>
      <c r="E38" s="6" t="inlineStr">
        <is>
          <t>100.0</t>
        </is>
      </c>
      <c r="F38" s="7" t="n">
        <v>60</v>
      </c>
      <c r="G38" s="7" t="n">
        <v>0.6</v>
      </c>
      <c r="H38" s="7" t="n">
        <v>0</v>
      </c>
      <c r="I38" s="7" t="n">
        <v>-0.6</v>
      </c>
      <c r="J38" s="8" t="n">
        <v>13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OPTUM</t>
        </is>
      </c>
      <c r="C39" s="5" t="inlineStr">
        <is>
          <t>72888001400</t>
        </is>
      </c>
      <c r="D39" s="5" t="inlineStr">
        <is>
          <t>CYCLOBENZAPRINE 10MG TABLET</t>
        </is>
      </c>
      <c r="E39" s="6" t="inlineStr">
        <is>
          <t>1000.0</t>
        </is>
      </c>
      <c r="F39" s="7" t="n">
        <v>60</v>
      </c>
      <c r="G39" s="7" t="n">
        <v>0.06</v>
      </c>
      <c r="H39" s="7" t="n">
        <v>0</v>
      </c>
      <c r="I39" s="7" t="n">
        <v>-0.06</v>
      </c>
      <c r="J39" s="8" t="n">
        <v>13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OPTUM</t>
        </is>
      </c>
      <c r="C40" s="5" t="inlineStr">
        <is>
          <t>65862014636</t>
        </is>
      </c>
      <c r="D40" s="5" t="inlineStr">
        <is>
          <t>SUMATRIPTAN SUCCINATE 25 MG ORAL TABLET</t>
        </is>
      </c>
      <c r="E40" s="6" t="inlineStr">
        <is>
          <t>9.0</t>
        </is>
      </c>
      <c r="F40" s="7" t="n">
        <v>12</v>
      </c>
      <c r="G40" s="7" t="n">
        <v>1.333333333333333</v>
      </c>
      <c r="H40" s="7" t="n">
        <v>0</v>
      </c>
      <c r="I40" s="7" t="n">
        <v>-1.333333333333333</v>
      </c>
      <c r="J40" s="8" t="n">
        <v>13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OPTUM</t>
        </is>
      </c>
      <c r="C41" s="5" t="inlineStr">
        <is>
          <t>70954066210</t>
        </is>
      </c>
      <c r="D41" s="5" t="inlineStr">
        <is>
          <t>KETOCONAZOLE 2 % EXTERNAL SHAMPOO</t>
        </is>
      </c>
      <c r="E41" s="6" t="inlineStr">
        <is>
          <t>120.0</t>
        </is>
      </c>
      <c r="F41" s="7" t="n">
        <v>120</v>
      </c>
      <c r="G41" s="7" t="n">
        <v>1</v>
      </c>
      <c r="H41" s="7" t="n">
        <v>6</v>
      </c>
      <c r="I41" s="7" t="n">
        <v>5</v>
      </c>
      <c r="J41" s="8" t="n">
        <v>12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OPTUM</t>
        </is>
      </c>
      <c r="C42" s="5" t="inlineStr">
        <is>
          <t>42192071506</t>
        </is>
      </c>
      <c r="D42" s="5" t="inlineStr">
        <is>
          <t>CICLOPIROX 8 % EXTERNAL SOLUTION</t>
        </is>
      </c>
      <c r="E42" s="6" t="inlineStr">
        <is>
          <t>6.6</t>
        </is>
      </c>
      <c r="F42" s="7" t="n">
        <v>6.6</v>
      </c>
      <c r="G42" s="7" t="n">
        <v>1</v>
      </c>
      <c r="H42" s="7" t="n">
        <v>8</v>
      </c>
      <c r="I42" s="7" t="n">
        <v>7</v>
      </c>
      <c r="J42" s="8" t="n">
        <v>11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OPTUM</t>
        </is>
      </c>
      <c r="C43" s="5" t="inlineStr">
        <is>
          <t>65162003416</t>
        </is>
      </c>
      <c r="D43" s="5" t="inlineStr">
        <is>
          <t>OMEGA-3-ACID ETHYL ESTERS 1 GM ORAL CAPSULE</t>
        </is>
      </c>
      <c r="E43" s="6" t="inlineStr">
        <is>
          <t>120.0</t>
        </is>
      </c>
      <c r="F43" s="7" t="n">
        <v>60</v>
      </c>
      <c r="G43" s="7" t="n">
        <v>0.5</v>
      </c>
      <c r="H43" s="7" t="n">
        <v>0</v>
      </c>
      <c r="I43" s="7" t="n">
        <v>-0.5</v>
      </c>
      <c r="J43" s="8" t="n">
        <v>10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OPTUM</t>
        </is>
      </c>
      <c r="C44" s="5" t="inlineStr">
        <is>
          <t>23155060601</t>
        </is>
      </c>
      <c r="D44" s="5" t="inlineStr">
        <is>
          <t>GLYCOPYRROLATE 1MG TABLET</t>
        </is>
      </c>
      <c r="E44" s="6" t="inlineStr">
        <is>
          <t>100.0</t>
        </is>
      </c>
      <c r="F44" s="7" t="n">
        <v>60</v>
      </c>
      <c r="G44" s="7" t="n">
        <v>0.6</v>
      </c>
      <c r="H44" s="7" t="n">
        <v>0</v>
      </c>
      <c r="I44" s="7" t="n">
        <v>-0.6</v>
      </c>
      <c r="J44" s="8" t="n">
        <v>10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OPTUM</t>
        </is>
      </c>
      <c r="C45" s="5" t="inlineStr">
        <is>
          <t>70756002011</t>
        </is>
      </c>
      <c r="D45" s="5" t="inlineStr">
        <is>
          <t>CHLORTHALIDONE 50 MG TABLET</t>
        </is>
      </c>
      <c r="E45" s="6" t="inlineStr">
        <is>
          <t>100.0</t>
        </is>
      </c>
      <c r="F45" s="7" t="n">
        <v>30</v>
      </c>
      <c r="G45" s="7" t="n">
        <v>0.3</v>
      </c>
      <c r="H45" s="7" t="n">
        <v>0</v>
      </c>
      <c r="I45" s="7" t="n">
        <v>-0.3</v>
      </c>
      <c r="J45" s="8" t="n">
        <v>10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OPTUM</t>
        </is>
      </c>
      <c r="C46" s="5" t="inlineStr">
        <is>
          <t>65862052305</t>
        </is>
      </c>
      <c r="D46" s="5" t="inlineStr">
        <is>
          <t>GABAPENTIN 600MG TABLET</t>
        </is>
      </c>
      <c r="E46" s="6" t="inlineStr">
        <is>
          <t>500.0</t>
        </is>
      </c>
      <c r="F46" s="7" t="n">
        <v>90</v>
      </c>
      <c r="G46" s="7" t="n">
        <v>0.18</v>
      </c>
      <c r="H46" s="7" t="n">
        <v>1</v>
      </c>
      <c r="I46" s="7" t="n">
        <v>0.8200000000000001</v>
      </c>
      <c r="J46" s="8" t="n">
        <v>9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OPTUM</t>
        </is>
      </c>
      <c r="C47" s="5" t="inlineStr">
        <is>
          <t>70010006405</t>
        </is>
      </c>
      <c r="D47" s="5" t="inlineStr">
        <is>
          <t>METFORMIN HCL 850 MG ORAL TABLET</t>
        </is>
      </c>
      <c r="E47" s="6" t="inlineStr">
        <is>
          <t>500.0</t>
        </is>
      </c>
      <c r="F47" s="7" t="n">
        <v>180</v>
      </c>
      <c r="G47" s="7" t="n">
        <v>0.36</v>
      </c>
      <c r="H47" s="7" t="n">
        <v>3</v>
      </c>
      <c r="I47" s="7" t="n">
        <v>2.64</v>
      </c>
      <c r="J47" s="8" t="n">
        <v>9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OPTUM</t>
        </is>
      </c>
      <c r="C48" s="5" t="inlineStr">
        <is>
          <t>69315030810</t>
        </is>
      </c>
      <c r="D48" s="5" t="inlineStr">
        <is>
          <t>CIPROFLOXACIN HCL 0.3 % OPHTHALMIC SOLUTION</t>
        </is>
      </c>
      <c r="E48" s="6" t="inlineStr">
        <is>
          <t>10.0</t>
        </is>
      </c>
      <c r="F48" s="7" t="n">
        <v>10</v>
      </c>
      <c r="G48" s="7" t="n">
        <v>1</v>
      </c>
      <c r="H48" s="7" t="n">
        <v>3</v>
      </c>
      <c r="I48" s="7" t="n">
        <v>2</v>
      </c>
      <c r="J48" s="8" t="n">
        <v>8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OPTUM</t>
        </is>
      </c>
      <c r="C49" s="5" t="inlineStr">
        <is>
          <t>70377007813</t>
        </is>
      </c>
      <c r="D49" s="5" t="inlineStr">
        <is>
          <t>ATORVASTATIN 20MG TABLET</t>
        </is>
      </c>
      <c r="E49" s="6" t="inlineStr">
        <is>
          <t>1000.0</t>
        </is>
      </c>
      <c r="F49" s="7" t="n">
        <v>120</v>
      </c>
      <c r="G49" s="7" t="n">
        <v>0.12</v>
      </c>
      <c r="H49" s="7" t="n">
        <v>1</v>
      </c>
      <c r="I49" s="7" t="n">
        <v>0.88</v>
      </c>
      <c r="J49" s="8" t="n">
        <v>8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OPTUM</t>
        </is>
      </c>
      <c r="C50" s="5" t="inlineStr">
        <is>
          <t>57237004230</t>
        </is>
      </c>
      <c r="D50" s="5" t="inlineStr">
        <is>
          <t>VALACYCLOVIR 500MG TABLET</t>
        </is>
      </c>
      <c r="E50" s="6" t="inlineStr">
        <is>
          <t>30.0</t>
        </is>
      </c>
      <c r="F50" s="7" t="n">
        <v>30</v>
      </c>
      <c r="G50" s="7" t="n">
        <v>1</v>
      </c>
      <c r="H50" s="7" t="n">
        <v>0</v>
      </c>
      <c r="I50" s="7" t="n">
        <v>-1</v>
      </c>
      <c r="J50" s="8" t="n">
        <v>8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OPTUM</t>
        </is>
      </c>
      <c r="C51" s="5" t="inlineStr">
        <is>
          <t>69097012715</t>
        </is>
      </c>
      <c r="D51" s="5" t="inlineStr">
        <is>
          <t xml:space="preserve">AMLODIPINE 5MG TABLET </t>
        </is>
      </c>
      <c r="E51" s="6" t="inlineStr">
        <is>
          <t>1000.0</t>
        </is>
      </c>
      <c r="F51" s="7" t="n">
        <v>120</v>
      </c>
      <c r="G51" s="7" t="n">
        <v>0.12</v>
      </c>
      <c r="H51" s="7" t="n">
        <v>0</v>
      </c>
      <c r="I51" s="7" t="n">
        <v>-0.12</v>
      </c>
      <c r="J51" s="8" t="n">
        <v>8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OPTUM</t>
        </is>
      </c>
      <c r="C52" s="5" t="inlineStr">
        <is>
          <t>70010006310</t>
        </is>
      </c>
      <c r="D52" s="5" t="inlineStr">
        <is>
          <t>METFORMIN HCL 500 MG TABLET</t>
        </is>
      </c>
      <c r="E52" s="6" t="inlineStr">
        <is>
          <t>1000.0</t>
        </is>
      </c>
      <c r="F52" s="7" t="n">
        <v>270</v>
      </c>
      <c r="G52" s="7" t="n">
        <v>0.27</v>
      </c>
      <c r="H52" s="7" t="n">
        <v>2</v>
      </c>
      <c r="I52" s="7" t="n">
        <v>1.73</v>
      </c>
      <c r="J52" s="8" t="n">
        <v>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OPTUM</t>
        </is>
      </c>
      <c r="C53" s="5" t="inlineStr">
        <is>
          <t>65862020399</t>
        </is>
      </c>
      <c r="D53" s="5" t="inlineStr">
        <is>
          <t>LOSARTAN 100MG TABLET</t>
        </is>
      </c>
      <c r="E53" s="6" t="inlineStr">
        <is>
          <t>1000.0</t>
        </is>
      </c>
      <c r="F53" s="7" t="n">
        <v>90</v>
      </c>
      <c r="G53" s="7" t="n">
        <v>0.09</v>
      </c>
      <c r="H53" s="7" t="n">
        <v>0</v>
      </c>
      <c r="I53" s="7" t="n">
        <v>-0.09</v>
      </c>
      <c r="J53" s="8" t="n">
        <v>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OPTUM</t>
        </is>
      </c>
      <c r="C54" s="5" t="inlineStr">
        <is>
          <t>29300022010</t>
        </is>
      </c>
      <c r="D54" s="5" t="inlineStr">
        <is>
          <t xml:space="preserve">MONTELUKAST 10MG TAB </t>
        </is>
      </c>
      <c r="E54" s="6" t="inlineStr">
        <is>
          <t>1000.0</t>
        </is>
      </c>
      <c r="F54" s="7" t="n">
        <v>90</v>
      </c>
      <c r="G54" s="7" t="n">
        <v>0.09</v>
      </c>
      <c r="H54" s="7" t="n">
        <v>0</v>
      </c>
      <c r="I54" s="7" t="n">
        <v>-0.09</v>
      </c>
      <c r="J54" s="8" t="n">
        <v>8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OPTUM</t>
        </is>
      </c>
      <c r="C55" s="5" t="inlineStr">
        <is>
          <t>70377000913</t>
        </is>
      </c>
      <c r="D55" s="5" t="inlineStr">
        <is>
          <t>ROSUVASTATIN 40MG TABLET</t>
        </is>
      </c>
      <c r="E55" s="6" t="inlineStr">
        <is>
          <t>500.0</t>
        </is>
      </c>
      <c r="F55" s="7" t="n">
        <v>120</v>
      </c>
      <c r="G55" s="7" t="n">
        <v>0.24</v>
      </c>
      <c r="H55" s="7" t="n">
        <v>0</v>
      </c>
      <c r="I55" s="7" t="n">
        <v>-0.24</v>
      </c>
      <c r="J55" s="8" t="n">
        <v>8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OPTUM</t>
        </is>
      </c>
      <c r="C56" s="5" t="inlineStr">
        <is>
          <t>67877022405</t>
        </is>
      </c>
      <c r="D56" s="5" t="inlineStr">
        <is>
          <t xml:space="preserve">GABAPENTIN 400MG CAP </t>
        </is>
      </c>
      <c r="E56" s="6" t="inlineStr">
        <is>
          <t>500.0</t>
        </is>
      </c>
      <c r="F56" s="7" t="n">
        <v>60</v>
      </c>
      <c r="G56" s="7" t="n">
        <v>0.12</v>
      </c>
      <c r="H56" s="7" t="n">
        <v>0</v>
      </c>
      <c r="I56" s="7" t="n">
        <v>-0.12</v>
      </c>
      <c r="J56" s="8" t="n">
        <v>7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OPTUM</t>
        </is>
      </c>
      <c r="C57" s="5" t="inlineStr">
        <is>
          <t>65862020299</t>
        </is>
      </c>
      <c r="D57" s="5" t="inlineStr">
        <is>
          <t>LOSARTAN 50MG TABLET</t>
        </is>
      </c>
      <c r="E57" s="6" t="inlineStr">
        <is>
          <t>1000.0</t>
        </is>
      </c>
      <c r="F57" s="7" t="n">
        <v>90</v>
      </c>
      <c r="G57" s="7" t="n">
        <v>0.09</v>
      </c>
      <c r="H57" s="7" t="n">
        <v>0</v>
      </c>
      <c r="I57" s="7" t="n">
        <v>-0.09</v>
      </c>
      <c r="J57" s="8" t="n">
        <v>7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OPTUM</t>
        </is>
      </c>
      <c r="C58" s="5" t="inlineStr">
        <is>
          <t>70377007713</t>
        </is>
      </c>
      <c r="D58" s="5" t="inlineStr">
        <is>
          <t>ATORVASTATIN 10MG TABLET</t>
        </is>
      </c>
      <c r="E58" s="6" t="inlineStr">
        <is>
          <t>1000.0</t>
        </is>
      </c>
      <c r="F58" s="7" t="n">
        <v>60</v>
      </c>
      <c r="G58" s="7" t="n">
        <v>0.06</v>
      </c>
      <c r="H58" s="7" t="n">
        <v>0</v>
      </c>
      <c r="I58" s="7" t="n">
        <v>-0.06</v>
      </c>
      <c r="J58" s="8" t="n">
        <v>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OPTUM</t>
        </is>
      </c>
      <c r="C59" s="5" t="inlineStr">
        <is>
          <t>59651078205</t>
        </is>
      </c>
      <c r="D59" s="5" t="inlineStr">
        <is>
          <t>GLIPIZIDE ER 10MG TABLET</t>
        </is>
      </c>
      <c r="E59" s="6" t="inlineStr">
        <is>
          <t>500.0</t>
        </is>
      </c>
      <c r="F59" s="7" t="n">
        <v>30</v>
      </c>
      <c r="G59" s="7" t="n">
        <v>0.06</v>
      </c>
      <c r="H59" s="7" t="n">
        <v>2</v>
      </c>
      <c r="I59" s="7" t="n">
        <v>1.94</v>
      </c>
      <c r="J59" s="8" t="n">
        <v>5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OPTUM</t>
        </is>
      </c>
      <c r="C60" s="5" t="inlineStr">
        <is>
          <t>57237022005</t>
        </is>
      </c>
      <c r="D60" s="5" t="inlineStr">
        <is>
          <t>PIOGLITAZONE 30MG TABLET</t>
        </is>
      </c>
      <c r="E60" s="6" t="inlineStr">
        <is>
          <t>500.0</t>
        </is>
      </c>
      <c r="F60" s="7" t="n">
        <v>30</v>
      </c>
      <c r="G60" s="7" t="n">
        <v>0.06</v>
      </c>
      <c r="H60" s="7" t="n">
        <v>1</v>
      </c>
      <c r="I60" s="7" t="n">
        <v>0.9399999999999999</v>
      </c>
      <c r="J60" s="8" t="n">
        <v>4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OPTUM</t>
        </is>
      </c>
      <c r="C61" s="5" t="inlineStr">
        <is>
          <t>59651002988</t>
        </is>
      </c>
      <c r="D61" s="5" t="inlineStr">
        <is>
          <t>LO-ZUMANDIMINE 3-0.02 MG ORAL TABLET</t>
        </is>
      </c>
      <c r="E61" s="6" t="inlineStr">
        <is>
          <t>84.0</t>
        </is>
      </c>
      <c r="F61" s="7" t="n">
        <v>28</v>
      </c>
      <c r="G61" s="7" t="n">
        <v>0.3333333333333333</v>
      </c>
      <c r="H61" s="7" t="n">
        <v>0</v>
      </c>
      <c r="I61" s="7" t="n">
        <v>-0.3333333333333333</v>
      </c>
      <c r="J61" s="8" t="n">
        <v>4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OPTUM</t>
        </is>
      </c>
      <c r="C62" s="5" t="inlineStr">
        <is>
          <t>65162067684</t>
        </is>
      </c>
      <c r="D62" s="5" t="inlineStr">
        <is>
          <t>AZELASTINE HCL 137 MCG/SPRAY NASAL SOLUTION</t>
        </is>
      </c>
      <c r="E62" s="6" t="inlineStr">
        <is>
          <t>30.0</t>
        </is>
      </c>
      <c r="F62" s="7" t="n">
        <v>30</v>
      </c>
      <c r="G62" s="7" t="n">
        <v>1</v>
      </c>
      <c r="H62" s="7" t="n">
        <v>0</v>
      </c>
      <c r="I62" s="7" t="n">
        <v>-1</v>
      </c>
      <c r="J62" s="8" t="n">
        <v>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OPTUM</t>
        </is>
      </c>
      <c r="C63" s="5" t="inlineStr">
        <is>
          <t>69097022416</t>
        </is>
      </c>
      <c r="D63" s="5" t="inlineStr">
        <is>
          <t xml:space="preserve">ALENDRONATE 70MG TAB </t>
        </is>
      </c>
      <c r="E63" s="6" t="inlineStr">
        <is>
          <t>4.0</t>
        </is>
      </c>
      <c r="F63" s="7" t="n">
        <v>4</v>
      </c>
      <c r="G63" s="7" t="n">
        <v>1</v>
      </c>
      <c r="H63" s="7" t="n">
        <v>10</v>
      </c>
      <c r="I63" s="7" t="n">
        <v>9</v>
      </c>
      <c r="J63" s="8" t="n">
        <v>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OPTUM</t>
        </is>
      </c>
      <c r="C64" s="5" t="inlineStr">
        <is>
          <t>64380073706</t>
        </is>
      </c>
      <c r="D64" s="5" t="inlineStr">
        <is>
          <t>VITAMIN D 50 000 U CAPSULE</t>
        </is>
      </c>
      <c r="E64" s="6" t="inlineStr">
        <is>
          <t>100.0</t>
        </is>
      </c>
      <c r="F64" s="7" t="n">
        <v>8</v>
      </c>
      <c r="G64" s="7" t="n">
        <v>0.08</v>
      </c>
      <c r="H64" s="7" t="n">
        <v>2</v>
      </c>
      <c r="I64" s="7" t="n">
        <v>1.92</v>
      </c>
      <c r="J64" s="8" t="n">
        <v>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OPTUM</t>
        </is>
      </c>
      <c r="C65" s="5" t="inlineStr">
        <is>
          <t>68180096503</t>
        </is>
      </c>
      <c r="D65" s="5" t="inlineStr">
        <is>
          <t>LEVOTHYROXINE 25MCG TABLET</t>
        </is>
      </c>
      <c r="E65" s="6" t="inlineStr">
        <is>
          <t>1000.0</t>
        </is>
      </c>
      <c r="F65" s="7" t="n">
        <v>30</v>
      </c>
      <c r="G65" s="7" t="n">
        <v>0.03</v>
      </c>
      <c r="H65" s="7" t="n">
        <v>0</v>
      </c>
      <c r="I65" s="7" t="n">
        <v>-0.03</v>
      </c>
      <c r="J65" s="8" t="n">
        <v>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OPTUM</t>
        </is>
      </c>
      <c r="C66" s="5" t="inlineStr">
        <is>
          <t>23155000810</t>
        </is>
      </c>
      <c r="D66" s="5" t="inlineStr">
        <is>
          <t>HYDROCHLOROTHIAZIDE 25MG TABLET</t>
        </is>
      </c>
      <c r="E66" s="6" t="inlineStr">
        <is>
          <t>1000.0</t>
        </is>
      </c>
      <c r="F66" s="7" t="n">
        <v>90</v>
      </c>
      <c r="G66" s="7" t="n">
        <v>0.09</v>
      </c>
      <c r="H66" s="7" t="n">
        <v>0</v>
      </c>
      <c r="I66" s="7" t="n">
        <v>-0.09</v>
      </c>
      <c r="J66" s="8" t="n">
        <v>2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OPTUM</t>
        </is>
      </c>
      <c r="C67" s="5" t="inlineStr">
        <is>
          <t>70010006599</t>
        </is>
      </c>
      <c r="D67" s="5" t="inlineStr">
        <is>
          <t>METFORMIN 1000MG TABLET</t>
        </is>
      </c>
      <c r="E67" s="6" t="inlineStr">
        <is>
          <t>1000.0</t>
        </is>
      </c>
      <c r="F67" s="7" t="n">
        <v>30</v>
      </c>
      <c r="G67" s="7" t="n">
        <v>0.03</v>
      </c>
      <c r="H67" s="7" t="n">
        <v>3</v>
      </c>
      <c r="I67" s="7" t="n">
        <v>2.97</v>
      </c>
      <c r="J67" s="8" t="n">
        <v>2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OPTUM</t>
        </is>
      </c>
      <c r="C68" s="5" t="inlineStr">
        <is>
          <t>60505082901</t>
        </is>
      </c>
      <c r="D68" s="5" t="inlineStr">
        <is>
          <t>FLUTICASONE 50MCG (NASAL) SUSPENSION</t>
        </is>
      </c>
      <c r="E68" s="6" t="inlineStr">
        <is>
          <t>16.0</t>
        </is>
      </c>
      <c r="F68" s="7" t="n">
        <v>16</v>
      </c>
      <c r="G68" s="7" t="n">
        <v>1</v>
      </c>
      <c r="H68" s="7" t="n">
        <v>24</v>
      </c>
      <c r="I68" s="7" t="n">
        <v>23</v>
      </c>
      <c r="J68" s="8" t="n">
        <v>1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OPTUM</t>
        </is>
      </c>
      <c r="C69" s="5" t="inlineStr">
        <is>
          <t>70436005801</t>
        </is>
      </c>
      <c r="D69" s="5" t="inlineStr">
        <is>
          <t>BUPROPION HCL ER (SR) 100MG TABLET</t>
        </is>
      </c>
      <c r="E69" s="6" t="inlineStr">
        <is>
          <t>100.0</t>
        </is>
      </c>
      <c r="F69" s="7" t="n">
        <v>30</v>
      </c>
      <c r="G69" s="7" t="n">
        <v>0.3</v>
      </c>
      <c r="H69" s="7" t="n">
        <v>0</v>
      </c>
      <c r="I69" s="7" t="n">
        <v>-0.3</v>
      </c>
      <c r="J69" s="8" t="n">
        <v>1</v>
      </c>
      <c r="K69" s="9">
        <f>IFERROR(IF((ROUND((J69/G69)*I69,1))&lt;0,(ROUND((J69/G69)*I69,1)),0),0)</f>
        <v/>
      </c>
    </row>
    <row r="70">
      <c r="E70" s="10" t="inlineStr">
        <is>
          <t>TOTAL</t>
        </is>
      </c>
      <c r="F70" s="11">
        <f>SUM(F4:F69)</f>
        <v/>
      </c>
      <c r="G70" s="11">
        <f>SUM(G4:G69)</f>
        <v/>
      </c>
      <c r="H70" s="11">
        <f>SUM(H4:H69)</f>
        <v/>
      </c>
      <c r="I70" s="11">
        <f>SUM(I4:I69)</f>
        <v/>
      </c>
      <c r="J70" s="12">
        <f>SUM(J4:J69)</f>
        <v/>
      </c>
      <c r="K70" s="13">
        <f>SUM(K4:K69)</f>
        <v/>
      </c>
    </row>
    <row r="71">
      <c r="J71" s="14" t="inlineStr">
        <is>
          <t>Audited Drugs Count</t>
        </is>
      </c>
      <c r="K71" s="15">
        <f>COUNTIF(K4:K69,"&lt;0")</f>
        <v/>
      </c>
    </row>
    <row r="72">
      <c r="J72" s="14" t="inlineStr">
        <is>
          <t>Total Audit Exposure</t>
        </is>
      </c>
      <c r="K72" s="16">
        <f>SUMIF(K4:K69,"&lt;0",K4:K69)</f>
        <v/>
      </c>
    </row>
  </sheetData>
  <autoFilter ref="A3:K69"/>
  <mergeCells count="2">
    <mergeCell ref="A2:K2"/>
    <mergeCell ref="A1:K1"/>
  </mergeCells>
  <conditionalFormatting sqref="E4:K6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trial4 — Feb 2026 - Feb 2026 — PRIMECAPRX</t>
        </is>
      </c>
    </row>
    <row r="2" ht="24" customHeight="1">
      <c r="A2" s="2" t="inlineStr">
        <is>
          <t>Overall PRIMECAPRX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PRIMECAPRX</t>
        </is>
      </c>
      <c r="G3" s="3" t="inlineStr">
        <is>
          <t>Packages Billed to PRIMECAPRX</t>
        </is>
      </c>
      <c r="H3" s="3" t="inlineStr">
        <is>
          <t>Total Qty Purchased</t>
        </is>
      </c>
      <c r="I3" s="3" t="inlineStr">
        <is>
          <t>Qty Difference for PRIMECAPRX</t>
        </is>
      </c>
      <c r="J3" s="3" t="inlineStr">
        <is>
          <t>Actual $ Paid by PRIMECAPRX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PRIMECAPRX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3</v>
      </c>
      <c r="G4" s="7" t="n">
        <v>1</v>
      </c>
      <c r="H4" s="7" t="n">
        <v>26</v>
      </c>
      <c r="I4" s="7" t="n">
        <v>25</v>
      </c>
      <c r="J4" s="8" t="n">
        <v>904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PRIMECAPRX</t>
        </is>
      </c>
      <c r="C5" s="5" t="inlineStr">
        <is>
          <t>83257001233</t>
        </is>
      </c>
      <c r="D5" s="5" t="inlineStr">
        <is>
          <t>SEMGLEE (YFGN) 100 UNIT/ML PEN-INJECTOR</t>
        </is>
      </c>
      <c r="E5" s="6" t="inlineStr">
        <is>
          <t>15.0</t>
        </is>
      </c>
      <c r="F5" s="7" t="n">
        <v>27</v>
      </c>
      <c r="G5" s="7" t="n">
        <v>1.8</v>
      </c>
      <c r="H5" s="7" t="n">
        <v>0</v>
      </c>
      <c r="I5" s="7" t="n">
        <v>-1.8</v>
      </c>
      <c r="J5" s="8" t="n">
        <v>673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PRIMECAPRX</t>
        </is>
      </c>
      <c r="C6" s="5" t="inlineStr">
        <is>
          <t>00597030045</t>
        </is>
      </c>
      <c r="D6" s="5" t="inlineStr">
        <is>
          <t>SYNJARDY XR 12.5-1000 MG TABLET ER</t>
        </is>
      </c>
      <c r="E6" s="6" t="inlineStr">
        <is>
          <t>60.0</t>
        </is>
      </c>
      <c r="F6" s="7" t="n">
        <v>90</v>
      </c>
      <c r="G6" s="7" t="n">
        <v>1.5</v>
      </c>
      <c r="H6" s="7" t="n">
        <v>5</v>
      </c>
      <c r="I6" s="7" t="n">
        <v>3.5</v>
      </c>
      <c r="J6" s="8" t="n">
        <v>456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PRIMECAPRX</t>
        </is>
      </c>
      <c r="C7" s="5" t="inlineStr">
        <is>
          <t>00006011231</t>
        </is>
      </c>
      <c r="D7" s="5" t="inlineStr">
        <is>
          <t>JANUVIA 50MG TABLET</t>
        </is>
      </c>
      <c r="E7" s="6" t="inlineStr">
        <is>
          <t>30.0</t>
        </is>
      </c>
      <c r="F7" s="7" t="n">
        <v>90</v>
      </c>
      <c r="G7" s="7" t="n">
        <v>3</v>
      </c>
      <c r="H7" s="7" t="n">
        <v>12</v>
      </c>
      <c r="I7" s="7" t="n">
        <v>9</v>
      </c>
      <c r="J7" s="8" t="n">
        <v>317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PRIMECAPRX</t>
        </is>
      </c>
      <c r="C8" s="5" t="inlineStr">
        <is>
          <t>64380019801</t>
        </is>
      </c>
      <c r="D8" s="5" t="inlineStr">
        <is>
          <t>AMLODIPINE-VALSARTAN-HCTZ 5-160-25 MG ORAL TABLET</t>
        </is>
      </c>
      <c r="E8" s="6" t="inlineStr">
        <is>
          <t>30.0</t>
        </is>
      </c>
      <c r="F8" s="7" t="n">
        <v>30</v>
      </c>
      <c r="G8" s="7" t="n">
        <v>1</v>
      </c>
      <c r="H8" s="7" t="n">
        <v>0</v>
      </c>
      <c r="I8" s="7" t="n">
        <v>-1</v>
      </c>
      <c r="J8" s="8" t="n">
        <v>181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PRIMECAPRX</t>
        </is>
      </c>
      <c r="C9" s="5" t="inlineStr">
        <is>
          <t>99073070822</t>
        </is>
      </c>
      <c r="D9" s="5" t="inlineStr">
        <is>
          <t>FREESTYLE LITE TEST  STRIP</t>
        </is>
      </c>
      <c r="E9" s="6" t="inlineStr">
        <is>
          <t>50.0</t>
        </is>
      </c>
      <c r="F9" s="7" t="n">
        <v>100</v>
      </c>
      <c r="G9" s="7" t="n">
        <v>2</v>
      </c>
      <c r="H9" s="7" t="n">
        <v>0</v>
      </c>
      <c r="I9" s="7" t="n">
        <v>-2</v>
      </c>
      <c r="J9" s="8" t="n">
        <v>134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PRIMECAPRX</t>
        </is>
      </c>
      <c r="C10" s="5" t="inlineStr">
        <is>
          <t>62332063260</t>
        </is>
      </c>
      <c r="D10" s="5" t="inlineStr">
        <is>
          <t>DESONIDE 0.05 % EXTERNAL CREAM</t>
        </is>
      </c>
      <c r="E10" s="6" t="inlineStr">
        <is>
          <t>60.0</t>
        </is>
      </c>
      <c r="F10" s="7" t="n">
        <v>60</v>
      </c>
      <c r="G10" s="7" t="n">
        <v>1</v>
      </c>
      <c r="H10" s="7" t="n">
        <v>0</v>
      </c>
      <c r="I10" s="7" t="n">
        <v>-1</v>
      </c>
      <c r="J10" s="8" t="n">
        <v>49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PRIMECAPRX</t>
        </is>
      </c>
      <c r="C11" s="5" t="inlineStr">
        <is>
          <t>55111065001</t>
        </is>
      </c>
      <c r="D11" s="5" t="inlineStr">
        <is>
          <t>METAXALONE 800 MG ORAL TABLET</t>
        </is>
      </c>
      <c r="E11" s="6" t="inlineStr">
        <is>
          <t>100.0</t>
        </is>
      </c>
      <c r="F11" s="7" t="n">
        <v>30</v>
      </c>
      <c r="G11" s="7" t="n">
        <v>0.3</v>
      </c>
      <c r="H11" s="7" t="n">
        <v>1</v>
      </c>
      <c r="I11" s="7" t="n">
        <v>0.7</v>
      </c>
      <c r="J11" s="8" t="n">
        <v>27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PRIMECAPRX</t>
        </is>
      </c>
      <c r="C12" s="5" t="inlineStr">
        <is>
          <t>43386009019</t>
        </is>
      </c>
      <c r="D12" s="5" t="inlineStr">
        <is>
          <t xml:space="preserve">GAVILYTE G SOLUTION </t>
        </is>
      </c>
      <c r="E12" s="6" t="inlineStr">
        <is>
          <t>4000.0</t>
        </is>
      </c>
      <c r="F12" s="7" t="n">
        <v>4000</v>
      </c>
      <c r="G12" s="7" t="n">
        <v>1</v>
      </c>
      <c r="H12" s="7" t="n">
        <v>6</v>
      </c>
      <c r="I12" s="7" t="n">
        <v>5</v>
      </c>
      <c r="J12" s="8" t="n">
        <v>21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PRIMECAPRX</t>
        </is>
      </c>
      <c r="C13" s="5" t="inlineStr">
        <is>
          <t>68180087673</t>
        </is>
      </c>
      <c r="D13" s="5" t="inlineStr">
        <is>
          <t xml:space="preserve">NORETHINDRONE 0.35MG TABLET </t>
        </is>
      </c>
      <c r="E13" s="6" t="inlineStr">
        <is>
          <t>84.0</t>
        </is>
      </c>
      <c r="F13" s="7" t="n">
        <v>84</v>
      </c>
      <c r="G13" s="7" t="n">
        <v>1</v>
      </c>
      <c r="H13" s="7" t="n">
        <v>2</v>
      </c>
      <c r="I13" s="7" t="n">
        <v>1</v>
      </c>
      <c r="J13" s="8" t="n">
        <v>10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PRIMECAPRX</t>
        </is>
      </c>
      <c r="C14" s="5" t="inlineStr">
        <is>
          <t>70954045520</t>
        </is>
      </c>
      <c r="D14" s="5" t="inlineStr">
        <is>
          <t>BISOPROLOL FUMARATE 5 MG ORAL TABLET</t>
        </is>
      </c>
      <c r="E14" s="6" t="inlineStr">
        <is>
          <t>100.0</t>
        </is>
      </c>
      <c r="F14" s="7" t="n">
        <v>30</v>
      </c>
      <c r="G14" s="7" t="n">
        <v>0.3</v>
      </c>
      <c r="H14" s="7" t="n">
        <v>0</v>
      </c>
      <c r="I14" s="7" t="n">
        <v>-0.3</v>
      </c>
      <c r="J14" s="8" t="n">
        <v>10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PRIMECAPRX</t>
        </is>
      </c>
      <c r="C15" s="5" t="inlineStr">
        <is>
          <t>08484081028</t>
        </is>
      </c>
      <c r="D15" s="5" t="inlineStr">
        <is>
          <t>LANCETS PRODIGY</t>
        </is>
      </c>
      <c r="E15" s="6" t="inlineStr">
        <is>
          <t>100.0</t>
        </is>
      </c>
      <c r="F15" s="7" t="n">
        <v>100</v>
      </c>
      <c r="G15" s="7" t="n">
        <v>1</v>
      </c>
      <c r="H15" s="7" t="n">
        <v>0</v>
      </c>
      <c r="I15" s="7" t="n">
        <v>-1</v>
      </c>
      <c r="J15" s="8" t="n">
        <v>9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PRIMECAPRX</t>
        </is>
      </c>
      <c r="C16" s="5" t="inlineStr">
        <is>
          <t>70377007813</t>
        </is>
      </c>
      <c r="D16" s="5" t="inlineStr">
        <is>
          <t>ATORVASTATIN 20MG TABLET</t>
        </is>
      </c>
      <c r="E16" s="6" t="inlineStr">
        <is>
          <t>1000.0</t>
        </is>
      </c>
      <c r="F16" s="7" t="n">
        <v>120</v>
      </c>
      <c r="G16" s="7" t="n">
        <v>0.12</v>
      </c>
      <c r="H16" s="7" t="n">
        <v>1</v>
      </c>
      <c r="I16" s="7" t="n">
        <v>0.88</v>
      </c>
      <c r="J16" s="8" t="n">
        <v>6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PRIMECAPRX</t>
        </is>
      </c>
      <c r="C17" s="5" t="inlineStr">
        <is>
          <t>69367024101</t>
        </is>
      </c>
      <c r="D17" s="5" t="inlineStr">
        <is>
          <t>NABUMETONE 500MG TABLET</t>
        </is>
      </c>
      <c r="E17" s="6" t="inlineStr">
        <is>
          <t>100.0</t>
        </is>
      </c>
      <c r="F17" s="7" t="n">
        <v>60</v>
      </c>
      <c r="G17" s="7" t="n">
        <v>0.6</v>
      </c>
      <c r="H17" s="7" t="n">
        <v>0</v>
      </c>
      <c r="I17" s="7" t="n">
        <v>-0.6</v>
      </c>
      <c r="J17" s="8" t="n">
        <v>4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PRIMECAPRX</t>
        </is>
      </c>
      <c r="C18" s="5" t="inlineStr">
        <is>
          <t>00168008031</t>
        </is>
      </c>
      <c r="D18" s="5" t="inlineStr">
        <is>
          <t>HYDROCORTISONE 2.5% CREAM</t>
        </is>
      </c>
      <c r="E18" s="6" t="inlineStr">
        <is>
          <t>30.0</t>
        </is>
      </c>
      <c r="F18" s="7" t="n">
        <v>30</v>
      </c>
      <c r="G18" s="7" t="n">
        <v>1</v>
      </c>
      <c r="H18" s="7" t="n">
        <v>7</v>
      </c>
      <c r="I18" s="7" t="n">
        <v>6</v>
      </c>
      <c r="J18" s="8" t="n">
        <v>3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PRIMECAPRX</t>
        </is>
      </c>
      <c r="C19" s="5" t="inlineStr">
        <is>
          <t>70377000913</t>
        </is>
      </c>
      <c r="D19" s="5" t="inlineStr">
        <is>
          <t>ROSUVASTATIN 40MG TABLET</t>
        </is>
      </c>
      <c r="E19" s="6" t="inlineStr">
        <is>
          <t>500.0</t>
        </is>
      </c>
      <c r="F19" s="7" t="n">
        <v>30</v>
      </c>
      <c r="G19" s="7" t="n">
        <v>0.06</v>
      </c>
      <c r="H19" s="7" t="n">
        <v>0</v>
      </c>
      <c r="I19" s="7" t="n">
        <v>-0.06</v>
      </c>
      <c r="J19" s="8" t="n">
        <v>2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PRIMECAPRX</t>
        </is>
      </c>
      <c r="C20" s="5" t="inlineStr">
        <is>
          <t>00904404073</t>
        </is>
      </c>
      <c r="D20" s="5" t="inlineStr">
        <is>
          <t>ASPIRIN 81 MG ORAL TABLET CHEWABLE</t>
        </is>
      </c>
      <c r="E20" s="6" t="inlineStr">
        <is>
          <t>36.0</t>
        </is>
      </c>
      <c r="F20" s="7" t="n">
        <v>30</v>
      </c>
      <c r="G20" s="7" t="n">
        <v>0.8333333333333334</v>
      </c>
      <c r="H20" s="7" t="n">
        <v>0</v>
      </c>
      <c r="I20" s="7" t="n">
        <v>-0.8333333333333334</v>
      </c>
      <c r="J20" s="8" t="n">
        <v>1</v>
      </c>
      <c r="K20" s="9">
        <f>IFERROR(IF((ROUND((J20/G20)*I20,1))&lt;0,(ROUND((J20/G20)*I20,1)),0),0)</f>
        <v/>
      </c>
    </row>
    <row r="21">
      <c r="E21" s="10" t="inlineStr">
        <is>
          <t>TOTAL</t>
        </is>
      </c>
      <c r="F21" s="11">
        <f>SUM(F4:F20)</f>
        <v/>
      </c>
      <c r="G21" s="11">
        <f>SUM(G4:G20)</f>
        <v/>
      </c>
      <c r="H21" s="11">
        <f>SUM(H4:H20)</f>
        <v/>
      </c>
      <c r="I21" s="11">
        <f>SUM(I4:I20)</f>
        <v/>
      </c>
      <c r="J21" s="12">
        <f>SUM(J4:J20)</f>
        <v/>
      </c>
      <c r="K21" s="13">
        <f>SUM(K4:K20)</f>
        <v/>
      </c>
    </row>
    <row r="22">
      <c r="J22" s="14" t="inlineStr">
        <is>
          <t>Audited Drugs Count</t>
        </is>
      </c>
      <c r="K22" s="15">
        <f>COUNTIF(K4:K20,"&lt;0")</f>
        <v/>
      </c>
    </row>
    <row r="23">
      <c r="J23" s="14" t="inlineStr">
        <is>
          <t>Total Audit Exposure</t>
        </is>
      </c>
      <c r="K23" s="16">
        <f>SUMIF(K4:K20,"&lt;0",K4:K20)</f>
        <v/>
      </c>
    </row>
  </sheetData>
  <autoFilter ref="A3:K20"/>
  <mergeCells count="2">
    <mergeCell ref="A2:K2"/>
    <mergeCell ref="A1:K1"/>
  </mergeCells>
  <conditionalFormatting sqref="E4:K2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trial4 — Feb 2026 - Feb 2026 — TREDIUM</t>
        </is>
      </c>
    </row>
    <row r="2">
      <c r="A2" s="2" t="inlineStr">
        <is>
          <t>Overall TREDIUM Overview</t>
        </is>
      </c>
    </row>
    <row r="3">
      <c r="A3" t="inlineStr">
        <is>
          <t>No data for this criteria.</t>
        </is>
      </c>
    </row>
  </sheetData>
  <mergeCells count="2">
    <mergeCell ref="A2:K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2026-03-30T18:58:34Z</dcterms:created>
  <dcterms:modified xsi:type="dcterms:W3CDTF">2026-03-30T18:58:35Z</dcterms:modified>
</cp:coreProperties>
</file>